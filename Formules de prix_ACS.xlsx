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essous\OneDrive - Les DA Maroc\Desktop\Consulting\3- Mission Holcim\"/>
    </mc:Choice>
  </mc:AlternateContent>
  <xr:revisionPtr revIDLastSave="0" documentId="13_ncr:1_{DC06FF11-FAE3-4197-9728-E7A92946634F}" xr6:coauthVersionLast="47" xr6:coauthVersionMax="47" xr10:uidLastSave="{00000000-0000-0000-0000-000000000000}"/>
  <bookViews>
    <workbookView xWindow="-28920" yWindow="750" windowWidth="29040" windowHeight="15720" firstSheet="1" activeTab="1" xr2:uid="{FCE1D898-A159-49A4-BE87-F2306FBC4DF5}"/>
  </bookViews>
  <sheets>
    <sheet name="Simulateur sur Avg" sheetId="7" r:id="rId1"/>
    <sheet name="Simulateur furu" sheetId="11" r:id="rId2"/>
    <sheet name="Feuil3" sheetId="10" r:id="rId3"/>
    <sheet name="Graph" sheetId="9" r:id="rId4"/>
    <sheet name="Feuil1" sheetId="8" r:id="rId5"/>
    <sheet name="CRU historical" sheetId="1" r:id="rId6"/>
    <sheet name="Sulphuric Acid freights" sheetId="5" r:id="rId7"/>
    <sheet name="Sulphur freight" sheetId="6" r:id="rId8"/>
    <sheet name="S - CRU Outlook" sheetId="2" r:id="rId9"/>
    <sheet name="ACS - CRU Outlook" sheetId="3" r:id="rId10"/>
    <sheet name="ACS - S&amp;P Price annual nominal" sheetId="4" r:id="rId11"/>
  </sheets>
  <definedNames>
    <definedName name="\a">#REF!</definedName>
    <definedName name="\d">#REF!</definedName>
    <definedName name="\I">#REF!</definedName>
    <definedName name="\p">#REF!</definedName>
    <definedName name="\s">#REF!</definedName>
    <definedName name="\t">#REF!</definedName>
    <definedName name="__123Graph_A" hidden="1">#REF!</definedName>
    <definedName name="__123Graph_ACHART1" hidden="1">#REF!</definedName>
    <definedName name="__123Graph_ACHART10" hidden="1">#REF!</definedName>
    <definedName name="__123Graph_ACHART11" hidden="1">#REF!</definedName>
    <definedName name="__123Graph_ACHART12" hidden="1">#REF!</definedName>
    <definedName name="__123Graph_ACHART13" hidden="1">#REF!</definedName>
    <definedName name="__123Graph_ACHART14" hidden="1">#REF!</definedName>
    <definedName name="__123Graph_ACHART15" hidden="1">#REF!</definedName>
    <definedName name="__123Graph_ACHART16" hidden="1">#REF!</definedName>
    <definedName name="__123Graph_ACHART17" hidden="1">#REF!</definedName>
    <definedName name="__123Graph_ACHART18" hidden="1">#REF!</definedName>
    <definedName name="__123Graph_ACHART19" hidden="1">#REF!</definedName>
    <definedName name="__123Graph_ACHART2" hidden="1">#REF!</definedName>
    <definedName name="__123Graph_ACHART20" hidden="1">#REF!</definedName>
    <definedName name="__123Graph_ACHART21" hidden="1">#REF!</definedName>
    <definedName name="__123Graph_ACHART2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HART9" hidden="1">#REF!</definedName>
    <definedName name="__123Graph_ASLIDE17" hidden="1">#REF!</definedName>
    <definedName name="__123Graph_ASLIDEIII15" hidden="1">#REF!</definedName>
    <definedName name="__123Graph_ASLIDEIII25" hidden="1">#REF!</definedName>
    <definedName name="__123Graph_ASLIDEIII26" hidden="1">#REF!</definedName>
    <definedName name="__123Graph_B" hidden="1">#REF!</definedName>
    <definedName name="__123Graph_BCHART1" hidden="1">#REF!</definedName>
    <definedName name="__123Graph_BCHART10" hidden="1">#REF!</definedName>
    <definedName name="__123Graph_BCHART11" hidden="1">#REF!</definedName>
    <definedName name="__123Graph_BCHART12" hidden="1">#REF!</definedName>
    <definedName name="__123Graph_BCHART13" hidden="1">#REF!</definedName>
    <definedName name="__123Graph_BCHART14" hidden="1">#REF!</definedName>
    <definedName name="__123Graph_BCHART15" hidden="1">#REF!</definedName>
    <definedName name="__123Graph_BCHART16" hidden="1">#REF!</definedName>
    <definedName name="__123Graph_BCHART17" hidden="1">#REF!</definedName>
    <definedName name="__123Graph_BCHART18" hidden="1">#REF!</definedName>
    <definedName name="__123Graph_BCHART19" hidden="1">#REF!</definedName>
    <definedName name="__123Graph_BCHART2" hidden="1">#REF!</definedName>
    <definedName name="__123Graph_BCHART20" hidden="1">#REF!</definedName>
    <definedName name="__123Graph_BCHART22" hidden="1">#REF!</definedName>
    <definedName name="__123Graph_BCHART3" hidden="1">#REF!</definedName>
    <definedName name="__123Graph_BCHART4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HART9" hidden="1">#REF!</definedName>
    <definedName name="__123Graph_BSLIDE17" hidden="1">#REF!</definedName>
    <definedName name="__123Graph_BSLIDEIII15" hidden="1">#REF!</definedName>
    <definedName name="__123Graph_BSLIDEIII25" hidden="1">#REF!</definedName>
    <definedName name="__123Graph_BSLIDEIII26" hidden="1">#REF!</definedName>
    <definedName name="__123Graph_C" hidden="1">#REF!</definedName>
    <definedName name="__123Graph_CCHART1" hidden="1">#REF!</definedName>
    <definedName name="__123Graph_CCHART10" hidden="1">#REF!</definedName>
    <definedName name="__123Graph_CCHART11" hidden="1">#REF!</definedName>
    <definedName name="__123Graph_CCHART14" hidden="1">#REF!</definedName>
    <definedName name="__123Graph_CCHART15" hidden="1">#REF!</definedName>
    <definedName name="__123Graph_CCHART2" hidden="1">#REF!</definedName>
    <definedName name="__123Graph_CCHART22" hidden="1">#REF!</definedName>
    <definedName name="__123Graph_CCHART3" hidden="1">#REF!</definedName>
    <definedName name="__123Graph_CCHART6" hidden="1">#REF!</definedName>
    <definedName name="__123Graph_CCHART7" hidden="1">#REF!</definedName>
    <definedName name="__123Graph_CCHART8" hidden="1">#REF!</definedName>
    <definedName name="__123Graph_CSLIDEIII25" hidden="1">#REF!</definedName>
    <definedName name="__123Graph_CSLIDEIII26" hidden="1">#REF!</definedName>
    <definedName name="__123Graph_DCHART10" hidden="1">#REF!</definedName>
    <definedName name="__123Graph_DCHART14" hidden="1">#REF!</definedName>
    <definedName name="__123Graph_DSLIDEIII25" hidden="1">#REF!</definedName>
    <definedName name="__123Graph_LBL_CCHART22" hidden="1">#REF!</definedName>
    <definedName name="__123Graph_X" hidden="1">#REF!</definedName>
    <definedName name="__123Graph_XCHART1" hidden="1">#REF!</definedName>
    <definedName name="__123Graph_XCHART10" hidden="1">#REF!</definedName>
    <definedName name="__123Graph_XCHART11" hidden="1">#REF!</definedName>
    <definedName name="__123Graph_XCHART12" hidden="1">#REF!</definedName>
    <definedName name="__123Graph_XCHART13" hidden="1">#REF!</definedName>
    <definedName name="__123Graph_XCHART14" hidden="1">#REF!</definedName>
    <definedName name="__123Graph_XCHART15" hidden="1">#REF!</definedName>
    <definedName name="__123Graph_XCHART16" hidden="1">#REF!</definedName>
    <definedName name="__123Graph_XCHART17" hidden="1">#REF!</definedName>
    <definedName name="__123Graph_XCHART18" hidden="1">#REF!</definedName>
    <definedName name="__123Graph_XCHART19" hidden="1">#REF!</definedName>
    <definedName name="__123Graph_XCHART2" hidden="1">#REF!</definedName>
    <definedName name="__123Graph_XCHART20" hidden="1">#REF!</definedName>
    <definedName name="__123Graph_XCHART21" hidden="1">#REF!</definedName>
    <definedName name="__123Graph_XCHART2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HART9" hidden="1">#REF!</definedName>
    <definedName name="__123Graph_XSLIDE17" hidden="1">#REF!</definedName>
    <definedName name="__123Graph_XSLIDEIII15" hidden="1">#REF!</definedName>
    <definedName name="__123Graph_XSLIDEIII25" hidden="1">#REF!</definedName>
    <definedName name="__123Graph_XSLIDEIII26" hidden="1">#REF!</definedName>
    <definedName name="_1_">#REF!</definedName>
    <definedName name="_1__123Graph_ACHART_1" hidden="1">#REF!</definedName>
    <definedName name="_1__123Graph_ACHART_15" hidden="1">#REF!</definedName>
    <definedName name="_10__123Graph_XCHART_15" hidden="1">#REF!</definedName>
    <definedName name="_10n_0">#REF!</definedName>
    <definedName name="_11t_0WT">#REF!</definedName>
    <definedName name="_12t__WT">#REF!</definedName>
    <definedName name="_13W_0WS">#REF!</definedName>
    <definedName name="_14WSOL">#REF!</definedName>
    <definedName name="_15W__WS">#REF!</definedName>
    <definedName name="_2__123Graph_BCHART_1" hidden="1">#REF!</definedName>
    <definedName name="_2__123Graph_BCHART_10" hidden="1">#REF!</definedName>
    <definedName name="_2_0">#REF!</definedName>
    <definedName name="_3__123Graph_BCHART_13" hidden="1">#REF!</definedName>
    <definedName name="_3__123Graph_CCHART_1" hidden="1">#REF!</definedName>
    <definedName name="_3_0G">#REF!</definedName>
    <definedName name="_4__123Graph_BCHART_15" hidden="1">#REF!</definedName>
    <definedName name="_4__123Graph_LBL_CCHART_1" hidden="1">#REF!</definedName>
    <definedName name="_4_0WSOL">#REF!</definedName>
    <definedName name="_5__123Graph_CCHART_10" hidden="1">#REF!</definedName>
    <definedName name="_5__123Graph_XCHART_1" hidden="1">#REF!</definedName>
    <definedName name="_5_1thru51queries">#REF!</definedName>
    <definedName name="_6__123Graph_CCHART_13" hidden="1">#REF!</definedName>
    <definedName name="_6_8_0WTOT">#REF!</definedName>
    <definedName name="_7__123Graph_CCHART_15" hidden="1">#REF!</definedName>
    <definedName name="_7_8__WTOT">#REF!</definedName>
    <definedName name="_8__123Graph_XCHART_10" hidden="1">#REF!</definedName>
    <definedName name="_8G">#REF!</definedName>
    <definedName name="_9__123Graph_XCHART_13" hidden="1">#REF!</definedName>
    <definedName name="_9n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Fill" hidden="1">#REF!</definedName>
    <definedName name="_Key1" hidden="1">#REF!</definedName>
    <definedName name="_Key1b" hidden="1">#REF!</definedName>
    <definedName name="_Order1" hidden="1">0</definedName>
    <definedName name="_Order2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b" hidden="1">#REF!</definedName>
    <definedName name="aa" hidden="1">{"Gasoline",#N/A,FALSE,"HOUSTON";"GasolineBPD",#N/A,FALSE,"BPD"}</definedName>
    <definedName name="aagr1end">#REF!</definedName>
    <definedName name="aagr1start">#REF!</definedName>
    <definedName name="aagr2end">#REF!</definedName>
    <definedName name="aagr2start">#REF!</definedName>
    <definedName name="aagr3end">#REF!</definedName>
    <definedName name="aagr3start">#REF!</definedName>
    <definedName name="aagr4end">#REF!</definedName>
    <definedName name="aagr4start">#REF!</definedName>
    <definedName name="aagr5end">#REF!</definedName>
    <definedName name="aagr5start">#REF!</definedName>
    <definedName name="ab" hidden="1">{"MatBal",#N/A,FALSE,"Houston Matrl Balance"}</definedName>
    <definedName name="ac" hidden="1">{"Crudes",#N/A,FALSE,"HOUSTON";"Gas Oils",#N/A,FALSE,"HOUSTON";"Gasoline",#N/A,FALSE,"HOUSTON";"GasolineBPD",#N/A,FALSE,"BPD";"Diesel",#N/A,FALSE,"HOUSTON";"DieselBPD",#N/A,FALSE,"BPD";"Fuel Oil",#N/A,FALSE,"HOUSTON";"Fuel Oil BPD",#N/A,FALSE,"BPD";"LPG",#N/A,FALSE,"HOUSTON";"LPGBPD",#N/A,FALSE,"BPD";"MatBal",#N/A,FALSE,"Houston Matrl Balance";"Capacities",#N/A,FALSE,"HOUSTON";"Prices",#N/A,FALSE,"Prices";"StreamProps",#N/A,FALSE,"Stream Props"}</definedName>
    <definedName name="ALL">#REF!</definedName>
    <definedName name="AllApps">#REF!</definedName>
    <definedName name="annual">#REF!</definedName>
    <definedName name="Applications">#REF!</definedName>
    <definedName name="area">#REF!</definedName>
    <definedName name="ASD">#REF!</definedName>
    <definedName name="ASPHTON">#REF!</definedName>
    <definedName name="AVGASTON">#REF!</definedName>
    <definedName name="AvgCflow">#REF!</definedName>
    <definedName name="b">#REF!</definedName>
    <definedName name="Base_Year">#REF!</definedName>
    <definedName name="Bitumen">#REF!</definedName>
    <definedName name="Break">#REF!</definedName>
    <definedName name="Canada_East_Projects">#REF!</definedName>
    <definedName name="Canada_West_Projects">#REF!</definedName>
    <definedName name="CapOpCost">#REF!</definedName>
    <definedName name="CapOpCostHi">#REF!</definedName>
    <definedName name="Chosen_month">#REF!</definedName>
    <definedName name="Chosen_quarter">#REF!</definedName>
    <definedName name="Chosen_year">#REF!</definedName>
    <definedName name="CIQWBGuid" hidden="1">"d5478d2e-4960-4aa9-b51f-b57792b0e820"</definedName>
    <definedName name="CIQWBInfo" hidden="1">"{ ""CIQVersion"":""9.45.614.5792"" }"</definedName>
    <definedName name="clean_spreads">#REF!</definedName>
    <definedName name="COKETON">#REF!</definedName>
    <definedName name="CommercialExAIGMetrics">#REF!</definedName>
    <definedName name="CONSTANT1">#N/A</definedName>
    <definedName name="CONSTANT2">#N/A</definedName>
    <definedName name="CostEsc">#REF!</definedName>
    <definedName name="Country">#REF!</definedName>
    <definedName name="CRUTON">#REF!</definedName>
    <definedName name="CURRENT1">#REF!</definedName>
    <definedName name="CURRENT2">#REF!</definedName>
    <definedName name="DailyRunOld">#REF!</definedName>
    <definedName name="Data">#REF!</definedName>
    <definedName name="days">#REF!</definedName>
    <definedName name="DEFL">#REF!</definedName>
    <definedName name="diane">#REF!</definedName>
    <definedName name="DIETON">#REF!</definedName>
    <definedName name="edition">#REF!</definedName>
    <definedName name="EDMSAR_YEARLY">#REF!</definedName>
    <definedName name="end_use_year1">#REF!</definedName>
    <definedName name="end_use_year2">#REF!</definedName>
    <definedName name="end_year">#REF!</definedName>
    <definedName name="ETHTON">#REF!</definedName>
    <definedName name="Export_tax_scenario">#REF!</definedName>
    <definedName name="FACTORS">#REF!</definedName>
    <definedName name="first_year">#REF!</definedName>
    <definedName name="Future_Year">#REF!</definedName>
    <definedName name="GASOTON">#REF!</definedName>
    <definedName name="Gdansk">#REF!</definedName>
    <definedName name="GDO">#REF!</definedName>
    <definedName name="gdp_table">#REF!</definedName>
    <definedName name="gdp_years">#REF!</definedName>
    <definedName name="geography">#REF!</definedName>
    <definedName name="graph" hidden="1">{"monthly",#N/A,FALSE,"GASODEM";"qtr to yr",#N/A,FALSE,"GASODEM"}</definedName>
    <definedName name="GROW">#REF!</definedName>
    <definedName name="GROWTH">#REF!</definedName>
    <definedName name="GSL">#REF!</definedName>
    <definedName name="GVKey">"024216-01"</definedName>
    <definedName name="iane">#REF!</definedName>
    <definedName name="Index">#REF!</definedName>
    <definedName name="INFLAINDEX">#REF!</definedName>
    <definedName name="INFLARATE">#REF!</definedName>
    <definedName name="INIT">#REF!</definedName>
    <definedName name="Interest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44326.6561805556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38876.5673726852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ETTON">#REF!</definedName>
    <definedName name="kCal_MJ">#REF!</definedName>
    <definedName name="KEROTON">#REF!</definedName>
    <definedName name="kWh_MJ">#REF!</definedName>
    <definedName name="label">#REF!</definedName>
    <definedName name="labels">#REF!</definedName>
    <definedName name="LEAP">#REF!</definedName>
    <definedName name="Limit">#REF!</definedName>
    <definedName name="lkjsd">#REF!</definedName>
    <definedName name="lowsulfurdiesel" hidden="1">{"PAGE1",#N/A,FALSE,"YIELDS";"PAGE2",#N/A,FALSE,"YIELDS";"PAGE3",#N/A,FALSE,"YIELDS"}</definedName>
    <definedName name="lowsulphurdiesel" hidden="1">{"PAGE1",#N/A,FALSE,"YIELDS";"PAGE2",#N/A,FALSE,"YIELDS";"PAGE3",#N/A,FALSE,"YIELDS"}</definedName>
    <definedName name="LPGTON">#REF!</definedName>
    <definedName name="LUBETON">#REF!</definedName>
    <definedName name="matrix">#REF!</definedName>
    <definedName name="MEold">#REF!</definedName>
    <definedName name="MEoport">#REF!</definedName>
    <definedName name="Mid_Year">#REF!</definedName>
    <definedName name="mirror_trade">_xlfn.LAMBDA(_xlpm.importer,_xlpm.exporter,_xlpm.period,SUMIFS(#REF!,#REF!,_xlpm.period,#REF!,"Export",#REF!,_xlpm.exporter,#REF!,_xlpm.importer))</definedName>
    <definedName name="MJ_toe">#REF!</definedName>
    <definedName name="Model_Time">#REF!</definedName>
    <definedName name="month_9697">#REF!</definedName>
    <definedName name="MonthData">#REF!</definedName>
    <definedName name="MONTHLY">#REF!</definedName>
    <definedName name="MonthsNumber">#REF!</definedName>
    <definedName name="NAPTON">#REF!</definedName>
    <definedName name="NB_CASHFLOW">#REF!</definedName>
    <definedName name="NBannuity">#REF!</definedName>
    <definedName name="NBcashflow">#REF!</definedName>
    <definedName name="NBhigh">#REF!</definedName>
    <definedName name="NBloan">#REF!</definedName>
    <definedName name="NBprice">#REF!</definedName>
    <definedName name="NGLTON">#REF!</definedName>
    <definedName name="NONLEAP">#REF!</definedName>
    <definedName name="OffhireOld">#REF!</definedName>
    <definedName name="OGJ_HISTORY">#REF!</definedName>
    <definedName name="oldLookup">_xlfn.LAMBDA(_xlpm.column_old,_xlpm.country_new,IFERROR(INDEX(_xlpm.column_old,VLOOKUP(_xlpm.country_new,#REF!,2,FALSE)),0))</definedName>
    <definedName name="OTHTON">#REF!</definedName>
    <definedName name="Pivot_TL">#REF!</definedName>
    <definedName name="Play_Type_Rigs">#REF!</definedName>
    <definedName name="PlayList">#REF!</definedName>
    <definedName name="Print_Area_MI">#REF!</definedName>
    <definedName name="Print_Titles_MI">#REF!</definedName>
    <definedName name="Print1">#REF!</definedName>
    <definedName name="PRINTMENY">#REF!</definedName>
    <definedName name="Product">#REF!</definedName>
    <definedName name="Proj_Details">#REF!</definedName>
    <definedName name="projects">#REF!</definedName>
    <definedName name="ProjLife">#REF!</definedName>
    <definedName name="qtr90_95">#REF!</definedName>
    <definedName name="Query_Max_Year">MAX(#REF!)</definedName>
    <definedName name="Query_Min_Year">MIN(#REF!)</definedName>
    <definedName name="Ref_Capacity">#REF!</definedName>
    <definedName name="Refinery_Type_Lookup">#REF!</definedName>
    <definedName name="Regions">#REF!</definedName>
    <definedName name="reporter_trade">_xlfn.LAMBDA(_xlpm.importer,_xlpm.exporter,_xlpm.period,SUMIFS(#REF!,#REF!,_xlpm.period,#REF!,"Import",#REF!,_xlpm.importer,#REF!,_xlpm.exporter))</definedName>
    <definedName name="RFO">#REF!</definedName>
    <definedName name="RFOTON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TRUE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tterdam292">#REF!</definedName>
    <definedName name="Russia">#REF!</definedName>
    <definedName name="S_Month_Data">#REF!</definedName>
    <definedName name="sample">#REF!</definedName>
    <definedName name="SAPBEXrevision" hidden="1">1</definedName>
    <definedName name="SAPBEXsysID" hidden="1">"BWP"</definedName>
    <definedName name="SAPBEXwbID" hidden="1">"3MZNM3C23R632FL2DM4ZHU39I"</definedName>
    <definedName name="sd" hidden="1">{"PAGE1",#N/A,FALSE,"YIELDS";"PAGE2",#N/A,FALSE,"YIELDS";"PAGE3",#N/A,FALSE,"YIELDS"}</definedName>
    <definedName name="SheetName">#REF!</definedName>
    <definedName name="Small_Refinery_Type_Lookup">#REF!</definedName>
    <definedName name="Sportsman" hidden="1">#REF!</definedName>
    <definedName name="SpotOld">#REF!</definedName>
    <definedName name="SPSet">"current"</definedName>
    <definedName name="start_year">#REF!</definedName>
    <definedName name="Start10">#REF!</definedName>
    <definedName name="Start100">#REF!</definedName>
    <definedName name="Start101">#REF!</definedName>
    <definedName name="Start102">#REF!</definedName>
    <definedName name="Start103">#REF!</definedName>
    <definedName name="Start104">#REF!</definedName>
    <definedName name="Start105">#REF!</definedName>
    <definedName name="Start106">#REF!</definedName>
    <definedName name="Start107">#REF!</definedName>
    <definedName name="Start108">#REF!</definedName>
    <definedName name="Start109">#REF!</definedName>
    <definedName name="Start11">#REF!</definedName>
    <definedName name="Start110">#REF!</definedName>
    <definedName name="Start111">#REF!</definedName>
    <definedName name="Start112">#REF!</definedName>
    <definedName name="Start113">#REF!</definedName>
    <definedName name="Start114">#REF!</definedName>
    <definedName name="Start115">#REF!</definedName>
    <definedName name="Start116">#REF!</definedName>
    <definedName name="Start117">#REF!</definedName>
    <definedName name="Start118">#REF!</definedName>
    <definedName name="Start119">#REF!</definedName>
    <definedName name="Start12">#REF!</definedName>
    <definedName name="Start121">#REF!</definedName>
    <definedName name="Start122">#REF!</definedName>
    <definedName name="Start123">#REF!</definedName>
    <definedName name="Start124">#REF!</definedName>
    <definedName name="Start125">#REF!</definedName>
    <definedName name="Start126">#REF!</definedName>
    <definedName name="Start127">#REF!</definedName>
    <definedName name="Start128">#REF!</definedName>
    <definedName name="Start129">#REF!</definedName>
    <definedName name="Start13">#REF!</definedName>
    <definedName name="Start130">#REF!</definedName>
    <definedName name="Start131">#REF!</definedName>
    <definedName name="Start132">#REF!</definedName>
    <definedName name="Start133">#REF!</definedName>
    <definedName name="Start134">#REF!</definedName>
    <definedName name="Start135">#REF!</definedName>
    <definedName name="Start136">#REF!</definedName>
    <definedName name="Start137">#REF!</definedName>
    <definedName name="Start138">#REF!</definedName>
    <definedName name="Start139">#REF!</definedName>
    <definedName name="Start14">#REF!</definedName>
    <definedName name="Start140">#REF!</definedName>
    <definedName name="Start141">#REF!</definedName>
    <definedName name="Start142">#REF!</definedName>
    <definedName name="Start143">#REF!</definedName>
    <definedName name="Start144">#REF!</definedName>
    <definedName name="Start145">#REF!</definedName>
    <definedName name="Start146">#REF!</definedName>
    <definedName name="Start147">#REF!</definedName>
    <definedName name="Start148">#REF!</definedName>
    <definedName name="Start149">#REF!</definedName>
    <definedName name="Start15">#REF!</definedName>
    <definedName name="Start150">#REF!</definedName>
    <definedName name="Start155">#REF!</definedName>
    <definedName name="Start16">#REF!</definedName>
    <definedName name="Start17">#REF!</definedName>
    <definedName name="Start174">#REF!</definedName>
    <definedName name="Start18">#REF!</definedName>
    <definedName name="Start186">#REF!</definedName>
    <definedName name="Start19">#REF!</definedName>
    <definedName name="Start196">#REF!</definedName>
    <definedName name="Start2">#REF!</definedName>
    <definedName name="Start20">#REF!</definedName>
    <definedName name="Start21">#REF!</definedName>
    <definedName name="Start22">#REF!</definedName>
    <definedName name="Start23">#REF!</definedName>
    <definedName name="Start24">#REF!</definedName>
    <definedName name="Start25">#REF!</definedName>
    <definedName name="Start26">#REF!</definedName>
    <definedName name="Start27">#REF!</definedName>
    <definedName name="Start28">#REF!</definedName>
    <definedName name="Start29">#REF!</definedName>
    <definedName name="Start3">#REF!</definedName>
    <definedName name="Start30">#REF!</definedName>
    <definedName name="Start31">#REF!</definedName>
    <definedName name="Start32">#REF!</definedName>
    <definedName name="Start33">#REF!</definedName>
    <definedName name="Start34">#REF!</definedName>
    <definedName name="Start35">#REF!</definedName>
    <definedName name="Start36">#REF!</definedName>
    <definedName name="Start37">#REF!</definedName>
    <definedName name="Start38">#REF!</definedName>
    <definedName name="Start39">#REF!</definedName>
    <definedName name="Start4">#REF!</definedName>
    <definedName name="Start40">#REF!</definedName>
    <definedName name="Start41">#REF!</definedName>
    <definedName name="Start42">#REF!</definedName>
    <definedName name="Start43">#REF!</definedName>
    <definedName name="Start44">#REF!</definedName>
    <definedName name="Start45">#REF!</definedName>
    <definedName name="Start46">#REF!</definedName>
    <definedName name="Start47">#REF!</definedName>
    <definedName name="Start48">#REF!</definedName>
    <definedName name="Start49">#REF!</definedName>
    <definedName name="Start5">#REF!</definedName>
    <definedName name="Start50">#REF!</definedName>
    <definedName name="Start51">#REF!</definedName>
    <definedName name="Start52">#REF!</definedName>
    <definedName name="Start53">#REF!</definedName>
    <definedName name="Start54">#REF!</definedName>
    <definedName name="Start55">#REF!</definedName>
    <definedName name="Start56">#REF!</definedName>
    <definedName name="Start57">#REF!</definedName>
    <definedName name="Start58">#REF!</definedName>
    <definedName name="Start59">#REF!</definedName>
    <definedName name="Start6">#REF!</definedName>
    <definedName name="Start60">#REF!</definedName>
    <definedName name="Start61">#REF!</definedName>
    <definedName name="Start62">#REF!</definedName>
    <definedName name="Start63">#REF!</definedName>
    <definedName name="Start64">#REF!</definedName>
    <definedName name="Start65">#REF!</definedName>
    <definedName name="Start66">#REF!</definedName>
    <definedName name="Start67">#REF!</definedName>
    <definedName name="Start68">#REF!</definedName>
    <definedName name="Start69">#REF!</definedName>
    <definedName name="Start7">#REF!</definedName>
    <definedName name="Start70">#REF!</definedName>
    <definedName name="Start71">#REF!</definedName>
    <definedName name="Start72">#REF!</definedName>
    <definedName name="Start73">#REF!</definedName>
    <definedName name="Start74">#REF!</definedName>
    <definedName name="Start75">#REF!</definedName>
    <definedName name="Start76">#REF!</definedName>
    <definedName name="Start77">#REF!</definedName>
    <definedName name="Start78">#REF!</definedName>
    <definedName name="Start79">#REF!</definedName>
    <definedName name="Start8">#REF!</definedName>
    <definedName name="Start80">#REF!</definedName>
    <definedName name="Start81">#REF!</definedName>
    <definedName name="Start82">#REF!</definedName>
    <definedName name="Start83">#REF!</definedName>
    <definedName name="Start84">#REF!</definedName>
    <definedName name="Start85">#REF!</definedName>
    <definedName name="Start86">#REF!</definedName>
    <definedName name="Start87">#REF!</definedName>
    <definedName name="Start88">#REF!</definedName>
    <definedName name="Start89">#REF!</definedName>
    <definedName name="Start9">#REF!</definedName>
    <definedName name="Start90">#REF!</definedName>
    <definedName name="Start91">#REF!</definedName>
    <definedName name="Start92">#REF!</definedName>
    <definedName name="Start93">#REF!</definedName>
    <definedName name="Start94">#REF!</definedName>
    <definedName name="Start95">#REF!</definedName>
    <definedName name="Start96">#REF!</definedName>
    <definedName name="Start97">#REF!</definedName>
    <definedName name="Start98">#REF!</definedName>
    <definedName name="Start99">#REF!</definedName>
    <definedName name="steven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STGASTON">#REF!</definedName>
    <definedName name="Summ_Table">#REF!</definedName>
    <definedName name="Summ_Table_GD">#REF!</definedName>
    <definedName name="Summ_Table_Header">#REF!</definedName>
    <definedName name="SUMMARY">#REF!</definedName>
    <definedName name="SYearData">#REF!</definedName>
    <definedName name="TA">#REF!</definedName>
    <definedName name="TABLE">#REF!</definedName>
    <definedName name="Table_Summary" hidden="1">{"PAGE1",#N/A,FALSE,"YIELDS";"PAGE2",#N/A,FALSE,"YIELDS";"PAGE3",#N/A,FALSE,"YIELDS"}</definedName>
    <definedName name="TABLEI">#REF!</definedName>
    <definedName name="TABLEII">#REF!</definedName>
    <definedName name="TABLEIII">#REF!</definedName>
    <definedName name="TABLEIV">#REF!</definedName>
    <definedName name="tagggg" hidden="1">#REF!</definedName>
    <definedName name="TB">#REF!</definedName>
    <definedName name="TCold">#REF!</definedName>
    <definedName name="test" hidden="1">{"PAGE1",#N/A,FALSE,"YIELDS";"PAGE2",#N/A,FALSE,"YIELDS";"PAGE3",#N/A,FALSE,"YIELDS"}</definedName>
    <definedName name="test.4" hidden="1">{"Padd I to III",#N/A,FALSE,"REFINERY";"Padd IV to US",#N/A,FALSE,"REFINERY";"Crude Balance I",#N/A,FALSE,"REFINERY";"Crude Balance II",#N/A,FALSE,"REFINERY"}</definedName>
    <definedName name="test.all" hidden="1">{"PAGE1",#N/A,FALSE,"YIELDS";"PAGE2",#N/A,FALSE,"YIELDS";"PAGE3",#N/A,FALSE,"YIELDS"}</definedName>
    <definedName name="test3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test5" hidden="1">{"Current",#N/A,FALSE,"Currentcal";"Current B",#N/A,FALSE,"Currentcal";"Constant",#N/A,FALSE,"Constantcal";"Constant B",#N/A,FALSE,"Constantcal"}</definedName>
    <definedName name="three" hidden="1">{"midlpg1",#N/A,FALSE,"MIDEAST LPG";"midlpg2",#N/A,FALSE,"MIDEAST LPG"}</definedName>
    <definedName name="time" hidden="1">{"japcurrent1",#N/A,FALSE,"JAPAN PRODUCTS";"japcurrent2",#N/A,FALSE,"JAPAN PRODUCTS"}</definedName>
    <definedName name="Time_frame">#REF!</definedName>
    <definedName name="toc_toe">#REF!</definedName>
    <definedName name="toe_toc">#REF!</definedName>
    <definedName name="Top_Left">#REF!</definedName>
    <definedName name="Top_Right">#REF!</definedName>
    <definedName name="two" hidden="1">{"japlpg1",#N/A,FALSE,"JAPAN LPG ";"japllpg2",#N/A,FALSE,"JAPAN LPG "}</definedName>
    <definedName name="txtBoxNotes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AXTON">#REF!</definedName>
    <definedName name="WBBLS_">#REF!</definedName>
    <definedName name="WBMIN">#REF!</definedName>
    <definedName name="WECO">#REF!</definedName>
    <definedName name="WGAS_">#REF!</definedName>
    <definedName name="WGASDEM">#REF!</definedName>
    <definedName name="WGASGRO">#REF!</definedName>
    <definedName name="WHITETON">#REF!</definedName>
    <definedName name="WHYD_">#REF!</definedName>
    <definedName name="WHYDDEM">#REF!</definedName>
    <definedName name="WHYDGRO">#REF!</definedName>
    <definedName name="WNUC_">#REF!</definedName>
    <definedName name="WNUCDEM">#REF!</definedName>
    <definedName name="WNUCGRO">#REF!</definedName>
    <definedName name="WPET_">#REF!</definedName>
    <definedName name="WPETBBLS">#REF!</definedName>
    <definedName name="WPETDEM">#REF!</definedName>
    <definedName name="WPETGRO">#REF!</definedName>
    <definedName name="wrn.ALL." hidden="1">{"PAGE1",#N/A,FALSE,"YIELDS";"PAGE2",#N/A,FALSE,"YIELDS";"PAGE3",#N/A,FALSE,"YIELDS"}</definedName>
    <definedName name="wrn.charts." hidden="1">{"newyork",#N/A,FALSE,"Plots-Annually";"florida",#N/A,FALSE,"Plots-Annually"}</definedName>
    <definedName name="wrn.condensate." hidden="1">{"condensate",#N/A,FALSE,"CNTRYTYPE"}</definedName>
    <definedName name="wrn.crude." hidden="1">{"Padd1crd",#N/A,FALSE,"REFINERY";"padd2crd",#N/A,FALSE,"REFINERY";"padd3crd",#N/A,FALSE,"REFINERY";"padd4crd",#N/A,FALSE,"REFINERY";"padd5crd",#N/A,FALSE,"REFINERY"}</definedName>
    <definedName name="wrn.CRUDE1." hidden="1">{"int85",#N/A,FALSE,"CRUDE";"crude2000",#N/A,FALSE,"CRUDE";"int98",#N/A,FALSE,"CRUDE";"usng85",#N/A,FALSE,"u.s. Natural Gas";"usng2000",#N/A,FALSE,"u.s. Natural Gas";"sing85",#N/A,FALSE,"SING MARG";"Sing2000",#N/A,FALSE,"SING MARG";"sing10",#N/A,FALSE,"SING MARG";"west2000",#N/A,FALSE,"europe LPG";"WEST85",#N/A,FALSE,"europe LPG";"Japan2000",#N/A,FALSE,"JAPAN PRODUCTS";"japan85",#N/A,FALSE,"JAPAN PRODUCTS";"jlpg2000",#N/A,FALSE,"JAPAN LPG ";"Jlpg85",#N/A,FALSE,"JAPAN LPG ";"ME85",#N/A,FALSE,"MIDEAST LPG";"me2000",#N/A,FALSE,"MIDEAST LPG";"MD85",#N/A,FALSE,"MED MARGINS";"MD2000",#N/A,FALSE,"MED MARGINS";"md98",#N/A,FALSE,"MED MARGINS";"MD85",#N/A,FALSE,"ARAB GULF PRODUCTS";"MD2000",#N/A,FALSE,"ARAB GULF PRODUCTS";"ngl85",#N/A,FALSE,"u.s. NGL";"ngl2000",#N/A,FALSE,"u.s. NGL";"nw85",#N/A,FALSE,"NWE MARGINS";"nw2000",#N/A,FALSE,"NWE MARGINS";"NW98",#N/A,FALSE,"NWE MARGINS";"US85",#N/A,FALSE,"US PRODUCTS";"US98",#N/A,FALSE,"US PRODUCTS";"us2000",#N/A,FALSE,"US PRODUCTS"}</definedName>
    <definedName name="wrn.DELTA." hidden="1">{"delta II 1",#N/A,FALSE,"DELTA";"delta II 2",#N/A,FALSE,"DELTA";"delta II 3",#N/A,FALSE,"DELTA"}</definedName>
    <definedName name="wrn.DELVTAB." hidden="1">{"TOPOFCIF",#N/A,FALSE,"FREIGHT -DEST. CALCULATIONS";"CIFROUTE",#N/A,FALSE,"FREIGHT -DEST. CALCULATIONS";"TKRCIF",#N/A,FALSE,"FREIGHT -DEST. CALCULATIONS";"TABLEI",#N/A,FALSE,"FREIGHT -DEST. CALCULATIONS";"TABLEII",#N/A,FALSE,"FREIGHT -DEST. CALCULATIONS";"TABLEIII",#N/A,FALSE,"FREIGHT -DEST. CALCULATIONS";"TABLEIV",#N/A,FALSE,"FREIGHT -DEST. CALCULATIONS";"TABLEV",#N/A,FALSE,"FREIGHT -DEST. CALCULATIONS"}</definedName>
    <definedName name="wrn.Demand._.MT." hidden="1">{"Demand by Product MT",#N/A,TRUE,"PRDEMPOR";"Demand by Sector MT",#N/A,TRUE,"PRDEMPOR"}</definedName>
    <definedName name="wrn.Demand._.MTOE." hidden="1">{"Demand by Product MTOE",#N/A,TRUE,"PRDEMPOR";"Demand by Sector MTOE",#N/A,TRUE,"PRDEMPOR"}</definedName>
    <definedName name="wrn.FOBCALC." hidden="1">{"TOPOFFOB",#N/A,FALSE,"FREIGHT - FOB CALCULATIONS";"TABLEI",#N/A,FALSE,"FREIGHT - FOB CALCULATIONS";"TNKRFOB",#N/A,FALSE,"FREIGHT - FOB CALCULATIONS";"TABLEII",#N/A,FALSE,"FREIGHT - FOB CALCULATIONS";"TABLEIII",#N/A,FALSE,"FREIGHT - FOB CALCULATIONS";"TABLEIV",#N/A,FALSE,"FREIGHT - FOB CALCULATIONS";"TABLEV",#N/A,FALSE,"FREIGHT - FOB CALCULATIONS";"TABLEVI",#N/A,FALSE,"FREIGHT - FOB CALCULATIONS";"TABLEVII",#N/A,FALSE,"FREIGHT - FOB CALCULATIONS";"TABLEIX",#N/A,FALSE,"FREIGHT - FOB CALCULATIONS";"TABLEVIII",#N/A,FALSE,"FREIGHT - FOB CALCULATIONS";"TABLEX",#N/A,FALSE,"FREIGHT - FOB CALCULATIONS";"TABLEXI",#N/A,FALSE,"FREIGHT - FOB CALCULATIONS";"TABLEXII",#N/A,FALSE,"FREIGHT - FOB CALCULATIONS";"TABLEXIII",#N/A,FALSE,"FREIGHT - FOB CALCULATIONS"}</definedName>
    <definedName name="wrn.GASCOND." hidden="1">{"GASCOND",#N/A,FALSE,"CONDENSATE";"CRUDECOND",#N/A,FALSE,"CONDENSATE";"TOTALCOND",#N/A,FALSE,"CONDENSATE"}</definedName>
    <definedName name="wrn.GASODEM." hidden="1">{"monthly",#N/A,FALSE,"GASODEM";"qtr to yr",#N/A,FALSE,"GASODEM"}</definedName>
    <definedName name="wrn.heavy." hidden="1">{"heavy",#N/A,FALSE,"CNTRYTYPE"}</definedName>
    <definedName name="wrn.Input._.and._.Growths." hidden="1">{"Product Demands Input",#N/A,TRUE,"PRDEMPOR";"Annual Growth Rates",#N/A,TRUE,"PRDEMPOR"}</definedName>
    <definedName name="wrn.light._.sour." hidden="1">{"light sour",#N/A,FALSE,"CNTRYTYPE"}</definedName>
    <definedName name="wrn.natgastab." hidden="1">{"natgas1",#N/A,FALSE,"u.s. Natural Gas";"natgas2",#N/A,FALSE,"u.s. Natural Gas"}</definedName>
    <definedName name="wrn.New._.York." hidden="1">{"NY PRICES",#N/A,FALSE,"CURRENT";"NY PRICES B",#N/A,FALSE,"CURRENT";"NY PRICES",#N/A,FALSE,"CONSTANT";"NY PRICES B",#N/A,FALSE,"CONSTANT"}</definedName>
    <definedName name="wrn.Print._.NWE._.Condensates." hidden="1">{"NWE Condensate 01",#N/A,FALSE,"Plots Condensates (NWE)";"NWE Condensate 02",#N/A,FALSE,"Plots Condensates (NWE)";"NWE Condensate 03",#N/A,FALSE,"Plots Condensates (NWE)"}</definedName>
    <definedName name="wrn.Print._.Plots._.Summary." hidden="1">{"Summary 01",#N/A,FALSE,"Plots Summary";"Summary 02",#N/A,FALSE,"Plots Summary";"Summary 03",#N/A,FALSE,"Plots Summary";"Summary 04",#N/A,FALSE,"Plots Summary";"Summary 05",#N/A,FALSE,"Plots Summary";"Summary 06",#N/A,FALSE,"Plots Summary";"Summary 07",#N/A,FALSE,"Plots Summary"}</definedName>
    <definedName name="wrn.Print._.Sing._.Condensates." hidden="1">{"Sing Condensate 01",#N/A,FALSE,"Plots Condensates (Singapore)";"Sing Condensate 02",#N/A,FALSE,"Plots Condensates (Singapore)";"Sing Condensate 03",#N/A,FALSE,"Plots Condensates (Singapore)";"Sing Condensate 04",#N/A,FALSE,"Plots Condensates (Singapore)";"Sing Condensate 05",#N/A,FALSE,"Plots Condensates (Singapore)";"Sing Condensate 06",#N/A,FALSE,"Plots Condensates (Singapore)"}</definedName>
    <definedName name="wrn.Print._.USGC._.Condensates." hidden="1">{"USGC Condensate 01",#N/A,FALSE,"Plots Condensates (USGC)";"USGC Condensate 02",#N/A,FALSE,"Plots Condensates (USGC)";"USGC Condensate 03",#N/A,FALSE,"Plots Condensates (USGC)";"USGC Condensate 04",#N/A,FALSE,"Plots Condensates (USGC)";"USGC Condensate 05",#N/A,FALSE,"Plots Condensates (USGC)";"USGC Condensate 06",#N/A,FALSE,"Plots Condensates (USGC)";"USGC Condensate 07",#N/A,FALSE,"Plots Condensates (USGC)"}</definedName>
    <definedName name="wrn.PRODTABLES." hidden="1">{"GAS1",#N/A,FALSE,"LTSUPDEM";"GAS2",#N/A,FALSE,"LTSUPDEM";"RFG1",#N/A,FALSE,"LTSUPDEM";"RFG2",#N/A,FALSE,"LTSUPDEM";"OXY1",#N/A,FALSE,"LTSUPDEM";"OXY2",#N/A,FALSE,"LTSUPDEM";"OTHERGAS1",#N/A,FALSE,"LTSUPDEM";"OTHERGAS2",#N/A,FALSE,"LTSUPDEM";"JETKERO1",#N/A,FALSE,"LTSUPDEM";"JETKERO2",#N/A,FALSE,"LTSUPDEM";"JETNAPH1",#N/A,FALSE,"LTSUPDEM";"JETNAPH2",#N/A,FALSE,"LTSUPDEM";"DIESEL1",#N/A,FALSE,"LTSUPDEM";"DIESEL2",#N/A,FALSE,"LTSUPDEM";"LSDIESEL1",#N/A,FALSE,"LTSUPDEM";"LSDIESEL2",#N/A,FALSE,"LTSUPDEM";"STDDIESEL1",#N/A,FALSE,"LTSUPDEM";"STDDIESEL2",#N/A,FALSE,"LTSUPDEM";"RESID1",#N/A,FALSE,"LTSUPDEM";"RESID2",#N/A,FALSE,"LTSUPDEM";"AVGAS1",#N/A,FALSE,"LTSUPDEM";"AVGAS2",#N/A,FALSE,"LTSUPDEM";"ASPHALT1",#N/A,FALSE,"LTSUPDEM";"ASPHALT2",#N/A,FALSE,"LTSUPDEM";"COKE1",#N/A,FALSE,"LTSUPDEM";"COKE2",#N/A,FALSE,"LTSUPDEM"}</definedName>
    <definedName name="wrn.REFINERY." hidden="1">{"Padd I to III",#N/A,FALSE,"REFINERY";"Padd IV to US",#N/A,FALSE,"REFINERY";"Crude Balance I",#N/A,FALSE,"REFINERY";"Crude Balance II",#N/A,FALSE,"REFINERY"}</definedName>
    <definedName name="wrn.region." hidden="1">{"Region",#N/A,FALSE,"CNTRYTYPE"}</definedName>
    <definedName name="wrn.report." hidden="1">{#N/A,#N/A,FALSE,"Summary_netback";#N/A,#N/A,FALSE,"Summary_value"}</definedName>
    <definedName name="wrn.SAMPLE." hidden="1">{#N/A,#N/A,TRUE,"Crude";#N/A,#N/A,TRUE,"Products"}</definedName>
    <definedName name="wrn.SINGPROD." hidden="1">{"singcurrent1",#N/A,FALSE,"SING MARG";"SINGCURRENT2",#N/A,FALSE,"SING MARG";"SINGCONSTANT",#N/A,FALSE,"SING MARG"}</definedName>
    <definedName name="wrn.SUBREGION." hidden="1">{"SUBREGION",#N/A,FALSE,"CNTRYTYPE"}</definedName>
    <definedName name="wrn.Summary." hidden="1">{"Growth Supply Demand",#N/A,TRUE,"Summary";"Primary Energy Balance",#N/A,TRUE,"Summary"}</definedName>
    <definedName name="wrn.sweet." hidden="1">{"sweet",#N/A,FALSE,"CNTRYTYPE"}</definedName>
    <definedName name="wrn.tableeurlpg." hidden="1">{"eurlpg1",#N/A,FALSE,"europe LPG";"eurlpg2",#N/A,FALSE,"europe LPG"}</definedName>
    <definedName name="wrn.tablejap." hidden="1">{"japcurrent1",#N/A,FALSE,"JAPAN PRODUCTS";"japcurrent2",#N/A,FALSE,"JAPAN PRODUCTS"}</definedName>
    <definedName name="wrn.tablejaplpg." hidden="1">{"japlpg1",#N/A,FALSE,"JAPAN LPG ";"japllpg2",#N/A,FALSE,"JAPAN LPG "}</definedName>
    <definedName name="wrn.tablemeastlpg." hidden="1">{"midlpg1",#N/A,FALSE,"MIDEAST LPG";"midlpg2",#N/A,FALSE,"MIDEAST LPG"}</definedName>
    <definedName name="wrn.TABLEMED." hidden="1">{"medcurrent1",#N/A,FALSE,"MED MARGINS";"medcurrent2",#N/A,FALSE,"MED MARGINS";"medconstant",#N/A,FALSE,"MED MARGINS"}</definedName>
    <definedName name="wrn.tablemideast." hidden="1">{"midcurrent1",#N/A,FALSE,"ARAB GULF PRODUCTS";"midcurrent2",#N/A,FALSE,"ARAB GULF PRODUCTS"}</definedName>
    <definedName name="wrn.tablengl." hidden="1">{"ngl1",#N/A,FALSE,"u.s. NGL";"ngl2",#N/A,FALSE,"u.s. NGL"}</definedName>
    <definedName name="wrn.TABLENWE." hidden="1">{"nwecurrent1",#N/A,FALSE,"NWE MARGINS";"nwecurrent2",#N/A,FALSE,"NWE MARGINS";"nweconstant",#N/A,FALSE,"NWE MARGINS"}</definedName>
    <definedName name="wrn.tableprod." hidden="1">{"current1",#N/A,FALSE,"US PRODUCTS";"current2",#N/A,FALSE,"US PRODUCTS";"constant",#N/A,FALSE,"US PRODUCTS"}</definedName>
    <definedName name="wrn.Tables." hidden="1">{"Current",#N/A,FALSE,"Currentcal";"Current B",#N/A,FALSE,"Currentcal";"Constant",#N/A,FALSE,"Constantcal";"Constant B",#N/A,FALSE,"Constantcal"}</definedName>
    <definedName name="wrn.total." hidden="1">{"total",#N/A,FALSE,"CNTRYTYPE"}</definedName>
    <definedName name="wrn2.all" hidden="1">{"PAGE1",#N/A,FALSE,"YIELDS";"PAGE2",#N/A,FALSE,"YIELDS";"PAGE3",#N/A,FALSE,"YIELDS"}</definedName>
    <definedName name="wrn2.all." hidden="1">{"PAGE1",#N/A,FALSE,"YIELDS";"PAGE2",#N/A,FALSE,"YIELDS";"PAGE3",#N/A,FALSE,"YIELDS"}</definedName>
    <definedName name="wrn2.gasodem." hidden="1">{"monthly",#N/A,FALSE,"GASODEM";"qtr to yr",#N/A,FALSE,"GASODEM"}</definedName>
    <definedName name="WSOL_">#REF!</definedName>
    <definedName name="WSOLDEM">#REF!</definedName>
    <definedName name="WSOLGRO">#REF!</definedName>
    <definedName name="WTOT_">#REF!</definedName>
    <definedName name="WTOTDEM">#REF!</definedName>
    <definedName name="WTOTGRO">#REF!</definedName>
    <definedName name="x" hidden="1">{"Capacities",#N/A,FALSE,"HOUSTON"}</definedName>
    <definedName name="xxx">#REF!</definedName>
    <definedName name="xxxxx" hidden="1">{"monthly",#N/A,FALSE,"GASODEM";"qtr to yr",#N/A,FALSE,"GASODEM"}</definedName>
    <definedName name="y" hidden="1">{"Diesel",#N/A,FALSE,"HOUSTON"}</definedName>
    <definedName name="Year_History">#REF!</definedName>
    <definedName name="year1">#REF!</definedName>
    <definedName name="year2">#REF!</definedName>
    <definedName name="year3">#REF!</definedName>
    <definedName name="year4">#REF!</definedName>
    <definedName name="year5">#REF!</definedName>
    <definedName name="YearData">#REF!</definedName>
    <definedName name="yr87_2010">#REF!</definedName>
    <definedName name="yr87_2015">#REF!</definedName>
    <definedName name="z" hidden="1">{"Fuel Oil",#N/A,FALSE,"HOUSTON";"Fuel Oil BPD",#N/A,FALSE,"BPD"}</definedName>
    <definedName name="ZX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" i="11" l="1"/>
  <c r="P20" i="11" s="1"/>
  <c r="P21" i="11" s="1"/>
  <c r="P22" i="11" s="1"/>
  <c r="P23" i="11" s="1"/>
  <c r="O19" i="11"/>
  <c r="O20" i="11" s="1"/>
  <c r="O21" i="11" s="1"/>
  <c r="O22" i="11" s="1"/>
  <c r="O23" i="11" s="1"/>
  <c r="N19" i="11"/>
  <c r="N20" i="11" s="1"/>
  <c r="N21" i="11" s="1"/>
  <c r="N22" i="11" s="1"/>
  <c r="N23" i="11" s="1"/>
  <c r="P18" i="11"/>
  <c r="O18" i="11"/>
  <c r="N18" i="11"/>
  <c r="M18" i="11"/>
  <c r="M19" i="11" s="1"/>
  <c r="M20" i="11" s="1"/>
  <c r="M21" i="11" s="1"/>
  <c r="M22" i="11" s="1"/>
  <c r="M23" i="11" s="1"/>
  <c r="L18" i="11"/>
  <c r="L19" i="11" s="1"/>
  <c r="L20" i="11" s="1"/>
  <c r="L21" i="11" s="1"/>
  <c r="L22" i="11" s="1"/>
  <c r="L23" i="11" s="1"/>
  <c r="E20" i="11"/>
  <c r="E21" i="11" s="1"/>
  <c r="E22" i="11" s="1"/>
  <c r="E23" i="11" s="1"/>
  <c r="J19" i="11"/>
  <c r="J20" i="11" s="1"/>
  <c r="J21" i="11" s="1"/>
  <c r="J22" i="11" s="1"/>
  <c r="J23" i="11" s="1"/>
  <c r="I19" i="11"/>
  <c r="I20" i="11" s="1"/>
  <c r="I21" i="11" s="1"/>
  <c r="I22" i="11" s="1"/>
  <c r="I23" i="11" s="1"/>
  <c r="H19" i="11"/>
  <c r="H20" i="11" s="1"/>
  <c r="H21" i="11" s="1"/>
  <c r="H22" i="11" s="1"/>
  <c r="H23" i="11" s="1"/>
  <c r="G19" i="11"/>
  <c r="G20" i="11" s="1"/>
  <c r="G21" i="11" s="1"/>
  <c r="G22" i="11" s="1"/>
  <c r="G23" i="11" s="1"/>
  <c r="E19" i="11"/>
  <c r="J18" i="11"/>
  <c r="I18" i="11"/>
  <c r="H18" i="11"/>
  <c r="G18" i="11"/>
  <c r="F18" i="11"/>
  <c r="F19" i="11" s="1"/>
  <c r="F20" i="11" s="1"/>
  <c r="F21" i="11" s="1"/>
  <c r="F22" i="11" s="1"/>
  <c r="F23" i="11" s="1"/>
  <c r="E18" i="11"/>
  <c r="H425" i="11"/>
  <c r="E420" i="11"/>
  <c r="J406" i="11"/>
  <c r="I396" i="11"/>
  <c r="F396" i="11"/>
  <c r="E396" i="11"/>
  <c r="F384" i="11"/>
  <c r="J372" i="11"/>
  <c r="I372" i="11"/>
  <c r="E372" i="11"/>
  <c r="I334" i="11"/>
  <c r="I333" i="11"/>
  <c r="J332" i="11"/>
  <c r="I332" i="11"/>
  <c r="G330" i="11"/>
  <c r="I326" i="11"/>
  <c r="I325" i="11"/>
  <c r="B347" i="11"/>
  <c r="B359" i="11" s="1"/>
  <c r="C337" i="11"/>
  <c r="C349" i="11" s="1"/>
  <c r="C361" i="11" s="1"/>
  <c r="C373" i="11" s="1"/>
  <c r="C385" i="11" s="1"/>
  <c r="C397" i="11" s="1"/>
  <c r="C409" i="11" s="1"/>
  <c r="C421" i="11" s="1"/>
  <c r="C433" i="11" s="1"/>
  <c r="D337" i="11"/>
  <c r="D349" i="11" s="1"/>
  <c r="D361" i="11" s="1"/>
  <c r="D373" i="11" s="1"/>
  <c r="D385" i="11" s="1"/>
  <c r="D397" i="11" s="1"/>
  <c r="D409" i="11" s="1"/>
  <c r="D421" i="11" s="1"/>
  <c r="D433" i="11" s="1"/>
  <c r="B348" i="11"/>
  <c r="C338" i="11"/>
  <c r="C350" i="11" s="1"/>
  <c r="C362" i="11" s="1"/>
  <c r="C374" i="11" s="1"/>
  <c r="C386" i="11" s="1"/>
  <c r="C398" i="11" s="1"/>
  <c r="C410" i="11" s="1"/>
  <c r="C422" i="11" s="1"/>
  <c r="C434" i="11" s="1"/>
  <c r="D338" i="11"/>
  <c r="B349" i="11"/>
  <c r="J339" i="11" s="1"/>
  <c r="C339" i="11"/>
  <c r="C351" i="11" s="1"/>
  <c r="C363" i="11" s="1"/>
  <c r="C375" i="11" s="1"/>
  <c r="C387" i="11" s="1"/>
  <c r="C399" i="11" s="1"/>
  <c r="C411" i="11" s="1"/>
  <c r="C423" i="11" s="1"/>
  <c r="C435" i="11" s="1"/>
  <c r="D339" i="11"/>
  <c r="D351" i="11" s="1"/>
  <c r="D363" i="11" s="1"/>
  <c r="D375" i="11" s="1"/>
  <c r="D387" i="11" s="1"/>
  <c r="D399" i="11" s="1"/>
  <c r="D411" i="11" s="1"/>
  <c r="D423" i="11" s="1"/>
  <c r="D435" i="11" s="1"/>
  <c r="B350" i="11"/>
  <c r="B362" i="11" s="1"/>
  <c r="B374" i="11" s="1"/>
  <c r="B386" i="11" s="1"/>
  <c r="B398" i="11" s="1"/>
  <c r="B410" i="11" s="1"/>
  <c r="B422" i="11" s="1"/>
  <c r="B434" i="11" s="1"/>
  <c r="B446" i="11" s="1"/>
  <c r="J436" i="11" s="1"/>
  <c r="C340" i="11"/>
  <c r="C352" i="11" s="1"/>
  <c r="C364" i="11" s="1"/>
  <c r="C376" i="11" s="1"/>
  <c r="C388" i="11" s="1"/>
  <c r="C400" i="11" s="1"/>
  <c r="C412" i="11" s="1"/>
  <c r="C424" i="11" s="1"/>
  <c r="C436" i="11" s="1"/>
  <c r="D340" i="11"/>
  <c r="D352" i="11" s="1"/>
  <c r="D364" i="11" s="1"/>
  <c r="D376" i="11" s="1"/>
  <c r="D388" i="11" s="1"/>
  <c r="D400" i="11" s="1"/>
  <c r="D412" i="11" s="1"/>
  <c r="D424" i="11" s="1"/>
  <c r="D436" i="11" s="1"/>
  <c r="B351" i="11"/>
  <c r="B363" i="11" s="1"/>
  <c r="B375" i="11" s="1"/>
  <c r="B387" i="11" s="1"/>
  <c r="B399" i="11" s="1"/>
  <c r="B411" i="11" s="1"/>
  <c r="B423" i="11" s="1"/>
  <c r="B435" i="11" s="1"/>
  <c r="B447" i="11" s="1"/>
  <c r="J437" i="11" s="1"/>
  <c r="C341" i="11"/>
  <c r="C353" i="11" s="1"/>
  <c r="C365" i="11" s="1"/>
  <c r="C377" i="11" s="1"/>
  <c r="C389" i="11" s="1"/>
  <c r="C401" i="11" s="1"/>
  <c r="C413" i="11" s="1"/>
  <c r="C425" i="11" s="1"/>
  <c r="C437" i="11" s="1"/>
  <c r="D341" i="11"/>
  <c r="B352" i="11"/>
  <c r="C342" i="11"/>
  <c r="C354" i="11" s="1"/>
  <c r="C366" i="11" s="1"/>
  <c r="C378" i="11" s="1"/>
  <c r="C390" i="11" s="1"/>
  <c r="C402" i="11" s="1"/>
  <c r="C414" i="11" s="1"/>
  <c r="C426" i="11" s="1"/>
  <c r="C438" i="11" s="1"/>
  <c r="D342" i="11"/>
  <c r="D354" i="11" s="1"/>
  <c r="D366" i="11" s="1"/>
  <c r="D378" i="11" s="1"/>
  <c r="D390" i="11" s="1"/>
  <c r="D402" i="11" s="1"/>
  <c r="D414" i="11" s="1"/>
  <c r="D426" i="11" s="1"/>
  <c r="D438" i="11" s="1"/>
  <c r="B353" i="11"/>
  <c r="C343" i="11"/>
  <c r="C355" i="11" s="1"/>
  <c r="C367" i="11" s="1"/>
  <c r="C379" i="11" s="1"/>
  <c r="C391" i="11" s="1"/>
  <c r="C403" i="11" s="1"/>
  <c r="C415" i="11" s="1"/>
  <c r="C427" i="11" s="1"/>
  <c r="C439" i="11" s="1"/>
  <c r="D343" i="11"/>
  <c r="D355" i="11" s="1"/>
  <c r="D367" i="11" s="1"/>
  <c r="D379" i="11" s="1"/>
  <c r="D391" i="11" s="1"/>
  <c r="D403" i="11" s="1"/>
  <c r="D415" i="11" s="1"/>
  <c r="D427" i="11" s="1"/>
  <c r="D439" i="11" s="1"/>
  <c r="B354" i="11"/>
  <c r="B366" i="11" s="1"/>
  <c r="B378" i="11" s="1"/>
  <c r="B390" i="11" s="1"/>
  <c r="B402" i="11" s="1"/>
  <c r="B414" i="11" s="1"/>
  <c r="B426" i="11" s="1"/>
  <c r="B438" i="11" s="1"/>
  <c r="B450" i="11" s="1"/>
  <c r="J440" i="11" s="1"/>
  <c r="C344" i="11"/>
  <c r="C356" i="11" s="1"/>
  <c r="C368" i="11" s="1"/>
  <c r="C380" i="11" s="1"/>
  <c r="C392" i="11" s="1"/>
  <c r="C404" i="11" s="1"/>
  <c r="C416" i="11" s="1"/>
  <c r="C428" i="11" s="1"/>
  <c r="C440" i="11" s="1"/>
  <c r="D344" i="11"/>
  <c r="D356" i="11" s="1"/>
  <c r="D368" i="11" s="1"/>
  <c r="D380" i="11" s="1"/>
  <c r="D392" i="11" s="1"/>
  <c r="D404" i="11" s="1"/>
  <c r="D416" i="11" s="1"/>
  <c r="D428" i="11" s="1"/>
  <c r="D440" i="11" s="1"/>
  <c r="B355" i="11"/>
  <c r="B367" i="11" s="1"/>
  <c r="B379" i="11" s="1"/>
  <c r="B391" i="11" s="1"/>
  <c r="B403" i="11" s="1"/>
  <c r="B415" i="11" s="1"/>
  <c r="B427" i="11" s="1"/>
  <c r="B439" i="11" s="1"/>
  <c r="B451" i="11" s="1"/>
  <c r="H441" i="11" s="1"/>
  <c r="C345" i="11"/>
  <c r="C357" i="11" s="1"/>
  <c r="C369" i="11" s="1"/>
  <c r="C381" i="11" s="1"/>
  <c r="C393" i="11" s="1"/>
  <c r="C405" i="11" s="1"/>
  <c r="C417" i="11" s="1"/>
  <c r="C429" i="11" s="1"/>
  <c r="C441" i="11" s="1"/>
  <c r="D345" i="11"/>
  <c r="D357" i="11" s="1"/>
  <c r="D369" i="11" s="1"/>
  <c r="D381" i="11" s="1"/>
  <c r="D393" i="11" s="1"/>
  <c r="D405" i="11" s="1"/>
  <c r="D417" i="11" s="1"/>
  <c r="D429" i="11" s="1"/>
  <c r="D441" i="11" s="1"/>
  <c r="B356" i="11"/>
  <c r="B368" i="11" s="1"/>
  <c r="B380" i="11" s="1"/>
  <c r="B392" i="11" s="1"/>
  <c r="B404" i="11" s="1"/>
  <c r="B416" i="11" s="1"/>
  <c r="B428" i="11" s="1"/>
  <c r="B440" i="11" s="1"/>
  <c r="B452" i="11" s="1"/>
  <c r="J442" i="11" s="1"/>
  <c r="C346" i="11"/>
  <c r="C358" i="11" s="1"/>
  <c r="C370" i="11" s="1"/>
  <c r="C382" i="11" s="1"/>
  <c r="C394" i="11" s="1"/>
  <c r="C406" i="11" s="1"/>
  <c r="C418" i="11" s="1"/>
  <c r="C430" i="11" s="1"/>
  <c r="C442" i="11" s="1"/>
  <c r="D346" i="11"/>
  <c r="D358" i="11" s="1"/>
  <c r="D370" i="11" s="1"/>
  <c r="D382" i="11" s="1"/>
  <c r="D394" i="11" s="1"/>
  <c r="D406" i="11" s="1"/>
  <c r="D418" i="11" s="1"/>
  <c r="D430" i="11" s="1"/>
  <c r="D442" i="11" s="1"/>
  <c r="B357" i="11"/>
  <c r="C347" i="11"/>
  <c r="C359" i="11" s="1"/>
  <c r="C371" i="11" s="1"/>
  <c r="C383" i="11" s="1"/>
  <c r="C395" i="11" s="1"/>
  <c r="C407" i="11" s="1"/>
  <c r="C419" i="11" s="1"/>
  <c r="C431" i="11" s="1"/>
  <c r="C443" i="11" s="1"/>
  <c r="D347" i="11"/>
  <c r="D359" i="11" s="1"/>
  <c r="D371" i="11" s="1"/>
  <c r="D383" i="11" s="1"/>
  <c r="D395" i="11" s="1"/>
  <c r="D407" i="11" s="1"/>
  <c r="D419" i="11" s="1"/>
  <c r="D431" i="11" s="1"/>
  <c r="D443" i="11" s="1"/>
  <c r="D350" i="11"/>
  <c r="D362" i="11" s="1"/>
  <c r="D374" i="11" s="1"/>
  <c r="D386" i="11" s="1"/>
  <c r="D398" i="11" s="1"/>
  <c r="D410" i="11" s="1"/>
  <c r="D422" i="11" s="1"/>
  <c r="D434" i="11" s="1"/>
  <c r="B361" i="11"/>
  <c r="B373" i="11" s="1"/>
  <c r="D353" i="11"/>
  <c r="D365" i="11" s="1"/>
  <c r="D377" i="11" s="1"/>
  <c r="D389" i="11" s="1"/>
  <c r="D401" i="11" s="1"/>
  <c r="D413" i="11" s="1"/>
  <c r="D425" i="11" s="1"/>
  <c r="D437" i="11" s="1"/>
  <c r="B365" i="11"/>
  <c r="B377" i="11" s="1"/>
  <c r="B389" i="11" s="1"/>
  <c r="B401" i="11" s="1"/>
  <c r="B413" i="11" s="1"/>
  <c r="J403" i="11" s="1"/>
  <c r="D336" i="11"/>
  <c r="D348" i="11" s="1"/>
  <c r="D360" i="11" s="1"/>
  <c r="D372" i="11" s="1"/>
  <c r="D384" i="11" s="1"/>
  <c r="D396" i="11" s="1"/>
  <c r="D408" i="11" s="1"/>
  <c r="D420" i="11" s="1"/>
  <c r="D432" i="11" s="1"/>
  <c r="C336" i="11"/>
  <c r="C348" i="11" s="1"/>
  <c r="C360" i="11" s="1"/>
  <c r="C372" i="11" s="1"/>
  <c r="C384" i="11" s="1"/>
  <c r="C396" i="11" s="1"/>
  <c r="C408" i="11" s="1"/>
  <c r="C420" i="11" s="1"/>
  <c r="C432" i="11" s="1"/>
  <c r="B346" i="11"/>
  <c r="B358" i="11" s="1"/>
  <c r="B370" i="11" s="1"/>
  <c r="B382" i="11" s="1"/>
  <c r="B394" i="11" s="1"/>
  <c r="B406" i="11" s="1"/>
  <c r="B418" i="11" s="1"/>
  <c r="B430" i="11" s="1"/>
  <c r="B442" i="11" s="1"/>
  <c r="F432" i="11" s="1"/>
  <c r="P13" i="11"/>
  <c r="P14" i="11" s="1"/>
  <c r="P15" i="11" s="1"/>
  <c r="P16" i="11" s="1"/>
  <c r="P17" i="11" s="1"/>
  <c r="I14" i="11"/>
  <c r="I331" i="11" s="1"/>
  <c r="J14" i="11"/>
  <c r="J331" i="11" s="1"/>
  <c r="I15" i="11"/>
  <c r="J15" i="11"/>
  <c r="I16" i="11"/>
  <c r="J16" i="11"/>
  <c r="J348" i="11" s="1"/>
  <c r="I17" i="11"/>
  <c r="I360" i="11" s="1"/>
  <c r="J17" i="11"/>
  <c r="J360" i="11" s="1"/>
  <c r="J13" i="11"/>
  <c r="J317" i="11" s="1"/>
  <c r="I13" i="11"/>
  <c r="I317" i="11" s="1"/>
  <c r="G14" i="11"/>
  <c r="G329" i="11" s="1"/>
  <c r="G15" i="11"/>
  <c r="G16" i="11"/>
  <c r="G17" i="11"/>
  <c r="G13" i="11"/>
  <c r="G322" i="11" s="1"/>
  <c r="E14" i="11"/>
  <c r="E334" i="11" s="1"/>
  <c r="E15" i="11"/>
  <c r="E16" i="11"/>
  <c r="E17" i="11"/>
  <c r="E13" i="11"/>
  <c r="E320" i="11" s="1"/>
  <c r="F14" i="11"/>
  <c r="F334" i="11" s="1"/>
  <c r="F15" i="11"/>
  <c r="H15" i="11" s="1"/>
  <c r="F16" i="11"/>
  <c r="H16" i="11" s="1"/>
  <c r="F17" i="11"/>
  <c r="H17" i="11" s="1"/>
  <c r="F13" i="11"/>
  <c r="F320" i="11" s="1"/>
  <c r="S313" i="11"/>
  <c r="W317" i="11"/>
  <c r="Y317" i="11" s="1"/>
  <c r="S317" i="11"/>
  <c r="W316" i="11"/>
  <c r="Y316" i="11" s="1"/>
  <c r="S316" i="11"/>
  <c r="W315" i="11"/>
  <c r="Y315" i="11" s="1"/>
  <c r="S315" i="11"/>
  <c r="W314" i="11"/>
  <c r="Y314" i="11" s="1"/>
  <c r="S314" i="11"/>
  <c r="W313" i="11"/>
  <c r="Y313" i="11" s="1"/>
  <c r="O311" i="11" a="1"/>
  <c r="O311" i="11" s="1"/>
  <c r="M311" i="11" a="1"/>
  <c r="M311" i="11" s="1"/>
  <c r="L311" i="11" a="1"/>
  <c r="L311" i="11" s="1"/>
  <c r="T313" i="11" s="1"/>
  <c r="J311" i="11"/>
  <c r="I311" i="11"/>
  <c r="H311" i="11"/>
  <c r="R311" i="11" s="1"/>
  <c r="G311" i="11"/>
  <c r="F311" i="11"/>
  <c r="O310" i="11" a="1"/>
  <c r="O310" i="11" s="1"/>
  <c r="M310" i="11" a="1"/>
  <c r="M310" i="11" s="1"/>
  <c r="L310" i="11" a="1"/>
  <c r="L310" i="11" s="1"/>
  <c r="N310" i="11" s="1"/>
  <c r="J310" i="11"/>
  <c r="Y310" i="11" s="1"/>
  <c r="I310" i="11"/>
  <c r="H310" i="11"/>
  <c r="R310" i="11" s="1"/>
  <c r="G310" i="11"/>
  <c r="F310" i="11"/>
  <c r="O309" i="11" a="1"/>
  <c r="O309" i="11" s="1"/>
  <c r="V309" i="11" s="1"/>
  <c r="M309" i="11" a="1"/>
  <c r="M309" i="11" s="1"/>
  <c r="L309" i="11" a="1"/>
  <c r="L309" i="11" s="1"/>
  <c r="N309" i="11" s="1"/>
  <c r="J309" i="11"/>
  <c r="I309" i="11"/>
  <c r="H309" i="11"/>
  <c r="R309" i="11" s="1"/>
  <c r="G309" i="11"/>
  <c r="F309" i="11"/>
  <c r="O308" i="11" a="1"/>
  <c r="O308" i="11" s="1"/>
  <c r="M308" i="11" a="1"/>
  <c r="M308" i="11" s="1"/>
  <c r="L308" i="11" a="1"/>
  <c r="L308" i="11" s="1"/>
  <c r="N308" i="11" s="1"/>
  <c r="J308" i="11"/>
  <c r="Y308" i="11" s="1"/>
  <c r="I308" i="11"/>
  <c r="H308" i="11"/>
  <c r="R308" i="11" s="1"/>
  <c r="G308" i="11"/>
  <c r="F308" i="11"/>
  <c r="O307" i="11" a="1"/>
  <c r="O307" i="11" s="1"/>
  <c r="M307" i="11" a="1"/>
  <c r="M307" i="11" s="1"/>
  <c r="L307" i="11" a="1"/>
  <c r="L307" i="11" s="1"/>
  <c r="N307" i="11" s="1"/>
  <c r="J307" i="11"/>
  <c r="I307" i="11"/>
  <c r="H307" i="11"/>
  <c r="R307" i="11" s="1"/>
  <c r="G307" i="11"/>
  <c r="F307" i="11"/>
  <c r="O306" i="11" a="1"/>
  <c r="O306" i="11" s="1"/>
  <c r="M306" i="11" a="1"/>
  <c r="M306" i="11" s="1"/>
  <c r="S306" i="11" s="1"/>
  <c r="L306" i="11" a="1"/>
  <c r="L306" i="11" s="1"/>
  <c r="N306" i="11" s="1"/>
  <c r="J306" i="11"/>
  <c r="Y306" i="11" s="1"/>
  <c r="I306" i="11"/>
  <c r="H306" i="11"/>
  <c r="R306" i="11" s="1"/>
  <c r="G306" i="11"/>
  <c r="F306" i="11"/>
  <c r="E306" i="11"/>
  <c r="O305" i="11" a="1"/>
  <c r="O305" i="11" s="1"/>
  <c r="M305" i="11" a="1"/>
  <c r="M305" i="11" s="1"/>
  <c r="L305" i="11" a="1"/>
  <c r="L305" i="11" s="1"/>
  <c r="N305" i="11" s="1"/>
  <c r="J305" i="11"/>
  <c r="I305" i="11"/>
  <c r="H305" i="11"/>
  <c r="R305" i="11" s="1"/>
  <c r="G305" i="11"/>
  <c r="F305" i="11"/>
  <c r="E305" i="11"/>
  <c r="O304" i="11" a="1"/>
  <c r="O304" i="11" s="1"/>
  <c r="M304" i="11" a="1"/>
  <c r="M304" i="11" s="1"/>
  <c r="L304" i="11" a="1"/>
  <c r="L304" i="11" s="1"/>
  <c r="N304" i="11" s="1"/>
  <c r="J304" i="11"/>
  <c r="Y304" i="11" s="1"/>
  <c r="I304" i="11"/>
  <c r="H304" i="11"/>
  <c r="R304" i="11" s="1"/>
  <c r="G304" i="11"/>
  <c r="F304" i="11"/>
  <c r="E304" i="11"/>
  <c r="O303" i="11" a="1"/>
  <c r="O303" i="11" s="1"/>
  <c r="M303" i="11" a="1"/>
  <c r="M303" i="11" s="1"/>
  <c r="L303" i="11" a="1"/>
  <c r="L303" i="11" s="1"/>
  <c r="J303" i="11"/>
  <c r="I303" i="11"/>
  <c r="H303" i="11"/>
  <c r="R303" i="11" s="1"/>
  <c r="G303" i="11"/>
  <c r="F303" i="11"/>
  <c r="E303" i="11"/>
  <c r="O302" i="11" a="1"/>
  <c r="O302" i="11" s="1"/>
  <c r="M302" i="11" a="1"/>
  <c r="M302" i="11" s="1"/>
  <c r="L302" i="11" a="1"/>
  <c r="L302" i="11" s="1"/>
  <c r="N302" i="11" s="1"/>
  <c r="J302" i="11"/>
  <c r="I302" i="11"/>
  <c r="H302" i="11"/>
  <c r="R302" i="11" s="1"/>
  <c r="G302" i="11"/>
  <c r="F302" i="11"/>
  <c r="S302" i="11" s="1"/>
  <c r="E302" i="11"/>
  <c r="O301" i="11" a="1"/>
  <c r="O301" i="11" s="1"/>
  <c r="X301" i="11" s="1"/>
  <c r="M301" i="11" a="1"/>
  <c r="M301" i="11" s="1"/>
  <c r="L301" i="11" a="1"/>
  <c r="L301" i="11" s="1"/>
  <c r="J301" i="11"/>
  <c r="I301" i="11"/>
  <c r="H301" i="11"/>
  <c r="R301" i="11" s="1"/>
  <c r="G301" i="11"/>
  <c r="F301" i="11"/>
  <c r="E301" i="11"/>
  <c r="O300" i="11" a="1"/>
  <c r="O300" i="11" s="1"/>
  <c r="M300" i="11" a="1"/>
  <c r="M300" i="11" s="1"/>
  <c r="L300" i="11" a="1"/>
  <c r="L300" i="11" s="1"/>
  <c r="N300" i="11" s="1"/>
  <c r="J300" i="11"/>
  <c r="W300" i="11" s="1"/>
  <c r="I300" i="11"/>
  <c r="H300" i="11"/>
  <c r="R300" i="11" s="1"/>
  <c r="G300" i="11"/>
  <c r="F300" i="11"/>
  <c r="E300" i="11"/>
  <c r="O299" i="11" a="1"/>
  <c r="O299" i="11" s="1"/>
  <c r="M299" i="11" a="1"/>
  <c r="M299" i="11" s="1"/>
  <c r="L299" i="11" a="1"/>
  <c r="L299" i="11" s="1"/>
  <c r="N299" i="11" s="1"/>
  <c r="J299" i="11"/>
  <c r="I299" i="11"/>
  <c r="H299" i="11"/>
  <c r="R299" i="11" s="1"/>
  <c r="G299" i="11"/>
  <c r="F299" i="11"/>
  <c r="E299" i="11"/>
  <c r="O298" i="11" a="1"/>
  <c r="O298" i="11" s="1"/>
  <c r="M298" i="11" a="1"/>
  <c r="M298" i="11" s="1"/>
  <c r="L298" i="11" a="1"/>
  <c r="L298" i="11" s="1"/>
  <c r="N298" i="11" s="1"/>
  <c r="J298" i="11"/>
  <c r="W298" i="11" s="1"/>
  <c r="I298" i="11"/>
  <c r="H298" i="11"/>
  <c r="R298" i="11" s="1"/>
  <c r="G298" i="11"/>
  <c r="F298" i="11"/>
  <c r="E298" i="11"/>
  <c r="O297" i="11" a="1"/>
  <c r="O297" i="11" s="1"/>
  <c r="M297" i="11" a="1"/>
  <c r="M297" i="11" s="1"/>
  <c r="L297" i="11" a="1"/>
  <c r="L297" i="11" s="1"/>
  <c r="N297" i="11" s="1"/>
  <c r="J297" i="11"/>
  <c r="Y297" i="11" s="1"/>
  <c r="I297" i="11"/>
  <c r="H297" i="11"/>
  <c r="R297" i="11" s="1"/>
  <c r="G297" i="11"/>
  <c r="F297" i="11"/>
  <c r="E297" i="11"/>
  <c r="O296" i="11" a="1"/>
  <c r="O296" i="11" s="1"/>
  <c r="M296" i="11" a="1"/>
  <c r="M296" i="11" s="1"/>
  <c r="L296" i="11" a="1"/>
  <c r="L296" i="11" s="1"/>
  <c r="N296" i="11" s="1"/>
  <c r="J296" i="11"/>
  <c r="Y296" i="11" s="1"/>
  <c r="I296" i="11"/>
  <c r="H296" i="11"/>
  <c r="R296" i="11" s="1"/>
  <c r="G296" i="11"/>
  <c r="F296" i="11"/>
  <c r="E296" i="11"/>
  <c r="O295" i="11" a="1"/>
  <c r="O295" i="11" s="1"/>
  <c r="M295" i="11" a="1"/>
  <c r="M295" i="11" s="1"/>
  <c r="L295" i="11" a="1"/>
  <c r="L295" i="11" s="1"/>
  <c r="N295" i="11" s="1"/>
  <c r="J295" i="11"/>
  <c r="Y295" i="11" s="1"/>
  <c r="I295" i="11"/>
  <c r="H295" i="11"/>
  <c r="R295" i="11" s="1"/>
  <c r="G295" i="11"/>
  <c r="F295" i="11"/>
  <c r="E295" i="11"/>
  <c r="O294" i="11" a="1"/>
  <c r="O294" i="11" s="1"/>
  <c r="M294" i="11" a="1"/>
  <c r="M294" i="11" s="1"/>
  <c r="L294" i="11" a="1"/>
  <c r="L294" i="11" s="1"/>
  <c r="N294" i="11" s="1"/>
  <c r="J294" i="11"/>
  <c r="W294" i="11" s="1"/>
  <c r="I294" i="11"/>
  <c r="H294" i="11"/>
  <c r="R294" i="11" s="1"/>
  <c r="G294" i="11"/>
  <c r="F294" i="11"/>
  <c r="E294" i="11"/>
  <c r="O293" i="11" a="1"/>
  <c r="O293" i="11" s="1"/>
  <c r="M293" i="11" a="1"/>
  <c r="M293" i="11" s="1"/>
  <c r="L293" i="11" a="1"/>
  <c r="L293" i="11" s="1"/>
  <c r="N293" i="11" s="1"/>
  <c r="J293" i="11"/>
  <c r="I293" i="11"/>
  <c r="H293" i="11"/>
  <c r="R293" i="11" s="1"/>
  <c r="G293" i="11"/>
  <c r="F293" i="11"/>
  <c r="E293" i="11"/>
  <c r="O292" i="11" a="1"/>
  <c r="O292" i="11" s="1"/>
  <c r="M292" i="11" a="1"/>
  <c r="M292" i="11" s="1"/>
  <c r="L292" i="11" a="1"/>
  <c r="L292" i="11" s="1"/>
  <c r="N292" i="11" s="1"/>
  <c r="J292" i="11"/>
  <c r="I292" i="11"/>
  <c r="H292" i="11"/>
  <c r="R292" i="11" s="1"/>
  <c r="G292" i="11"/>
  <c r="F292" i="11"/>
  <c r="E292" i="11"/>
  <c r="O291" i="11" a="1"/>
  <c r="O291" i="11" s="1"/>
  <c r="M291" i="11" a="1"/>
  <c r="M291" i="11" s="1"/>
  <c r="L291" i="11" a="1"/>
  <c r="L291" i="11" s="1"/>
  <c r="N291" i="11" s="1"/>
  <c r="J291" i="11"/>
  <c r="I291" i="11"/>
  <c r="H291" i="11"/>
  <c r="R291" i="11" s="1"/>
  <c r="G291" i="11"/>
  <c r="F291" i="11"/>
  <c r="E291" i="11"/>
  <c r="O290" i="11" a="1"/>
  <c r="O290" i="11" s="1"/>
  <c r="M290" i="11" a="1"/>
  <c r="M290" i="11" s="1"/>
  <c r="L290" i="11" a="1"/>
  <c r="L290" i="11" s="1"/>
  <c r="N290" i="11" s="1"/>
  <c r="J290" i="11"/>
  <c r="I290" i="11"/>
  <c r="H290" i="11"/>
  <c r="R290" i="11" s="1"/>
  <c r="G290" i="11"/>
  <c r="F290" i="11"/>
  <c r="E290" i="11"/>
  <c r="O289" i="11" a="1"/>
  <c r="O289" i="11" s="1"/>
  <c r="M289" i="11" a="1"/>
  <c r="M289" i="11" s="1"/>
  <c r="L289" i="11" a="1"/>
  <c r="L289" i="11" s="1"/>
  <c r="N289" i="11" s="1"/>
  <c r="J289" i="11"/>
  <c r="I289" i="11"/>
  <c r="H289" i="11"/>
  <c r="R289" i="11" s="1"/>
  <c r="G289" i="11"/>
  <c r="F289" i="11"/>
  <c r="E289" i="11"/>
  <c r="O288" i="11" a="1"/>
  <c r="O288" i="11" s="1"/>
  <c r="M288" i="11" a="1"/>
  <c r="M288" i="11" s="1"/>
  <c r="L288" i="11" a="1"/>
  <c r="L288" i="11" s="1"/>
  <c r="J288" i="11"/>
  <c r="I288" i="11"/>
  <c r="H288" i="11"/>
  <c r="R288" i="11" s="1"/>
  <c r="G288" i="11"/>
  <c r="F288" i="11"/>
  <c r="E288" i="11"/>
  <c r="O287" i="11" a="1"/>
  <c r="O287" i="11" s="1"/>
  <c r="M287" i="11" a="1"/>
  <c r="M287" i="11" s="1"/>
  <c r="L287" i="11" a="1"/>
  <c r="L287" i="11" s="1"/>
  <c r="J287" i="11"/>
  <c r="I287" i="11"/>
  <c r="H287" i="11"/>
  <c r="R287" i="11" s="1"/>
  <c r="G287" i="11"/>
  <c r="F287" i="11"/>
  <c r="E287" i="11"/>
  <c r="O286" i="11" a="1"/>
  <c r="O286" i="11" s="1"/>
  <c r="M286" i="11" a="1"/>
  <c r="M286" i="11" s="1"/>
  <c r="L286" i="11" a="1"/>
  <c r="L286" i="11" s="1"/>
  <c r="N286" i="11" s="1"/>
  <c r="U286" i="11" s="1"/>
  <c r="J286" i="11"/>
  <c r="I286" i="11"/>
  <c r="H286" i="11"/>
  <c r="R286" i="11" s="1"/>
  <c r="G286" i="11"/>
  <c r="F286" i="11"/>
  <c r="E286" i="11"/>
  <c r="O285" i="11" a="1"/>
  <c r="O285" i="11" s="1"/>
  <c r="M285" i="11" a="1"/>
  <c r="M285" i="11" s="1"/>
  <c r="L285" i="11" a="1"/>
  <c r="L285" i="11" s="1"/>
  <c r="N285" i="11" s="1"/>
  <c r="J285" i="11"/>
  <c r="Y285" i="11" s="1"/>
  <c r="I285" i="11"/>
  <c r="H285" i="11"/>
  <c r="R285" i="11" s="1"/>
  <c r="G285" i="11"/>
  <c r="F285" i="11"/>
  <c r="E285" i="11"/>
  <c r="O284" i="11" a="1"/>
  <c r="O284" i="11" s="1"/>
  <c r="M284" i="11" a="1"/>
  <c r="M284" i="11" s="1"/>
  <c r="L284" i="11" a="1"/>
  <c r="L284" i="11" s="1"/>
  <c r="N284" i="11" s="1"/>
  <c r="J284" i="11"/>
  <c r="I284" i="11"/>
  <c r="H284" i="11"/>
  <c r="R284" i="11" s="1"/>
  <c r="G284" i="11"/>
  <c r="F284" i="11"/>
  <c r="E284" i="11"/>
  <c r="O283" i="11" a="1"/>
  <c r="O283" i="11" s="1"/>
  <c r="M283" i="11" a="1"/>
  <c r="M283" i="11" s="1"/>
  <c r="L283" i="11" a="1"/>
  <c r="L283" i="11" s="1"/>
  <c r="J283" i="11"/>
  <c r="Y283" i="11" s="1"/>
  <c r="I283" i="11"/>
  <c r="H283" i="11"/>
  <c r="R283" i="11" s="1"/>
  <c r="G283" i="11"/>
  <c r="F283" i="11"/>
  <c r="E283" i="11"/>
  <c r="O282" i="11" a="1"/>
  <c r="O282" i="11" s="1"/>
  <c r="M282" i="11" a="1"/>
  <c r="M282" i="11" s="1"/>
  <c r="L282" i="11" a="1"/>
  <c r="L282" i="11" s="1"/>
  <c r="J282" i="11"/>
  <c r="I282" i="11"/>
  <c r="H282" i="11"/>
  <c r="R282" i="11" s="1"/>
  <c r="G282" i="11"/>
  <c r="F282" i="11"/>
  <c r="E282" i="11"/>
  <c r="O281" i="11" a="1"/>
  <c r="O281" i="11" s="1"/>
  <c r="M281" i="11" a="1"/>
  <c r="M281" i="11" s="1"/>
  <c r="L281" i="11" a="1"/>
  <c r="L281" i="11" s="1"/>
  <c r="J281" i="11"/>
  <c r="I281" i="11"/>
  <c r="H281" i="11"/>
  <c r="R281" i="11" s="1"/>
  <c r="G281" i="11"/>
  <c r="F281" i="11"/>
  <c r="E281" i="11"/>
  <c r="O280" i="11" a="1"/>
  <c r="O280" i="11" s="1"/>
  <c r="M280" i="11" a="1"/>
  <c r="M280" i="11" s="1"/>
  <c r="L280" i="11" a="1"/>
  <c r="L280" i="11" s="1"/>
  <c r="N280" i="11" s="1"/>
  <c r="J280" i="11"/>
  <c r="I280" i="11"/>
  <c r="H280" i="11"/>
  <c r="R280" i="11" s="1"/>
  <c r="G280" i="11"/>
  <c r="F280" i="11"/>
  <c r="E280" i="11"/>
  <c r="O279" i="11" a="1"/>
  <c r="O279" i="11" s="1"/>
  <c r="M279" i="11" a="1"/>
  <c r="M279" i="11" s="1"/>
  <c r="L279" i="11" a="1"/>
  <c r="L279" i="11" s="1"/>
  <c r="N279" i="11" s="1"/>
  <c r="J279" i="11"/>
  <c r="W279" i="11" s="1"/>
  <c r="I279" i="11"/>
  <c r="H279" i="11"/>
  <c r="R279" i="11" s="1"/>
  <c r="G279" i="11"/>
  <c r="F279" i="11"/>
  <c r="E279" i="11"/>
  <c r="O278" i="11" a="1"/>
  <c r="O278" i="11" s="1"/>
  <c r="M278" i="11" a="1"/>
  <c r="M278" i="11" s="1"/>
  <c r="L278" i="11" a="1"/>
  <c r="L278" i="11" s="1"/>
  <c r="N278" i="11" s="1"/>
  <c r="J278" i="11"/>
  <c r="I278" i="11"/>
  <c r="H278" i="11"/>
  <c r="R278" i="11" s="1"/>
  <c r="G278" i="11"/>
  <c r="F278" i="11"/>
  <c r="E278" i="11"/>
  <c r="O277" i="11" a="1"/>
  <c r="O277" i="11" s="1"/>
  <c r="M277" i="11" a="1"/>
  <c r="M277" i="11" s="1"/>
  <c r="L277" i="11" a="1"/>
  <c r="L277" i="11" s="1"/>
  <c r="N277" i="11" s="1"/>
  <c r="J277" i="11"/>
  <c r="I277" i="11"/>
  <c r="H277" i="11"/>
  <c r="R277" i="11" s="1"/>
  <c r="G277" i="11"/>
  <c r="F277" i="11"/>
  <c r="E277" i="11"/>
  <c r="O276" i="11" a="1"/>
  <c r="O276" i="11" s="1"/>
  <c r="M276" i="11" a="1"/>
  <c r="M276" i="11" s="1"/>
  <c r="L276" i="11" a="1"/>
  <c r="L276" i="11" s="1"/>
  <c r="N276" i="11" s="1"/>
  <c r="J276" i="11"/>
  <c r="Y276" i="11" s="1"/>
  <c r="I276" i="11"/>
  <c r="H276" i="11"/>
  <c r="R276" i="11" s="1"/>
  <c r="G276" i="11"/>
  <c r="F276" i="11"/>
  <c r="E276" i="11"/>
  <c r="O275" i="11" a="1"/>
  <c r="O275" i="11" s="1"/>
  <c r="M275" i="11" a="1"/>
  <c r="M275" i="11" s="1"/>
  <c r="L275" i="11" a="1"/>
  <c r="L275" i="11" s="1"/>
  <c r="J275" i="11"/>
  <c r="I275" i="11"/>
  <c r="H275" i="11"/>
  <c r="R275" i="11" s="1"/>
  <c r="G275" i="11"/>
  <c r="F275" i="11"/>
  <c r="E275" i="11"/>
  <c r="O274" i="11" a="1"/>
  <c r="O274" i="11" s="1"/>
  <c r="M274" i="11" a="1"/>
  <c r="M274" i="11" s="1"/>
  <c r="L274" i="11" a="1"/>
  <c r="L274" i="11" s="1"/>
  <c r="J274" i="11"/>
  <c r="I274" i="11"/>
  <c r="H274" i="11"/>
  <c r="R274" i="11" s="1"/>
  <c r="G274" i="11"/>
  <c r="F274" i="11"/>
  <c r="E274" i="11"/>
  <c r="O273" i="11" a="1"/>
  <c r="O273" i="11" s="1"/>
  <c r="M273" i="11" a="1"/>
  <c r="M273" i="11" s="1"/>
  <c r="L273" i="11" a="1"/>
  <c r="L273" i="11" s="1"/>
  <c r="N273" i="11" s="1"/>
  <c r="J273" i="11"/>
  <c r="I273" i="11"/>
  <c r="H273" i="11"/>
  <c r="R273" i="11" s="1"/>
  <c r="G273" i="11"/>
  <c r="F273" i="11"/>
  <c r="E273" i="11"/>
  <c r="O272" i="11" a="1"/>
  <c r="O272" i="11" s="1"/>
  <c r="M272" i="11" a="1"/>
  <c r="M272" i="11" s="1"/>
  <c r="L272" i="11" a="1"/>
  <c r="L272" i="11" s="1"/>
  <c r="N272" i="11" s="1"/>
  <c r="J272" i="11"/>
  <c r="W272" i="11" s="1"/>
  <c r="I272" i="11"/>
  <c r="H272" i="11"/>
  <c r="R272" i="11" s="1"/>
  <c r="G272" i="11"/>
  <c r="F272" i="11"/>
  <c r="E272" i="11"/>
  <c r="O271" i="11" a="1"/>
  <c r="O271" i="11" s="1"/>
  <c r="M271" i="11" a="1"/>
  <c r="M271" i="11" s="1"/>
  <c r="L271" i="11" a="1"/>
  <c r="L271" i="11" s="1"/>
  <c r="N271" i="11" s="1"/>
  <c r="J271" i="11"/>
  <c r="Y271" i="11" s="1"/>
  <c r="I271" i="11"/>
  <c r="H271" i="11"/>
  <c r="R271" i="11" s="1"/>
  <c r="G271" i="11"/>
  <c r="F271" i="11"/>
  <c r="E271" i="11"/>
  <c r="O270" i="11" a="1"/>
  <c r="O270" i="11" s="1"/>
  <c r="M270" i="11" a="1"/>
  <c r="M270" i="11" s="1"/>
  <c r="L270" i="11" a="1"/>
  <c r="L270" i="11" s="1"/>
  <c r="N270" i="11" s="1"/>
  <c r="J270" i="11"/>
  <c r="I270" i="11"/>
  <c r="H270" i="11"/>
  <c r="R270" i="11" s="1"/>
  <c r="G270" i="11"/>
  <c r="F270" i="11"/>
  <c r="E270" i="11"/>
  <c r="O269" i="11" a="1"/>
  <c r="O269" i="11" s="1"/>
  <c r="M269" i="11" a="1"/>
  <c r="M269" i="11" s="1"/>
  <c r="L269" i="11" a="1"/>
  <c r="L269" i="11" s="1"/>
  <c r="J269" i="11"/>
  <c r="I269" i="11"/>
  <c r="H269" i="11"/>
  <c r="R269" i="11" s="1"/>
  <c r="G269" i="11"/>
  <c r="F269" i="11"/>
  <c r="E269" i="11"/>
  <c r="O268" i="11" a="1"/>
  <c r="O268" i="11" s="1"/>
  <c r="M268" i="11" a="1"/>
  <c r="M268" i="11" s="1"/>
  <c r="L268" i="11" a="1"/>
  <c r="L268" i="11" s="1"/>
  <c r="J268" i="11"/>
  <c r="I268" i="11"/>
  <c r="H268" i="11"/>
  <c r="R268" i="11" s="1"/>
  <c r="G268" i="11"/>
  <c r="F268" i="11"/>
  <c r="E268" i="11"/>
  <c r="O267" i="11" a="1"/>
  <c r="O267" i="11" s="1"/>
  <c r="M267" i="11" a="1"/>
  <c r="M267" i="11" s="1"/>
  <c r="L267" i="11" a="1"/>
  <c r="L267" i="11" s="1"/>
  <c r="J267" i="11"/>
  <c r="I267" i="11"/>
  <c r="H267" i="11"/>
  <c r="R267" i="11" s="1"/>
  <c r="G267" i="11"/>
  <c r="F267" i="11"/>
  <c r="E267" i="11"/>
  <c r="O266" i="11" a="1"/>
  <c r="O266" i="11" s="1"/>
  <c r="M266" i="11" a="1"/>
  <c r="M266" i="11" s="1"/>
  <c r="L266" i="11" a="1"/>
  <c r="L266" i="11" s="1"/>
  <c r="N266" i="11" s="1"/>
  <c r="J266" i="11"/>
  <c r="W266" i="11" s="1"/>
  <c r="I266" i="11"/>
  <c r="H266" i="11"/>
  <c r="R266" i="11" s="1"/>
  <c r="G266" i="11"/>
  <c r="F266" i="11"/>
  <c r="E266" i="11"/>
  <c r="O265" i="11" a="1"/>
  <c r="O265" i="11" s="1"/>
  <c r="M265" i="11" a="1"/>
  <c r="M265" i="11" s="1"/>
  <c r="L265" i="11" a="1"/>
  <c r="L265" i="11" s="1"/>
  <c r="N265" i="11" s="1"/>
  <c r="J265" i="11"/>
  <c r="W265" i="11" s="1"/>
  <c r="I265" i="11"/>
  <c r="H265" i="11"/>
  <c r="R265" i="11" s="1"/>
  <c r="G265" i="11"/>
  <c r="F265" i="11"/>
  <c r="E265" i="11"/>
  <c r="O264" i="11" a="1"/>
  <c r="O264" i="11" s="1"/>
  <c r="M264" i="11" a="1"/>
  <c r="M264" i="11" s="1"/>
  <c r="L264" i="11" a="1"/>
  <c r="L264" i="11" s="1"/>
  <c r="N264" i="11" s="1"/>
  <c r="J264" i="11"/>
  <c r="I264" i="11"/>
  <c r="H264" i="11"/>
  <c r="R264" i="11" s="1"/>
  <c r="G264" i="11"/>
  <c r="F264" i="11"/>
  <c r="E264" i="11"/>
  <c r="O263" i="11" a="1"/>
  <c r="O263" i="11" s="1"/>
  <c r="M263" i="11" a="1"/>
  <c r="M263" i="11" s="1"/>
  <c r="L263" i="11" a="1"/>
  <c r="L263" i="11" s="1"/>
  <c r="J263" i="11"/>
  <c r="W263" i="11" s="1"/>
  <c r="I263" i="11"/>
  <c r="H263" i="11"/>
  <c r="R263" i="11" s="1"/>
  <c r="G263" i="11"/>
  <c r="F263" i="11"/>
  <c r="E263" i="11"/>
  <c r="O262" i="11" a="1"/>
  <c r="O262" i="11" s="1"/>
  <c r="M262" i="11" a="1"/>
  <c r="M262" i="11" s="1"/>
  <c r="L262" i="11" a="1"/>
  <c r="L262" i="11" s="1"/>
  <c r="N262" i="11" s="1"/>
  <c r="J262" i="11"/>
  <c r="Y262" i="11" s="1"/>
  <c r="I262" i="11"/>
  <c r="H262" i="11"/>
  <c r="R262" i="11" s="1"/>
  <c r="G262" i="11"/>
  <c r="F262" i="11"/>
  <c r="E262" i="11"/>
  <c r="O261" i="11" a="1"/>
  <c r="O261" i="11" s="1"/>
  <c r="M261" i="11" a="1"/>
  <c r="M261" i="11" s="1"/>
  <c r="L261" i="11" a="1"/>
  <c r="L261" i="11" s="1"/>
  <c r="N261" i="11" s="1"/>
  <c r="J261" i="11"/>
  <c r="I261" i="11"/>
  <c r="H261" i="11"/>
  <c r="R261" i="11" s="1"/>
  <c r="G261" i="11"/>
  <c r="F261" i="11"/>
  <c r="E261" i="11"/>
  <c r="O260" i="11" a="1"/>
  <c r="O260" i="11" s="1"/>
  <c r="M260" i="11" a="1"/>
  <c r="M260" i="11" s="1"/>
  <c r="L260" i="11" a="1"/>
  <c r="L260" i="11" s="1"/>
  <c r="J260" i="11"/>
  <c r="Y260" i="11" s="1"/>
  <c r="I260" i="11"/>
  <c r="H260" i="11"/>
  <c r="R260" i="11" s="1"/>
  <c r="G260" i="11"/>
  <c r="F260" i="11"/>
  <c r="E260" i="11"/>
  <c r="O259" i="11" a="1"/>
  <c r="O259" i="11" s="1"/>
  <c r="M259" i="11" a="1"/>
  <c r="M259" i="11" s="1"/>
  <c r="L259" i="11" a="1"/>
  <c r="L259" i="11" s="1"/>
  <c r="J259" i="11"/>
  <c r="I259" i="11"/>
  <c r="H259" i="11"/>
  <c r="R259" i="11" s="1"/>
  <c r="G259" i="11"/>
  <c r="F259" i="11"/>
  <c r="E259" i="11"/>
  <c r="O258" i="11" a="1"/>
  <c r="O258" i="11" s="1"/>
  <c r="M258" i="11" a="1"/>
  <c r="M258" i="11" s="1"/>
  <c r="L258" i="11" a="1"/>
  <c r="L258" i="11" s="1"/>
  <c r="N258" i="11" s="1"/>
  <c r="J258" i="11"/>
  <c r="W258" i="11" s="1"/>
  <c r="I258" i="11"/>
  <c r="H258" i="11"/>
  <c r="R258" i="11" s="1"/>
  <c r="G258" i="11"/>
  <c r="F258" i="11"/>
  <c r="E258" i="11"/>
  <c r="O257" i="11" a="1"/>
  <c r="O257" i="11" s="1"/>
  <c r="M257" i="11" a="1"/>
  <c r="M257" i="11" s="1"/>
  <c r="L257" i="11" a="1"/>
  <c r="L257" i="11" s="1"/>
  <c r="N257" i="11" s="1"/>
  <c r="J257" i="11"/>
  <c r="Y257" i="11" s="1"/>
  <c r="I257" i="11"/>
  <c r="H257" i="11"/>
  <c r="R257" i="11" s="1"/>
  <c r="G257" i="11"/>
  <c r="F257" i="11"/>
  <c r="E257" i="11"/>
  <c r="O256" i="11" a="1"/>
  <c r="O256" i="11" s="1"/>
  <c r="M256" i="11" a="1"/>
  <c r="M256" i="11" s="1"/>
  <c r="L256" i="11" a="1"/>
  <c r="L256" i="11" s="1"/>
  <c r="N256" i="11" s="1"/>
  <c r="J256" i="11"/>
  <c r="Y256" i="11" s="1"/>
  <c r="I256" i="11"/>
  <c r="H256" i="11"/>
  <c r="R256" i="11" s="1"/>
  <c r="G256" i="11"/>
  <c r="F256" i="11"/>
  <c r="E256" i="11"/>
  <c r="O255" i="11" a="1"/>
  <c r="O255" i="11" s="1"/>
  <c r="M255" i="11" a="1"/>
  <c r="M255" i="11" s="1"/>
  <c r="L255" i="11" a="1"/>
  <c r="L255" i="11" s="1"/>
  <c r="J255" i="11"/>
  <c r="I255" i="11"/>
  <c r="H255" i="11"/>
  <c r="R255" i="11" s="1"/>
  <c r="G255" i="11"/>
  <c r="F255" i="11"/>
  <c r="E255" i="11"/>
  <c r="O254" i="11" a="1"/>
  <c r="O254" i="11" s="1"/>
  <c r="M254" i="11" a="1"/>
  <c r="M254" i="11" s="1"/>
  <c r="L254" i="11" a="1"/>
  <c r="L254" i="11" s="1"/>
  <c r="J254" i="11"/>
  <c r="I254" i="11"/>
  <c r="H254" i="11"/>
  <c r="R254" i="11" s="1"/>
  <c r="G254" i="11"/>
  <c r="F254" i="11"/>
  <c r="E254" i="11"/>
  <c r="O253" i="11" a="1"/>
  <c r="O253" i="11" s="1"/>
  <c r="M253" i="11" a="1"/>
  <c r="M253" i="11" s="1"/>
  <c r="L253" i="11" a="1"/>
  <c r="L253" i="11" s="1"/>
  <c r="J253" i="11"/>
  <c r="I253" i="11"/>
  <c r="H253" i="11"/>
  <c r="R253" i="11" s="1"/>
  <c r="G253" i="11"/>
  <c r="F253" i="11"/>
  <c r="E253" i="11"/>
  <c r="O252" i="11" a="1"/>
  <c r="O252" i="11" s="1"/>
  <c r="M252" i="11" a="1"/>
  <c r="M252" i="11" s="1"/>
  <c r="L252" i="11" a="1"/>
  <c r="L252" i="11" s="1"/>
  <c r="J252" i="11"/>
  <c r="I252" i="11"/>
  <c r="H252" i="11"/>
  <c r="R252" i="11" s="1"/>
  <c r="G252" i="11"/>
  <c r="F252" i="11"/>
  <c r="E252" i="11"/>
  <c r="O251" i="11" a="1"/>
  <c r="O251" i="11" s="1"/>
  <c r="M251" i="11" a="1"/>
  <c r="M251" i="11" s="1"/>
  <c r="L251" i="11" a="1"/>
  <c r="L251" i="11" s="1"/>
  <c r="J251" i="11"/>
  <c r="I251" i="11"/>
  <c r="H251" i="11"/>
  <c r="R251" i="11" s="1"/>
  <c r="G251" i="11"/>
  <c r="F251" i="11"/>
  <c r="E251" i="11"/>
  <c r="O250" i="11" a="1"/>
  <c r="O250" i="11" s="1"/>
  <c r="M250" i="11" a="1"/>
  <c r="M250" i="11" s="1"/>
  <c r="L250" i="11" a="1"/>
  <c r="L250" i="11" s="1"/>
  <c r="N250" i="11" s="1"/>
  <c r="J250" i="11"/>
  <c r="I250" i="11"/>
  <c r="H250" i="11"/>
  <c r="R250" i="11" s="1"/>
  <c r="G250" i="11"/>
  <c r="F250" i="11"/>
  <c r="E250" i="11"/>
  <c r="O249" i="11" a="1"/>
  <c r="O249" i="11" s="1"/>
  <c r="M249" i="11" a="1"/>
  <c r="M249" i="11" s="1"/>
  <c r="L249" i="11" a="1"/>
  <c r="L249" i="11" s="1"/>
  <c r="J249" i="11"/>
  <c r="I249" i="11"/>
  <c r="H249" i="11"/>
  <c r="R249" i="11" s="1"/>
  <c r="G249" i="11"/>
  <c r="F249" i="11"/>
  <c r="E249" i="11"/>
  <c r="O248" i="11" a="1"/>
  <c r="O248" i="11" s="1"/>
  <c r="M248" i="11" a="1"/>
  <c r="M248" i="11" s="1"/>
  <c r="L248" i="11" a="1"/>
  <c r="L248" i="11" s="1"/>
  <c r="N248" i="11" s="1"/>
  <c r="J248" i="11"/>
  <c r="I248" i="11"/>
  <c r="H248" i="11"/>
  <c r="R248" i="11" s="1"/>
  <c r="G248" i="11"/>
  <c r="F248" i="11"/>
  <c r="E248" i="11"/>
  <c r="O247" i="11" a="1"/>
  <c r="O247" i="11" s="1"/>
  <c r="M247" i="11" a="1"/>
  <c r="M247" i="11" s="1"/>
  <c r="L247" i="11" a="1"/>
  <c r="L247" i="11" s="1"/>
  <c r="N247" i="11" s="1"/>
  <c r="J247" i="11"/>
  <c r="I247" i="11"/>
  <c r="H247" i="11"/>
  <c r="R247" i="11" s="1"/>
  <c r="G247" i="11"/>
  <c r="F247" i="11"/>
  <c r="E247" i="11"/>
  <c r="O246" i="11" a="1"/>
  <c r="O246" i="11" s="1"/>
  <c r="M246" i="11" a="1"/>
  <c r="M246" i="11" s="1"/>
  <c r="L246" i="11" a="1"/>
  <c r="L246" i="11" s="1"/>
  <c r="N246" i="11" s="1"/>
  <c r="J246" i="11"/>
  <c r="Y246" i="11" s="1"/>
  <c r="I246" i="11"/>
  <c r="H246" i="11"/>
  <c r="R246" i="11" s="1"/>
  <c r="G246" i="11"/>
  <c r="F246" i="11"/>
  <c r="E246" i="11"/>
  <c r="O245" i="11" a="1"/>
  <c r="O245" i="11" s="1"/>
  <c r="M245" i="11" a="1"/>
  <c r="M245" i="11" s="1"/>
  <c r="L245" i="11" a="1"/>
  <c r="L245" i="11" s="1"/>
  <c r="J245" i="11"/>
  <c r="I245" i="11"/>
  <c r="H245" i="11"/>
  <c r="R245" i="11" s="1"/>
  <c r="G245" i="11"/>
  <c r="F245" i="11"/>
  <c r="E245" i="11"/>
  <c r="O244" i="11" a="1"/>
  <c r="O244" i="11" s="1"/>
  <c r="M244" i="11" a="1"/>
  <c r="M244" i="11" s="1"/>
  <c r="L244" i="11" a="1"/>
  <c r="L244" i="11" s="1"/>
  <c r="N244" i="11" s="1"/>
  <c r="J244" i="11"/>
  <c r="I244" i="11"/>
  <c r="H244" i="11"/>
  <c r="R244" i="11" s="1"/>
  <c r="G244" i="11"/>
  <c r="F244" i="11"/>
  <c r="E244" i="11"/>
  <c r="O243" i="11" a="1"/>
  <c r="O243" i="11" s="1"/>
  <c r="M243" i="11" a="1"/>
  <c r="M243" i="11" s="1"/>
  <c r="L243" i="11" a="1"/>
  <c r="L243" i="11" s="1"/>
  <c r="N243" i="11" s="1"/>
  <c r="J243" i="11"/>
  <c r="I243" i="11"/>
  <c r="H243" i="11"/>
  <c r="R243" i="11" s="1"/>
  <c r="G243" i="11"/>
  <c r="F243" i="11"/>
  <c r="E243" i="11"/>
  <c r="O242" i="11" a="1"/>
  <c r="O242" i="11" s="1"/>
  <c r="M242" i="11" a="1"/>
  <c r="M242" i="11" s="1"/>
  <c r="L242" i="11" a="1"/>
  <c r="L242" i="11" s="1"/>
  <c r="N242" i="11" s="1"/>
  <c r="J242" i="11"/>
  <c r="W242" i="11" s="1"/>
  <c r="I242" i="11"/>
  <c r="H242" i="11"/>
  <c r="R242" i="11" s="1"/>
  <c r="G242" i="11"/>
  <c r="F242" i="11"/>
  <c r="E242" i="11"/>
  <c r="O241" i="11" a="1"/>
  <c r="O241" i="11" s="1"/>
  <c r="M241" i="11" a="1"/>
  <c r="M241" i="11" s="1"/>
  <c r="L241" i="11" a="1"/>
  <c r="L241" i="11" s="1"/>
  <c r="J241" i="11"/>
  <c r="I241" i="11"/>
  <c r="H241" i="11"/>
  <c r="R241" i="11" s="1"/>
  <c r="G241" i="11"/>
  <c r="F241" i="11"/>
  <c r="E241" i="11"/>
  <c r="O240" i="11" a="1"/>
  <c r="O240" i="11" s="1"/>
  <c r="M240" i="11" a="1"/>
  <c r="M240" i="11" s="1"/>
  <c r="L240" i="11" a="1"/>
  <c r="L240" i="11" s="1"/>
  <c r="N240" i="11" s="1"/>
  <c r="J240" i="11"/>
  <c r="Y240" i="11" s="1"/>
  <c r="I240" i="11"/>
  <c r="H240" i="11"/>
  <c r="R240" i="11" s="1"/>
  <c r="G240" i="11"/>
  <c r="F240" i="11"/>
  <c r="E240" i="11"/>
  <c r="O239" i="11" a="1"/>
  <c r="O239" i="11" s="1"/>
  <c r="M239" i="11" a="1"/>
  <c r="M239" i="11" s="1"/>
  <c r="L239" i="11" a="1"/>
  <c r="L239" i="11" s="1"/>
  <c r="J239" i="11"/>
  <c r="W239" i="11" s="1"/>
  <c r="I239" i="11"/>
  <c r="H239" i="11"/>
  <c r="R239" i="11" s="1"/>
  <c r="G239" i="11"/>
  <c r="F239" i="11"/>
  <c r="E239" i="11"/>
  <c r="Y238" i="11"/>
  <c r="O238" i="11" a="1"/>
  <c r="O238" i="11" s="1"/>
  <c r="M238" i="11" a="1"/>
  <c r="M238" i="11" s="1"/>
  <c r="L238" i="11" a="1"/>
  <c r="L238" i="11" s="1"/>
  <c r="N238" i="11" s="1"/>
  <c r="J238" i="11"/>
  <c r="W238" i="11" s="1"/>
  <c r="I238" i="11"/>
  <c r="H238" i="11"/>
  <c r="R238" i="11" s="1"/>
  <c r="G238" i="11"/>
  <c r="F238" i="11"/>
  <c r="E238" i="11"/>
  <c r="O237" i="11" a="1"/>
  <c r="O237" i="11" s="1"/>
  <c r="M237" i="11" a="1"/>
  <c r="M237" i="11" s="1"/>
  <c r="L237" i="11" a="1"/>
  <c r="L237" i="11" s="1"/>
  <c r="N237" i="11" s="1"/>
  <c r="J237" i="11"/>
  <c r="I237" i="11"/>
  <c r="H237" i="11"/>
  <c r="R237" i="11" s="1"/>
  <c r="G237" i="11"/>
  <c r="F237" i="11"/>
  <c r="E237" i="11"/>
  <c r="O236" i="11" a="1"/>
  <c r="O236" i="11" s="1"/>
  <c r="M236" i="11" a="1"/>
  <c r="M236" i="11" s="1"/>
  <c r="L236" i="11" a="1"/>
  <c r="L236" i="11" s="1"/>
  <c r="N236" i="11" s="1"/>
  <c r="J236" i="11"/>
  <c r="Y236" i="11" s="1"/>
  <c r="I236" i="11"/>
  <c r="H236" i="11"/>
  <c r="R236" i="11" s="1"/>
  <c r="G236" i="11"/>
  <c r="F236" i="11"/>
  <c r="E236" i="11"/>
  <c r="Y235" i="11"/>
  <c r="O235" i="11" a="1"/>
  <c r="O235" i="11" s="1"/>
  <c r="M235" i="11" a="1"/>
  <c r="M235" i="11" s="1"/>
  <c r="L235" i="11" a="1"/>
  <c r="L235" i="11" s="1"/>
  <c r="N235" i="11" s="1"/>
  <c r="J235" i="11"/>
  <c r="W235" i="11" s="1"/>
  <c r="I235" i="11"/>
  <c r="H235" i="11"/>
  <c r="R235" i="11" s="1"/>
  <c r="G235" i="11"/>
  <c r="F235" i="11"/>
  <c r="E235" i="11"/>
  <c r="O234" i="11" a="1"/>
  <c r="O234" i="11" s="1"/>
  <c r="M234" i="11" a="1"/>
  <c r="M234" i="11" s="1"/>
  <c r="L234" i="11" a="1"/>
  <c r="L234" i="11" s="1"/>
  <c r="N234" i="11" s="1"/>
  <c r="J234" i="11"/>
  <c r="W234" i="11" s="1"/>
  <c r="I234" i="11"/>
  <c r="H234" i="11"/>
  <c r="R234" i="11" s="1"/>
  <c r="G234" i="11"/>
  <c r="F234" i="11"/>
  <c r="E234" i="11"/>
  <c r="O233" i="11" a="1"/>
  <c r="O233" i="11" s="1"/>
  <c r="M233" i="11" a="1"/>
  <c r="M233" i="11" s="1"/>
  <c r="L233" i="11" a="1"/>
  <c r="L233" i="11" s="1"/>
  <c r="J233" i="11"/>
  <c r="W233" i="11" s="1"/>
  <c r="I233" i="11"/>
  <c r="H233" i="11"/>
  <c r="R233" i="11" s="1"/>
  <c r="G233" i="11"/>
  <c r="F233" i="11"/>
  <c r="E233" i="11"/>
  <c r="O232" i="11" a="1"/>
  <c r="O232" i="11" s="1"/>
  <c r="M232" i="11" a="1"/>
  <c r="M232" i="11" s="1"/>
  <c r="L232" i="11" a="1"/>
  <c r="L232" i="11" s="1"/>
  <c r="N232" i="11" s="1"/>
  <c r="J232" i="11"/>
  <c r="Y232" i="11" s="1"/>
  <c r="I232" i="11"/>
  <c r="H232" i="11"/>
  <c r="R232" i="11" s="1"/>
  <c r="G232" i="11"/>
  <c r="F232" i="11"/>
  <c r="E232" i="11"/>
  <c r="O231" i="11" a="1"/>
  <c r="O231" i="11" s="1"/>
  <c r="M231" i="11" a="1"/>
  <c r="M231" i="11" s="1"/>
  <c r="L231" i="11" a="1"/>
  <c r="L231" i="11" s="1"/>
  <c r="N231" i="11" s="1"/>
  <c r="J231" i="11"/>
  <c r="W231" i="11" s="1"/>
  <c r="I231" i="11"/>
  <c r="H231" i="11"/>
  <c r="R231" i="11" s="1"/>
  <c r="G231" i="11"/>
  <c r="F231" i="11"/>
  <c r="E231" i="11"/>
  <c r="O230" i="11" a="1"/>
  <c r="O230" i="11" s="1"/>
  <c r="M230" i="11" a="1"/>
  <c r="M230" i="11" s="1"/>
  <c r="L230" i="11" a="1"/>
  <c r="L230" i="11" s="1"/>
  <c r="N230" i="11" s="1"/>
  <c r="J230" i="11"/>
  <c r="I230" i="11"/>
  <c r="H230" i="11"/>
  <c r="R230" i="11" s="1"/>
  <c r="G230" i="11"/>
  <c r="F230" i="11"/>
  <c r="E230" i="11"/>
  <c r="O229" i="11" a="1"/>
  <c r="O229" i="11" s="1"/>
  <c r="M229" i="11" a="1"/>
  <c r="M229" i="11" s="1"/>
  <c r="L229" i="11" a="1"/>
  <c r="L229" i="11" s="1"/>
  <c r="N229" i="11" s="1"/>
  <c r="J229" i="11"/>
  <c r="I229" i="11"/>
  <c r="H229" i="11"/>
  <c r="R229" i="11" s="1"/>
  <c r="G229" i="11"/>
  <c r="F229" i="11"/>
  <c r="E229" i="11"/>
  <c r="O228" i="11" a="1"/>
  <c r="O228" i="11" s="1"/>
  <c r="M228" i="11" a="1"/>
  <c r="M228" i="11" s="1"/>
  <c r="L228" i="11" a="1"/>
  <c r="L228" i="11" s="1"/>
  <c r="N228" i="11" s="1"/>
  <c r="J228" i="11"/>
  <c r="I228" i="11"/>
  <c r="H228" i="11"/>
  <c r="R228" i="11" s="1"/>
  <c r="G228" i="11"/>
  <c r="F228" i="11"/>
  <c r="E228" i="11"/>
  <c r="O227" i="11" a="1"/>
  <c r="O227" i="11" s="1"/>
  <c r="M227" i="11" a="1"/>
  <c r="M227" i="11" s="1"/>
  <c r="L227" i="11" a="1"/>
  <c r="L227" i="11" s="1"/>
  <c r="N227" i="11" s="1"/>
  <c r="J227" i="11"/>
  <c r="I227" i="11"/>
  <c r="H227" i="11"/>
  <c r="R227" i="11" s="1"/>
  <c r="G227" i="11"/>
  <c r="F227" i="11"/>
  <c r="E227" i="11"/>
  <c r="O226" i="11" a="1"/>
  <c r="O226" i="11" s="1"/>
  <c r="M226" i="11" a="1"/>
  <c r="M226" i="11" s="1"/>
  <c r="L226" i="11" a="1"/>
  <c r="L226" i="11" s="1"/>
  <c r="N226" i="11" s="1"/>
  <c r="J226" i="11"/>
  <c r="I226" i="11"/>
  <c r="H226" i="11"/>
  <c r="R226" i="11" s="1"/>
  <c r="G226" i="11"/>
  <c r="F226" i="11"/>
  <c r="E226" i="11"/>
  <c r="O225" i="11" a="1"/>
  <c r="O225" i="11" s="1"/>
  <c r="M225" i="11" a="1"/>
  <c r="M225" i="11" s="1"/>
  <c r="L225" i="11" a="1"/>
  <c r="L225" i="11" s="1"/>
  <c r="N225" i="11" s="1"/>
  <c r="J225" i="11"/>
  <c r="I225" i="11"/>
  <c r="H225" i="11"/>
  <c r="R225" i="11" s="1"/>
  <c r="G225" i="11"/>
  <c r="F225" i="11"/>
  <c r="E225" i="11"/>
  <c r="R224" i="11"/>
  <c r="O224" i="11" a="1"/>
  <c r="O224" i="11" s="1"/>
  <c r="M224" i="11" a="1"/>
  <c r="M224" i="11" s="1"/>
  <c r="L224" i="11" a="1"/>
  <c r="L224" i="11" s="1"/>
  <c r="N224" i="11" s="1"/>
  <c r="J224" i="11"/>
  <c r="W224" i="11" s="1"/>
  <c r="I224" i="11"/>
  <c r="H224" i="11"/>
  <c r="G224" i="11"/>
  <c r="F224" i="11"/>
  <c r="E224" i="11"/>
  <c r="O223" i="11" a="1"/>
  <c r="O223" i="11" s="1"/>
  <c r="M223" i="11" a="1"/>
  <c r="M223" i="11" s="1"/>
  <c r="L223" i="11" a="1"/>
  <c r="L223" i="11" s="1"/>
  <c r="N223" i="11" s="1"/>
  <c r="J223" i="11"/>
  <c r="I223" i="11"/>
  <c r="H223" i="11"/>
  <c r="R223" i="11" s="1"/>
  <c r="G223" i="11"/>
  <c r="F223" i="11"/>
  <c r="E223" i="11"/>
  <c r="O222" i="11" a="1"/>
  <c r="O222" i="11" s="1"/>
  <c r="M222" i="11" a="1"/>
  <c r="M222" i="11" s="1"/>
  <c r="L222" i="11" a="1"/>
  <c r="L222" i="11" s="1"/>
  <c r="N222" i="11" s="1"/>
  <c r="J222" i="11"/>
  <c r="W222" i="11" s="1"/>
  <c r="I222" i="11"/>
  <c r="H222" i="11"/>
  <c r="R222" i="11" s="1"/>
  <c r="G222" i="11"/>
  <c r="F222" i="11"/>
  <c r="E222" i="11"/>
  <c r="R221" i="11"/>
  <c r="O221" i="11" a="1"/>
  <c r="O221" i="11" s="1"/>
  <c r="M221" i="11" a="1"/>
  <c r="M221" i="11" s="1"/>
  <c r="L221" i="11" a="1"/>
  <c r="L221" i="11" s="1"/>
  <c r="N221" i="11" s="1"/>
  <c r="J221" i="11"/>
  <c r="I221" i="11"/>
  <c r="H221" i="11"/>
  <c r="G221" i="11"/>
  <c r="F221" i="11"/>
  <c r="E221" i="11"/>
  <c r="O220" i="11" a="1"/>
  <c r="O220" i="11" s="1"/>
  <c r="M220" i="11" a="1"/>
  <c r="M220" i="11" s="1"/>
  <c r="L220" i="11" a="1"/>
  <c r="L220" i="11" s="1"/>
  <c r="N220" i="11" s="1"/>
  <c r="J220" i="11"/>
  <c r="Y220" i="11" s="1"/>
  <c r="I220" i="11"/>
  <c r="H220" i="11"/>
  <c r="R220" i="11" s="1"/>
  <c r="G220" i="11"/>
  <c r="F220" i="11"/>
  <c r="E220" i="11"/>
  <c r="O219" i="11" a="1"/>
  <c r="O219" i="11" s="1"/>
  <c r="M219" i="11" a="1"/>
  <c r="M219" i="11" s="1"/>
  <c r="L219" i="11" a="1"/>
  <c r="L219" i="11" s="1"/>
  <c r="N219" i="11" s="1"/>
  <c r="J219" i="11"/>
  <c r="W219" i="11" s="1"/>
  <c r="I219" i="11"/>
  <c r="H219" i="11"/>
  <c r="R219" i="11" s="1"/>
  <c r="G219" i="11"/>
  <c r="F219" i="11"/>
  <c r="S219" i="11" s="1"/>
  <c r="E219" i="11"/>
  <c r="O218" i="11" a="1"/>
  <c r="O218" i="11" s="1"/>
  <c r="M218" i="11" a="1"/>
  <c r="M218" i="11" s="1"/>
  <c r="L218" i="11" a="1"/>
  <c r="L218" i="11" s="1"/>
  <c r="J218" i="11"/>
  <c r="I218" i="11"/>
  <c r="H218" i="11"/>
  <c r="R218" i="11" s="1"/>
  <c r="G218" i="11"/>
  <c r="F218" i="11"/>
  <c r="E218" i="11"/>
  <c r="O217" i="11" a="1"/>
  <c r="O217" i="11" s="1"/>
  <c r="M217" i="11" a="1"/>
  <c r="M217" i="11" s="1"/>
  <c r="L217" i="11" a="1"/>
  <c r="L217" i="11" s="1"/>
  <c r="N217" i="11" s="1"/>
  <c r="J217" i="11"/>
  <c r="I217" i="11"/>
  <c r="H217" i="11"/>
  <c r="R217" i="11" s="1"/>
  <c r="G217" i="11"/>
  <c r="F217" i="11"/>
  <c r="E217" i="11"/>
  <c r="O216" i="11" a="1"/>
  <c r="O216" i="11" s="1"/>
  <c r="M216" i="11" a="1"/>
  <c r="M216" i="11" s="1"/>
  <c r="L216" i="11" a="1"/>
  <c r="L216" i="11" s="1"/>
  <c r="N216" i="11" s="1"/>
  <c r="J216" i="11"/>
  <c r="I216" i="11"/>
  <c r="H216" i="11"/>
  <c r="R216" i="11" s="1"/>
  <c r="G216" i="11"/>
  <c r="F216" i="11"/>
  <c r="E216" i="11"/>
  <c r="Y215" i="11"/>
  <c r="O215" i="11" a="1"/>
  <c r="O215" i="11" s="1"/>
  <c r="M215" i="11" a="1"/>
  <c r="M215" i="11" s="1"/>
  <c r="L215" i="11" a="1"/>
  <c r="L215" i="11" s="1"/>
  <c r="J215" i="11"/>
  <c r="W215" i="11" s="1"/>
  <c r="I215" i="11"/>
  <c r="H215" i="11"/>
  <c r="R215" i="11" s="1"/>
  <c r="G215" i="11"/>
  <c r="F215" i="11"/>
  <c r="E215" i="11"/>
  <c r="O214" i="11" a="1"/>
  <c r="O214" i="11" s="1"/>
  <c r="M214" i="11" a="1"/>
  <c r="M214" i="11" s="1"/>
  <c r="L214" i="11" a="1"/>
  <c r="L214" i="11" s="1"/>
  <c r="N214" i="11" s="1"/>
  <c r="J214" i="11"/>
  <c r="Y214" i="11" s="1"/>
  <c r="I214" i="11"/>
  <c r="H214" i="11"/>
  <c r="R214" i="11" s="1"/>
  <c r="G214" i="11"/>
  <c r="F214" i="11"/>
  <c r="E214" i="11"/>
  <c r="O213" i="11" a="1"/>
  <c r="O213" i="11" s="1"/>
  <c r="M213" i="11" a="1"/>
  <c r="M213" i="11" s="1"/>
  <c r="L213" i="11" a="1"/>
  <c r="L213" i="11" s="1"/>
  <c r="N213" i="11" s="1"/>
  <c r="J213" i="11"/>
  <c r="I213" i="11"/>
  <c r="H213" i="11"/>
  <c r="R213" i="11" s="1"/>
  <c r="G213" i="11"/>
  <c r="F213" i="11"/>
  <c r="E213" i="11"/>
  <c r="O212" i="11" a="1"/>
  <c r="O212" i="11" s="1"/>
  <c r="M212" i="11" a="1"/>
  <c r="M212" i="11" s="1"/>
  <c r="L212" i="11" a="1"/>
  <c r="L212" i="11" s="1"/>
  <c r="N212" i="11" s="1"/>
  <c r="J212" i="11"/>
  <c r="Y212" i="11" s="1"/>
  <c r="I212" i="11"/>
  <c r="H212" i="11"/>
  <c r="R212" i="11" s="1"/>
  <c r="G212" i="11"/>
  <c r="F212" i="11"/>
  <c r="E212" i="11"/>
  <c r="O211" i="11" a="1"/>
  <c r="O211" i="11" s="1"/>
  <c r="M211" i="11" a="1"/>
  <c r="M211" i="11" s="1"/>
  <c r="L211" i="11" a="1"/>
  <c r="L211" i="11" s="1"/>
  <c r="N211" i="11" s="1"/>
  <c r="J211" i="11"/>
  <c r="I211" i="11"/>
  <c r="H211" i="11"/>
  <c r="R211" i="11" s="1"/>
  <c r="G211" i="11"/>
  <c r="F211" i="11"/>
  <c r="E211" i="11"/>
  <c r="O210" i="11" a="1"/>
  <c r="O210" i="11" s="1"/>
  <c r="M210" i="11" a="1"/>
  <c r="M210" i="11" s="1"/>
  <c r="L210" i="11" a="1"/>
  <c r="L210" i="11" s="1"/>
  <c r="N210" i="11" s="1"/>
  <c r="J210" i="11"/>
  <c r="W210" i="11" s="1"/>
  <c r="I210" i="11"/>
  <c r="H210" i="11"/>
  <c r="R210" i="11" s="1"/>
  <c r="G210" i="11"/>
  <c r="F210" i="11"/>
  <c r="E210" i="11"/>
  <c r="W209" i="11"/>
  <c r="O209" i="11" a="1"/>
  <c r="O209" i="11" s="1"/>
  <c r="M209" i="11" a="1"/>
  <c r="M209" i="11" s="1"/>
  <c r="L209" i="11" a="1"/>
  <c r="L209" i="11" s="1"/>
  <c r="N209" i="11" s="1"/>
  <c r="J209" i="11"/>
  <c r="Y209" i="11" s="1"/>
  <c r="I209" i="11"/>
  <c r="H209" i="11"/>
  <c r="R209" i="11" s="1"/>
  <c r="G209" i="11"/>
  <c r="F209" i="11"/>
  <c r="E209" i="11"/>
  <c r="O208" i="11" a="1"/>
  <c r="O208" i="11" s="1"/>
  <c r="M208" i="11" a="1"/>
  <c r="M208" i="11" s="1"/>
  <c r="L208" i="11" a="1"/>
  <c r="L208" i="11" s="1"/>
  <c r="N208" i="11" s="1"/>
  <c r="J208" i="11"/>
  <c r="I208" i="11"/>
  <c r="H208" i="11"/>
  <c r="R208" i="11" s="1"/>
  <c r="G208" i="11"/>
  <c r="F208" i="11"/>
  <c r="E208" i="11"/>
  <c r="O207" i="11" a="1"/>
  <c r="O207" i="11" s="1"/>
  <c r="M207" i="11" a="1"/>
  <c r="M207" i="11" s="1"/>
  <c r="L207" i="11" a="1"/>
  <c r="L207" i="11" s="1"/>
  <c r="N207" i="11" s="1"/>
  <c r="J207" i="11"/>
  <c r="I207" i="11"/>
  <c r="H207" i="11"/>
  <c r="R207" i="11" s="1"/>
  <c r="G207" i="11"/>
  <c r="F207" i="11"/>
  <c r="E207" i="11"/>
  <c r="O206" i="11" a="1"/>
  <c r="O206" i="11" s="1"/>
  <c r="M206" i="11" a="1"/>
  <c r="M206" i="11" s="1"/>
  <c r="L206" i="11" a="1"/>
  <c r="L206" i="11" s="1"/>
  <c r="N206" i="11" s="1"/>
  <c r="J206" i="11"/>
  <c r="Y206" i="11" s="1"/>
  <c r="I206" i="11"/>
  <c r="H206" i="11"/>
  <c r="R206" i="11" s="1"/>
  <c r="G206" i="11"/>
  <c r="F206" i="11"/>
  <c r="E206" i="11"/>
  <c r="O205" i="11" a="1"/>
  <c r="O205" i="11" s="1"/>
  <c r="M205" i="11" a="1"/>
  <c r="M205" i="11" s="1"/>
  <c r="L205" i="11" a="1"/>
  <c r="L205" i="11" s="1"/>
  <c r="N205" i="11" s="1"/>
  <c r="J205" i="11"/>
  <c r="I205" i="11"/>
  <c r="H205" i="11"/>
  <c r="R205" i="11" s="1"/>
  <c r="G205" i="11"/>
  <c r="F205" i="11"/>
  <c r="E205" i="11"/>
  <c r="O204" i="11" a="1"/>
  <c r="O204" i="11" s="1"/>
  <c r="M204" i="11" a="1"/>
  <c r="M204" i="11" s="1"/>
  <c r="L204" i="11" a="1"/>
  <c r="L204" i="11" s="1"/>
  <c r="N204" i="11" s="1"/>
  <c r="J204" i="11"/>
  <c r="I204" i="11"/>
  <c r="H204" i="11"/>
  <c r="R204" i="11" s="1"/>
  <c r="G204" i="11"/>
  <c r="F204" i="11"/>
  <c r="E204" i="11"/>
  <c r="O203" i="11" a="1"/>
  <c r="O203" i="11" s="1"/>
  <c r="M203" i="11" a="1"/>
  <c r="M203" i="11" s="1"/>
  <c r="L203" i="11" a="1"/>
  <c r="L203" i="11" s="1"/>
  <c r="N203" i="11" s="1"/>
  <c r="J203" i="11"/>
  <c r="I203" i="11"/>
  <c r="H203" i="11"/>
  <c r="R203" i="11" s="1"/>
  <c r="G203" i="11"/>
  <c r="F203" i="11"/>
  <c r="E203" i="11"/>
  <c r="O202" i="11" a="1"/>
  <c r="O202" i="11" s="1"/>
  <c r="M202" i="11" a="1"/>
  <c r="M202" i="11" s="1"/>
  <c r="L202" i="11" a="1"/>
  <c r="L202" i="11" s="1"/>
  <c r="N202" i="11" s="1"/>
  <c r="J202" i="11"/>
  <c r="I202" i="11"/>
  <c r="H202" i="11"/>
  <c r="R202" i="11" s="1"/>
  <c r="G202" i="11"/>
  <c r="F202" i="11"/>
  <c r="E202" i="11"/>
  <c r="O201" i="11" a="1"/>
  <c r="O201" i="11" s="1"/>
  <c r="M201" i="11" a="1"/>
  <c r="M201" i="11" s="1"/>
  <c r="L201" i="11" a="1"/>
  <c r="L201" i="11" s="1"/>
  <c r="J201" i="11"/>
  <c r="W201" i="11" s="1"/>
  <c r="I201" i="11"/>
  <c r="H201" i="11"/>
  <c r="R201" i="11" s="1"/>
  <c r="G201" i="11"/>
  <c r="F201" i="11"/>
  <c r="E201" i="11"/>
  <c r="O200" i="11" a="1"/>
  <c r="O200" i="11" s="1"/>
  <c r="M200" i="11" a="1"/>
  <c r="M200" i="11" s="1"/>
  <c r="L200" i="11" a="1"/>
  <c r="L200" i="11" s="1"/>
  <c r="N200" i="11" s="1"/>
  <c r="J200" i="11"/>
  <c r="W200" i="11" s="1"/>
  <c r="I200" i="11"/>
  <c r="H200" i="11"/>
  <c r="R200" i="11" s="1"/>
  <c r="G200" i="11"/>
  <c r="F200" i="11"/>
  <c r="E200" i="11"/>
  <c r="O199" i="11" a="1"/>
  <c r="O199" i="11" s="1"/>
  <c r="M199" i="11" a="1"/>
  <c r="M199" i="11" s="1"/>
  <c r="L199" i="11" a="1"/>
  <c r="L199" i="11" s="1"/>
  <c r="J199" i="11"/>
  <c r="I199" i="11"/>
  <c r="H199" i="11"/>
  <c r="R199" i="11" s="1"/>
  <c r="G199" i="11"/>
  <c r="F199" i="11"/>
  <c r="E199" i="11"/>
  <c r="O198" i="11" a="1"/>
  <c r="O198" i="11" s="1"/>
  <c r="M198" i="11" a="1"/>
  <c r="M198" i="11" s="1"/>
  <c r="L198" i="11" a="1"/>
  <c r="L198" i="11" s="1"/>
  <c r="N198" i="11" s="1"/>
  <c r="J198" i="11"/>
  <c r="W198" i="11" s="1"/>
  <c r="I198" i="11"/>
  <c r="H198" i="11"/>
  <c r="R198" i="11" s="1"/>
  <c r="G198" i="11"/>
  <c r="F198" i="11"/>
  <c r="E198" i="11"/>
  <c r="Y197" i="11"/>
  <c r="W197" i="11"/>
  <c r="O197" i="11" a="1"/>
  <c r="O197" i="11" s="1"/>
  <c r="M197" i="11" a="1"/>
  <c r="M197" i="11" s="1"/>
  <c r="L197" i="11" a="1"/>
  <c r="L197" i="11" s="1"/>
  <c r="N197" i="11" s="1"/>
  <c r="J197" i="11"/>
  <c r="I197" i="11"/>
  <c r="H197" i="11"/>
  <c r="R197" i="11" s="1"/>
  <c r="G197" i="11"/>
  <c r="F197" i="11"/>
  <c r="E197" i="11"/>
  <c r="O196" i="11" a="1"/>
  <c r="O196" i="11" s="1"/>
  <c r="M196" i="11" a="1"/>
  <c r="M196" i="11" s="1"/>
  <c r="L196" i="11" a="1"/>
  <c r="L196" i="11" s="1"/>
  <c r="N196" i="11" s="1"/>
  <c r="J196" i="11"/>
  <c r="W196" i="11" s="1"/>
  <c r="I196" i="11"/>
  <c r="H196" i="11"/>
  <c r="R196" i="11" s="1"/>
  <c r="G196" i="11"/>
  <c r="F196" i="11"/>
  <c r="E196" i="11"/>
  <c r="O195" i="11" a="1"/>
  <c r="O195" i="11" s="1"/>
  <c r="M195" i="11" a="1"/>
  <c r="M195" i="11" s="1"/>
  <c r="L195" i="11" a="1"/>
  <c r="L195" i="11" s="1"/>
  <c r="N195" i="11" s="1"/>
  <c r="J195" i="11"/>
  <c r="W195" i="11" s="1"/>
  <c r="I195" i="11"/>
  <c r="H195" i="11"/>
  <c r="R195" i="11" s="1"/>
  <c r="G195" i="11"/>
  <c r="F195" i="11"/>
  <c r="E195" i="11"/>
  <c r="O194" i="11" a="1"/>
  <c r="O194" i="11" s="1"/>
  <c r="M194" i="11" a="1"/>
  <c r="M194" i="11" s="1"/>
  <c r="L194" i="11" a="1"/>
  <c r="L194" i="11" s="1"/>
  <c r="N194" i="11" s="1"/>
  <c r="J194" i="11"/>
  <c r="Y194" i="11" s="1"/>
  <c r="I194" i="11"/>
  <c r="H194" i="11"/>
  <c r="R194" i="11" s="1"/>
  <c r="G194" i="11"/>
  <c r="F194" i="11"/>
  <c r="E194" i="11"/>
  <c r="O193" i="11" a="1"/>
  <c r="O193" i="11" s="1"/>
  <c r="M193" i="11" a="1"/>
  <c r="M193" i="11" s="1"/>
  <c r="L193" i="11" a="1"/>
  <c r="L193" i="11" s="1"/>
  <c r="N193" i="11" s="1"/>
  <c r="J193" i="11"/>
  <c r="I193" i="11"/>
  <c r="H193" i="11"/>
  <c r="R193" i="11" s="1"/>
  <c r="G193" i="11"/>
  <c r="F193" i="11"/>
  <c r="E193" i="11"/>
  <c r="O192" i="11" a="1"/>
  <c r="O192" i="11" s="1"/>
  <c r="M192" i="11" a="1"/>
  <c r="M192" i="11" s="1"/>
  <c r="L192" i="11" a="1"/>
  <c r="L192" i="11" s="1"/>
  <c r="N192" i="11" s="1"/>
  <c r="J192" i="11"/>
  <c r="I192" i="11"/>
  <c r="H192" i="11"/>
  <c r="R192" i="11" s="1"/>
  <c r="G192" i="11"/>
  <c r="F192" i="11"/>
  <c r="E192" i="11"/>
  <c r="O191" i="11" a="1"/>
  <c r="O191" i="11" s="1"/>
  <c r="M191" i="11" a="1"/>
  <c r="M191" i="11" s="1"/>
  <c r="L191" i="11" a="1"/>
  <c r="L191" i="11" s="1"/>
  <c r="N191" i="11" s="1"/>
  <c r="J191" i="11"/>
  <c r="I191" i="11"/>
  <c r="H191" i="11"/>
  <c r="R191" i="11" s="1"/>
  <c r="G191" i="11"/>
  <c r="F191" i="11"/>
  <c r="E191" i="11"/>
  <c r="O190" i="11" a="1"/>
  <c r="O190" i="11" s="1"/>
  <c r="M190" i="11" a="1"/>
  <c r="M190" i="11" s="1"/>
  <c r="L190" i="11" a="1"/>
  <c r="L190" i="11" s="1"/>
  <c r="J190" i="11"/>
  <c r="I190" i="11"/>
  <c r="H190" i="11"/>
  <c r="R190" i="11" s="1"/>
  <c r="G190" i="11"/>
  <c r="F190" i="11"/>
  <c r="E190" i="11"/>
  <c r="O189" i="11" a="1"/>
  <c r="O189" i="11" s="1"/>
  <c r="M189" i="11" a="1"/>
  <c r="M189" i="11" s="1"/>
  <c r="L189" i="11" a="1"/>
  <c r="L189" i="11" s="1"/>
  <c r="J189" i="11"/>
  <c r="I189" i="11"/>
  <c r="H189" i="11"/>
  <c r="R189" i="11" s="1"/>
  <c r="G189" i="11"/>
  <c r="F189" i="11"/>
  <c r="E189" i="11"/>
  <c r="O188" i="11" a="1"/>
  <c r="O188" i="11" s="1"/>
  <c r="M188" i="11" a="1"/>
  <c r="M188" i="11" s="1"/>
  <c r="L188" i="11" a="1"/>
  <c r="L188" i="11" s="1"/>
  <c r="J188" i="11"/>
  <c r="I188" i="11"/>
  <c r="H188" i="11"/>
  <c r="R188" i="11" s="1"/>
  <c r="G188" i="11"/>
  <c r="F188" i="11"/>
  <c r="E188" i="11"/>
  <c r="O187" i="11" a="1"/>
  <c r="O187" i="11" s="1"/>
  <c r="M187" i="11" a="1"/>
  <c r="M187" i="11" s="1"/>
  <c r="L187" i="11" a="1"/>
  <c r="L187" i="11" s="1"/>
  <c r="N187" i="11" s="1"/>
  <c r="J187" i="11"/>
  <c r="Y187" i="11" s="1"/>
  <c r="I187" i="11"/>
  <c r="H187" i="11"/>
  <c r="R187" i="11" s="1"/>
  <c r="G187" i="11"/>
  <c r="F187" i="11"/>
  <c r="E187" i="11"/>
  <c r="O186" i="11" a="1"/>
  <c r="O186" i="11" s="1"/>
  <c r="M186" i="11" a="1"/>
  <c r="M186" i="11" s="1"/>
  <c r="L186" i="11" a="1"/>
  <c r="L186" i="11" s="1"/>
  <c r="J186" i="11"/>
  <c r="I186" i="11"/>
  <c r="H186" i="11"/>
  <c r="R186" i="11" s="1"/>
  <c r="G186" i="11"/>
  <c r="F186" i="11"/>
  <c r="E186" i="11"/>
  <c r="W185" i="11"/>
  <c r="R185" i="11"/>
  <c r="O185" i="11" a="1"/>
  <c r="O185" i="11" s="1"/>
  <c r="M185" i="11" a="1"/>
  <c r="M185" i="11" s="1"/>
  <c r="L185" i="11" a="1"/>
  <c r="L185" i="11" s="1"/>
  <c r="J185" i="11"/>
  <c r="Y185" i="11" s="1"/>
  <c r="I185" i="11"/>
  <c r="H185" i="11"/>
  <c r="G185" i="11"/>
  <c r="F185" i="11"/>
  <c r="E185" i="11"/>
  <c r="O184" i="11" a="1"/>
  <c r="O184" i="11" s="1"/>
  <c r="M184" i="11" a="1"/>
  <c r="M184" i="11" s="1"/>
  <c r="L184" i="11" a="1"/>
  <c r="L184" i="11" s="1"/>
  <c r="N184" i="11" s="1"/>
  <c r="J184" i="11"/>
  <c r="I184" i="11"/>
  <c r="H184" i="11"/>
  <c r="R184" i="11" s="1"/>
  <c r="G184" i="11"/>
  <c r="F184" i="11"/>
  <c r="E184" i="11"/>
  <c r="O183" i="11" a="1"/>
  <c r="O183" i="11" s="1"/>
  <c r="M183" i="11" a="1"/>
  <c r="M183" i="11" s="1"/>
  <c r="L183" i="11" a="1"/>
  <c r="L183" i="11" s="1"/>
  <c r="N183" i="11" s="1"/>
  <c r="J183" i="11"/>
  <c r="I183" i="11"/>
  <c r="H183" i="11"/>
  <c r="R183" i="11" s="1"/>
  <c r="G183" i="11"/>
  <c r="F183" i="11"/>
  <c r="E183" i="11"/>
  <c r="O182" i="11" a="1"/>
  <c r="O182" i="11" s="1"/>
  <c r="M182" i="11" a="1"/>
  <c r="M182" i="11" s="1"/>
  <c r="L182" i="11" a="1"/>
  <c r="L182" i="11" s="1"/>
  <c r="N182" i="11" s="1"/>
  <c r="J182" i="11"/>
  <c r="I182" i="11"/>
  <c r="H182" i="11"/>
  <c r="R182" i="11" s="1"/>
  <c r="G182" i="11"/>
  <c r="F182" i="11"/>
  <c r="E182" i="11"/>
  <c r="O181" i="11" a="1"/>
  <c r="O181" i="11" s="1"/>
  <c r="M181" i="11" a="1"/>
  <c r="M181" i="11" s="1"/>
  <c r="L181" i="11" a="1"/>
  <c r="L181" i="11" s="1"/>
  <c r="N181" i="11" s="1"/>
  <c r="J181" i="11"/>
  <c r="Y181" i="11" s="1"/>
  <c r="I181" i="11"/>
  <c r="H181" i="11"/>
  <c r="R181" i="11" s="1"/>
  <c r="G181" i="11"/>
  <c r="F181" i="11"/>
  <c r="E181" i="11"/>
  <c r="O180" i="11" a="1"/>
  <c r="O180" i="11" s="1"/>
  <c r="M180" i="11" a="1"/>
  <c r="M180" i="11" s="1"/>
  <c r="L180" i="11" a="1"/>
  <c r="L180" i="11" s="1"/>
  <c r="N180" i="11" s="1"/>
  <c r="J180" i="11"/>
  <c r="I180" i="11"/>
  <c r="H180" i="11"/>
  <c r="R180" i="11" s="1"/>
  <c r="G180" i="11"/>
  <c r="F180" i="11"/>
  <c r="E180" i="11"/>
  <c r="O179" i="11" a="1"/>
  <c r="O179" i="11" s="1"/>
  <c r="M179" i="11" a="1"/>
  <c r="M179" i="11" s="1"/>
  <c r="L179" i="11" a="1"/>
  <c r="L179" i="11" s="1"/>
  <c r="N179" i="11" s="1"/>
  <c r="U179" i="11" s="1"/>
  <c r="J179" i="11"/>
  <c r="Y179" i="11" s="1"/>
  <c r="I179" i="11"/>
  <c r="H179" i="11"/>
  <c r="R179" i="11" s="1"/>
  <c r="G179" i="11"/>
  <c r="F179" i="11"/>
  <c r="E179" i="11"/>
  <c r="O178" i="11" a="1"/>
  <c r="O178" i="11" s="1"/>
  <c r="M178" i="11" a="1"/>
  <c r="M178" i="11" s="1"/>
  <c r="L178" i="11" a="1"/>
  <c r="L178" i="11" s="1"/>
  <c r="N178" i="11" s="1"/>
  <c r="J178" i="11"/>
  <c r="I178" i="11"/>
  <c r="H178" i="11"/>
  <c r="R178" i="11" s="1"/>
  <c r="G178" i="11"/>
  <c r="F178" i="11"/>
  <c r="E178" i="11"/>
  <c r="O177" i="11" a="1"/>
  <c r="O177" i="11" s="1"/>
  <c r="M177" i="11" a="1"/>
  <c r="M177" i="11" s="1"/>
  <c r="L177" i="11" a="1"/>
  <c r="L177" i="11" s="1"/>
  <c r="J177" i="11"/>
  <c r="I177" i="11"/>
  <c r="H177" i="11"/>
  <c r="R177" i="11" s="1"/>
  <c r="G177" i="11"/>
  <c r="F177" i="11"/>
  <c r="E177" i="11"/>
  <c r="O176" i="11" a="1"/>
  <c r="O176" i="11" s="1"/>
  <c r="M176" i="11" a="1"/>
  <c r="M176" i="11" s="1"/>
  <c r="L176" i="11" a="1"/>
  <c r="L176" i="11" s="1"/>
  <c r="N176" i="11" s="1"/>
  <c r="J176" i="11"/>
  <c r="Y176" i="11" s="1"/>
  <c r="I176" i="11"/>
  <c r="V176" i="11" s="1"/>
  <c r="H176" i="11"/>
  <c r="R176" i="11" s="1"/>
  <c r="G176" i="11"/>
  <c r="F176" i="11"/>
  <c r="E176" i="11"/>
  <c r="O175" i="11" a="1"/>
  <c r="O175" i="11" s="1"/>
  <c r="X175" i="11" s="1"/>
  <c r="M175" i="11" a="1"/>
  <c r="M175" i="11" s="1"/>
  <c r="L175" i="11" a="1"/>
  <c r="L175" i="11" s="1"/>
  <c r="N175" i="11" s="1"/>
  <c r="J175" i="11"/>
  <c r="I175" i="11"/>
  <c r="H175" i="11"/>
  <c r="R175" i="11" s="1"/>
  <c r="G175" i="11"/>
  <c r="F175" i="11"/>
  <c r="E175" i="11"/>
  <c r="O174" i="11" a="1"/>
  <c r="O174" i="11" s="1"/>
  <c r="M174" i="11" a="1"/>
  <c r="M174" i="11" s="1"/>
  <c r="L174" i="11" a="1"/>
  <c r="L174" i="11" s="1"/>
  <c r="N174" i="11" s="1"/>
  <c r="J174" i="11"/>
  <c r="I174" i="11"/>
  <c r="H174" i="11"/>
  <c r="R174" i="11" s="1"/>
  <c r="G174" i="11"/>
  <c r="F174" i="11"/>
  <c r="E174" i="11"/>
  <c r="O173" i="11" a="1"/>
  <c r="O173" i="11" s="1"/>
  <c r="M173" i="11" a="1"/>
  <c r="M173" i="11" s="1"/>
  <c r="L173" i="11" a="1"/>
  <c r="L173" i="11" s="1"/>
  <c r="N173" i="11" s="1"/>
  <c r="J173" i="11"/>
  <c r="Y173" i="11" s="1"/>
  <c r="I173" i="11"/>
  <c r="H173" i="11"/>
  <c r="R173" i="11" s="1"/>
  <c r="G173" i="11"/>
  <c r="F173" i="11"/>
  <c r="E173" i="11"/>
  <c r="O172" i="11" a="1"/>
  <c r="O172" i="11" s="1"/>
  <c r="M172" i="11" a="1"/>
  <c r="M172" i="11" s="1"/>
  <c r="L172" i="11" a="1"/>
  <c r="L172" i="11" s="1"/>
  <c r="N172" i="11" s="1"/>
  <c r="J172" i="11"/>
  <c r="W172" i="11" s="1"/>
  <c r="I172" i="11"/>
  <c r="H172" i="11"/>
  <c r="R172" i="11" s="1"/>
  <c r="G172" i="11"/>
  <c r="F172" i="11"/>
  <c r="E172" i="11"/>
  <c r="T172" i="11" s="1"/>
  <c r="O171" i="11" a="1"/>
  <c r="O171" i="11" s="1"/>
  <c r="M171" i="11" a="1"/>
  <c r="M171" i="11" s="1"/>
  <c r="L171" i="11" a="1"/>
  <c r="L171" i="11" s="1"/>
  <c r="J171" i="11"/>
  <c r="W171" i="11" s="1"/>
  <c r="I171" i="11"/>
  <c r="H171" i="11"/>
  <c r="R171" i="11" s="1"/>
  <c r="G171" i="11"/>
  <c r="F171" i="11"/>
  <c r="E171" i="11"/>
  <c r="O170" i="11" a="1"/>
  <c r="O170" i="11" s="1"/>
  <c r="M170" i="11" a="1"/>
  <c r="M170" i="11" s="1"/>
  <c r="L170" i="11" a="1"/>
  <c r="L170" i="11" s="1"/>
  <c r="N170" i="11" s="1"/>
  <c r="J170" i="11"/>
  <c r="I170" i="11"/>
  <c r="H170" i="11"/>
  <c r="R170" i="11" s="1"/>
  <c r="G170" i="11"/>
  <c r="F170" i="11"/>
  <c r="E170" i="11"/>
  <c r="O169" i="11" a="1"/>
  <c r="O169" i="11" s="1"/>
  <c r="M169" i="11" a="1"/>
  <c r="M169" i="11" s="1"/>
  <c r="L169" i="11" a="1"/>
  <c r="L169" i="11" s="1"/>
  <c r="N169" i="11" s="1"/>
  <c r="J169" i="11"/>
  <c r="I169" i="11"/>
  <c r="H169" i="11"/>
  <c r="R169" i="11" s="1"/>
  <c r="G169" i="11"/>
  <c r="F169" i="11"/>
  <c r="S169" i="11" s="1"/>
  <c r="E169" i="11"/>
  <c r="O168" i="11" a="1"/>
  <c r="O168" i="11" s="1"/>
  <c r="M168" i="11" a="1"/>
  <c r="M168" i="11" s="1"/>
  <c r="L168" i="11" a="1"/>
  <c r="L168" i="11" s="1"/>
  <c r="N168" i="11" s="1"/>
  <c r="J168" i="11"/>
  <c r="W168" i="11" s="1"/>
  <c r="I168" i="11"/>
  <c r="H168" i="11"/>
  <c r="R168" i="11" s="1"/>
  <c r="G168" i="11"/>
  <c r="F168" i="11"/>
  <c r="E168" i="11"/>
  <c r="O167" i="11" a="1"/>
  <c r="O167" i="11" s="1"/>
  <c r="M167" i="11" a="1"/>
  <c r="M167" i="11" s="1"/>
  <c r="L167" i="11" a="1"/>
  <c r="L167" i="11" s="1"/>
  <c r="N167" i="11" s="1"/>
  <c r="J167" i="11"/>
  <c r="I167" i="11"/>
  <c r="H167" i="11"/>
  <c r="R167" i="11" s="1"/>
  <c r="G167" i="11"/>
  <c r="F167" i="11"/>
  <c r="E167" i="11"/>
  <c r="O166" i="11" a="1"/>
  <c r="O166" i="11" s="1"/>
  <c r="M166" i="11" a="1"/>
  <c r="M166" i="11" s="1"/>
  <c r="L166" i="11" a="1"/>
  <c r="L166" i="11" s="1"/>
  <c r="N166" i="11" s="1"/>
  <c r="J166" i="11"/>
  <c r="I166" i="11"/>
  <c r="H166" i="11"/>
  <c r="R166" i="11" s="1"/>
  <c r="G166" i="11"/>
  <c r="F166" i="11"/>
  <c r="E166" i="11"/>
  <c r="O165" i="11" a="1"/>
  <c r="O165" i="11" s="1"/>
  <c r="M165" i="11" a="1"/>
  <c r="M165" i="11" s="1"/>
  <c r="L165" i="11" a="1"/>
  <c r="L165" i="11" s="1"/>
  <c r="N165" i="11" s="1"/>
  <c r="J165" i="11"/>
  <c r="I165" i="11"/>
  <c r="H165" i="11"/>
  <c r="R165" i="11" s="1"/>
  <c r="G165" i="11"/>
  <c r="F165" i="11"/>
  <c r="E165" i="11"/>
  <c r="O164" i="11" a="1"/>
  <c r="O164" i="11" s="1"/>
  <c r="M164" i="11" a="1"/>
  <c r="M164" i="11" s="1"/>
  <c r="L164" i="11" a="1"/>
  <c r="L164" i="11" s="1"/>
  <c r="N164" i="11" s="1"/>
  <c r="J164" i="11"/>
  <c r="Y164" i="11" s="1"/>
  <c r="I164" i="11"/>
  <c r="H164" i="11"/>
  <c r="R164" i="11" s="1"/>
  <c r="G164" i="11"/>
  <c r="F164" i="11"/>
  <c r="E164" i="11"/>
  <c r="O163" i="11" a="1"/>
  <c r="O163" i="11" s="1"/>
  <c r="M163" i="11" a="1"/>
  <c r="M163" i="11" s="1"/>
  <c r="L163" i="11" a="1"/>
  <c r="L163" i="11" s="1"/>
  <c r="N163" i="11" s="1"/>
  <c r="J163" i="11"/>
  <c r="Y163" i="11" s="1"/>
  <c r="I163" i="11"/>
  <c r="H163" i="11"/>
  <c r="R163" i="11" s="1"/>
  <c r="G163" i="11"/>
  <c r="F163" i="11"/>
  <c r="E163" i="11"/>
  <c r="O162" i="11" a="1"/>
  <c r="O162" i="11" s="1"/>
  <c r="M162" i="11" a="1"/>
  <c r="M162" i="11" s="1"/>
  <c r="L162" i="11" a="1"/>
  <c r="L162" i="11" s="1"/>
  <c r="J162" i="11"/>
  <c r="Y162" i="11" s="1"/>
  <c r="I162" i="11"/>
  <c r="H162" i="11"/>
  <c r="R162" i="11" s="1"/>
  <c r="G162" i="11"/>
  <c r="F162" i="11"/>
  <c r="E162" i="11"/>
  <c r="O161" i="11" a="1"/>
  <c r="O161" i="11" s="1"/>
  <c r="M161" i="11" a="1"/>
  <c r="M161" i="11" s="1"/>
  <c r="L161" i="11" a="1"/>
  <c r="L161" i="11" s="1"/>
  <c r="N161" i="11" s="1"/>
  <c r="J161" i="11"/>
  <c r="I161" i="11"/>
  <c r="H161" i="11"/>
  <c r="R161" i="11" s="1"/>
  <c r="G161" i="11"/>
  <c r="F161" i="11"/>
  <c r="E161" i="11"/>
  <c r="O160" i="11" a="1"/>
  <c r="O160" i="11" s="1"/>
  <c r="M160" i="11" a="1"/>
  <c r="M160" i="11" s="1"/>
  <c r="L160" i="11" a="1"/>
  <c r="L160" i="11" s="1"/>
  <c r="N160" i="11" s="1"/>
  <c r="J160" i="11"/>
  <c r="I160" i="11"/>
  <c r="H160" i="11"/>
  <c r="R160" i="11" s="1"/>
  <c r="G160" i="11"/>
  <c r="F160" i="11"/>
  <c r="E160" i="11"/>
  <c r="O159" i="11" a="1"/>
  <c r="O159" i="11" s="1"/>
  <c r="M159" i="11" a="1"/>
  <c r="M159" i="11" s="1"/>
  <c r="L159" i="11" a="1"/>
  <c r="L159" i="11" s="1"/>
  <c r="N159" i="11" s="1"/>
  <c r="J159" i="11"/>
  <c r="I159" i="11"/>
  <c r="H159" i="11"/>
  <c r="R159" i="11" s="1"/>
  <c r="G159" i="11"/>
  <c r="F159" i="11"/>
  <c r="E159" i="11"/>
  <c r="O158" i="11" a="1"/>
  <c r="O158" i="11" s="1"/>
  <c r="M158" i="11" a="1"/>
  <c r="M158" i="11" s="1"/>
  <c r="L158" i="11" a="1"/>
  <c r="L158" i="11" s="1"/>
  <c r="N158" i="11" s="1"/>
  <c r="J158" i="11"/>
  <c r="W158" i="11" s="1"/>
  <c r="I158" i="11"/>
  <c r="H158" i="11"/>
  <c r="R158" i="11" s="1"/>
  <c r="G158" i="11"/>
  <c r="F158" i="11"/>
  <c r="E158" i="11"/>
  <c r="O157" i="11" a="1"/>
  <c r="O157" i="11" s="1"/>
  <c r="M157" i="11" a="1"/>
  <c r="M157" i="11" s="1"/>
  <c r="L157" i="11" a="1"/>
  <c r="L157" i="11" s="1"/>
  <c r="N157" i="11" s="1"/>
  <c r="J157" i="11"/>
  <c r="W157" i="11" s="1"/>
  <c r="I157" i="11"/>
  <c r="H157" i="11"/>
  <c r="R157" i="11" s="1"/>
  <c r="G157" i="11"/>
  <c r="F157" i="11"/>
  <c r="E157" i="11"/>
  <c r="O156" i="11" a="1"/>
  <c r="O156" i="11" s="1"/>
  <c r="M156" i="11" a="1"/>
  <c r="M156" i="11" s="1"/>
  <c r="L156" i="11" a="1"/>
  <c r="L156" i="11" s="1"/>
  <c r="N156" i="11" s="1"/>
  <c r="J156" i="11"/>
  <c r="Y156" i="11" s="1"/>
  <c r="I156" i="11"/>
  <c r="H156" i="11"/>
  <c r="R156" i="11" s="1"/>
  <c r="G156" i="11"/>
  <c r="F156" i="11"/>
  <c r="E156" i="11"/>
  <c r="O155" i="11" a="1"/>
  <c r="O155" i="11" s="1"/>
  <c r="M155" i="11" a="1"/>
  <c r="M155" i="11" s="1"/>
  <c r="L155" i="11" a="1"/>
  <c r="L155" i="11" s="1"/>
  <c r="N155" i="11" s="1"/>
  <c r="J155" i="11"/>
  <c r="I155" i="11"/>
  <c r="H155" i="11"/>
  <c r="R155" i="11" s="1"/>
  <c r="G155" i="11"/>
  <c r="F155" i="11"/>
  <c r="E155" i="11"/>
  <c r="O154" i="11" a="1"/>
  <c r="O154" i="11" s="1"/>
  <c r="M154" i="11" a="1"/>
  <c r="M154" i="11" s="1"/>
  <c r="L154" i="11" a="1"/>
  <c r="L154" i="11" s="1"/>
  <c r="N154" i="11" s="1"/>
  <c r="J154" i="11"/>
  <c r="W154" i="11" s="1"/>
  <c r="I154" i="11"/>
  <c r="H154" i="11"/>
  <c r="R154" i="11" s="1"/>
  <c r="G154" i="11"/>
  <c r="F154" i="11"/>
  <c r="E154" i="11"/>
  <c r="O153" i="11" a="1"/>
  <c r="O153" i="11" s="1"/>
  <c r="M153" i="11" a="1"/>
  <c r="M153" i="11" s="1"/>
  <c r="L153" i="11" a="1"/>
  <c r="L153" i="11" s="1"/>
  <c r="N153" i="11" s="1"/>
  <c r="J153" i="11"/>
  <c r="I153" i="11"/>
  <c r="H153" i="11"/>
  <c r="R153" i="11" s="1"/>
  <c r="G153" i="11"/>
  <c r="F153" i="11"/>
  <c r="E153" i="11"/>
  <c r="O152" i="11" a="1"/>
  <c r="O152" i="11" s="1"/>
  <c r="M152" i="11" a="1"/>
  <c r="M152" i="11" s="1"/>
  <c r="L152" i="11" a="1"/>
  <c r="L152" i="11" s="1"/>
  <c r="N152" i="11" s="1"/>
  <c r="J152" i="11"/>
  <c r="I152" i="11"/>
  <c r="H152" i="11"/>
  <c r="R152" i="11" s="1"/>
  <c r="G152" i="11"/>
  <c r="F152" i="11"/>
  <c r="E152" i="11"/>
  <c r="O151" i="11" a="1"/>
  <c r="O151" i="11" s="1"/>
  <c r="M151" i="11" a="1"/>
  <c r="M151" i="11" s="1"/>
  <c r="L151" i="11" a="1"/>
  <c r="L151" i="11" s="1"/>
  <c r="N151" i="11" s="1"/>
  <c r="J151" i="11"/>
  <c r="I151" i="11"/>
  <c r="H151" i="11"/>
  <c r="R151" i="11" s="1"/>
  <c r="G151" i="11"/>
  <c r="F151" i="11"/>
  <c r="E151" i="11"/>
  <c r="O150" i="11" a="1"/>
  <c r="O150" i="11" s="1"/>
  <c r="M150" i="11" a="1"/>
  <c r="M150" i="11" s="1"/>
  <c r="L150" i="11" a="1"/>
  <c r="L150" i="11" s="1"/>
  <c r="N150" i="11" s="1"/>
  <c r="J150" i="11"/>
  <c r="I150" i="11"/>
  <c r="H150" i="11"/>
  <c r="R150" i="11" s="1"/>
  <c r="G150" i="11"/>
  <c r="F150" i="11"/>
  <c r="E150" i="11"/>
  <c r="O149" i="11" a="1"/>
  <c r="O149" i="11" s="1"/>
  <c r="M149" i="11" a="1"/>
  <c r="M149" i="11" s="1"/>
  <c r="L149" i="11" a="1"/>
  <c r="L149" i="11" s="1"/>
  <c r="N149" i="11" s="1"/>
  <c r="J149" i="11"/>
  <c r="I149" i="11"/>
  <c r="H149" i="11"/>
  <c r="R149" i="11" s="1"/>
  <c r="G149" i="11"/>
  <c r="F149" i="11"/>
  <c r="E149" i="11"/>
  <c r="O148" i="11" a="1"/>
  <c r="O148" i="11" s="1"/>
  <c r="M148" i="11" a="1"/>
  <c r="M148" i="11" s="1"/>
  <c r="L148" i="11" a="1"/>
  <c r="L148" i="11" s="1"/>
  <c r="N148" i="11" s="1"/>
  <c r="J148" i="11"/>
  <c r="I148" i="11"/>
  <c r="H148" i="11"/>
  <c r="R148" i="11" s="1"/>
  <c r="G148" i="11"/>
  <c r="F148" i="11"/>
  <c r="E148" i="11"/>
  <c r="O147" i="11" a="1"/>
  <c r="O147" i="11" s="1"/>
  <c r="M147" i="11" a="1"/>
  <c r="M147" i="11" s="1"/>
  <c r="L147" i="11" a="1"/>
  <c r="L147" i="11" s="1"/>
  <c r="N147" i="11" s="1"/>
  <c r="J147" i="11"/>
  <c r="I147" i="11"/>
  <c r="H147" i="11"/>
  <c r="R147" i="11" s="1"/>
  <c r="G147" i="11"/>
  <c r="F147" i="11"/>
  <c r="E147" i="11"/>
  <c r="O146" i="11" a="1"/>
  <c r="O146" i="11" s="1"/>
  <c r="M146" i="11" a="1"/>
  <c r="M146" i="11" s="1"/>
  <c r="L146" i="11" a="1"/>
  <c r="L146" i="11" s="1"/>
  <c r="N146" i="11" s="1"/>
  <c r="J146" i="11"/>
  <c r="I146" i="11"/>
  <c r="H146" i="11"/>
  <c r="R146" i="11" s="1"/>
  <c r="G146" i="11"/>
  <c r="F146" i="11"/>
  <c r="E146" i="11"/>
  <c r="O145" i="11" a="1"/>
  <c r="O145" i="11" s="1"/>
  <c r="M145" i="11" a="1"/>
  <c r="M145" i="11" s="1"/>
  <c r="L145" i="11" a="1"/>
  <c r="L145" i="11" s="1"/>
  <c r="N145" i="11" s="1"/>
  <c r="J145" i="11"/>
  <c r="W145" i="11" s="1"/>
  <c r="I145" i="11"/>
  <c r="H145" i="11"/>
  <c r="R145" i="11" s="1"/>
  <c r="G145" i="11"/>
  <c r="F145" i="11"/>
  <c r="E145" i="11"/>
  <c r="O144" i="11" a="1"/>
  <c r="O144" i="11" s="1"/>
  <c r="M144" i="11" a="1"/>
  <c r="M144" i="11" s="1"/>
  <c r="L144" i="11" a="1"/>
  <c r="L144" i="11" s="1"/>
  <c r="N144" i="11" s="1"/>
  <c r="J144" i="11"/>
  <c r="W144" i="11" s="1"/>
  <c r="I144" i="11"/>
  <c r="H144" i="11"/>
  <c r="R144" i="11" s="1"/>
  <c r="G144" i="11"/>
  <c r="F144" i="11"/>
  <c r="S144" i="11" s="1"/>
  <c r="E144" i="11"/>
  <c r="O143" i="11" a="1"/>
  <c r="O143" i="11" s="1"/>
  <c r="M143" i="11" a="1"/>
  <c r="M143" i="11" s="1"/>
  <c r="L143" i="11" a="1"/>
  <c r="L143" i="11" s="1"/>
  <c r="N143" i="11" s="1"/>
  <c r="J143" i="11"/>
  <c r="W143" i="11" s="1"/>
  <c r="I143" i="11"/>
  <c r="H143" i="11"/>
  <c r="R143" i="11" s="1"/>
  <c r="G143" i="11"/>
  <c r="F143" i="11"/>
  <c r="E143" i="11"/>
  <c r="O142" i="11" a="1"/>
  <c r="O142" i="11" s="1"/>
  <c r="M142" i="11" a="1"/>
  <c r="M142" i="11" s="1"/>
  <c r="L142" i="11" a="1"/>
  <c r="L142" i="11" s="1"/>
  <c r="J142" i="11"/>
  <c r="I142" i="11"/>
  <c r="H142" i="11"/>
  <c r="R142" i="11" s="1"/>
  <c r="G142" i="11"/>
  <c r="F142" i="11"/>
  <c r="E142" i="11"/>
  <c r="O141" i="11" a="1"/>
  <c r="O141" i="11" s="1"/>
  <c r="N141" i="11"/>
  <c r="M141" i="11" a="1"/>
  <c r="M141" i="11" s="1"/>
  <c r="L141" i="11" a="1"/>
  <c r="L141" i="11" s="1"/>
  <c r="J141" i="11"/>
  <c r="Y141" i="11" s="1"/>
  <c r="I141" i="11"/>
  <c r="H141" i="11"/>
  <c r="R141" i="11" s="1"/>
  <c r="G141" i="11"/>
  <c r="F141" i="11"/>
  <c r="E141" i="11"/>
  <c r="O140" i="11" a="1"/>
  <c r="O140" i="11" s="1"/>
  <c r="M140" i="11" a="1"/>
  <c r="M140" i="11" s="1"/>
  <c r="L140" i="11" a="1"/>
  <c r="L140" i="11" s="1"/>
  <c r="N140" i="11" s="1"/>
  <c r="J140" i="11"/>
  <c r="I140" i="11"/>
  <c r="H140" i="11"/>
  <c r="R140" i="11" s="1"/>
  <c r="G140" i="11"/>
  <c r="F140" i="11"/>
  <c r="E140" i="11"/>
  <c r="O139" i="11" a="1"/>
  <c r="O139" i="11" s="1"/>
  <c r="M139" i="11" a="1"/>
  <c r="M139" i="11" s="1"/>
  <c r="L139" i="11" a="1"/>
  <c r="L139" i="11" s="1"/>
  <c r="N139" i="11" s="1"/>
  <c r="J139" i="11"/>
  <c r="I139" i="11"/>
  <c r="H139" i="11"/>
  <c r="R139" i="11" s="1"/>
  <c r="G139" i="11"/>
  <c r="F139" i="11"/>
  <c r="E139" i="11"/>
  <c r="O138" i="11" a="1"/>
  <c r="O138" i="11" s="1"/>
  <c r="M138" i="11" a="1"/>
  <c r="M138" i="11" s="1"/>
  <c r="L138" i="11" a="1"/>
  <c r="L138" i="11" s="1"/>
  <c r="J138" i="11"/>
  <c r="I138" i="11"/>
  <c r="H138" i="11"/>
  <c r="R138" i="11" s="1"/>
  <c r="G138" i="11"/>
  <c r="F138" i="11"/>
  <c r="E138" i="11"/>
  <c r="O137" i="11" a="1"/>
  <c r="O137" i="11" s="1"/>
  <c r="M137" i="11" a="1"/>
  <c r="M137" i="11" s="1"/>
  <c r="L137" i="11" a="1"/>
  <c r="L137" i="11" s="1"/>
  <c r="J137" i="11"/>
  <c r="I137" i="11"/>
  <c r="H137" i="11"/>
  <c r="R137" i="11" s="1"/>
  <c r="G137" i="11"/>
  <c r="F137" i="11"/>
  <c r="E137" i="11"/>
  <c r="O136" i="11" a="1"/>
  <c r="O136" i="11" s="1"/>
  <c r="M136" i="11" a="1"/>
  <c r="M136" i="11" s="1"/>
  <c r="L136" i="11" a="1"/>
  <c r="L136" i="11" s="1"/>
  <c r="N136" i="11" s="1"/>
  <c r="J136" i="11"/>
  <c r="I136" i="11"/>
  <c r="H136" i="11"/>
  <c r="R136" i="11" s="1"/>
  <c r="G136" i="11"/>
  <c r="F136" i="11"/>
  <c r="E136" i="11"/>
  <c r="O135" i="11" a="1"/>
  <c r="O135" i="11" s="1"/>
  <c r="M135" i="11" a="1"/>
  <c r="M135" i="11" s="1"/>
  <c r="L135" i="11" a="1"/>
  <c r="L135" i="11" s="1"/>
  <c r="N135" i="11" s="1"/>
  <c r="J135" i="11"/>
  <c r="W135" i="11" s="1"/>
  <c r="I135" i="11"/>
  <c r="H135" i="11"/>
  <c r="R135" i="11" s="1"/>
  <c r="G135" i="11"/>
  <c r="F135" i="11"/>
  <c r="E135" i="11"/>
  <c r="O134" i="11" a="1"/>
  <c r="O134" i="11" s="1"/>
  <c r="M134" i="11" a="1"/>
  <c r="M134" i="11" s="1"/>
  <c r="L134" i="11" a="1"/>
  <c r="L134" i="11" s="1"/>
  <c r="J134" i="11"/>
  <c r="Y134" i="11" s="1"/>
  <c r="I134" i="11"/>
  <c r="H134" i="11"/>
  <c r="R134" i="11" s="1"/>
  <c r="G134" i="11"/>
  <c r="F134" i="11"/>
  <c r="E134" i="11"/>
  <c r="O133" i="11" a="1"/>
  <c r="O133" i="11" s="1"/>
  <c r="M133" i="11" a="1"/>
  <c r="M133" i="11" s="1"/>
  <c r="L133" i="11" a="1"/>
  <c r="L133" i="11" s="1"/>
  <c r="N133" i="11" s="1"/>
  <c r="J133" i="11"/>
  <c r="I133" i="11"/>
  <c r="H133" i="11"/>
  <c r="R133" i="11" s="1"/>
  <c r="G133" i="11"/>
  <c r="F133" i="11"/>
  <c r="E133" i="11"/>
  <c r="O132" i="11" a="1"/>
  <c r="O132" i="11" s="1"/>
  <c r="M132" i="11" a="1"/>
  <c r="M132" i="11" s="1"/>
  <c r="L132" i="11" a="1"/>
  <c r="L132" i="11" s="1"/>
  <c r="J132" i="11"/>
  <c r="I132" i="11"/>
  <c r="H132" i="11"/>
  <c r="R132" i="11" s="1"/>
  <c r="G132" i="11"/>
  <c r="F132" i="11"/>
  <c r="E132" i="11"/>
  <c r="O131" i="11" a="1"/>
  <c r="O131" i="11" s="1"/>
  <c r="M131" i="11" a="1"/>
  <c r="M131" i="11" s="1"/>
  <c r="L131" i="11" a="1"/>
  <c r="L131" i="11" s="1"/>
  <c r="N131" i="11" s="1"/>
  <c r="J131" i="11"/>
  <c r="I131" i="11"/>
  <c r="H131" i="11"/>
  <c r="R131" i="11" s="1"/>
  <c r="G131" i="11"/>
  <c r="F131" i="11"/>
  <c r="E131" i="11"/>
  <c r="O130" i="11" a="1"/>
  <c r="O130" i="11" s="1"/>
  <c r="M130" i="11" a="1"/>
  <c r="M130" i="11" s="1"/>
  <c r="L130" i="11" a="1"/>
  <c r="L130" i="11" s="1"/>
  <c r="N130" i="11" s="1"/>
  <c r="J130" i="11"/>
  <c r="I130" i="11"/>
  <c r="H130" i="11"/>
  <c r="R130" i="11" s="1"/>
  <c r="G130" i="11"/>
  <c r="F130" i="11"/>
  <c r="E130" i="11"/>
  <c r="O129" i="11" a="1"/>
  <c r="O129" i="11" s="1"/>
  <c r="M129" i="11" a="1"/>
  <c r="M129" i="11" s="1"/>
  <c r="L129" i="11" a="1"/>
  <c r="L129" i="11" s="1"/>
  <c r="N129" i="11" s="1"/>
  <c r="J129" i="11"/>
  <c r="I129" i="11"/>
  <c r="H129" i="11"/>
  <c r="R129" i="11" s="1"/>
  <c r="G129" i="11"/>
  <c r="F129" i="11"/>
  <c r="E129" i="11"/>
  <c r="O128" i="11" a="1"/>
  <c r="O128" i="11" s="1"/>
  <c r="M128" i="11" a="1"/>
  <c r="M128" i="11" s="1"/>
  <c r="L128" i="11" a="1"/>
  <c r="L128" i="11" s="1"/>
  <c r="N128" i="11" s="1"/>
  <c r="J128" i="11"/>
  <c r="W128" i="11" s="1"/>
  <c r="I128" i="11"/>
  <c r="H128" i="11"/>
  <c r="R128" i="11" s="1"/>
  <c r="G128" i="11"/>
  <c r="F128" i="11"/>
  <c r="E128" i="11"/>
  <c r="O127" i="11" a="1"/>
  <c r="O127" i="11" s="1"/>
  <c r="M127" i="11" a="1"/>
  <c r="M127" i="11" s="1"/>
  <c r="L127" i="11" a="1"/>
  <c r="L127" i="11" s="1"/>
  <c r="N127" i="11" s="1"/>
  <c r="J127" i="11"/>
  <c r="Y127" i="11" s="1"/>
  <c r="I127" i="11"/>
  <c r="H127" i="11"/>
  <c r="R127" i="11" s="1"/>
  <c r="G127" i="11"/>
  <c r="F127" i="11"/>
  <c r="E127" i="11"/>
  <c r="O126" i="11" a="1"/>
  <c r="O126" i="11" s="1"/>
  <c r="M126" i="11" a="1"/>
  <c r="M126" i="11" s="1"/>
  <c r="L126" i="11" a="1"/>
  <c r="L126" i="11" s="1"/>
  <c r="N126" i="11" s="1"/>
  <c r="J126" i="11"/>
  <c r="I126" i="11"/>
  <c r="H126" i="11"/>
  <c r="R126" i="11" s="1"/>
  <c r="G126" i="11"/>
  <c r="F126" i="11"/>
  <c r="E126" i="11"/>
  <c r="O125" i="11" a="1"/>
  <c r="O125" i="11" s="1"/>
  <c r="M125" i="11" a="1"/>
  <c r="M125" i="11" s="1"/>
  <c r="L125" i="11" a="1"/>
  <c r="L125" i="11" s="1"/>
  <c r="N125" i="11" s="1"/>
  <c r="J125" i="11"/>
  <c r="I125" i="11"/>
  <c r="H125" i="11"/>
  <c r="R125" i="11" s="1"/>
  <c r="G125" i="11"/>
  <c r="F125" i="11"/>
  <c r="E125" i="11"/>
  <c r="O124" i="11" a="1"/>
  <c r="O124" i="11" s="1"/>
  <c r="M124" i="11" a="1"/>
  <c r="M124" i="11" s="1"/>
  <c r="L124" i="11" a="1"/>
  <c r="L124" i="11" s="1"/>
  <c r="J124" i="11"/>
  <c r="W124" i="11" s="1"/>
  <c r="I124" i="11"/>
  <c r="H124" i="11"/>
  <c r="R124" i="11" s="1"/>
  <c r="G124" i="11"/>
  <c r="F124" i="11"/>
  <c r="E124" i="11"/>
  <c r="O123" i="11" a="1"/>
  <c r="O123" i="11" s="1"/>
  <c r="M123" i="11" a="1"/>
  <c r="M123" i="11" s="1"/>
  <c r="L123" i="11" a="1"/>
  <c r="L123" i="11" s="1"/>
  <c r="N123" i="11" s="1"/>
  <c r="J123" i="11"/>
  <c r="W123" i="11" s="1"/>
  <c r="I123" i="11"/>
  <c r="H123" i="11"/>
  <c r="R123" i="11" s="1"/>
  <c r="G123" i="11"/>
  <c r="F123" i="11"/>
  <c r="E123" i="11"/>
  <c r="O122" i="11" a="1"/>
  <c r="O122" i="11" s="1"/>
  <c r="M122" i="11" a="1"/>
  <c r="M122" i="11" s="1"/>
  <c r="L122" i="11" a="1"/>
  <c r="L122" i="11" s="1"/>
  <c r="N122" i="11" s="1"/>
  <c r="J122" i="11"/>
  <c r="Y122" i="11" s="1"/>
  <c r="I122" i="11"/>
  <c r="H122" i="11"/>
  <c r="R122" i="11" s="1"/>
  <c r="G122" i="11"/>
  <c r="F122" i="11"/>
  <c r="E122" i="11"/>
  <c r="O121" i="11" a="1"/>
  <c r="O121" i="11" s="1"/>
  <c r="M121" i="11" a="1"/>
  <c r="M121" i="11" s="1"/>
  <c r="L121" i="11" a="1"/>
  <c r="L121" i="11" s="1"/>
  <c r="N121" i="11" s="1"/>
  <c r="J121" i="11"/>
  <c r="I121" i="11"/>
  <c r="H121" i="11"/>
  <c r="R121" i="11" s="1"/>
  <c r="G121" i="11"/>
  <c r="F121" i="11"/>
  <c r="E121" i="11"/>
  <c r="O120" i="11" a="1"/>
  <c r="O120" i="11" s="1"/>
  <c r="M120" i="11" a="1"/>
  <c r="M120" i="11" s="1"/>
  <c r="L120" i="11" a="1"/>
  <c r="L120" i="11" s="1"/>
  <c r="N120" i="11" s="1"/>
  <c r="J120" i="11"/>
  <c r="I120" i="11"/>
  <c r="H120" i="11"/>
  <c r="R120" i="11" s="1"/>
  <c r="G120" i="11"/>
  <c r="F120" i="11"/>
  <c r="E120" i="11"/>
  <c r="O119" i="11" a="1"/>
  <c r="O119" i="11" s="1"/>
  <c r="M119" i="11" a="1"/>
  <c r="M119" i="11" s="1"/>
  <c r="L119" i="11" a="1"/>
  <c r="L119" i="11" s="1"/>
  <c r="N119" i="11" s="1"/>
  <c r="J119" i="11"/>
  <c r="I119" i="11"/>
  <c r="H119" i="11"/>
  <c r="R119" i="11" s="1"/>
  <c r="G119" i="11"/>
  <c r="F119" i="11"/>
  <c r="E119" i="11"/>
  <c r="O118" i="11" a="1"/>
  <c r="O118" i="11" s="1"/>
  <c r="M118" i="11" a="1"/>
  <c r="M118" i="11" s="1"/>
  <c r="L118" i="11" a="1"/>
  <c r="L118" i="11" s="1"/>
  <c r="J118" i="11"/>
  <c r="I118" i="11"/>
  <c r="H118" i="11"/>
  <c r="R118" i="11" s="1"/>
  <c r="G118" i="11"/>
  <c r="F118" i="11"/>
  <c r="E118" i="11"/>
  <c r="O117" i="11" a="1"/>
  <c r="O117" i="11" s="1"/>
  <c r="M117" i="11" a="1"/>
  <c r="M117" i="11" s="1"/>
  <c r="L117" i="11" a="1"/>
  <c r="L117" i="11" s="1"/>
  <c r="N117" i="11" s="1"/>
  <c r="J117" i="11"/>
  <c r="I117" i="11"/>
  <c r="H117" i="11"/>
  <c r="R117" i="11" s="1"/>
  <c r="G117" i="11"/>
  <c r="F117" i="11"/>
  <c r="E117" i="11"/>
  <c r="O116" i="11" a="1"/>
  <c r="O116" i="11" s="1"/>
  <c r="M116" i="11" a="1"/>
  <c r="M116" i="11" s="1"/>
  <c r="L116" i="11" a="1"/>
  <c r="L116" i="11" s="1"/>
  <c r="J116" i="11"/>
  <c r="I116" i="11"/>
  <c r="H116" i="11"/>
  <c r="R116" i="11" s="1"/>
  <c r="G116" i="11"/>
  <c r="F116" i="11"/>
  <c r="S116" i="11" s="1"/>
  <c r="E116" i="11"/>
  <c r="O115" i="11" a="1"/>
  <c r="O115" i="11" s="1"/>
  <c r="M115" i="11" a="1"/>
  <c r="M115" i="11" s="1"/>
  <c r="L115" i="11" a="1"/>
  <c r="L115" i="11" s="1"/>
  <c r="N115" i="11" s="1"/>
  <c r="J115" i="11"/>
  <c r="Y115" i="11" s="1"/>
  <c r="I115" i="11"/>
  <c r="H115" i="11"/>
  <c r="R115" i="11" s="1"/>
  <c r="G115" i="11"/>
  <c r="F115" i="11"/>
  <c r="E115" i="11"/>
  <c r="O114" i="11" a="1"/>
  <c r="O114" i="11" s="1"/>
  <c r="M114" i="11" a="1"/>
  <c r="M114" i="11" s="1"/>
  <c r="L114" i="11" a="1"/>
  <c r="L114" i="11" s="1"/>
  <c r="N114" i="11" s="1"/>
  <c r="J114" i="11"/>
  <c r="I114" i="11"/>
  <c r="H114" i="11"/>
  <c r="R114" i="11" s="1"/>
  <c r="G114" i="11"/>
  <c r="F114" i="11"/>
  <c r="E114" i="11"/>
  <c r="O113" i="11" a="1"/>
  <c r="O113" i="11" s="1"/>
  <c r="M113" i="11" a="1"/>
  <c r="M113" i="11" s="1"/>
  <c r="L113" i="11" a="1"/>
  <c r="L113" i="11" s="1"/>
  <c r="N113" i="11" s="1"/>
  <c r="J113" i="11"/>
  <c r="I113" i="11"/>
  <c r="H113" i="11"/>
  <c r="R113" i="11" s="1"/>
  <c r="G113" i="11"/>
  <c r="F113" i="11"/>
  <c r="E113" i="11"/>
  <c r="O112" i="11" a="1"/>
  <c r="O112" i="11" s="1"/>
  <c r="M112" i="11" a="1"/>
  <c r="M112" i="11" s="1"/>
  <c r="L112" i="11" a="1"/>
  <c r="L112" i="11" s="1"/>
  <c r="J112" i="11"/>
  <c r="W112" i="11" s="1"/>
  <c r="I112" i="11"/>
  <c r="H112" i="11"/>
  <c r="R112" i="11" s="1"/>
  <c r="G112" i="11"/>
  <c r="F112" i="11"/>
  <c r="E112" i="11"/>
  <c r="O111" i="11" a="1"/>
  <c r="O111" i="11" s="1"/>
  <c r="M111" i="11" a="1"/>
  <c r="M111" i="11" s="1"/>
  <c r="L111" i="11" a="1"/>
  <c r="L111" i="11" s="1"/>
  <c r="N111" i="11" s="1"/>
  <c r="J111" i="11"/>
  <c r="I111" i="11"/>
  <c r="H111" i="11"/>
  <c r="R111" i="11" s="1"/>
  <c r="G111" i="11"/>
  <c r="F111" i="11"/>
  <c r="E111" i="11"/>
  <c r="O110" i="11" a="1"/>
  <c r="O110" i="11" s="1"/>
  <c r="M110" i="11" a="1"/>
  <c r="M110" i="11" s="1"/>
  <c r="L110" i="11" a="1"/>
  <c r="L110" i="11" s="1"/>
  <c r="N110" i="11" s="1"/>
  <c r="J110" i="11"/>
  <c r="I110" i="11"/>
  <c r="H110" i="11"/>
  <c r="R110" i="11" s="1"/>
  <c r="G110" i="11"/>
  <c r="F110" i="11"/>
  <c r="E110" i="11"/>
  <c r="O109" i="11" a="1"/>
  <c r="O109" i="11" s="1"/>
  <c r="M109" i="11" a="1"/>
  <c r="M109" i="11" s="1"/>
  <c r="L109" i="11" a="1"/>
  <c r="L109" i="11" s="1"/>
  <c r="N109" i="11" s="1"/>
  <c r="J109" i="11"/>
  <c r="I109" i="11"/>
  <c r="H109" i="11"/>
  <c r="R109" i="11" s="1"/>
  <c r="G109" i="11"/>
  <c r="F109" i="11"/>
  <c r="E109" i="11"/>
  <c r="O108" i="11" a="1"/>
  <c r="O108" i="11" s="1"/>
  <c r="M108" i="11" a="1"/>
  <c r="M108" i="11" s="1"/>
  <c r="L108" i="11" a="1"/>
  <c r="L108" i="11" s="1"/>
  <c r="J108" i="11"/>
  <c r="I108" i="11"/>
  <c r="H108" i="11"/>
  <c r="R108" i="11" s="1"/>
  <c r="G108" i="11"/>
  <c r="F108" i="11"/>
  <c r="E108" i="11"/>
  <c r="O107" i="11" a="1"/>
  <c r="O107" i="11" s="1"/>
  <c r="M107" i="11" a="1"/>
  <c r="M107" i="11" s="1"/>
  <c r="L107" i="11" a="1"/>
  <c r="L107" i="11" s="1"/>
  <c r="N107" i="11" s="1"/>
  <c r="J107" i="11"/>
  <c r="Y107" i="11" s="1"/>
  <c r="I107" i="11"/>
  <c r="H107" i="11"/>
  <c r="R107" i="11" s="1"/>
  <c r="G107" i="11"/>
  <c r="F107" i="11"/>
  <c r="E107" i="11"/>
  <c r="O106" i="11" a="1"/>
  <c r="O106" i="11" s="1"/>
  <c r="M106" i="11" a="1"/>
  <c r="M106" i="11" s="1"/>
  <c r="L106" i="11" a="1"/>
  <c r="L106" i="11" s="1"/>
  <c r="J106" i="11"/>
  <c r="I106" i="11"/>
  <c r="H106" i="11"/>
  <c r="R106" i="11" s="1"/>
  <c r="G106" i="11"/>
  <c r="F106" i="11"/>
  <c r="E106" i="11"/>
  <c r="O105" i="11" a="1"/>
  <c r="O105" i="11" s="1"/>
  <c r="M105" i="11" a="1"/>
  <c r="M105" i="11" s="1"/>
  <c r="L105" i="11" a="1"/>
  <c r="L105" i="11" s="1"/>
  <c r="N105" i="11" s="1"/>
  <c r="J105" i="11"/>
  <c r="I105" i="11"/>
  <c r="H105" i="11"/>
  <c r="R105" i="11" s="1"/>
  <c r="G105" i="11"/>
  <c r="F105" i="11"/>
  <c r="E105" i="11"/>
  <c r="O104" i="11" a="1"/>
  <c r="O104" i="11" s="1"/>
  <c r="M104" i="11" a="1"/>
  <c r="M104" i="11" s="1"/>
  <c r="L104" i="11" a="1"/>
  <c r="L104" i="11" s="1"/>
  <c r="N104" i="11" s="1"/>
  <c r="J104" i="11"/>
  <c r="I104" i="11"/>
  <c r="H104" i="11"/>
  <c r="R104" i="11" s="1"/>
  <c r="G104" i="11"/>
  <c r="F104" i="11"/>
  <c r="E104" i="11"/>
  <c r="O103" i="11" a="1"/>
  <c r="O103" i="11" s="1"/>
  <c r="M103" i="11" a="1"/>
  <c r="M103" i="11" s="1"/>
  <c r="L103" i="11" a="1"/>
  <c r="L103" i="11" s="1"/>
  <c r="N103" i="11" s="1"/>
  <c r="J103" i="11"/>
  <c r="Y103" i="11" s="1"/>
  <c r="I103" i="11"/>
  <c r="H103" i="11"/>
  <c r="R103" i="11" s="1"/>
  <c r="G103" i="11"/>
  <c r="F103" i="11"/>
  <c r="E103" i="11"/>
  <c r="O102" i="11" a="1"/>
  <c r="O102" i="11" s="1"/>
  <c r="M102" i="11" a="1"/>
  <c r="M102" i="11" s="1"/>
  <c r="L102" i="11" a="1"/>
  <c r="L102" i="11" s="1"/>
  <c r="N102" i="11" s="1"/>
  <c r="J102" i="11"/>
  <c r="I102" i="11"/>
  <c r="H102" i="11"/>
  <c r="R102" i="11" s="1"/>
  <c r="G102" i="11"/>
  <c r="F102" i="11"/>
  <c r="E102" i="11"/>
  <c r="O101" i="11" a="1"/>
  <c r="O101" i="11" s="1"/>
  <c r="M101" i="11" a="1"/>
  <c r="M101" i="11" s="1"/>
  <c r="S101" i="11" s="1"/>
  <c r="L101" i="11" a="1"/>
  <c r="L101" i="11" s="1"/>
  <c r="J101" i="11"/>
  <c r="W101" i="11" s="1"/>
  <c r="I101" i="11"/>
  <c r="H101" i="11"/>
  <c r="R101" i="11" s="1"/>
  <c r="G101" i="11"/>
  <c r="F101" i="11"/>
  <c r="E101" i="11"/>
  <c r="O100" i="11" a="1"/>
  <c r="O100" i="11" s="1"/>
  <c r="M100" i="11" a="1"/>
  <c r="M100" i="11" s="1"/>
  <c r="L100" i="11" a="1"/>
  <c r="L100" i="11" s="1"/>
  <c r="N100" i="11" s="1"/>
  <c r="J100" i="11"/>
  <c r="Y100" i="11" s="1"/>
  <c r="I100" i="11"/>
  <c r="H100" i="11"/>
  <c r="R100" i="11" s="1"/>
  <c r="G100" i="11"/>
  <c r="F100" i="11"/>
  <c r="E100" i="11"/>
  <c r="O99" i="11" a="1"/>
  <c r="O99" i="11" s="1"/>
  <c r="M99" i="11" a="1"/>
  <c r="M99" i="11" s="1"/>
  <c r="L99" i="11" a="1"/>
  <c r="L99" i="11" s="1"/>
  <c r="N99" i="11" s="1"/>
  <c r="J99" i="11"/>
  <c r="I99" i="11"/>
  <c r="H99" i="11"/>
  <c r="R99" i="11" s="1"/>
  <c r="G99" i="11"/>
  <c r="F99" i="11"/>
  <c r="E99" i="11"/>
  <c r="O98" i="11" a="1"/>
  <c r="O98" i="11" s="1"/>
  <c r="M98" i="11" a="1"/>
  <c r="M98" i="11" s="1"/>
  <c r="L98" i="11" a="1"/>
  <c r="L98" i="11" s="1"/>
  <c r="N98" i="11" s="1"/>
  <c r="J98" i="11"/>
  <c r="I98" i="11"/>
  <c r="H98" i="11"/>
  <c r="R98" i="11" s="1"/>
  <c r="G98" i="11"/>
  <c r="F98" i="11"/>
  <c r="E98" i="11"/>
  <c r="O97" i="11" a="1"/>
  <c r="O97" i="11" s="1"/>
  <c r="M97" i="11" a="1"/>
  <c r="M97" i="11" s="1"/>
  <c r="L97" i="11" a="1"/>
  <c r="L97" i="11" s="1"/>
  <c r="N97" i="11" s="1"/>
  <c r="J97" i="11"/>
  <c r="I97" i="11"/>
  <c r="H97" i="11"/>
  <c r="R97" i="11" s="1"/>
  <c r="G97" i="11"/>
  <c r="F97" i="11"/>
  <c r="E97" i="11"/>
  <c r="O96" i="11" a="1"/>
  <c r="O96" i="11" s="1"/>
  <c r="M96" i="11" a="1"/>
  <c r="M96" i="11" s="1"/>
  <c r="L96" i="11" a="1"/>
  <c r="L96" i="11" s="1"/>
  <c r="N96" i="11" s="1"/>
  <c r="J96" i="11"/>
  <c r="W96" i="11" s="1"/>
  <c r="I96" i="11"/>
  <c r="H96" i="11"/>
  <c r="R96" i="11" s="1"/>
  <c r="G96" i="11"/>
  <c r="F96" i="11"/>
  <c r="E96" i="11"/>
  <c r="O95" i="11" a="1"/>
  <c r="O95" i="11" s="1"/>
  <c r="M95" i="11" a="1"/>
  <c r="M95" i="11" s="1"/>
  <c r="L95" i="11" a="1"/>
  <c r="L95" i="11" s="1"/>
  <c r="N95" i="11" s="1"/>
  <c r="J95" i="11"/>
  <c r="I95" i="11"/>
  <c r="H95" i="11"/>
  <c r="R95" i="11" s="1"/>
  <c r="G95" i="11"/>
  <c r="F95" i="11"/>
  <c r="E95" i="11"/>
  <c r="O94" i="11" a="1"/>
  <c r="O94" i="11" s="1"/>
  <c r="M94" i="11" a="1"/>
  <c r="M94" i="11" s="1"/>
  <c r="L94" i="11" a="1"/>
  <c r="L94" i="11" s="1"/>
  <c r="N94" i="11" s="1"/>
  <c r="J94" i="11"/>
  <c r="Y94" i="11" s="1"/>
  <c r="I94" i="11"/>
  <c r="H94" i="11"/>
  <c r="R94" i="11" s="1"/>
  <c r="G94" i="11"/>
  <c r="F94" i="11"/>
  <c r="E94" i="11"/>
  <c r="O93" i="11" a="1"/>
  <c r="O93" i="11" s="1"/>
  <c r="M93" i="11" a="1"/>
  <c r="M93" i="11" s="1"/>
  <c r="L93" i="11" a="1"/>
  <c r="L93" i="11" s="1"/>
  <c r="N93" i="11" s="1"/>
  <c r="J93" i="11"/>
  <c r="Y93" i="11" s="1"/>
  <c r="I93" i="11"/>
  <c r="H93" i="11"/>
  <c r="R93" i="11" s="1"/>
  <c r="G93" i="11"/>
  <c r="F93" i="11"/>
  <c r="E93" i="11"/>
  <c r="O92" i="11" a="1"/>
  <c r="O92" i="11" s="1"/>
  <c r="M92" i="11" a="1"/>
  <c r="M92" i="11" s="1"/>
  <c r="L92" i="11" a="1"/>
  <c r="L92" i="11" s="1"/>
  <c r="J92" i="11"/>
  <c r="Y92" i="11" s="1"/>
  <c r="I92" i="11"/>
  <c r="H92" i="11"/>
  <c r="R92" i="11" s="1"/>
  <c r="G92" i="11"/>
  <c r="F92" i="11"/>
  <c r="E92" i="11"/>
  <c r="O91" i="11" a="1"/>
  <c r="O91" i="11" s="1"/>
  <c r="M91" i="11" a="1"/>
  <c r="M91" i="11" s="1"/>
  <c r="L91" i="11" a="1"/>
  <c r="L91" i="11" s="1"/>
  <c r="N91" i="11" s="1"/>
  <c r="J91" i="11"/>
  <c r="I91" i="11"/>
  <c r="H91" i="11"/>
  <c r="R91" i="11" s="1"/>
  <c r="G91" i="11"/>
  <c r="F91" i="11"/>
  <c r="E91" i="11"/>
  <c r="O90" i="11" a="1"/>
  <c r="O90" i="11" s="1"/>
  <c r="M90" i="11" a="1"/>
  <c r="M90" i="11" s="1"/>
  <c r="L90" i="11" a="1"/>
  <c r="L90" i="11" s="1"/>
  <c r="N90" i="11" s="1"/>
  <c r="J90" i="11"/>
  <c r="Y90" i="11" s="1"/>
  <c r="I90" i="11"/>
  <c r="H90" i="11"/>
  <c r="R90" i="11" s="1"/>
  <c r="G90" i="11"/>
  <c r="F90" i="11"/>
  <c r="E90" i="11"/>
  <c r="O89" i="11" a="1"/>
  <c r="O89" i="11" s="1"/>
  <c r="M89" i="11" a="1"/>
  <c r="M89" i="11" s="1"/>
  <c r="L89" i="11" a="1"/>
  <c r="L89" i="11" s="1"/>
  <c r="N89" i="11" s="1"/>
  <c r="J89" i="11"/>
  <c r="W89" i="11" s="1"/>
  <c r="I89" i="11"/>
  <c r="H89" i="11"/>
  <c r="R89" i="11" s="1"/>
  <c r="G89" i="11"/>
  <c r="F89" i="11"/>
  <c r="E89" i="11"/>
  <c r="O88" i="11" a="1"/>
  <c r="O88" i="11" s="1"/>
  <c r="M88" i="11" a="1"/>
  <c r="M88" i="11" s="1"/>
  <c r="L88" i="11" a="1"/>
  <c r="L88" i="11" s="1"/>
  <c r="J88" i="11"/>
  <c r="I88" i="11"/>
  <c r="H88" i="11"/>
  <c r="R88" i="11" s="1"/>
  <c r="G88" i="11"/>
  <c r="F88" i="11"/>
  <c r="E88" i="11"/>
  <c r="O87" i="11" a="1"/>
  <c r="O87" i="11" s="1"/>
  <c r="M87" i="11" a="1"/>
  <c r="M87" i="11" s="1"/>
  <c r="L87" i="11" a="1"/>
  <c r="L87" i="11" s="1"/>
  <c r="N87" i="11" s="1"/>
  <c r="U87" i="11" s="1"/>
  <c r="J87" i="11"/>
  <c r="Y87" i="11" s="1"/>
  <c r="I87" i="11"/>
  <c r="H87" i="11"/>
  <c r="R87" i="11" s="1"/>
  <c r="G87" i="11"/>
  <c r="F87" i="11"/>
  <c r="E87" i="11"/>
  <c r="O86" i="11" a="1"/>
  <c r="O86" i="11" s="1"/>
  <c r="M86" i="11" a="1"/>
  <c r="M86" i="11" s="1"/>
  <c r="L86" i="11" a="1"/>
  <c r="L86" i="11" s="1"/>
  <c r="N86" i="11" s="1"/>
  <c r="J86" i="11"/>
  <c r="I86" i="11"/>
  <c r="H86" i="11"/>
  <c r="R86" i="11" s="1"/>
  <c r="G86" i="11"/>
  <c r="F86" i="11"/>
  <c r="E86" i="11"/>
  <c r="O85" i="11" a="1"/>
  <c r="O85" i="11" s="1"/>
  <c r="M85" i="11" a="1"/>
  <c r="M85" i="11" s="1"/>
  <c r="L85" i="11" a="1"/>
  <c r="L85" i="11" s="1"/>
  <c r="N85" i="11" s="1"/>
  <c r="J85" i="11"/>
  <c r="I85" i="11"/>
  <c r="H85" i="11"/>
  <c r="R85" i="11" s="1"/>
  <c r="G85" i="11"/>
  <c r="F85" i="11"/>
  <c r="E85" i="11"/>
  <c r="O84" i="11" a="1"/>
  <c r="O84" i="11" s="1"/>
  <c r="M84" i="11" a="1"/>
  <c r="M84" i="11" s="1"/>
  <c r="L84" i="11" a="1"/>
  <c r="L84" i="11" s="1"/>
  <c r="N84" i="11" s="1"/>
  <c r="J84" i="11"/>
  <c r="W84" i="11" s="1"/>
  <c r="I84" i="11"/>
  <c r="H84" i="11"/>
  <c r="R84" i="11" s="1"/>
  <c r="G84" i="11"/>
  <c r="F84" i="11"/>
  <c r="E84" i="11"/>
  <c r="O83" i="11" a="1"/>
  <c r="O83" i="11" s="1"/>
  <c r="M83" i="11" a="1"/>
  <c r="M83" i="11" s="1"/>
  <c r="L83" i="11" a="1"/>
  <c r="L83" i="11" s="1"/>
  <c r="N83" i="11" s="1"/>
  <c r="J83" i="11"/>
  <c r="I83" i="11"/>
  <c r="H83" i="11"/>
  <c r="R83" i="11" s="1"/>
  <c r="G83" i="11"/>
  <c r="F83" i="11"/>
  <c r="E83" i="11"/>
  <c r="O82" i="11" a="1"/>
  <c r="O82" i="11" s="1"/>
  <c r="M82" i="11" a="1"/>
  <c r="M82" i="11" s="1"/>
  <c r="L82" i="11" a="1"/>
  <c r="L82" i="11" s="1"/>
  <c r="N82" i="11" s="1"/>
  <c r="J82" i="11"/>
  <c r="W82" i="11" s="1"/>
  <c r="I82" i="11"/>
  <c r="H82" i="11"/>
  <c r="R82" i="11" s="1"/>
  <c r="G82" i="11"/>
  <c r="F82" i="11"/>
  <c r="E82" i="11"/>
  <c r="Y81" i="11"/>
  <c r="W81" i="11"/>
  <c r="O81" i="11" a="1"/>
  <c r="O81" i="11" s="1"/>
  <c r="M81" i="11" a="1"/>
  <c r="M81" i="11" s="1"/>
  <c r="L81" i="11" a="1"/>
  <c r="L81" i="11" s="1"/>
  <c r="N81" i="11" s="1"/>
  <c r="J81" i="11"/>
  <c r="I81" i="11"/>
  <c r="H81" i="11"/>
  <c r="R81" i="11" s="1"/>
  <c r="G81" i="11"/>
  <c r="F81" i="11"/>
  <c r="E81" i="11"/>
  <c r="O80" i="11" a="1"/>
  <c r="O80" i="11" s="1"/>
  <c r="M80" i="11" a="1"/>
  <c r="M80" i="11" s="1"/>
  <c r="L80" i="11" a="1"/>
  <c r="L80" i="11" s="1"/>
  <c r="N80" i="11" s="1"/>
  <c r="J80" i="11"/>
  <c r="W80" i="11" s="1"/>
  <c r="I80" i="11"/>
  <c r="H80" i="11"/>
  <c r="R80" i="11" s="1"/>
  <c r="G80" i="11"/>
  <c r="F80" i="11"/>
  <c r="E80" i="11"/>
  <c r="O79" i="11" a="1"/>
  <c r="O79" i="11" s="1"/>
  <c r="M79" i="11" a="1"/>
  <c r="M79" i="11" s="1"/>
  <c r="L79" i="11" a="1"/>
  <c r="L79" i="11" s="1"/>
  <c r="N79" i="11" s="1"/>
  <c r="J79" i="11"/>
  <c r="W79" i="11" s="1"/>
  <c r="I79" i="11"/>
  <c r="H79" i="11"/>
  <c r="R79" i="11" s="1"/>
  <c r="G79" i="11"/>
  <c r="F79" i="11"/>
  <c r="E79" i="11"/>
  <c r="O78" i="11" a="1"/>
  <c r="O78" i="11" s="1"/>
  <c r="M78" i="11" a="1"/>
  <c r="M78" i="11" s="1"/>
  <c r="L78" i="11" a="1"/>
  <c r="L78" i="11" s="1"/>
  <c r="J78" i="11"/>
  <c r="Y78" i="11" s="1"/>
  <c r="I78" i="11"/>
  <c r="H78" i="11"/>
  <c r="R78" i="11" s="1"/>
  <c r="G78" i="11"/>
  <c r="F78" i="11"/>
  <c r="E78" i="11"/>
  <c r="O77" i="11" a="1"/>
  <c r="O77" i="11" s="1"/>
  <c r="M77" i="11" a="1"/>
  <c r="M77" i="11" s="1"/>
  <c r="L77" i="11" a="1"/>
  <c r="L77" i="11" s="1"/>
  <c r="N77" i="11" s="1"/>
  <c r="J77" i="11"/>
  <c r="I77" i="11"/>
  <c r="H77" i="11"/>
  <c r="R77" i="11" s="1"/>
  <c r="G77" i="11"/>
  <c r="F77" i="11"/>
  <c r="E77" i="11"/>
  <c r="O76" i="11" a="1"/>
  <c r="O76" i="11" s="1"/>
  <c r="M76" i="11" a="1"/>
  <c r="M76" i="11" s="1"/>
  <c r="L76" i="11" a="1"/>
  <c r="L76" i="11" s="1"/>
  <c r="N76" i="11" s="1"/>
  <c r="J76" i="11"/>
  <c r="W76" i="11" s="1"/>
  <c r="I76" i="11"/>
  <c r="H76" i="11"/>
  <c r="R76" i="11" s="1"/>
  <c r="G76" i="11"/>
  <c r="F76" i="11"/>
  <c r="E76" i="11"/>
  <c r="O75" i="11" a="1"/>
  <c r="O75" i="11" s="1"/>
  <c r="M75" i="11" a="1"/>
  <c r="M75" i="11" s="1"/>
  <c r="L75" i="11" a="1"/>
  <c r="L75" i="11" s="1"/>
  <c r="J75" i="11"/>
  <c r="I75" i="11"/>
  <c r="H75" i="11"/>
  <c r="R75" i="11" s="1"/>
  <c r="G75" i="11"/>
  <c r="F75" i="11"/>
  <c r="E75" i="11"/>
  <c r="O74" i="11" a="1"/>
  <c r="O74" i="11" s="1"/>
  <c r="M74" i="11" a="1"/>
  <c r="M74" i="11" s="1"/>
  <c r="L74" i="11" a="1"/>
  <c r="L74" i="11" s="1"/>
  <c r="N74" i="11" s="1"/>
  <c r="J74" i="11"/>
  <c r="Y74" i="11" s="1"/>
  <c r="I74" i="11"/>
  <c r="H74" i="11"/>
  <c r="R74" i="11" s="1"/>
  <c r="G74" i="11"/>
  <c r="F74" i="11"/>
  <c r="E74" i="11"/>
  <c r="W73" i="11"/>
  <c r="O73" i="11" a="1"/>
  <c r="O73" i="11" s="1"/>
  <c r="M73" i="11" a="1"/>
  <c r="M73" i="11" s="1"/>
  <c r="L73" i="11" a="1"/>
  <c r="L73" i="11" s="1"/>
  <c r="N73" i="11" s="1"/>
  <c r="J73" i="11"/>
  <c r="Y73" i="11" s="1"/>
  <c r="I73" i="11"/>
  <c r="H73" i="11"/>
  <c r="R73" i="11" s="1"/>
  <c r="G73" i="11"/>
  <c r="F73" i="11"/>
  <c r="E73" i="11"/>
  <c r="O72" i="11" a="1"/>
  <c r="O72" i="11" s="1"/>
  <c r="M72" i="11" a="1"/>
  <c r="M72" i="11" s="1"/>
  <c r="S72" i="11" s="1"/>
  <c r="L72" i="11" a="1"/>
  <c r="L72" i="11" s="1"/>
  <c r="N72" i="11" s="1"/>
  <c r="J72" i="11"/>
  <c r="Y72" i="11" s="1"/>
  <c r="I72" i="11"/>
  <c r="H72" i="11"/>
  <c r="R72" i="11" s="1"/>
  <c r="G72" i="11"/>
  <c r="F72" i="11"/>
  <c r="E72" i="11"/>
  <c r="O71" i="11" a="1"/>
  <c r="O71" i="11" s="1"/>
  <c r="M71" i="11" a="1"/>
  <c r="M71" i="11" s="1"/>
  <c r="L71" i="11" a="1"/>
  <c r="L71" i="11" s="1"/>
  <c r="N71" i="11" s="1"/>
  <c r="J71" i="11"/>
  <c r="Y71" i="11" s="1"/>
  <c r="I71" i="11"/>
  <c r="H71" i="11"/>
  <c r="R71" i="11" s="1"/>
  <c r="G71" i="11"/>
  <c r="F71" i="11"/>
  <c r="E71" i="11"/>
  <c r="O70" i="11" a="1"/>
  <c r="O70" i="11" s="1"/>
  <c r="M70" i="11" a="1"/>
  <c r="M70" i="11" s="1"/>
  <c r="L70" i="11" a="1"/>
  <c r="L70" i="11" s="1"/>
  <c r="N70" i="11" s="1"/>
  <c r="J70" i="11"/>
  <c r="I70" i="11"/>
  <c r="H70" i="11"/>
  <c r="R70" i="11" s="1"/>
  <c r="G70" i="11"/>
  <c r="F70" i="11"/>
  <c r="E70" i="11"/>
  <c r="O69" i="11" a="1"/>
  <c r="O69" i="11" s="1"/>
  <c r="M69" i="11" a="1"/>
  <c r="M69" i="11" s="1"/>
  <c r="L69" i="11" a="1"/>
  <c r="L69" i="11" s="1"/>
  <c r="N69" i="11" s="1"/>
  <c r="J69" i="11"/>
  <c r="I69" i="11"/>
  <c r="H69" i="11"/>
  <c r="R69" i="11" s="1"/>
  <c r="G69" i="11"/>
  <c r="F69" i="11"/>
  <c r="E69" i="11"/>
  <c r="O68" i="11" a="1"/>
  <c r="O68" i="11" s="1"/>
  <c r="M68" i="11" a="1"/>
  <c r="M68" i="11" s="1"/>
  <c r="L68" i="11" a="1"/>
  <c r="L68" i="11" s="1"/>
  <c r="N68" i="11" s="1"/>
  <c r="J68" i="11"/>
  <c r="I68" i="11"/>
  <c r="H68" i="11"/>
  <c r="R68" i="11" s="1"/>
  <c r="G68" i="11"/>
  <c r="F68" i="11"/>
  <c r="E68" i="11"/>
  <c r="O67" i="11" a="1"/>
  <c r="O67" i="11" s="1"/>
  <c r="M67" i="11" a="1"/>
  <c r="M67" i="11" s="1"/>
  <c r="L67" i="11" a="1"/>
  <c r="L67" i="11" s="1"/>
  <c r="N67" i="11" s="1"/>
  <c r="J67" i="11"/>
  <c r="Y67" i="11" s="1"/>
  <c r="I67" i="11"/>
  <c r="H67" i="11"/>
  <c r="R67" i="11" s="1"/>
  <c r="G67" i="11"/>
  <c r="F67" i="11"/>
  <c r="E67" i="11"/>
  <c r="O66" i="11" a="1"/>
  <c r="O66" i="11" s="1"/>
  <c r="M66" i="11" a="1"/>
  <c r="M66" i="11" s="1"/>
  <c r="L66" i="11" a="1"/>
  <c r="L66" i="11" s="1"/>
  <c r="N66" i="11" s="1"/>
  <c r="J66" i="11"/>
  <c r="Y66" i="11" s="1"/>
  <c r="I66" i="11"/>
  <c r="H66" i="11"/>
  <c r="R66" i="11" s="1"/>
  <c r="G66" i="11"/>
  <c r="F66" i="11"/>
  <c r="E66" i="11"/>
  <c r="O65" i="11" a="1"/>
  <c r="O65" i="11" s="1"/>
  <c r="M65" i="11" a="1"/>
  <c r="M65" i="11" s="1"/>
  <c r="L65" i="11" a="1"/>
  <c r="L65" i="11" s="1"/>
  <c r="N65" i="11" s="1"/>
  <c r="J65" i="11"/>
  <c r="W65" i="11" s="1"/>
  <c r="I65" i="11"/>
  <c r="H65" i="11"/>
  <c r="R65" i="11" s="1"/>
  <c r="G65" i="11"/>
  <c r="F65" i="11"/>
  <c r="E65" i="11"/>
  <c r="O64" i="11" a="1"/>
  <c r="O64" i="11" s="1"/>
  <c r="M64" i="11" a="1"/>
  <c r="M64" i="11" s="1"/>
  <c r="L64" i="11" a="1"/>
  <c r="L64" i="11" s="1"/>
  <c r="N64" i="11" s="1"/>
  <c r="J64" i="11"/>
  <c r="I64" i="11"/>
  <c r="H64" i="11"/>
  <c r="R64" i="11" s="1"/>
  <c r="G64" i="11"/>
  <c r="F64" i="11"/>
  <c r="E64" i="11"/>
  <c r="O63" i="11" a="1"/>
  <c r="O63" i="11" s="1"/>
  <c r="M63" i="11" a="1"/>
  <c r="M63" i="11" s="1"/>
  <c r="L63" i="11" a="1"/>
  <c r="L63" i="11" s="1"/>
  <c r="J63" i="11"/>
  <c r="I63" i="11"/>
  <c r="H63" i="11"/>
  <c r="R63" i="11" s="1"/>
  <c r="G63" i="11"/>
  <c r="F63" i="11"/>
  <c r="E63" i="11"/>
  <c r="O62" i="11" a="1"/>
  <c r="O62" i="11" s="1"/>
  <c r="M62" i="11" a="1"/>
  <c r="M62" i="11" s="1"/>
  <c r="L62" i="11" a="1"/>
  <c r="L62" i="11" s="1"/>
  <c r="J62" i="11"/>
  <c r="W62" i="11" s="1"/>
  <c r="I62" i="11"/>
  <c r="H62" i="11"/>
  <c r="R62" i="11" s="1"/>
  <c r="G62" i="11"/>
  <c r="F62" i="11"/>
  <c r="E62" i="11"/>
  <c r="O61" i="11" a="1"/>
  <c r="O61" i="11" s="1"/>
  <c r="M61" i="11" a="1"/>
  <c r="M61" i="11" s="1"/>
  <c r="L61" i="11" a="1"/>
  <c r="L61" i="11" s="1"/>
  <c r="N61" i="11" s="1"/>
  <c r="J61" i="11"/>
  <c r="I61" i="11"/>
  <c r="H61" i="11"/>
  <c r="R61" i="11" s="1"/>
  <c r="G61" i="11"/>
  <c r="F61" i="11"/>
  <c r="E61" i="11"/>
  <c r="O60" i="11" a="1"/>
  <c r="O60" i="11" s="1"/>
  <c r="M60" i="11" a="1"/>
  <c r="M60" i="11" s="1"/>
  <c r="L60" i="11" a="1"/>
  <c r="L60" i="11" s="1"/>
  <c r="N60" i="11" s="1"/>
  <c r="J60" i="11"/>
  <c r="W60" i="11" s="1"/>
  <c r="I60" i="11"/>
  <c r="H60" i="11"/>
  <c r="R60" i="11" s="1"/>
  <c r="G60" i="11"/>
  <c r="F60" i="11"/>
  <c r="E60" i="11"/>
  <c r="O59" i="11" a="1"/>
  <c r="O59" i="11" s="1"/>
  <c r="M59" i="11" a="1"/>
  <c r="M59" i="11" s="1"/>
  <c r="L59" i="11" a="1"/>
  <c r="L59" i="11" s="1"/>
  <c r="N59" i="11" s="1"/>
  <c r="J59" i="11"/>
  <c r="I59" i="11"/>
  <c r="H59" i="11"/>
  <c r="R59" i="11" s="1"/>
  <c r="G59" i="11"/>
  <c r="F59" i="11"/>
  <c r="E59" i="11"/>
  <c r="O58" i="11" a="1"/>
  <c r="O58" i="11" s="1"/>
  <c r="M58" i="11" a="1"/>
  <c r="M58" i="11" s="1"/>
  <c r="L58" i="11" a="1"/>
  <c r="L58" i="11" s="1"/>
  <c r="N58" i="11" s="1"/>
  <c r="J58" i="11"/>
  <c r="Y58" i="11" s="1"/>
  <c r="I58" i="11"/>
  <c r="H58" i="11"/>
  <c r="R58" i="11" s="1"/>
  <c r="G58" i="11"/>
  <c r="F58" i="11"/>
  <c r="E58" i="11"/>
  <c r="O57" i="11" a="1"/>
  <c r="O57" i="11" s="1"/>
  <c r="M57" i="11" a="1"/>
  <c r="M57" i="11" s="1"/>
  <c r="L57" i="11" a="1"/>
  <c r="L57" i="11" s="1"/>
  <c r="J57" i="11"/>
  <c r="I57" i="11"/>
  <c r="H57" i="11"/>
  <c r="R57" i="11" s="1"/>
  <c r="G57" i="11"/>
  <c r="F57" i="11"/>
  <c r="E57" i="11"/>
  <c r="O56" i="11" a="1"/>
  <c r="O56" i="11" s="1"/>
  <c r="M56" i="11" a="1"/>
  <c r="M56" i="11" s="1"/>
  <c r="L56" i="11" a="1"/>
  <c r="L56" i="11" s="1"/>
  <c r="N56" i="11" s="1"/>
  <c r="J56" i="11"/>
  <c r="Y56" i="11" s="1"/>
  <c r="I56" i="11"/>
  <c r="H56" i="11"/>
  <c r="R56" i="11" s="1"/>
  <c r="G56" i="11"/>
  <c r="F56" i="11"/>
  <c r="S56" i="11" s="1"/>
  <c r="E56" i="11"/>
  <c r="O55" i="11" a="1"/>
  <c r="O55" i="11" s="1"/>
  <c r="M55" i="11" a="1"/>
  <c r="M55" i="11" s="1"/>
  <c r="L55" i="11" a="1"/>
  <c r="L55" i="11" s="1"/>
  <c r="N55" i="11" s="1"/>
  <c r="J55" i="11"/>
  <c r="I55" i="11"/>
  <c r="H55" i="11"/>
  <c r="R55" i="11" s="1"/>
  <c r="G55" i="11"/>
  <c r="F55" i="11"/>
  <c r="E55" i="11"/>
  <c r="O54" i="11" a="1"/>
  <c r="O54" i="11" s="1"/>
  <c r="M54" i="11" a="1"/>
  <c r="M54" i="11" s="1"/>
  <c r="L54" i="11" a="1"/>
  <c r="L54" i="11" s="1"/>
  <c r="N54" i="11" s="1"/>
  <c r="J54" i="11"/>
  <c r="I54" i="11"/>
  <c r="H54" i="11"/>
  <c r="R54" i="11" s="1"/>
  <c r="G54" i="11"/>
  <c r="F54" i="11"/>
  <c r="E54" i="11"/>
  <c r="O53" i="11" a="1"/>
  <c r="O53" i="11" s="1"/>
  <c r="M53" i="11" a="1"/>
  <c r="M53" i="11" s="1"/>
  <c r="L53" i="11" a="1"/>
  <c r="L53" i="11" s="1"/>
  <c r="N53" i="11" s="1"/>
  <c r="J53" i="11"/>
  <c r="W53" i="11" s="1"/>
  <c r="I53" i="11"/>
  <c r="H53" i="11"/>
  <c r="R53" i="11" s="1"/>
  <c r="G53" i="11"/>
  <c r="F53" i="11"/>
  <c r="E53" i="11"/>
  <c r="R52" i="11"/>
  <c r="O52" i="11" a="1"/>
  <c r="O52" i="11" s="1"/>
  <c r="M52" i="11" a="1"/>
  <c r="M52" i="11" s="1"/>
  <c r="L52" i="11" a="1"/>
  <c r="L52" i="11" s="1"/>
  <c r="J52" i="11"/>
  <c r="W52" i="11" s="1"/>
  <c r="I52" i="11"/>
  <c r="H52" i="11"/>
  <c r="G52" i="11"/>
  <c r="F52" i="11"/>
  <c r="E52" i="11"/>
  <c r="O51" i="11" a="1"/>
  <c r="O51" i="11" s="1"/>
  <c r="M51" i="11" a="1"/>
  <c r="M51" i="11" s="1"/>
  <c r="L51" i="11" a="1"/>
  <c r="L51" i="11" s="1"/>
  <c r="N51" i="11" s="1"/>
  <c r="J51" i="11"/>
  <c r="Y51" i="11" s="1"/>
  <c r="I51" i="11"/>
  <c r="H51" i="11"/>
  <c r="R51" i="11" s="1"/>
  <c r="G51" i="11"/>
  <c r="F51" i="11"/>
  <c r="E51" i="11"/>
  <c r="O50" i="11" a="1"/>
  <c r="O50" i="11" s="1"/>
  <c r="M50" i="11" a="1"/>
  <c r="M50" i="11" s="1"/>
  <c r="L50" i="11" a="1"/>
  <c r="L50" i="11" s="1"/>
  <c r="N50" i="11" s="1"/>
  <c r="J50" i="11"/>
  <c r="I50" i="11"/>
  <c r="H50" i="11"/>
  <c r="R50" i="11" s="1"/>
  <c r="G50" i="11"/>
  <c r="F50" i="11"/>
  <c r="E50" i="11"/>
  <c r="O49" i="11" a="1"/>
  <c r="O49" i="11" s="1"/>
  <c r="M49" i="11" a="1"/>
  <c r="M49" i="11" s="1"/>
  <c r="S49" i="11" s="1"/>
  <c r="L49" i="11" a="1"/>
  <c r="L49" i="11" s="1"/>
  <c r="N49" i="11" s="1"/>
  <c r="J49" i="11"/>
  <c r="I49" i="11"/>
  <c r="H49" i="11"/>
  <c r="R49" i="11" s="1"/>
  <c r="G49" i="11"/>
  <c r="F49" i="11"/>
  <c r="E49" i="11"/>
  <c r="O48" i="11" a="1"/>
  <c r="O48" i="11" s="1"/>
  <c r="M48" i="11" a="1"/>
  <c r="M48" i="11" s="1"/>
  <c r="L48" i="11" a="1"/>
  <c r="L48" i="11" s="1"/>
  <c r="J48" i="11"/>
  <c r="I48" i="11"/>
  <c r="V48" i="11" s="1"/>
  <c r="H48" i="11"/>
  <c r="R48" i="11" s="1"/>
  <c r="G48" i="11"/>
  <c r="F48" i="11"/>
  <c r="E48" i="11"/>
  <c r="O47" i="11" a="1"/>
  <c r="O47" i="11" s="1"/>
  <c r="M47" i="11" a="1"/>
  <c r="M47" i="11" s="1"/>
  <c r="L47" i="11" a="1"/>
  <c r="L47" i="11" s="1"/>
  <c r="N47" i="11" s="1"/>
  <c r="J47" i="11"/>
  <c r="Y47" i="11" s="1"/>
  <c r="I47" i="11"/>
  <c r="H47" i="11"/>
  <c r="R47" i="11" s="1"/>
  <c r="G47" i="11"/>
  <c r="F47" i="11"/>
  <c r="E47" i="11"/>
  <c r="O46" i="11" a="1"/>
  <c r="O46" i="11" s="1"/>
  <c r="M46" i="11" a="1"/>
  <c r="M46" i="11" s="1"/>
  <c r="L46" i="11" a="1"/>
  <c r="L46" i="11" s="1"/>
  <c r="N46" i="11" s="1"/>
  <c r="J46" i="11"/>
  <c r="I46" i="11"/>
  <c r="H46" i="11"/>
  <c r="R46" i="11" s="1"/>
  <c r="G46" i="11"/>
  <c r="F46" i="11"/>
  <c r="E46" i="11"/>
  <c r="O45" i="11" a="1"/>
  <c r="O45" i="11" s="1"/>
  <c r="M45" i="11" a="1"/>
  <c r="M45" i="11" s="1"/>
  <c r="L45" i="11" a="1"/>
  <c r="L45" i="11" s="1"/>
  <c r="N45" i="11" s="1"/>
  <c r="J45" i="11"/>
  <c r="I45" i="11"/>
  <c r="H45" i="11"/>
  <c r="R45" i="11" s="1"/>
  <c r="G45" i="11"/>
  <c r="F45" i="11"/>
  <c r="E45" i="11"/>
  <c r="O44" i="11" a="1"/>
  <c r="O44" i="11" s="1"/>
  <c r="M44" i="11" a="1"/>
  <c r="M44" i="11" s="1"/>
  <c r="L44" i="11" a="1"/>
  <c r="L44" i="11" s="1"/>
  <c r="N44" i="11" s="1"/>
  <c r="J44" i="11"/>
  <c r="Y44" i="11" s="1"/>
  <c r="I44" i="11"/>
  <c r="H44" i="11"/>
  <c r="R44" i="11" s="1"/>
  <c r="G44" i="11"/>
  <c r="F44" i="11"/>
  <c r="E44" i="11"/>
  <c r="O43" i="11" a="1"/>
  <c r="O43" i="11" s="1"/>
  <c r="M43" i="11" a="1"/>
  <c r="M43" i="11" s="1"/>
  <c r="L43" i="11" a="1"/>
  <c r="L43" i="11" s="1"/>
  <c r="N43" i="11" s="1"/>
  <c r="J43" i="11"/>
  <c r="Y43" i="11" s="1"/>
  <c r="I43" i="11"/>
  <c r="H43" i="11"/>
  <c r="R43" i="11" s="1"/>
  <c r="G43" i="11"/>
  <c r="F43" i="11"/>
  <c r="E43" i="11"/>
  <c r="O42" i="11" a="1"/>
  <c r="O42" i="11" s="1"/>
  <c r="M42" i="11" a="1"/>
  <c r="M42" i="11" s="1"/>
  <c r="L42" i="11" a="1"/>
  <c r="L42" i="11" s="1"/>
  <c r="N42" i="11" s="1"/>
  <c r="J42" i="11"/>
  <c r="W42" i="11" s="1"/>
  <c r="I42" i="11"/>
  <c r="H42" i="11"/>
  <c r="R42" i="11" s="1"/>
  <c r="G42" i="11"/>
  <c r="F42" i="11"/>
  <c r="E42" i="11"/>
  <c r="O41" i="11" a="1"/>
  <c r="O41" i="11" s="1"/>
  <c r="M41" i="11" a="1"/>
  <c r="M41" i="11" s="1"/>
  <c r="L41" i="11" a="1"/>
  <c r="L41" i="11" s="1"/>
  <c r="N41" i="11" s="1"/>
  <c r="J41" i="11"/>
  <c r="Y41" i="11" s="1"/>
  <c r="I41" i="11"/>
  <c r="H41" i="11"/>
  <c r="R41" i="11" s="1"/>
  <c r="G41" i="11"/>
  <c r="F41" i="11"/>
  <c r="E41" i="11"/>
  <c r="O40" i="11" a="1"/>
  <c r="O40" i="11" s="1"/>
  <c r="M40" i="11" a="1"/>
  <c r="M40" i="11" s="1"/>
  <c r="L40" i="11" a="1"/>
  <c r="L40" i="11" s="1"/>
  <c r="J40" i="11"/>
  <c r="I40" i="11"/>
  <c r="H40" i="11"/>
  <c r="R40" i="11" s="1"/>
  <c r="G40" i="11"/>
  <c r="F40" i="11"/>
  <c r="E40" i="11"/>
  <c r="O39" i="11" a="1"/>
  <c r="O39" i="11" s="1"/>
  <c r="M39" i="11" a="1"/>
  <c r="M39" i="11" s="1"/>
  <c r="L39" i="11" a="1"/>
  <c r="L39" i="11" s="1"/>
  <c r="N39" i="11" s="1"/>
  <c r="J39" i="11"/>
  <c r="I39" i="11"/>
  <c r="H39" i="11"/>
  <c r="R39" i="11" s="1"/>
  <c r="G39" i="11"/>
  <c r="F39" i="11"/>
  <c r="E39" i="11"/>
  <c r="O38" i="11" a="1"/>
  <c r="O38" i="11" s="1"/>
  <c r="M38" i="11" a="1"/>
  <c r="M38" i="11" s="1"/>
  <c r="L38" i="11" a="1"/>
  <c r="L38" i="11" s="1"/>
  <c r="N38" i="11" s="1"/>
  <c r="J38" i="11"/>
  <c r="I38" i="11"/>
  <c r="H38" i="11"/>
  <c r="R38" i="11" s="1"/>
  <c r="G38" i="11"/>
  <c r="F38" i="11"/>
  <c r="E38" i="11"/>
  <c r="O37" i="11" a="1"/>
  <c r="O37" i="11" s="1"/>
  <c r="M37" i="11" a="1"/>
  <c r="M37" i="11" s="1"/>
  <c r="L37" i="11" a="1"/>
  <c r="L37" i="11" s="1"/>
  <c r="N37" i="11" s="1"/>
  <c r="J37" i="11"/>
  <c r="Y37" i="11" s="1"/>
  <c r="I37" i="11"/>
  <c r="H37" i="11"/>
  <c r="R37" i="11" s="1"/>
  <c r="G37" i="11"/>
  <c r="F37" i="11"/>
  <c r="E37" i="11"/>
  <c r="O36" i="11" a="1"/>
  <c r="O36" i="11" s="1"/>
  <c r="M36" i="11" a="1"/>
  <c r="M36" i="11" s="1"/>
  <c r="L36" i="11" a="1"/>
  <c r="L36" i="11" s="1"/>
  <c r="N36" i="11" s="1"/>
  <c r="J36" i="11"/>
  <c r="Y36" i="11" s="1"/>
  <c r="I36" i="11"/>
  <c r="H36" i="11"/>
  <c r="R36" i="11" s="1"/>
  <c r="G36" i="11"/>
  <c r="F36" i="11"/>
  <c r="E36" i="11"/>
  <c r="R35" i="11"/>
  <c r="O35" i="11" a="1"/>
  <c r="O35" i="11" s="1"/>
  <c r="M35" i="11" a="1"/>
  <c r="M35" i="11" s="1"/>
  <c r="L35" i="11" a="1"/>
  <c r="L35" i="11" s="1"/>
  <c r="J35" i="11"/>
  <c r="Y35" i="11" s="1"/>
  <c r="I35" i="11"/>
  <c r="H35" i="11"/>
  <c r="G35" i="11"/>
  <c r="F35" i="11"/>
  <c r="E35" i="11"/>
  <c r="O34" i="11" a="1"/>
  <c r="O34" i="11" s="1"/>
  <c r="M34" i="11" a="1"/>
  <c r="M34" i="11" s="1"/>
  <c r="L34" i="11" a="1"/>
  <c r="L34" i="11" s="1"/>
  <c r="J34" i="11"/>
  <c r="I34" i="11"/>
  <c r="H34" i="11"/>
  <c r="R34" i="11" s="1"/>
  <c r="G34" i="11"/>
  <c r="F34" i="11"/>
  <c r="E34" i="11"/>
  <c r="O33" i="11" a="1"/>
  <c r="O33" i="11" s="1"/>
  <c r="M33" i="11" a="1"/>
  <c r="M33" i="11" s="1"/>
  <c r="L33" i="11" a="1"/>
  <c r="L33" i="11" s="1"/>
  <c r="N33" i="11" s="1"/>
  <c r="J33" i="11"/>
  <c r="I33" i="11"/>
  <c r="H33" i="11"/>
  <c r="R33" i="11" s="1"/>
  <c r="G33" i="11"/>
  <c r="F33" i="11"/>
  <c r="E33" i="11"/>
  <c r="O32" i="11" a="1"/>
  <c r="O32" i="11" s="1"/>
  <c r="M32" i="11" a="1"/>
  <c r="M32" i="11" s="1"/>
  <c r="L32" i="11" a="1"/>
  <c r="L32" i="11" s="1"/>
  <c r="N32" i="11" s="1"/>
  <c r="J32" i="11"/>
  <c r="Y32" i="11" s="1"/>
  <c r="I32" i="11"/>
  <c r="H32" i="11"/>
  <c r="R32" i="11" s="1"/>
  <c r="G32" i="11"/>
  <c r="F32" i="11"/>
  <c r="E32" i="11"/>
  <c r="O31" i="11" a="1"/>
  <c r="O31" i="11" s="1"/>
  <c r="M31" i="11" a="1"/>
  <c r="M31" i="11" s="1"/>
  <c r="L31" i="11" a="1"/>
  <c r="L31" i="11" s="1"/>
  <c r="N31" i="11" s="1"/>
  <c r="J31" i="11"/>
  <c r="W31" i="11" s="1"/>
  <c r="I31" i="11"/>
  <c r="H31" i="11"/>
  <c r="R31" i="11" s="1"/>
  <c r="G31" i="11"/>
  <c r="F31" i="11"/>
  <c r="E31" i="11"/>
  <c r="O30" i="11" a="1"/>
  <c r="O30" i="11" s="1"/>
  <c r="M30" i="11" a="1"/>
  <c r="M30" i="11" s="1"/>
  <c r="L30" i="11" a="1"/>
  <c r="L30" i="11" s="1"/>
  <c r="N30" i="11" s="1"/>
  <c r="J30" i="11"/>
  <c r="W30" i="11" s="1"/>
  <c r="I30" i="11"/>
  <c r="H30" i="11"/>
  <c r="R30" i="11" s="1"/>
  <c r="G30" i="11"/>
  <c r="F30" i="11"/>
  <c r="E30" i="11"/>
  <c r="O29" i="11" a="1"/>
  <c r="O29" i="11" s="1"/>
  <c r="M29" i="11" a="1"/>
  <c r="M29" i="11" s="1"/>
  <c r="L29" i="11" a="1"/>
  <c r="L29" i="11" s="1"/>
  <c r="J29" i="11"/>
  <c r="W29" i="11" s="1"/>
  <c r="I29" i="11"/>
  <c r="H29" i="11"/>
  <c r="R29" i="11" s="1"/>
  <c r="G29" i="11"/>
  <c r="F29" i="11"/>
  <c r="E29" i="11"/>
  <c r="O28" i="11" a="1"/>
  <c r="O28" i="11" s="1"/>
  <c r="M28" i="11" a="1"/>
  <c r="M28" i="11" s="1"/>
  <c r="L28" i="11" a="1"/>
  <c r="L28" i="11" s="1"/>
  <c r="J28" i="11"/>
  <c r="Y28" i="11" s="1"/>
  <c r="I28" i="11"/>
  <c r="H28" i="11"/>
  <c r="R28" i="11" s="1"/>
  <c r="G28" i="11"/>
  <c r="F28" i="11"/>
  <c r="E28" i="11"/>
  <c r="G325" i="11" l="1"/>
  <c r="U231" i="11"/>
  <c r="U139" i="11"/>
  <c r="Y263" i="11"/>
  <c r="Y266" i="11"/>
  <c r="S308" i="11"/>
  <c r="T47" i="11"/>
  <c r="T64" i="11"/>
  <c r="U136" i="11"/>
  <c r="U155" i="11"/>
  <c r="J336" i="11"/>
  <c r="G334" i="11"/>
  <c r="H418" i="11"/>
  <c r="U80" i="11"/>
  <c r="Y222" i="11"/>
  <c r="G353" i="11"/>
  <c r="J420" i="11"/>
  <c r="V52" i="11"/>
  <c r="V92" i="11"/>
  <c r="T201" i="11"/>
  <c r="F316" i="11"/>
  <c r="S221" i="11"/>
  <c r="F318" i="11"/>
  <c r="F372" i="11"/>
  <c r="I425" i="11"/>
  <c r="U223" i="11"/>
  <c r="W256" i="11"/>
  <c r="G318" i="11"/>
  <c r="G372" i="11"/>
  <c r="E430" i="11"/>
  <c r="Y198" i="11"/>
  <c r="F323" i="11"/>
  <c r="H372" i="11"/>
  <c r="H432" i="11"/>
  <c r="J392" i="11"/>
  <c r="X142" i="11"/>
  <c r="S28" i="11"/>
  <c r="U244" i="11"/>
  <c r="V250" i="11"/>
  <c r="W297" i="11"/>
  <c r="E325" i="11"/>
  <c r="H400" i="11"/>
  <c r="S133" i="11"/>
  <c r="S196" i="11"/>
  <c r="S208" i="11"/>
  <c r="S211" i="11"/>
  <c r="S240" i="11"/>
  <c r="J343" i="11"/>
  <c r="G404" i="11"/>
  <c r="E428" i="11"/>
  <c r="U99" i="11"/>
  <c r="S112" i="11"/>
  <c r="Y300" i="11"/>
  <c r="J334" i="11"/>
  <c r="H404" i="11"/>
  <c r="X102" i="11"/>
  <c r="T209" i="11"/>
  <c r="V232" i="11"/>
  <c r="E343" i="11"/>
  <c r="I336" i="11"/>
  <c r="J325" i="11"/>
  <c r="G337" i="11"/>
  <c r="E384" i="11"/>
  <c r="I406" i="11"/>
  <c r="G430" i="11"/>
  <c r="W296" i="11"/>
  <c r="E339" i="11"/>
  <c r="Y96" i="11"/>
  <c r="T100" i="11"/>
  <c r="S107" i="11"/>
  <c r="V126" i="11"/>
  <c r="S231" i="11"/>
  <c r="T236" i="11"/>
  <c r="X289" i="11"/>
  <c r="J327" i="11"/>
  <c r="G339" i="11"/>
  <c r="G384" i="11"/>
  <c r="G408" i="11"/>
  <c r="I432" i="11"/>
  <c r="W232" i="11"/>
  <c r="S84" i="11"/>
  <c r="AD84" i="11" s="1"/>
  <c r="AE84" i="11" s="1"/>
  <c r="X121" i="11"/>
  <c r="Y219" i="11"/>
  <c r="V222" i="11"/>
  <c r="U272" i="11"/>
  <c r="G313" i="11"/>
  <c r="F328" i="11"/>
  <c r="G341" i="11"/>
  <c r="H384" i="11"/>
  <c r="J413" i="11"/>
  <c r="J432" i="11"/>
  <c r="V35" i="11"/>
  <c r="S110" i="11"/>
  <c r="U51" i="11"/>
  <c r="V120" i="11"/>
  <c r="S292" i="11"/>
  <c r="F314" i="11"/>
  <c r="I328" i="11"/>
  <c r="G346" i="11"/>
  <c r="I384" i="11"/>
  <c r="E416" i="11"/>
  <c r="E437" i="11"/>
  <c r="W260" i="11"/>
  <c r="U265" i="11"/>
  <c r="S286" i="11"/>
  <c r="E315" i="11"/>
  <c r="I329" i="11"/>
  <c r="G348" i="11"/>
  <c r="J388" i="11"/>
  <c r="F416" i="11"/>
  <c r="F437" i="11"/>
  <c r="X37" i="11"/>
  <c r="E316" i="11"/>
  <c r="J329" i="11"/>
  <c r="I348" i="11"/>
  <c r="I392" i="11"/>
  <c r="G418" i="11"/>
  <c r="G437" i="11"/>
  <c r="U295" i="11"/>
  <c r="E322" i="11"/>
  <c r="G332" i="11"/>
  <c r="E346" i="11"/>
  <c r="J364" i="11"/>
  <c r="E381" i="11"/>
  <c r="H388" i="11"/>
  <c r="F400" i="11"/>
  <c r="F412" i="11"/>
  <c r="X116" i="11"/>
  <c r="S197" i="11"/>
  <c r="S225" i="11"/>
  <c r="S228" i="11"/>
  <c r="T240" i="11"/>
  <c r="S275" i="11"/>
  <c r="H14" i="11"/>
  <c r="H333" i="11" s="1"/>
  <c r="E314" i="11"/>
  <c r="E323" i="11"/>
  <c r="E328" i="11"/>
  <c r="F346" i="11"/>
  <c r="G369" i="11"/>
  <c r="F381" i="11"/>
  <c r="I388" i="11"/>
  <c r="G400" i="11"/>
  <c r="I413" i="11"/>
  <c r="G425" i="11"/>
  <c r="U95" i="11"/>
  <c r="F325" i="11"/>
  <c r="F333" i="11"/>
  <c r="F339" i="11"/>
  <c r="I381" i="11"/>
  <c r="H381" i="11"/>
  <c r="V28" i="11"/>
  <c r="W43" i="11"/>
  <c r="W72" i="11"/>
  <c r="W66" i="11"/>
  <c r="F353" i="11"/>
  <c r="J381" i="11"/>
  <c r="E393" i="11"/>
  <c r="I404" i="11"/>
  <c r="G416" i="11"/>
  <c r="F428" i="11"/>
  <c r="I369" i="11"/>
  <c r="G381" i="11"/>
  <c r="U45" i="11"/>
  <c r="W92" i="11"/>
  <c r="V133" i="11"/>
  <c r="V171" i="11"/>
  <c r="U174" i="11"/>
  <c r="U246" i="11"/>
  <c r="X295" i="11"/>
  <c r="E368" i="11"/>
  <c r="E317" i="11"/>
  <c r="I339" i="11"/>
  <c r="F393" i="11"/>
  <c r="J404" i="11"/>
  <c r="H416" i="11"/>
  <c r="G428" i="11"/>
  <c r="E440" i="11"/>
  <c r="S77" i="11"/>
  <c r="V86" i="11"/>
  <c r="V127" i="11"/>
  <c r="Y171" i="11"/>
  <c r="S174" i="11"/>
  <c r="X178" i="11"/>
  <c r="W181" i="11"/>
  <c r="S193" i="11"/>
  <c r="Y234" i="11"/>
  <c r="U243" i="11"/>
  <c r="V277" i="11"/>
  <c r="W283" i="11"/>
  <c r="T295" i="11"/>
  <c r="E356" i="11"/>
  <c r="I356" i="11"/>
  <c r="E318" i="11"/>
  <c r="E330" i="11"/>
  <c r="F356" i="11"/>
  <c r="G393" i="11"/>
  <c r="E405" i="11"/>
  <c r="I416" i="11"/>
  <c r="H428" i="11"/>
  <c r="F440" i="11"/>
  <c r="S118" i="11"/>
  <c r="S141" i="11"/>
  <c r="J344" i="11"/>
  <c r="F330" i="11"/>
  <c r="I357" i="11"/>
  <c r="H393" i="11"/>
  <c r="F405" i="11"/>
  <c r="J416" i="11"/>
  <c r="I428" i="11"/>
  <c r="G440" i="11"/>
  <c r="S91" i="11"/>
  <c r="Y112" i="11"/>
  <c r="W115" i="11"/>
  <c r="W162" i="11"/>
  <c r="X205" i="11"/>
  <c r="W214" i="11"/>
  <c r="W246" i="11"/>
  <c r="S305" i="11"/>
  <c r="I344" i="11"/>
  <c r="J338" i="11"/>
  <c r="F326" i="11"/>
  <c r="I341" i="11"/>
  <c r="J357" i="11"/>
  <c r="G376" i="11"/>
  <c r="J428" i="11"/>
  <c r="H440" i="11"/>
  <c r="S31" i="11"/>
  <c r="U32" i="11"/>
  <c r="U47" i="11"/>
  <c r="V59" i="11"/>
  <c r="U111" i="11"/>
  <c r="U123" i="11"/>
  <c r="V141" i="11"/>
  <c r="V153" i="11"/>
  <c r="S170" i="11"/>
  <c r="S238" i="11"/>
  <c r="V258" i="11"/>
  <c r="S279" i="11"/>
  <c r="S285" i="11"/>
  <c r="S296" i="11"/>
  <c r="J347" i="11"/>
  <c r="E319" i="11"/>
  <c r="E335" i="11"/>
  <c r="I343" i="11"/>
  <c r="F360" i="11"/>
  <c r="H376" i="11"/>
  <c r="I440" i="11"/>
  <c r="S32" i="11"/>
  <c r="S37" i="11"/>
  <c r="X53" i="11"/>
  <c r="S111" i="11"/>
  <c r="AD111" i="11" s="1"/>
  <c r="AE111" i="11" s="1"/>
  <c r="S123" i="11"/>
  <c r="AD123" i="11" s="1"/>
  <c r="AE123" i="11" s="1"/>
  <c r="Y144" i="11"/>
  <c r="S167" i="11"/>
  <c r="X177" i="11"/>
  <c r="V285" i="11"/>
  <c r="Y294" i="11"/>
  <c r="E307" i="11"/>
  <c r="E308" i="11" s="1"/>
  <c r="E309" i="11" s="1"/>
  <c r="E310" i="11" s="1"/>
  <c r="E311" i="11" s="1"/>
  <c r="G368" i="11"/>
  <c r="J342" i="11"/>
  <c r="G320" i="11"/>
  <c r="G327" i="11"/>
  <c r="I330" i="11"/>
  <c r="F335" i="11"/>
  <c r="G360" i="11"/>
  <c r="I376" i="11"/>
  <c r="E388" i="11"/>
  <c r="G396" i="11"/>
  <c r="E408" i="11"/>
  <c r="I418" i="11"/>
  <c r="F430" i="11"/>
  <c r="I441" i="11"/>
  <c r="S36" i="11"/>
  <c r="V286" i="11"/>
  <c r="W295" i="11"/>
  <c r="V299" i="11"/>
  <c r="U204" i="11"/>
  <c r="X261" i="11"/>
  <c r="W276" i="11"/>
  <c r="G356" i="11"/>
  <c r="E321" i="11"/>
  <c r="E332" i="11"/>
  <c r="F344" i="11"/>
  <c r="J376" i="11"/>
  <c r="F388" i="11"/>
  <c r="J441" i="11"/>
  <c r="Y53" i="11"/>
  <c r="U143" i="11"/>
  <c r="U152" i="11"/>
  <c r="W32" i="11"/>
  <c r="T80" i="11"/>
  <c r="S89" i="11"/>
  <c r="AD89" i="11" s="1"/>
  <c r="AE89" i="11" s="1"/>
  <c r="S117" i="11"/>
  <c r="S137" i="11"/>
  <c r="W236" i="11"/>
  <c r="S242" i="11"/>
  <c r="S257" i="11"/>
  <c r="F312" i="11"/>
  <c r="F321" i="11"/>
  <c r="I327" i="11"/>
  <c r="F332" i="11"/>
  <c r="I335" i="11"/>
  <c r="G344" i="11"/>
  <c r="I364" i="11"/>
  <c r="E380" i="11"/>
  <c r="G388" i="11"/>
  <c r="E400" i="11"/>
  <c r="E412" i="11"/>
  <c r="I420" i="11"/>
  <c r="G432" i="11"/>
  <c r="E442" i="11"/>
  <c r="X194" i="11"/>
  <c r="S198" i="11"/>
  <c r="U264" i="11"/>
  <c r="S265" i="11"/>
  <c r="S271" i="11"/>
  <c r="V191" i="11"/>
  <c r="V265" i="11"/>
  <c r="H360" i="11"/>
  <c r="H369" i="11"/>
  <c r="U234" i="11"/>
  <c r="V303" i="11"/>
  <c r="H356" i="11"/>
  <c r="H348" i="11"/>
  <c r="Y110" i="11"/>
  <c r="W110" i="11"/>
  <c r="Y117" i="11"/>
  <c r="W117" i="11"/>
  <c r="U122" i="11"/>
  <c r="W146" i="11"/>
  <c r="Y146" i="11"/>
  <c r="W177" i="11"/>
  <c r="Y177" i="11"/>
  <c r="V178" i="11"/>
  <c r="Y248" i="11"/>
  <c r="W248" i="11"/>
  <c r="Y270" i="11"/>
  <c r="W270" i="11"/>
  <c r="H344" i="11"/>
  <c r="H337" i="11"/>
  <c r="H339" i="11"/>
  <c r="H341" i="11"/>
  <c r="Y299" i="11"/>
  <c r="W299" i="11"/>
  <c r="U84" i="11"/>
  <c r="B385" i="11"/>
  <c r="J363" i="11"/>
  <c r="I363" i="11"/>
  <c r="H363" i="11"/>
  <c r="G363" i="11"/>
  <c r="F363" i="11"/>
  <c r="E363" i="11"/>
  <c r="V110" i="11"/>
  <c r="V64" i="11"/>
  <c r="W87" i="11"/>
  <c r="Y101" i="11"/>
  <c r="W284" i="11"/>
  <c r="Y284" i="11"/>
  <c r="H343" i="11"/>
  <c r="W41" i="11"/>
  <c r="T51" i="11"/>
  <c r="U60" i="11"/>
  <c r="Y63" i="11"/>
  <c r="W63" i="11"/>
  <c r="U70" i="11"/>
  <c r="V74" i="11"/>
  <c r="S82" i="11"/>
  <c r="V90" i="11"/>
  <c r="S125" i="11"/>
  <c r="S131" i="11"/>
  <c r="T141" i="11"/>
  <c r="V145" i="11"/>
  <c r="W220" i="11"/>
  <c r="T269" i="11"/>
  <c r="W285" i="11"/>
  <c r="X154" i="11"/>
  <c r="X172" i="11"/>
  <c r="W187" i="11"/>
  <c r="Y200" i="11"/>
  <c r="U206" i="11"/>
  <c r="S223" i="11"/>
  <c r="V230" i="11"/>
  <c r="S278" i="11"/>
  <c r="U280" i="11"/>
  <c r="O13" i="11"/>
  <c r="O14" i="11" s="1"/>
  <c r="O15" i="11" s="1"/>
  <c r="O16" i="11" s="1"/>
  <c r="O17" i="11" s="1"/>
  <c r="Y170" i="11"/>
  <c r="W170" i="11"/>
  <c r="X152" i="11"/>
  <c r="X81" i="11"/>
  <c r="W58" i="11"/>
  <c r="Y65" i="11"/>
  <c r="V146" i="11"/>
  <c r="V31" i="11"/>
  <c r="W71" i="11"/>
  <c r="X104" i="11"/>
  <c r="W107" i="11"/>
  <c r="U176" i="11"/>
  <c r="U193" i="11"/>
  <c r="V61" i="11"/>
  <c r="U148" i="11"/>
  <c r="S156" i="11"/>
  <c r="U67" i="11"/>
  <c r="Y80" i="11"/>
  <c r="X128" i="11"/>
  <c r="V37" i="11"/>
  <c r="S40" i="11"/>
  <c r="W44" i="11"/>
  <c r="X60" i="11"/>
  <c r="S67" i="11"/>
  <c r="V168" i="11"/>
  <c r="X185" i="11"/>
  <c r="X65" i="11"/>
  <c r="W227" i="11"/>
  <c r="Y227" i="11"/>
  <c r="U163" i="11"/>
  <c r="U169" i="11"/>
  <c r="AD169" i="11" s="1"/>
  <c r="AE169" i="11" s="1"/>
  <c r="W90" i="11"/>
  <c r="W94" i="11"/>
  <c r="S97" i="11"/>
  <c r="U79" i="11"/>
  <c r="AD79" i="11" s="1"/>
  <c r="AE79" i="11" s="1"/>
  <c r="Y128" i="11"/>
  <c r="Y145" i="11"/>
  <c r="X33" i="11"/>
  <c r="W37" i="11"/>
  <c r="S43" i="11"/>
  <c r="S73" i="11"/>
  <c r="U76" i="11"/>
  <c r="S79" i="11"/>
  <c r="W85" i="11"/>
  <c r="Y85" i="11"/>
  <c r="U89" i="11"/>
  <c r="U211" i="11"/>
  <c r="U212" i="11"/>
  <c r="U221" i="11"/>
  <c r="AD221" i="11" s="1"/>
  <c r="AE221" i="11" s="1"/>
  <c r="W252" i="11"/>
  <c r="Y252" i="11"/>
  <c r="Y298" i="11"/>
  <c r="B371" i="11"/>
  <c r="J349" i="11"/>
  <c r="I349" i="11"/>
  <c r="H349" i="11"/>
  <c r="G349" i="11"/>
  <c r="F349" i="11"/>
  <c r="E349" i="11"/>
  <c r="T211" i="11"/>
  <c r="V45" i="11"/>
  <c r="Y52" i="11"/>
  <c r="U187" i="11"/>
  <c r="S64" i="11"/>
  <c r="U74" i="11"/>
  <c r="Y86" i="11"/>
  <c r="W86" i="11"/>
  <c r="U90" i="11"/>
  <c r="X164" i="11"/>
  <c r="Y201" i="11"/>
  <c r="W250" i="11"/>
  <c r="Y250" i="11"/>
  <c r="X51" i="11"/>
  <c r="S113" i="11"/>
  <c r="V220" i="11"/>
  <c r="Y224" i="11"/>
  <c r="S109" i="11"/>
  <c r="X30" i="11"/>
  <c r="S50" i="11"/>
  <c r="S78" i="11"/>
  <c r="X83" i="11"/>
  <c r="W176" i="11"/>
  <c r="Y30" i="11"/>
  <c r="V50" i="11"/>
  <c r="U114" i="11"/>
  <c r="V144" i="11"/>
  <c r="S45" i="11"/>
  <c r="W47" i="11"/>
  <c r="U56" i="11"/>
  <c r="Y60" i="11"/>
  <c r="W93" i="11"/>
  <c r="S96" i="11"/>
  <c r="S124" i="11"/>
  <c r="W134" i="11"/>
  <c r="W141" i="11"/>
  <c r="S153" i="11"/>
  <c r="Y178" i="11"/>
  <c r="W178" i="11"/>
  <c r="W179" i="11"/>
  <c r="T200" i="11"/>
  <c r="W240" i="11"/>
  <c r="X246" i="11"/>
  <c r="U271" i="11"/>
  <c r="W277" i="11"/>
  <c r="Y277" i="11"/>
  <c r="W280" i="11"/>
  <c r="Y280" i="11"/>
  <c r="M13" i="11"/>
  <c r="M14" i="11" s="1"/>
  <c r="M15" i="11" s="1"/>
  <c r="M16" i="11" s="1"/>
  <c r="M17" i="11" s="1"/>
  <c r="S188" i="11"/>
  <c r="S202" i="11"/>
  <c r="V208" i="11"/>
  <c r="S233" i="11"/>
  <c r="X247" i="11"/>
  <c r="S293" i="11"/>
  <c r="I315" i="11"/>
  <c r="I322" i="11"/>
  <c r="E353" i="11"/>
  <c r="G355" i="11"/>
  <c r="E360" i="11"/>
  <c r="E367" i="11"/>
  <c r="V215" i="11"/>
  <c r="S229" i="11"/>
  <c r="X233" i="11"/>
  <c r="S246" i="11"/>
  <c r="S263" i="11"/>
  <c r="S276" i="11"/>
  <c r="S290" i="11"/>
  <c r="X293" i="11"/>
  <c r="V297" i="11"/>
  <c r="U304" i="11"/>
  <c r="J315" i="11"/>
  <c r="J322" i="11"/>
  <c r="H355" i="11"/>
  <c r="F367" i="11"/>
  <c r="B425" i="11"/>
  <c r="I313" i="11"/>
  <c r="I320" i="11"/>
  <c r="E337" i="11"/>
  <c r="E344" i="11"/>
  <c r="E351" i="11"/>
  <c r="I355" i="11"/>
  <c r="E358" i="11"/>
  <c r="E365" i="11"/>
  <c r="G367" i="11"/>
  <c r="E379" i="11"/>
  <c r="B364" i="11"/>
  <c r="J313" i="11"/>
  <c r="J320" i="11"/>
  <c r="F337" i="11"/>
  <c r="J341" i="11"/>
  <c r="H346" i="11"/>
  <c r="F351" i="11"/>
  <c r="H353" i="11"/>
  <c r="J355" i="11"/>
  <c r="F358" i="11"/>
  <c r="F365" i="11"/>
  <c r="H367" i="11"/>
  <c r="J369" i="11"/>
  <c r="F379" i="11"/>
  <c r="J418" i="11"/>
  <c r="J425" i="11"/>
  <c r="H430" i="11"/>
  <c r="H437" i="11"/>
  <c r="F442" i="11"/>
  <c r="U292" i="11"/>
  <c r="S307" i="11"/>
  <c r="X309" i="11"/>
  <c r="J312" i="11"/>
  <c r="G316" i="11"/>
  <c r="I318" i="11"/>
  <c r="G323" i="11"/>
  <c r="E342" i="11"/>
  <c r="I346" i="11"/>
  <c r="G351" i="11"/>
  <c r="I353" i="11"/>
  <c r="G358" i="11"/>
  <c r="G365" i="11"/>
  <c r="I367" i="11"/>
  <c r="E370" i="11"/>
  <c r="E377" i="11"/>
  <c r="G379" i="11"/>
  <c r="E391" i="11"/>
  <c r="I430" i="11"/>
  <c r="I437" i="11"/>
  <c r="G442" i="11"/>
  <c r="I312" i="11"/>
  <c r="J318" i="11"/>
  <c r="F342" i="11"/>
  <c r="J346" i="11"/>
  <c r="H351" i="11"/>
  <c r="J353" i="11"/>
  <c r="H358" i="11"/>
  <c r="H365" i="11"/>
  <c r="J367" i="11"/>
  <c r="F370" i="11"/>
  <c r="F377" i="11"/>
  <c r="H379" i="11"/>
  <c r="F391" i="11"/>
  <c r="J430" i="11"/>
  <c r="H442" i="11"/>
  <c r="S304" i="11"/>
  <c r="AD304" i="11" s="1"/>
  <c r="G314" i="11"/>
  <c r="I316" i="11"/>
  <c r="G321" i="11"/>
  <c r="I323" i="11"/>
  <c r="E326" i="11"/>
  <c r="G328" i="11"/>
  <c r="E333" i="11"/>
  <c r="G335" i="11"/>
  <c r="I337" i="11"/>
  <c r="E340" i="11"/>
  <c r="G342" i="11"/>
  <c r="E347" i="11"/>
  <c r="I351" i="11"/>
  <c r="I358" i="11"/>
  <c r="I365" i="11"/>
  <c r="G370" i="11"/>
  <c r="G377" i="11"/>
  <c r="I379" i="11"/>
  <c r="E382" i="11"/>
  <c r="E389" i="11"/>
  <c r="G391" i="11"/>
  <c r="I393" i="11"/>
  <c r="I400" i="11"/>
  <c r="E403" i="11"/>
  <c r="G405" i="11"/>
  <c r="G412" i="11"/>
  <c r="E417" i="11"/>
  <c r="E424" i="11"/>
  <c r="I442" i="11"/>
  <c r="V32" i="11"/>
  <c r="S39" i="11"/>
  <c r="U42" i="11"/>
  <c r="S53" i="11"/>
  <c r="U59" i="11"/>
  <c r="V79" i="11"/>
  <c r="U97" i="11"/>
  <c r="S100" i="11"/>
  <c r="U129" i="11"/>
  <c r="S152" i="11"/>
  <c r="U170" i="11"/>
  <c r="S178" i="11"/>
  <c r="S207" i="11"/>
  <c r="U209" i="11"/>
  <c r="U213" i="11"/>
  <c r="S220" i="11"/>
  <c r="X231" i="11"/>
  <c r="X241" i="11"/>
  <c r="V272" i="11"/>
  <c r="X275" i="11"/>
  <c r="V306" i="11"/>
  <c r="G312" i="11"/>
  <c r="J316" i="11"/>
  <c r="F319" i="11"/>
  <c r="J323" i="11"/>
  <c r="J330" i="11"/>
  <c r="J337" i="11"/>
  <c r="F340" i="11"/>
  <c r="H342" i="11"/>
  <c r="F347" i="11"/>
  <c r="J351" i="11"/>
  <c r="J358" i="11"/>
  <c r="J365" i="11"/>
  <c r="F368" i="11"/>
  <c r="H370" i="11"/>
  <c r="H377" i="11"/>
  <c r="J379" i="11"/>
  <c r="F382" i="11"/>
  <c r="F389" i="11"/>
  <c r="H391" i="11"/>
  <c r="J393" i="11"/>
  <c r="J400" i="11"/>
  <c r="F403" i="11"/>
  <c r="H405" i="11"/>
  <c r="H412" i="11"/>
  <c r="F417" i="11"/>
  <c r="F424" i="11"/>
  <c r="B360" i="11"/>
  <c r="I314" i="11"/>
  <c r="G319" i="11"/>
  <c r="I321" i="11"/>
  <c r="E324" i="11"/>
  <c r="G326" i="11"/>
  <c r="E331" i="11"/>
  <c r="G333" i="11"/>
  <c r="E338" i="11"/>
  <c r="G340" i="11"/>
  <c r="I342" i="11"/>
  <c r="E345" i="11"/>
  <c r="G347" i="11"/>
  <c r="E352" i="11"/>
  <c r="I370" i="11"/>
  <c r="I377" i="11"/>
  <c r="G382" i="11"/>
  <c r="G389" i="11"/>
  <c r="I391" i="11"/>
  <c r="E394" i="11"/>
  <c r="E401" i="11"/>
  <c r="G403" i="11"/>
  <c r="I405" i="11"/>
  <c r="I412" i="11"/>
  <c r="G417" i="11"/>
  <c r="G424" i="11"/>
  <c r="E429" i="11"/>
  <c r="E436" i="11"/>
  <c r="U306" i="11"/>
  <c r="AD306" i="11" s="1"/>
  <c r="S311" i="11"/>
  <c r="H13" i="11"/>
  <c r="J314" i="11"/>
  <c r="F317" i="11"/>
  <c r="J321" i="11"/>
  <c r="F324" i="11"/>
  <c r="H326" i="11"/>
  <c r="J328" i="11"/>
  <c r="F331" i="11"/>
  <c r="J335" i="11"/>
  <c r="F338" i="11"/>
  <c r="H340" i="11"/>
  <c r="F345" i="11"/>
  <c r="H347" i="11"/>
  <c r="F352" i="11"/>
  <c r="J356" i="11"/>
  <c r="H368" i="11"/>
  <c r="J370" i="11"/>
  <c r="J377" i="11"/>
  <c r="F380" i="11"/>
  <c r="H382" i="11"/>
  <c r="J384" i="11"/>
  <c r="H389" i="11"/>
  <c r="J391" i="11"/>
  <c r="F394" i="11"/>
  <c r="H396" i="11"/>
  <c r="F401" i="11"/>
  <c r="H403" i="11"/>
  <c r="J405" i="11"/>
  <c r="F408" i="11"/>
  <c r="J412" i="11"/>
  <c r="H417" i="11"/>
  <c r="H424" i="11"/>
  <c r="F429" i="11"/>
  <c r="F436" i="11"/>
  <c r="S52" i="11"/>
  <c r="U64" i="11"/>
  <c r="V66" i="11"/>
  <c r="V71" i="11"/>
  <c r="V72" i="11"/>
  <c r="V89" i="11"/>
  <c r="U96" i="11"/>
  <c r="T98" i="11"/>
  <c r="V103" i="11"/>
  <c r="S164" i="11"/>
  <c r="X167" i="11"/>
  <c r="S173" i="11"/>
  <c r="S181" i="11"/>
  <c r="S206" i="11"/>
  <c r="X219" i="11"/>
  <c r="T221" i="11"/>
  <c r="U230" i="11"/>
  <c r="V234" i="11"/>
  <c r="G317" i="11"/>
  <c r="I319" i="11"/>
  <c r="G324" i="11"/>
  <c r="E329" i="11"/>
  <c r="G331" i="11"/>
  <c r="E336" i="11"/>
  <c r="G338" i="11"/>
  <c r="I340" i="11"/>
  <c r="G345" i="11"/>
  <c r="I347" i="11"/>
  <c r="G352" i="11"/>
  <c r="E357" i="11"/>
  <c r="E364" i="11"/>
  <c r="I368" i="11"/>
  <c r="G380" i="11"/>
  <c r="I382" i="11"/>
  <c r="I389" i="11"/>
  <c r="E392" i="11"/>
  <c r="G394" i="11"/>
  <c r="G401" i="11"/>
  <c r="I403" i="11"/>
  <c r="E406" i="11"/>
  <c r="E413" i="11"/>
  <c r="I417" i="11"/>
  <c r="I424" i="11"/>
  <c r="G429" i="11"/>
  <c r="G436" i="11"/>
  <c r="E441" i="11"/>
  <c r="B369" i="11"/>
  <c r="E312" i="11"/>
  <c r="F315" i="11"/>
  <c r="J319" i="11"/>
  <c r="F322" i="11"/>
  <c r="H324" i="11"/>
  <c r="J326" i="11"/>
  <c r="F329" i="11"/>
  <c r="H331" i="11"/>
  <c r="J333" i="11"/>
  <c r="F336" i="11"/>
  <c r="H338" i="11"/>
  <c r="J340" i="11"/>
  <c r="F343" i="11"/>
  <c r="H345" i="11"/>
  <c r="H352" i="11"/>
  <c r="F357" i="11"/>
  <c r="F364" i="11"/>
  <c r="J368" i="11"/>
  <c r="H380" i="11"/>
  <c r="J382" i="11"/>
  <c r="J389" i="11"/>
  <c r="F392" i="11"/>
  <c r="H394" i="11"/>
  <c r="J396" i="11"/>
  <c r="H401" i="11"/>
  <c r="F406" i="11"/>
  <c r="H408" i="11"/>
  <c r="F413" i="11"/>
  <c r="J417" i="11"/>
  <c r="F420" i="11"/>
  <c r="J424" i="11"/>
  <c r="H429" i="11"/>
  <c r="H436" i="11"/>
  <c r="F441" i="11"/>
  <c r="E313" i="11"/>
  <c r="G315" i="11"/>
  <c r="I324" i="11"/>
  <c r="E327" i="11"/>
  <c r="G336" i="11"/>
  <c r="I338" i="11"/>
  <c r="E341" i="11"/>
  <c r="G343" i="11"/>
  <c r="I345" i="11"/>
  <c r="E348" i="11"/>
  <c r="I352" i="11"/>
  <c r="E355" i="11"/>
  <c r="G357" i="11"/>
  <c r="G364" i="11"/>
  <c r="E369" i="11"/>
  <c r="E376" i="11"/>
  <c r="I380" i="11"/>
  <c r="G392" i="11"/>
  <c r="I394" i="11"/>
  <c r="I401" i="11"/>
  <c r="E404" i="11"/>
  <c r="G406" i="11"/>
  <c r="I408" i="11"/>
  <c r="G413" i="11"/>
  <c r="E418" i="11"/>
  <c r="G420" i="11"/>
  <c r="E425" i="11"/>
  <c r="I429" i="11"/>
  <c r="E432" i="11"/>
  <c r="I436" i="11"/>
  <c r="G441" i="11"/>
  <c r="X115" i="11"/>
  <c r="U121" i="11"/>
  <c r="T126" i="11"/>
  <c r="S163" i="11"/>
  <c r="T188" i="11"/>
  <c r="V198" i="11"/>
  <c r="S212" i="11"/>
  <c r="T218" i="11"/>
  <c r="X260" i="11"/>
  <c r="S270" i="11"/>
  <c r="F313" i="11"/>
  <c r="J324" i="11"/>
  <c r="F327" i="11"/>
  <c r="H336" i="11"/>
  <c r="F341" i="11"/>
  <c r="J345" i="11"/>
  <c r="F348" i="11"/>
  <c r="J352" i="11"/>
  <c r="F355" i="11"/>
  <c r="H357" i="11"/>
  <c r="H364" i="11"/>
  <c r="F369" i="11"/>
  <c r="F376" i="11"/>
  <c r="J380" i="11"/>
  <c r="H392" i="11"/>
  <c r="J394" i="11"/>
  <c r="J401" i="11"/>
  <c r="F404" i="11"/>
  <c r="H406" i="11"/>
  <c r="J408" i="11"/>
  <c r="H413" i="11"/>
  <c r="F418" i="11"/>
  <c r="H420" i="11"/>
  <c r="F425" i="11"/>
  <c r="J429" i="11"/>
  <c r="N303" i="11"/>
  <c r="L13" i="11"/>
  <c r="L14" i="11" s="1"/>
  <c r="L15" i="11" s="1"/>
  <c r="L16" i="11" s="1"/>
  <c r="L17" i="11" s="1"/>
  <c r="V156" i="11"/>
  <c r="V167" i="11"/>
  <c r="X253" i="11"/>
  <c r="T273" i="11"/>
  <c r="S289" i="11"/>
  <c r="U296" i="11"/>
  <c r="U115" i="11"/>
  <c r="S140" i="11"/>
  <c r="T148" i="11"/>
  <c r="T184" i="11"/>
  <c r="S205" i="11"/>
  <c r="S252" i="11"/>
  <c r="U278" i="11"/>
  <c r="U289" i="11"/>
  <c r="U309" i="11"/>
  <c r="X127" i="11"/>
  <c r="S130" i="11"/>
  <c r="X265" i="11"/>
  <c r="T90" i="11"/>
  <c r="U107" i="11"/>
  <c r="AD107" i="11" s="1"/>
  <c r="AE107" i="11" s="1"/>
  <c r="T192" i="11"/>
  <c r="U200" i="11"/>
  <c r="U240" i="11"/>
  <c r="T247" i="11"/>
  <c r="T285" i="11"/>
  <c r="T165" i="11"/>
  <c r="T261" i="11"/>
  <c r="T32" i="11"/>
  <c r="T69" i="11"/>
  <c r="T117" i="11"/>
  <c r="S121" i="11"/>
  <c r="T128" i="11"/>
  <c r="S161" i="11"/>
  <c r="S165" i="11"/>
  <c r="S216" i="11"/>
  <c r="T297" i="11"/>
  <c r="U308" i="11"/>
  <c r="S60" i="11"/>
  <c r="U167" i="11"/>
  <c r="AD167" i="11" s="1"/>
  <c r="AE167" i="11" s="1"/>
  <c r="V154" i="11"/>
  <c r="T303" i="11"/>
  <c r="U94" i="11"/>
  <c r="T110" i="11"/>
  <c r="T214" i="11"/>
  <c r="U156" i="11"/>
  <c r="T173" i="11"/>
  <c r="AD56" i="11"/>
  <c r="AE56" i="11" s="1"/>
  <c r="T179" i="11"/>
  <c r="X184" i="11"/>
  <c r="T198" i="11"/>
  <c r="T207" i="11"/>
  <c r="S258" i="11"/>
  <c r="U273" i="11"/>
  <c r="S65" i="11"/>
  <c r="X73" i="11"/>
  <c r="V87" i="11"/>
  <c r="U128" i="11"/>
  <c r="S168" i="11"/>
  <c r="T208" i="11"/>
  <c r="T210" i="11"/>
  <c r="U219" i="11"/>
  <c r="AD219" i="11" s="1"/>
  <c r="AE219" i="11" s="1"/>
  <c r="T257" i="11"/>
  <c r="T299" i="11"/>
  <c r="S300" i="11"/>
  <c r="U153" i="11"/>
  <c r="U157" i="11"/>
  <c r="T164" i="11"/>
  <c r="S177" i="11"/>
  <c r="T182" i="11"/>
  <c r="S191" i="11"/>
  <c r="U198" i="11"/>
  <c r="AD198" i="11" s="1"/>
  <c r="AE198" i="11" s="1"/>
  <c r="N201" i="11"/>
  <c r="U201" i="11" s="1"/>
  <c r="T265" i="11"/>
  <c r="S269" i="11"/>
  <c r="T296" i="11"/>
  <c r="S87" i="11"/>
  <c r="AD87" i="11" s="1"/>
  <c r="AE87" i="11" s="1"/>
  <c r="T103" i="11"/>
  <c r="S69" i="11"/>
  <c r="U83" i="11"/>
  <c r="T86" i="11"/>
  <c r="S135" i="11"/>
  <c r="T157" i="11"/>
  <c r="T49" i="11"/>
  <c r="T82" i="11"/>
  <c r="T156" i="11"/>
  <c r="S182" i="11"/>
  <c r="T206" i="11"/>
  <c r="T234" i="11"/>
  <c r="V262" i="11"/>
  <c r="S272" i="11"/>
  <c r="S298" i="11"/>
  <c r="V143" i="11"/>
  <c r="X196" i="11"/>
  <c r="X202" i="11"/>
  <c r="V245" i="11"/>
  <c r="Y258" i="11"/>
  <c r="T34" i="11"/>
  <c r="S41" i="11"/>
  <c r="Y42" i="11"/>
  <c r="Y62" i="11"/>
  <c r="Y89" i="11"/>
  <c r="S119" i="11"/>
  <c r="W127" i="11"/>
  <c r="Y135" i="11"/>
  <c r="V184" i="11"/>
  <c r="Y196" i="11"/>
  <c r="Y272" i="11"/>
  <c r="S38" i="11"/>
  <c r="T52" i="11"/>
  <c r="S93" i="11"/>
  <c r="X94" i="11"/>
  <c r="V173" i="11"/>
  <c r="S195" i="11"/>
  <c r="W212" i="11"/>
  <c r="U220" i="11"/>
  <c r="S244" i="11"/>
  <c r="AD244" i="11" s="1"/>
  <c r="AE244" i="11" s="1"/>
  <c r="S256" i="11"/>
  <c r="W262" i="11"/>
  <c r="W271" i="11"/>
  <c r="U300" i="11"/>
  <c r="S303" i="11"/>
  <c r="V193" i="11"/>
  <c r="Y242" i="11"/>
  <c r="Y31" i="11"/>
  <c r="U66" i="11"/>
  <c r="X108" i="11"/>
  <c r="Y143" i="11"/>
  <c r="V147" i="11"/>
  <c r="Y158" i="11"/>
  <c r="S30" i="11"/>
  <c r="T55" i="11"/>
  <c r="S63" i="11"/>
  <c r="S83" i="11"/>
  <c r="T113" i="11"/>
  <c r="S128" i="11"/>
  <c r="T166" i="11"/>
  <c r="S179" i="11"/>
  <c r="AD179" i="11" s="1"/>
  <c r="AE179" i="11" s="1"/>
  <c r="S192" i="11"/>
  <c r="T222" i="11"/>
  <c r="W257" i="11"/>
  <c r="T276" i="11"/>
  <c r="S288" i="11"/>
  <c r="S299" i="11"/>
  <c r="T31" i="11"/>
  <c r="S55" i="11"/>
  <c r="T74" i="11"/>
  <c r="T89" i="11"/>
  <c r="T95" i="11"/>
  <c r="T105" i="11"/>
  <c r="T127" i="11"/>
  <c r="S166" i="11"/>
  <c r="W173" i="11"/>
  <c r="S268" i="11"/>
  <c r="S291" i="11"/>
  <c r="U55" i="11"/>
  <c r="U31" i="11"/>
  <c r="X63" i="11"/>
  <c r="V128" i="11"/>
  <c r="U135" i="11"/>
  <c r="V151" i="11"/>
  <c r="X288" i="11"/>
  <c r="V247" i="11"/>
  <c r="X123" i="11"/>
  <c r="X230" i="11"/>
  <c r="U257" i="11"/>
  <c r="N78" i="11"/>
  <c r="U78" i="11" s="1"/>
  <c r="T78" i="11"/>
  <c r="N108" i="11"/>
  <c r="U108" i="11" s="1"/>
  <c r="T108" i="11"/>
  <c r="U69" i="11"/>
  <c r="W191" i="11"/>
  <c r="Y191" i="11"/>
  <c r="Y150" i="11"/>
  <c r="W150" i="11"/>
  <c r="X69" i="11"/>
  <c r="V69" i="11"/>
  <c r="Y130" i="11"/>
  <c r="W130" i="11"/>
  <c r="Y186" i="11"/>
  <c r="W186" i="11"/>
  <c r="X227" i="11"/>
  <c r="V227" i="11"/>
  <c r="X278" i="11"/>
  <c r="V278" i="11"/>
  <c r="Y166" i="11"/>
  <c r="W166" i="11"/>
  <c r="W169" i="11"/>
  <c r="Y169" i="11"/>
  <c r="N188" i="11"/>
  <c r="U188" i="11" s="1"/>
  <c r="Y59" i="11"/>
  <c r="W59" i="11"/>
  <c r="T61" i="11"/>
  <c r="V51" i="11"/>
  <c r="W56" i="11"/>
  <c r="Y64" i="11"/>
  <c r="W64" i="11"/>
  <c r="X87" i="11"/>
  <c r="T92" i="11"/>
  <c r="N92" i="11"/>
  <c r="U92" i="11" s="1"/>
  <c r="V269" i="11"/>
  <c r="X269" i="11"/>
  <c r="N35" i="11"/>
  <c r="U35" i="11" s="1"/>
  <c r="T35" i="11"/>
  <c r="Y269" i="11"/>
  <c r="W269" i="11"/>
  <c r="Y45" i="11"/>
  <c r="W45" i="11"/>
  <c r="W78" i="11"/>
  <c r="N142" i="11"/>
  <c r="U142" i="11" s="1"/>
  <c r="T142" i="11"/>
  <c r="W131" i="11"/>
  <c r="Y131" i="11"/>
  <c r="X41" i="11"/>
  <c r="T42" i="11"/>
  <c r="W51" i="11"/>
  <c r="N138" i="11"/>
  <c r="U138" i="11" s="1"/>
  <c r="T138" i="11"/>
  <c r="W48" i="11"/>
  <c r="Y48" i="11"/>
  <c r="W54" i="11"/>
  <c r="Y54" i="11"/>
  <c r="T70" i="11"/>
  <c r="S94" i="11"/>
  <c r="S98" i="11"/>
  <c r="X47" i="11"/>
  <c r="X57" i="11"/>
  <c r="V57" i="11"/>
  <c r="T87" i="11"/>
  <c r="AD94" i="11"/>
  <c r="AE94" i="11" s="1"/>
  <c r="X217" i="11"/>
  <c r="V217" i="11"/>
  <c r="W237" i="11"/>
  <c r="Y237" i="11"/>
  <c r="W33" i="11"/>
  <c r="Y33" i="11"/>
  <c r="T60" i="11"/>
  <c r="S61" i="11"/>
  <c r="U131" i="11"/>
  <c r="Y50" i="11"/>
  <c r="W50" i="11"/>
  <c r="N255" i="11"/>
  <c r="U255" i="11" s="1"/>
  <c r="T255" i="11"/>
  <c r="V259" i="11"/>
  <c r="X259" i="11"/>
  <c r="V132" i="11"/>
  <c r="X132" i="11"/>
  <c r="Y160" i="11"/>
  <c r="W160" i="11"/>
  <c r="W28" i="11"/>
  <c r="X48" i="11"/>
  <c r="X98" i="11"/>
  <c r="V98" i="11"/>
  <c r="T150" i="11"/>
  <c r="N254" i="11"/>
  <c r="U254" i="11" s="1"/>
  <c r="T254" i="11"/>
  <c r="W74" i="11"/>
  <c r="S33" i="11"/>
  <c r="V73" i="11"/>
  <c r="Y121" i="11"/>
  <c r="W121" i="11"/>
  <c r="S42" i="11"/>
  <c r="Y39" i="11"/>
  <c r="W39" i="11"/>
  <c r="X56" i="11"/>
  <c r="V56" i="11"/>
  <c r="Y83" i="11"/>
  <c r="W83" i="11"/>
  <c r="Y108" i="11"/>
  <c r="W108" i="11"/>
  <c r="Y151" i="11"/>
  <c r="W151" i="11"/>
  <c r="Y61" i="11"/>
  <c r="W61" i="11"/>
  <c r="U144" i="11"/>
  <c r="AD144" i="11" s="1"/>
  <c r="AE144" i="11" s="1"/>
  <c r="U217" i="11"/>
  <c r="AD231" i="11"/>
  <c r="AE231" i="11" s="1"/>
  <c r="V233" i="11"/>
  <c r="X236" i="11"/>
  <c r="V236" i="11"/>
  <c r="Y254" i="11"/>
  <c r="W254" i="11"/>
  <c r="X32" i="11"/>
  <c r="S35" i="11"/>
  <c r="W36" i="11"/>
  <c r="X55" i="11"/>
  <c r="X90" i="11"/>
  <c r="X92" i="11"/>
  <c r="W100" i="11"/>
  <c r="T133" i="11"/>
  <c r="S136" i="11"/>
  <c r="Y157" i="11"/>
  <c r="T37" i="11"/>
  <c r="U46" i="11"/>
  <c r="Y70" i="11"/>
  <c r="W70" i="11"/>
  <c r="X112" i="11"/>
  <c r="V112" i="11"/>
  <c r="V113" i="11"/>
  <c r="U119" i="11"/>
  <c r="Y120" i="11"/>
  <c r="W120" i="11"/>
  <c r="U125" i="11"/>
  <c r="T143" i="11"/>
  <c r="S146" i="11"/>
  <c r="X151" i="11"/>
  <c r="V116" i="11"/>
  <c r="U120" i="11"/>
  <c r="W149" i="11"/>
  <c r="Y149" i="11"/>
  <c r="Y211" i="11"/>
  <c r="W211" i="11"/>
  <c r="S224" i="11"/>
  <c r="Y230" i="11"/>
  <c r="W230" i="11"/>
  <c r="U33" i="11"/>
  <c r="U37" i="11"/>
  <c r="X45" i="11"/>
  <c r="S51" i="11"/>
  <c r="V53" i="11"/>
  <c r="X59" i="11"/>
  <c r="X62" i="11"/>
  <c r="T73" i="11"/>
  <c r="S74" i="11"/>
  <c r="T85" i="11"/>
  <c r="X86" i="11"/>
  <c r="Y91" i="11"/>
  <c r="W91" i="11"/>
  <c r="W98" i="11"/>
  <c r="Y98" i="11"/>
  <c r="X119" i="11"/>
  <c r="V119" i="11"/>
  <c r="U145" i="11"/>
  <c r="U149" i="11"/>
  <c r="Y159" i="11"/>
  <c r="W159" i="11"/>
  <c r="X193" i="11"/>
  <c r="Y216" i="11"/>
  <c r="W216" i="11"/>
  <c r="Y249" i="11"/>
  <c r="W249" i="11"/>
  <c r="Y253" i="11"/>
  <c r="W253" i="11"/>
  <c r="Y288" i="11"/>
  <c r="W288" i="11"/>
  <c r="S127" i="11"/>
  <c r="S145" i="11"/>
  <c r="V194" i="11"/>
  <c r="Y229" i="11"/>
  <c r="W229" i="11"/>
  <c r="U73" i="11"/>
  <c r="W103" i="11"/>
  <c r="S147" i="11"/>
  <c r="S157" i="11"/>
  <c r="W106" i="11"/>
  <c r="Y106" i="11"/>
  <c r="Y119" i="11"/>
  <c r="W119" i="11"/>
  <c r="V130" i="11"/>
  <c r="Y138" i="11"/>
  <c r="W138" i="11"/>
  <c r="T170" i="11"/>
  <c r="V174" i="11"/>
  <c r="T187" i="11"/>
  <c r="N253" i="11"/>
  <c r="U253" i="11" s="1"/>
  <c r="T253" i="11"/>
  <c r="Y291" i="11"/>
  <c r="W291" i="11"/>
  <c r="T43" i="11"/>
  <c r="AD45" i="11"/>
  <c r="AE45" i="11" s="1"/>
  <c r="T66" i="11"/>
  <c r="T79" i="11"/>
  <c r="S80" i="11"/>
  <c r="U127" i="11"/>
  <c r="W167" i="11"/>
  <c r="Y167" i="11"/>
  <c r="W194" i="11"/>
  <c r="U203" i="11"/>
  <c r="V241" i="11"/>
  <c r="X245" i="11"/>
  <c r="U36" i="11"/>
  <c r="AD36" i="11" s="1"/>
  <c r="AE36" i="11" s="1"/>
  <c r="T41" i="11"/>
  <c r="S47" i="11"/>
  <c r="V55" i="11"/>
  <c r="T71" i="11"/>
  <c r="U72" i="11"/>
  <c r="AD72" i="11" s="1"/>
  <c r="AE72" i="11" s="1"/>
  <c r="S75" i="11"/>
  <c r="S86" i="11"/>
  <c r="U100" i="11"/>
  <c r="S102" i="11"/>
  <c r="T121" i="11"/>
  <c r="U147" i="11"/>
  <c r="Y148" i="11"/>
  <c r="W148" i="11"/>
  <c r="S159" i="11"/>
  <c r="U161" i="11"/>
  <c r="X168" i="11"/>
  <c r="S175" i="11"/>
  <c r="S183" i="11"/>
  <c r="T204" i="11"/>
  <c r="X238" i="11"/>
  <c r="V238" i="11"/>
  <c r="Y282" i="11"/>
  <c r="W282" i="11"/>
  <c r="X287" i="11"/>
  <c r="V287" i="11"/>
  <c r="Y168" i="11"/>
  <c r="X171" i="11"/>
  <c r="W182" i="11"/>
  <c r="Y182" i="11"/>
  <c r="T30" i="11"/>
  <c r="U41" i="11"/>
  <c r="AD41" i="11" s="1"/>
  <c r="AE41" i="11" s="1"/>
  <c r="X72" i="11"/>
  <c r="Y76" i="11"/>
  <c r="T83" i="11"/>
  <c r="S104" i="11"/>
  <c r="W105" i="11"/>
  <c r="Y105" i="11"/>
  <c r="Y132" i="11"/>
  <c r="W132" i="11"/>
  <c r="Y137" i="11"/>
  <c r="W137" i="11"/>
  <c r="T146" i="11"/>
  <c r="X147" i="11"/>
  <c r="AD152" i="11"/>
  <c r="AE152" i="11" s="1"/>
  <c r="Y154" i="11"/>
  <c r="V157" i="11"/>
  <c r="X157" i="11"/>
  <c r="T160" i="11"/>
  <c r="X187" i="11"/>
  <c r="U191" i="11"/>
  <c r="Y203" i="11"/>
  <c r="W203" i="11"/>
  <c r="W228" i="11"/>
  <c r="Y228" i="11"/>
  <c r="X43" i="11"/>
  <c r="V47" i="11"/>
  <c r="S58" i="11"/>
  <c r="S68" i="11"/>
  <c r="T76" i="11"/>
  <c r="S81" i="11"/>
  <c r="U110" i="11"/>
  <c r="V131" i="11"/>
  <c r="N137" i="11"/>
  <c r="U137" i="11" s="1"/>
  <c r="T137" i="11"/>
  <c r="T144" i="11"/>
  <c r="Y147" i="11"/>
  <c r="W147" i="11"/>
  <c r="S158" i="11"/>
  <c r="S160" i="11"/>
  <c r="W161" i="11"/>
  <c r="Y161" i="11"/>
  <c r="S250" i="11"/>
  <c r="AD250" i="11" s="1"/>
  <c r="AE250" i="11" s="1"/>
  <c r="AD271" i="11"/>
  <c r="Y202" i="11"/>
  <c r="W202" i="11"/>
  <c r="X203" i="11"/>
  <c r="V203" i="11"/>
  <c r="S253" i="11"/>
  <c r="X279" i="11"/>
  <c r="V279" i="11"/>
  <c r="Y305" i="11"/>
  <c r="W305" i="11"/>
  <c r="W292" i="11"/>
  <c r="Y292" i="11"/>
  <c r="S261" i="11"/>
  <c r="S294" i="11"/>
  <c r="Y278" i="11"/>
  <c r="W278" i="11"/>
  <c r="Y279" i="11"/>
  <c r="T33" i="11"/>
  <c r="T50" i="11"/>
  <c r="U86" i="11"/>
  <c r="T94" i="11"/>
  <c r="S99" i="11"/>
  <c r="V104" i="11"/>
  <c r="U105" i="11"/>
  <c r="U113" i="11"/>
  <c r="S122" i="11"/>
  <c r="V137" i="11"/>
  <c r="X146" i="11"/>
  <c r="S149" i="11"/>
  <c r="T163" i="11"/>
  <c r="U165" i="11"/>
  <c r="U166" i="11"/>
  <c r="S176" i="11"/>
  <c r="T178" i="11"/>
  <c r="Y195" i="11"/>
  <c r="S200" i="11"/>
  <c r="X215" i="11"/>
  <c r="T219" i="11"/>
  <c r="X222" i="11"/>
  <c r="X223" i="11"/>
  <c r="Y231" i="11"/>
  <c r="S243" i="11"/>
  <c r="X257" i="11"/>
  <c r="V257" i="11"/>
  <c r="T289" i="11"/>
  <c r="U141" i="11"/>
  <c r="V150" i="11"/>
  <c r="S172" i="11"/>
  <c r="U173" i="11"/>
  <c r="S180" i="11"/>
  <c r="T196" i="11"/>
  <c r="T212" i="11"/>
  <c r="T213" i="11"/>
  <c r="T224" i="11"/>
  <c r="Y226" i="11"/>
  <c r="W226" i="11"/>
  <c r="T232" i="11"/>
  <c r="X237" i="11"/>
  <c r="X243" i="11"/>
  <c r="T250" i="11"/>
  <c r="U258" i="11"/>
  <c r="Y264" i="11"/>
  <c r="W264" i="11"/>
  <c r="Y290" i="11"/>
  <c r="W290" i="11"/>
  <c r="X307" i="11"/>
  <c r="V307" i="11"/>
  <c r="S108" i="11"/>
  <c r="U117" i="11"/>
  <c r="T131" i="11"/>
  <c r="AA131" i="11" s="1"/>
  <c r="AB131" i="11" s="1"/>
  <c r="U140" i="11"/>
  <c r="V164" i="11"/>
  <c r="U175" i="11"/>
  <c r="S184" i="11"/>
  <c r="S187" i="11"/>
  <c r="S189" i="11"/>
  <c r="W190" i="11"/>
  <c r="Y190" i="11"/>
  <c r="U196" i="11"/>
  <c r="V205" i="11"/>
  <c r="S222" i="11"/>
  <c r="U250" i="11"/>
  <c r="Y268" i="11"/>
  <c r="W268" i="11"/>
  <c r="X273" i="11"/>
  <c r="V273" i="11"/>
  <c r="T279" i="11"/>
  <c r="S44" i="11"/>
  <c r="U54" i="11"/>
  <c r="T72" i="11"/>
  <c r="X79" i="11"/>
  <c r="S85" i="11"/>
  <c r="T123" i="11"/>
  <c r="V33" i="11"/>
  <c r="S54" i="11"/>
  <c r="S59" i="11"/>
  <c r="X61" i="11"/>
  <c r="AD67" i="11"/>
  <c r="AE67" i="11" s="1"/>
  <c r="V102" i="11"/>
  <c r="X125" i="11"/>
  <c r="S129" i="11"/>
  <c r="X153" i="11"/>
  <c r="T168" i="11"/>
  <c r="S203" i="11"/>
  <c r="Y225" i="11"/>
  <c r="W225" i="11"/>
  <c r="T266" i="11"/>
  <c r="X281" i="11"/>
  <c r="T107" i="11"/>
  <c r="V117" i="11"/>
  <c r="T119" i="11"/>
  <c r="S126" i="11"/>
  <c r="T151" i="11"/>
  <c r="S154" i="11"/>
  <c r="S155" i="11"/>
  <c r="X156" i="11"/>
  <c r="X174" i="11"/>
  <c r="V175" i="11"/>
  <c r="V185" i="11"/>
  <c r="S214" i="11"/>
  <c r="S249" i="11"/>
  <c r="S254" i="11"/>
  <c r="X272" i="11"/>
  <c r="X91" i="11"/>
  <c r="V96" i="11"/>
  <c r="V108" i="11"/>
  <c r="X126" i="11"/>
  <c r="T130" i="11"/>
  <c r="Y142" i="11"/>
  <c r="W142" i="11"/>
  <c r="T161" i="11"/>
  <c r="U164" i="11"/>
  <c r="U168" i="11"/>
  <c r="T176" i="11"/>
  <c r="T183" i="11"/>
  <c r="V187" i="11"/>
  <c r="V190" i="11"/>
  <c r="V202" i="11"/>
  <c r="X214" i="11"/>
  <c r="V231" i="11"/>
  <c r="U238" i="11"/>
  <c r="T243" i="11"/>
  <c r="U266" i="11"/>
  <c r="X305" i="11"/>
  <c r="V305" i="11"/>
  <c r="T262" i="11"/>
  <c r="V271" i="11"/>
  <c r="S282" i="11"/>
  <c r="X234" i="11"/>
  <c r="X274" i="11"/>
  <c r="X277" i="11"/>
  <c r="U303" i="11"/>
  <c r="X306" i="11"/>
  <c r="X191" i="11"/>
  <c r="U197" i="11"/>
  <c r="T202" i="11"/>
  <c r="T205" i="11"/>
  <c r="T220" i="11"/>
  <c r="T228" i="11"/>
  <c r="T229" i="11"/>
  <c r="T230" i="11"/>
  <c r="U247" i="11"/>
  <c r="V291" i="11"/>
  <c r="S295" i="11"/>
  <c r="AA295" i="11" s="1"/>
  <c r="S138" i="11"/>
  <c r="S139" i="11"/>
  <c r="AD139" i="11" s="1"/>
  <c r="AE139" i="11" s="1"/>
  <c r="T147" i="11"/>
  <c r="U150" i="11"/>
  <c r="S151" i="11"/>
  <c r="X158" i="11"/>
  <c r="V159" i="11"/>
  <c r="X176" i="11"/>
  <c r="V179" i="11"/>
  <c r="U182" i="11"/>
  <c r="U195" i="11"/>
  <c r="U202" i="11"/>
  <c r="T203" i="11"/>
  <c r="X208" i="11"/>
  <c r="S209" i="11"/>
  <c r="V211" i="11"/>
  <c r="S227" i="11"/>
  <c r="S234" i="11"/>
  <c r="S235" i="11"/>
  <c r="S248" i="11"/>
  <c r="V249" i="11"/>
  <c r="U261" i="11"/>
  <c r="T272" i="11"/>
  <c r="S277" i="11"/>
  <c r="V290" i="11"/>
  <c r="U294" i="11"/>
  <c r="T280" i="11"/>
  <c r="S283" i="11"/>
  <c r="X299" i="11"/>
  <c r="S309" i="11"/>
  <c r="U256" i="11"/>
  <c r="S264" i="11"/>
  <c r="V301" i="11"/>
  <c r="W304" i="11"/>
  <c r="T305" i="11"/>
  <c r="T306" i="11"/>
  <c r="U307" i="11"/>
  <c r="Y210" i="11"/>
  <c r="T216" i="11"/>
  <c r="T217" i="11"/>
  <c r="S218" i="11"/>
  <c r="S232" i="11"/>
  <c r="Y239" i="11"/>
  <c r="S247" i="11"/>
  <c r="AD247" i="11" s="1"/>
  <c r="AE247" i="11" s="1"/>
  <c r="S262" i="11"/>
  <c r="V263" i="11"/>
  <c r="T278" i="11"/>
  <c r="S284" i="11"/>
  <c r="T290" i="11"/>
  <c r="T300" i="11"/>
  <c r="X303" i="11"/>
  <c r="Y265" i="11"/>
  <c r="U279" i="11"/>
  <c r="T304" i="11"/>
  <c r="U305" i="11"/>
  <c r="V68" i="11"/>
  <c r="X68" i="11"/>
  <c r="N233" i="11"/>
  <c r="U233" i="11" s="1"/>
  <c r="T233" i="11"/>
  <c r="N29" i="11"/>
  <c r="U29" i="11" s="1"/>
  <c r="T29" i="11"/>
  <c r="X34" i="11"/>
  <c r="V34" i="11"/>
  <c r="N75" i="11"/>
  <c r="U75" i="11" s="1"/>
  <c r="T75" i="11"/>
  <c r="X46" i="11"/>
  <c r="V46" i="11"/>
  <c r="V39" i="11"/>
  <c r="X39" i="11"/>
  <c r="N57" i="11"/>
  <c r="U57" i="11" s="1"/>
  <c r="T57" i="11"/>
  <c r="X70" i="11"/>
  <c r="V70" i="11"/>
  <c r="N28" i="11"/>
  <c r="U28" i="11" s="1"/>
  <c r="AD28" i="11" s="1"/>
  <c r="AE28" i="11" s="1"/>
  <c r="T28" i="11"/>
  <c r="N40" i="11"/>
  <c r="U40" i="11" s="1"/>
  <c r="T40" i="11"/>
  <c r="N48" i="11"/>
  <c r="U48" i="11" s="1"/>
  <c r="T48" i="11"/>
  <c r="X111" i="11"/>
  <c r="V111" i="11"/>
  <c r="W193" i="11"/>
  <c r="Y193" i="11"/>
  <c r="X101" i="11"/>
  <c r="V101" i="11"/>
  <c r="Y118" i="11"/>
  <c r="W118" i="11"/>
  <c r="Y174" i="11"/>
  <c r="W174" i="11"/>
  <c r="X225" i="11"/>
  <c r="V225" i="11"/>
  <c r="X114" i="11"/>
  <c r="V114" i="11"/>
  <c r="X210" i="11"/>
  <c r="V210" i="11"/>
  <c r="Y34" i="11"/>
  <c r="W34" i="11"/>
  <c r="T199" i="11"/>
  <c r="N199" i="11"/>
  <c r="U199" i="11" s="1"/>
  <c r="V207" i="11"/>
  <c r="X207" i="11"/>
  <c r="W116" i="11"/>
  <c r="Y116" i="11"/>
  <c r="N118" i="11"/>
  <c r="U118" i="11" s="1"/>
  <c r="T118" i="11"/>
  <c r="T77" i="11"/>
  <c r="X138" i="11"/>
  <c r="V138" i="11"/>
  <c r="V155" i="11"/>
  <c r="X155" i="11"/>
  <c r="V183" i="11"/>
  <c r="X183" i="11"/>
  <c r="V195" i="11"/>
  <c r="X195" i="11"/>
  <c r="V199" i="11"/>
  <c r="X199" i="11"/>
  <c r="V40" i="11"/>
  <c r="X40" i="11"/>
  <c r="V81" i="11"/>
  <c r="X221" i="11"/>
  <c r="V221" i="11"/>
  <c r="Y309" i="11"/>
  <c r="W309" i="11"/>
  <c r="T45" i="11"/>
  <c r="T56" i="11"/>
  <c r="X58" i="11"/>
  <c r="V58" i="11"/>
  <c r="V118" i="11"/>
  <c r="X118" i="11"/>
  <c r="X235" i="11"/>
  <c r="V235" i="11"/>
  <c r="V43" i="11"/>
  <c r="V49" i="11"/>
  <c r="X49" i="11"/>
  <c r="U50" i="11"/>
  <c r="X284" i="11"/>
  <c r="V284" i="11"/>
  <c r="W286" i="11"/>
  <c r="Y286" i="11"/>
  <c r="AD286" i="11" s="1"/>
  <c r="V38" i="11"/>
  <c r="X38" i="11"/>
  <c r="U39" i="11"/>
  <c r="S103" i="11"/>
  <c r="N116" i="11"/>
  <c r="U116" i="11" s="1"/>
  <c r="AD116" i="11" s="1"/>
  <c r="AE116" i="11" s="1"/>
  <c r="T116" i="11"/>
  <c r="N124" i="11"/>
  <c r="U124" i="11" s="1"/>
  <c r="T124" i="11"/>
  <c r="Y29" i="11"/>
  <c r="W35" i="11"/>
  <c r="Y38" i="11"/>
  <c r="W38" i="11"/>
  <c r="X78" i="11"/>
  <c r="V78" i="11"/>
  <c r="X85" i="11"/>
  <c r="V85" i="11"/>
  <c r="X88" i="11"/>
  <c r="V88" i="11"/>
  <c r="T91" i="11"/>
  <c r="V142" i="11"/>
  <c r="T62" i="11"/>
  <c r="N62" i="11"/>
  <c r="U62" i="11" s="1"/>
  <c r="S57" i="11"/>
  <c r="T120" i="11"/>
  <c r="T135" i="11"/>
  <c r="T215" i="11"/>
  <c r="N215" i="11"/>
  <c r="U215" i="11" s="1"/>
  <c r="V67" i="11"/>
  <c r="X67" i="11"/>
  <c r="W77" i="11"/>
  <c r="Y77" i="11"/>
  <c r="W104" i="11"/>
  <c r="Y104" i="11"/>
  <c r="V62" i="11"/>
  <c r="V82" i="11"/>
  <c r="X82" i="11"/>
  <c r="W102" i="11"/>
  <c r="Y102" i="11"/>
  <c r="V54" i="11"/>
  <c r="X54" i="11"/>
  <c r="W57" i="11"/>
  <c r="Y57" i="11"/>
  <c r="W183" i="11"/>
  <c r="Y183" i="11"/>
  <c r="T239" i="11"/>
  <c r="N239" i="11"/>
  <c r="U239" i="11" s="1"/>
  <c r="V29" i="11"/>
  <c r="X29" i="11"/>
  <c r="N52" i="11"/>
  <c r="U52" i="11" s="1"/>
  <c r="V255" i="11"/>
  <c r="X255" i="11"/>
  <c r="N101" i="11"/>
  <c r="U101" i="11" s="1"/>
  <c r="AD101" i="11" s="1"/>
  <c r="AE101" i="11" s="1"/>
  <c r="T101" i="11"/>
  <c r="N34" i="11"/>
  <c r="U34" i="11" s="1"/>
  <c r="Y69" i="11"/>
  <c r="W69" i="11"/>
  <c r="V83" i="11"/>
  <c r="X100" i="11"/>
  <c r="V100" i="11"/>
  <c r="V44" i="11"/>
  <c r="X44" i="11"/>
  <c r="W49" i="11"/>
  <c r="Y49" i="11"/>
  <c r="T53" i="11"/>
  <c r="T54" i="11"/>
  <c r="W67" i="11"/>
  <c r="V107" i="11"/>
  <c r="X107" i="11"/>
  <c r="T134" i="11"/>
  <c r="N134" i="11"/>
  <c r="U134" i="11" s="1"/>
  <c r="N63" i="11"/>
  <c r="U63" i="11" s="1"/>
  <c r="T63" i="11"/>
  <c r="S66" i="11"/>
  <c r="V106" i="11"/>
  <c r="X106" i="11"/>
  <c r="V158" i="11"/>
  <c r="Y180" i="11"/>
  <c r="W180" i="11"/>
  <c r="X35" i="11"/>
  <c r="V41" i="11"/>
  <c r="T59" i="11"/>
  <c r="U77" i="11"/>
  <c r="V80" i="11"/>
  <c r="X80" i="11"/>
  <c r="V94" i="11"/>
  <c r="U104" i="11"/>
  <c r="W122" i="11"/>
  <c r="T96" i="11"/>
  <c r="T106" i="11"/>
  <c r="N106" i="11"/>
  <c r="U106" i="11" s="1"/>
  <c r="W40" i="11"/>
  <c r="Y40" i="11"/>
  <c r="V65" i="11"/>
  <c r="X71" i="11"/>
  <c r="W75" i="11"/>
  <c r="Y75" i="11"/>
  <c r="V77" i="11"/>
  <c r="X77" i="11"/>
  <c r="N189" i="11"/>
  <c r="U189" i="11" s="1"/>
  <c r="T189" i="11"/>
  <c r="W223" i="11"/>
  <c r="Y223" i="11"/>
  <c r="Y55" i="11"/>
  <c r="W55" i="11"/>
  <c r="Y111" i="11"/>
  <c r="W111" i="11"/>
  <c r="N112" i="11"/>
  <c r="U112" i="11" s="1"/>
  <c r="T112" i="11"/>
  <c r="W114" i="11"/>
  <c r="Y114" i="11"/>
  <c r="X42" i="11"/>
  <c r="V42" i="11"/>
  <c r="U85" i="11"/>
  <c r="U98" i="11"/>
  <c r="AD98" i="11" s="1"/>
  <c r="AE98" i="11" s="1"/>
  <c r="Y109" i="11"/>
  <c r="W109" i="11"/>
  <c r="V135" i="11"/>
  <c r="X135" i="11"/>
  <c r="W140" i="11"/>
  <c r="Y140" i="11"/>
  <c r="U154" i="11"/>
  <c r="V163" i="11"/>
  <c r="X163" i="11"/>
  <c r="W165" i="11"/>
  <c r="Y165" i="11"/>
  <c r="V170" i="11"/>
  <c r="X170" i="11"/>
  <c r="S90" i="11"/>
  <c r="V165" i="11"/>
  <c r="X165" i="11"/>
  <c r="N171" i="11"/>
  <c r="U171" i="11" s="1"/>
  <c r="T171" i="11"/>
  <c r="X182" i="11"/>
  <c r="V182" i="11"/>
  <c r="Y302" i="11"/>
  <c r="W302" i="11"/>
  <c r="X31" i="11"/>
  <c r="T39" i="11"/>
  <c r="U43" i="11"/>
  <c r="Y46" i="11"/>
  <c r="W46" i="11"/>
  <c r="U61" i="11"/>
  <c r="U65" i="11"/>
  <c r="W68" i="11"/>
  <c r="Y68" i="11"/>
  <c r="T102" i="11"/>
  <c r="V122" i="11"/>
  <c r="X122" i="11"/>
  <c r="X130" i="11"/>
  <c r="U146" i="11"/>
  <c r="X180" i="11"/>
  <c r="V180" i="11"/>
  <c r="X181" i="11"/>
  <c r="V181" i="11"/>
  <c r="N275" i="11"/>
  <c r="U275" i="11" s="1"/>
  <c r="T275" i="11"/>
  <c r="W88" i="11"/>
  <c r="Y88" i="11"/>
  <c r="W125" i="11"/>
  <c r="Y125" i="11"/>
  <c r="V139" i="11"/>
  <c r="X139" i="11"/>
  <c r="W155" i="11"/>
  <c r="Y155" i="11"/>
  <c r="X206" i="11"/>
  <c r="V206" i="11"/>
  <c r="X224" i="11"/>
  <c r="V224" i="11"/>
  <c r="S29" i="11"/>
  <c r="T36" i="11"/>
  <c r="U53" i="11"/>
  <c r="T58" i="11"/>
  <c r="S71" i="11"/>
  <c r="X84" i="11"/>
  <c r="V84" i="11"/>
  <c r="U91" i="11"/>
  <c r="AD91" i="11" s="1"/>
  <c r="AE91" i="11" s="1"/>
  <c r="X97" i="11"/>
  <c r="V97" i="11"/>
  <c r="T104" i="11"/>
  <c r="X124" i="11"/>
  <c r="V124" i="11"/>
  <c r="Y129" i="11"/>
  <c r="W129" i="11"/>
  <c r="V134" i="11"/>
  <c r="X134" i="11"/>
  <c r="Y139" i="11"/>
  <c r="W139" i="11"/>
  <c r="X161" i="11"/>
  <c r="V161" i="11"/>
  <c r="V189" i="11"/>
  <c r="X189" i="11"/>
  <c r="X66" i="11"/>
  <c r="U71" i="11"/>
  <c r="V75" i="11"/>
  <c r="X75" i="11"/>
  <c r="T88" i="11"/>
  <c r="N88" i="11"/>
  <c r="U88" i="11" s="1"/>
  <c r="W97" i="11"/>
  <c r="Y97" i="11"/>
  <c r="S115" i="11"/>
  <c r="N162" i="11"/>
  <c r="U162" i="11" s="1"/>
  <c r="T162" i="11"/>
  <c r="N185" i="11"/>
  <c r="U185" i="11" s="1"/>
  <c r="T185" i="11"/>
  <c r="Y189" i="11"/>
  <c r="W189" i="11"/>
  <c r="V200" i="11"/>
  <c r="X200" i="11"/>
  <c r="T132" i="11"/>
  <c r="N132" i="11"/>
  <c r="U132" i="11" s="1"/>
  <c r="X144" i="11"/>
  <c r="T145" i="11"/>
  <c r="V149" i="11"/>
  <c r="X149" i="11"/>
  <c r="S150" i="11"/>
  <c r="U181" i="11"/>
  <c r="Y204" i="11"/>
  <c r="W204" i="11"/>
  <c r="T65" i="11"/>
  <c r="T67" i="11"/>
  <c r="U82" i="11"/>
  <c r="X110" i="11"/>
  <c r="W113" i="11"/>
  <c r="Y113" i="11"/>
  <c r="V129" i="11"/>
  <c r="U130" i="11"/>
  <c r="AD130" i="11" s="1"/>
  <c r="AE130" i="11" s="1"/>
  <c r="S134" i="11"/>
  <c r="T154" i="11"/>
  <c r="V160" i="11"/>
  <c r="X160" i="11"/>
  <c r="T174" i="11"/>
  <c r="Y184" i="11"/>
  <c r="W184" i="11"/>
  <c r="U194" i="11"/>
  <c r="N263" i="11"/>
  <c r="U263" i="11" s="1"/>
  <c r="T263" i="11"/>
  <c r="U103" i="11"/>
  <c r="S120" i="11"/>
  <c r="W126" i="11"/>
  <c r="Y126" i="11"/>
  <c r="X283" i="11"/>
  <c r="V283" i="11"/>
  <c r="N301" i="11"/>
  <c r="T301" i="11"/>
  <c r="T44" i="11"/>
  <c r="T46" i="11"/>
  <c r="Y124" i="11"/>
  <c r="V125" i="11"/>
  <c r="S46" i="11"/>
  <c r="X76" i="11"/>
  <c r="V76" i="11"/>
  <c r="T84" i="11"/>
  <c r="T93" i="11"/>
  <c r="X95" i="11"/>
  <c r="V95" i="11"/>
  <c r="V30" i="11"/>
  <c r="U44" i="11"/>
  <c r="X74" i="11"/>
  <c r="Y95" i="11"/>
  <c r="W95" i="11"/>
  <c r="V99" i="11"/>
  <c r="X99" i="11"/>
  <c r="V115" i="11"/>
  <c r="X120" i="11"/>
  <c r="Y136" i="11"/>
  <c r="W136" i="11"/>
  <c r="U159" i="11"/>
  <c r="U178" i="11"/>
  <c r="AD178" i="11" s="1"/>
  <c r="AE178" i="11" s="1"/>
  <c r="W213" i="11"/>
  <c r="Y213" i="11"/>
  <c r="W244" i="11"/>
  <c r="Y244" i="11"/>
  <c r="U58" i="11"/>
  <c r="T149" i="11"/>
  <c r="X213" i="11"/>
  <c r="V213" i="11"/>
  <c r="U38" i="11"/>
  <c r="X52" i="11"/>
  <c r="V60" i="11"/>
  <c r="X64" i="11"/>
  <c r="Y79" i="11"/>
  <c r="U93" i="11"/>
  <c r="X96" i="11"/>
  <c r="Y99" i="11"/>
  <c r="W99" i="11"/>
  <c r="T114" i="11"/>
  <c r="U133" i="11"/>
  <c r="AD133" i="11" s="1"/>
  <c r="AE133" i="11" s="1"/>
  <c r="X133" i="11"/>
  <c r="X137" i="11"/>
  <c r="X143" i="11"/>
  <c r="T181" i="11"/>
  <c r="U184" i="11"/>
  <c r="T226" i="11"/>
  <c r="S132" i="11"/>
  <c r="Y153" i="11"/>
  <c r="W153" i="11"/>
  <c r="W175" i="11"/>
  <c r="Y175" i="11"/>
  <c r="T190" i="11"/>
  <c r="N190" i="11"/>
  <c r="U190" i="11" s="1"/>
  <c r="S48" i="11"/>
  <c r="S62" i="11"/>
  <c r="T68" i="11"/>
  <c r="S70" i="11"/>
  <c r="U81" i="11"/>
  <c r="Y84" i="11"/>
  <c r="X105" i="11"/>
  <c r="V105" i="11"/>
  <c r="S143" i="11"/>
  <c r="W152" i="11"/>
  <c r="Y152" i="11"/>
  <c r="Y172" i="11"/>
  <c r="Y188" i="11"/>
  <c r="W188" i="11"/>
  <c r="X212" i="11"/>
  <c r="V212" i="11"/>
  <c r="Y245" i="11"/>
  <c r="W245" i="11"/>
  <c r="Y274" i="11"/>
  <c r="W274" i="11"/>
  <c r="S34" i="11"/>
  <c r="T38" i="11"/>
  <c r="V136" i="11"/>
  <c r="X136" i="11"/>
  <c r="V169" i="11"/>
  <c r="X169" i="11"/>
  <c r="N245" i="11"/>
  <c r="U245" i="11" s="1"/>
  <c r="T245" i="11"/>
  <c r="N274" i="11"/>
  <c r="U274" i="11" s="1"/>
  <c r="T274" i="11"/>
  <c r="U68" i="11"/>
  <c r="X28" i="11"/>
  <c r="V36" i="11"/>
  <c r="X50" i="11"/>
  <c r="X109" i="11"/>
  <c r="V109" i="11"/>
  <c r="S114" i="11"/>
  <c r="T115" i="11"/>
  <c r="T140" i="11"/>
  <c r="X148" i="11"/>
  <c r="V148" i="11"/>
  <c r="U160" i="11"/>
  <c r="V91" i="11"/>
  <c r="T97" i="11"/>
  <c r="T99" i="11"/>
  <c r="T111" i="11"/>
  <c r="X117" i="11"/>
  <c r="V123" i="11"/>
  <c r="T136" i="11"/>
  <c r="X141" i="11"/>
  <c r="U151" i="11"/>
  <c r="X186" i="11"/>
  <c r="V192" i="11"/>
  <c r="X192" i="11"/>
  <c r="W199" i="11"/>
  <c r="Y199" i="11"/>
  <c r="T225" i="11"/>
  <c r="U227" i="11"/>
  <c r="N241" i="11"/>
  <c r="U241" i="11" s="1"/>
  <c r="T241" i="11"/>
  <c r="N251" i="11"/>
  <c r="U251" i="11" s="1"/>
  <c r="T251" i="11"/>
  <c r="X266" i="11"/>
  <c r="V266" i="11"/>
  <c r="S105" i="11"/>
  <c r="T109" i="11"/>
  <c r="W133" i="11"/>
  <c r="Y133" i="11"/>
  <c r="S142" i="11"/>
  <c r="S148" i="11"/>
  <c r="T158" i="11"/>
  <c r="V177" i="11"/>
  <c r="S76" i="11"/>
  <c r="U126" i="11"/>
  <c r="T129" i="11"/>
  <c r="X248" i="11"/>
  <c r="V248" i="11"/>
  <c r="N249" i="11"/>
  <c r="U249" i="11" s="1"/>
  <c r="T249" i="11"/>
  <c r="V63" i="11"/>
  <c r="Y82" i="11"/>
  <c r="S88" i="11"/>
  <c r="S95" i="11"/>
  <c r="V121" i="11"/>
  <c r="X218" i="11"/>
  <c r="V218" i="11"/>
  <c r="T231" i="11"/>
  <c r="Y259" i="11"/>
  <c r="W259" i="11"/>
  <c r="S287" i="11"/>
  <c r="U216" i="11"/>
  <c r="U30" i="11"/>
  <c r="X36" i="11"/>
  <c r="U49" i="11"/>
  <c r="AD49" i="11" s="1"/>
  <c r="AE49" i="11" s="1"/>
  <c r="T81" i="11"/>
  <c r="U109" i="11"/>
  <c r="X113" i="11"/>
  <c r="T122" i="11"/>
  <c r="X131" i="11"/>
  <c r="X140" i="11"/>
  <c r="V140" i="11"/>
  <c r="X145" i="11"/>
  <c r="U158" i="11"/>
  <c r="T159" i="11"/>
  <c r="N177" i="11"/>
  <c r="U177" i="11" s="1"/>
  <c r="T177" i="11"/>
  <c r="T186" i="11"/>
  <c r="N186" i="11"/>
  <c r="U186" i="11" s="1"/>
  <c r="T193" i="11"/>
  <c r="S194" i="11"/>
  <c r="V196" i="11"/>
  <c r="V216" i="11"/>
  <c r="X216" i="11"/>
  <c r="X226" i="11"/>
  <c r="V226" i="11"/>
  <c r="T235" i="11"/>
  <c r="V237" i="11"/>
  <c r="N259" i="11"/>
  <c r="U259" i="11" s="1"/>
  <c r="T259" i="11"/>
  <c r="Y123" i="11"/>
  <c r="T125" i="11"/>
  <c r="X129" i="11"/>
  <c r="V162" i="11"/>
  <c r="T169" i="11"/>
  <c r="U180" i="11"/>
  <c r="W207" i="11"/>
  <c r="Y207" i="11"/>
  <c r="W208" i="11"/>
  <c r="Y208" i="11"/>
  <c r="W221" i="11"/>
  <c r="Y221" i="11"/>
  <c r="S226" i="11"/>
  <c r="U242" i="11"/>
  <c r="S260" i="11"/>
  <c r="X264" i="11"/>
  <c r="V264" i="11"/>
  <c r="Y303" i="11"/>
  <c r="W303" i="11"/>
  <c r="T153" i="11"/>
  <c r="T155" i="11"/>
  <c r="T167" i="11"/>
  <c r="U183" i="11"/>
  <c r="S186" i="11"/>
  <c r="V188" i="11"/>
  <c r="X188" i="11"/>
  <c r="Y192" i="11"/>
  <c r="W192" i="11"/>
  <c r="T194" i="11"/>
  <c r="U226" i="11"/>
  <c r="W293" i="11"/>
  <c r="Y293" i="11"/>
  <c r="V302" i="11"/>
  <c r="X302" i="11"/>
  <c r="X280" i="11"/>
  <c r="V280" i="11"/>
  <c r="Y287" i="11"/>
  <c r="W287" i="11"/>
  <c r="Y301" i="11"/>
  <c r="W301" i="11"/>
  <c r="X310" i="11"/>
  <c r="V310" i="11"/>
  <c r="T152" i="11"/>
  <c r="AA152" i="11" s="1"/>
  <c r="AB152" i="11" s="1"/>
  <c r="V172" i="11"/>
  <c r="T197" i="11"/>
  <c r="S201" i="11"/>
  <c r="X204" i="11"/>
  <c r="V204" i="11"/>
  <c r="Y217" i="11"/>
  <c r="W217" i="11"/>
  <c r="Y218" i="11"/>
  <c r="W218" i="11"/>
  <c r="V219" i="11"/>
  <c r="T223" i="11"/>
  <c r="S230" i="11"/>
  <c r="T238" i="11"/>
  <c r="T270" i="11"/>
  <c r="U277" i="11"/>
  <c r="X292" i="11"/>
  <c r="V292" i="11"/>
  <c r="X282" i="11"/>
  <c r="V282" i="11"/>
  <c r="X162" i="11"/>
  <c r="T175" i="11"/>
  <c r="U208" i="11"/>
  <c r="X209" i="11"/>
  <c r="V209" i="11"/>
  <c r="U210" i="11"/>
  <c r="U222" i="11"/>
  <c r="U224" i="11"/>
  <c r="X249" i="11"/>
  <c r="X258" i="11"/>
  <c r="X103" i="11"/>
  <c r="S106" i="11"/>
  <c r="W205" i="11"/>
  <c r="Y205" i="11"/>
  <c r="S210" i="11"/>
  <c r="X229" i="11"/>
  <c r="V229" i="11"/>
  <c r="X252" i="11"/>
  <c r="V252" i="11"/>
  <c r="V93" i="11"/>
  <c r="X93" i="11"/>
  <c r="X89" i="11"/>
  <c r="S92" i="11"/>
  <c r="U102" i="11"/>
  <c r="T139" i="11"/>
  <c r="X150" i="11"/>
  <c r="V152" i="11"/>
  <c r="W164" i="11"/>
  <c r="X166" i="11"/>
  <c r="S171" i="11"/>
  <c r="X179" i="11"/>
  <c r="T180" i="11"/>
  <c r="U192" i="11"/>
  <c r="X197" i="11"/>
  <c r="V197" i="11"/>
  <c r="X198" i="11"/>
  <c r="N218" i="11"/>
  <c r="U218" i="11" s="1"/>
  <c r="V223" i="11"/>
  <c r="T242" i="11"/>
  <c r="V243" i="11"/>
  <c r="W251" i="11"/>
  <c r="Y251" i="11"/>
  <c r="T252" i="11"/>
  <c r="N252" i="11"/>
  <c r="U252" i="11" s="1"/>
  <c r="X268" i="11"/>
  <c r="V268" i="11"/>
  <c r="X276" i="11"/>
  <c r="V276" i="11"/>
  <c r="W156" i="11"/>
  <c r="W163" i="11"/>
  <c r="V166" i="11"/>
  <c r="X173" i="11"/>
  <c r="U214" i="11"/>
  <c r="U228" i="11"/>
  <c r="U235" i="11"/>
  <c r="X239" i="11"/>
  <c r="V239" i="11"/>
  <c r="V244" i="11"/>
  <c r="X244" i="11"/>
  <c r="Y255" i="11"/>
  <c r="W255" i="11"/>
  <c r="S273" i="11"/>
  <c r="Y281" i="11"/>
  <c r="W281" i="11"/>
  <c r="N282" i="11"/>
  <c r="U282" i="11" s="1"/>
  <c r="T282" i="11"/>
  <c r="X159" i="11"/>
  <c r="S162" i="11"/>
  <c r="U172" i="11"/>
  <c r="S217" i="11"/>
  <c r="U232" i="11"/>
  <c r="T237" i="11"/>
  <c r="X240" i="11"/>
  <c r="V240" i="11"/>
  <c r="X263" i="11"/>
  <c r="V267" i="11"/>
  <c r="X267" i="11"/>
  <c r="N268" i="11"/>
  <c r="U268" i="11" s="1"/>
  <c r="T268" i="11"/>
  <c r="U285" i="11"/>
  <c r="U293" i="11"/>
  <c r="U299" i="11"/>
  <c r="X304" i="11"/>
  <c r="V304" i="11"/>
  <c r="X190" i="11"/>
  <c r="T191" i="11"/>
  <c r="S204" i="11"/>
  <c r="U207" i="11"/>
  <c r="X211" i="11"/>
  <c r="X220" i="11"/>
  <c r="U225" i="11"/>
  <c r="AD225" i="11" s="1"/>
  <c r="AE225" i="11" s="1"/>
  <c r="S237" i="11"/>
  <c r="X242" i="11"/>
  <c r="V242" i="11"/>
  <c r="X251" i="11"/>
  <c r="V251" i="11"/>
  <c r="Y267" i="11"/>
  <c r="W267" i="11"/>
  <c r="V186" i="11"/>
  <c r="X201" i="11"/>
  <c r="V201" i="11"/>
  <c r="U229" i="11"/>
  <c r="X232" i="11"/>
  <c r="U236" i="11"/>
  <c r="S245" i="11"/>
  <c r="V260" i="11"/>
  <c r="U284" i="11"/>
  <c r="S190" i="11"/>
  <c r="T195" i="11"/>
  <c r="U205" i="11"/>
  <c r="Y275" i="11"/>
  <c r="W275" i="11"/>
  <c r="T284" i="11"/>
  <c r="U302" i="11"/>
  <c r="V214" i="11"/>
  <c r="T227" i="11"/>
  <c r="Y241" i="11"/>
  <c r="W241" i="11"/>
  <c r="T246" i="11"/>
  <c r="X256" i="11"/>
  <c r="V256" i="11"/>
  <c r="T283" i="11"/>
  <c r="N283" i="11"/>
  <c r="U283" i="11" s="1"/>
  <c r="N287" i="11"/>
  <c r="U287" i="11" s="1"/>
  <c r="T287" i="11"/>
  <c r="V300" i="11"/>
  <c r="X300" i="11"/>
  <c r="N267" i="11"/>
  <c r="U267" i="11" s="1"/>
  <c r="T267" i="11"/>
  <c r="N281" i="11"/>
  <c r="U281" i="11" s="1"/>
  <c r="T281" i="11"/>
  <c r="S185" i="11"/>
  <c r="S199" i="11"/>
  <c r="S213" i="11"/>
  <c r="S215" i="11"/>
  <c r="S236" i="11"/>
  <c r="V275" i="11"/>
  <c r="X298" i="11"/>
  <c r="V298" i="11"/>
  <c r="V315" i="11"/>
  <c r="X315" i="11" s="1"/>
  <c r="V316" i="11"/>
  <c r="X316" i="11" s="1"/>
  <c r="V317" i="11"/>
  <c r="X317" i="11" s="1"/>
  <c r="V313" i="11"/>
  <c r="X313" i="11" s="1"/>
  <c r="V314" i="11"/>
  <c r="X314" i="11" s="1"/>
  <c r="Y233" i="11"/>
  <c r="V246" i="11"/>
  <c r="U270" i="11"/>
  <c r="AD270" i="11" s="1"/>
  <c r="V295" i="11"/>
  <c r="X250" i="11"/>
  <c r="V253" i="11"/>
  <c r="T258" i="11"/>
  <c r="N260" i="11"/>
  <c r="U260" i="11" s="1"/>
  <c r="T260" i="11"/>
  <c r="V261" i="11"/>
  <c r="S266" i="11"/>
  <c r="S280" i="11"/>
  <c r="X285" i="11"/>
  <c r="V288" i="11"/>
  <c r="U290" i="11"/>
  <c r="T291" i="11"/>
  <c r="S297" i="11"/>
  <c r="Y261" i="11"/>
  <c r="W261" i="11"/>
  <c r="U262" i="11"/>
  <c r="X270" i="11"/>
  <c r="V270" i="11"/>
  <c r="T271" i="11"/>
  <c r="V289" i="11"/>
  <c r="X296" i="11"/>
  <c r="V296" i="11"/>
  <c r="U297" i="11"/>
  <c r="W206" i="11"/>
  <c r="U237" i="11"/>
  <c r="Y243" i="11"/>
  <c r="W243" i="11"/>
  <c r="T244" i="11"/>
  <c r="T248" i="11"/>
  <c r="S251" i="11"/>
  <c r="X254" i="11"/>
  <c r="V254" i="11"/>
  <c r="S255" i="11"/>
  <c r="Y273" i="11"/>
  <c r="W273" i="11"/>
  <c r="S274" i="11"/>
  <c r="S281" i="11"/>
  <c r="T286" i="11"/>
  <c r="AA286" i="11" s="1"/>
  <c r="N288" i="11"/>
  <c r="U288" i="11" s="1"/>
  <c r="T288" i="11"/>
  <c r="Y289" i="11"/>
  <c r="W289" i="11"/>
  <c r="X290" i="11"/>
  <c r="U291" i="11"/>
  <c r="T292" i="11"/>
  <c r="T298" i="11"/>
  <c r="Y307" i="11"/>
  <c r="W307" i="11"/>
  <c r="V311" i="11"/>
  <c r="X311" i="11" s="1"/>
  <c r="S239" i="11"/>
  <c r="S241" i="11"/>
  <c r="Y247" i="11"/>
  <c r="W247" i="11"/>
  <c r="X262" i="11"/>
  <c r="N269" i="11"/>
  <c r="U269" i="11" s="1"/>
  <c r="X286" i="11"/>
  <c r="V293" i="11"/>
  <c r="X294" i="11"/>
  <c r="V294" i="11"/>
  <c r="X297" i="11"/>
  <c r="S301" i="11"/>
  <c r="X308" i="11"/>
  <c r="V308" i="11"/>
  <c r="S310" i="11"/>
  <c r="U248" i="11"/>
  <c r="T256" i="11"/>
  <c r="S267" i="11"/>
  <c r="X291" i="11"/>
  <c r="T294" i="11"/>
  <c r="U298" i="11"/>
  <c r="U310" i="11"/>
  <c r="T314" i="11"/>
  <c r="T315" i="11"/>
  <c r="T316" i="11"/>
  <c r="T317" i="11"/>
  <c r="N311" i="11"/>
  <c r="V228" i="11"/>
  <c r="X228" i="11"/>
  <c r="S259" i="11"/>
  <c r="T264" i="11"/>
  <c r="X271" i="11"/>
  <c r="V274" i="11"/>
  <c r="U276" i="11"/>
  <c r="T277" i="11"/>
  <c r="V281" i="11"/>
  <c r="T293" i="11"/>
  <c r="W308" i="11"/>
  <c r="T302" i="11"/>
  <c r="W311" i="11"/>
  <c r="Y311" i="11" s="1"/>
  <c r="W306" i="11"/>
  <c r="W310" i="11"/>
  <c r="AA84" i="11" l="1"/>
  <c r="AB84" i="11" s="1"/>
  <c r="AA45" i="11"/>
  <c r="AB45" i="11" s="1"/>
  <c r="AA209" i="11"/>
  <c r="AB209" i="11" s="1"/>
  <c r="AD170" i="11"/>
  <c r="AE170" i="11" s="1"/>
  <c r="AA123" i="11"/>
  <c r="AB123" i="11" s="1"/>
  <c r="AD100" i="11"/>
  <c r="AE100" i="11" s="1"/>
  <c r="AD246" i="11"/>
  <c r="AE246" i="11" s="1"/>
  <c r="AD292" i="11"/>
  <c r="AD32" i="11"/>
  <c r="AE32" i="11" s="1"/>
  <c r="AD174" i="11"/>
  <c r="AE174" i="11" s="1"/>
  <c r="AD99" i="11"/>
  <c r="AE99" i="11" s="1"/>
  <c r="AD207" i="11"/>
  <c r="AE207" i="11" s="1"/>
  <c r="AD223" i="11"/>
  <c r="AE223" i="11" s="1"/>
  <c r="AA156" i="11"/>
  <c r="AB156" i="11" s="1"/>
  <c r="AD191" i="11"/>
  <c r="AE191" i="11" s="1"/>
  <c r="AD80" i="11"/>
  <c r="AE80" i="11" s="1"/>
  <c r="AD163" i="11"/>
  <c r="AE163" i="11" s="1"/>
  <c r="AD155" i="11"/>
  <c r="AE155" i="11" s="1"/>
  <c r="AD129" i="11"/>
  <c r="AE129" i="11" s="1"/>
  <c r="AD110" i="11"/>
  <c r="AE110" i="11" s="1"/>
  <c r="AD140" i="11"/>
  <c r="AE140" i="11" s="1"/>
  <c r="AA56" i="11"/>
  <c r="AB56" i="11" s="1"/>
  <c r="AD77" i="11"/>
  <c r="AE77" i="11" s="1"/>
  <c r="AD136" i="11"/>
  <c r="AE136" i="11" s="1"/>
  <c r="AD37" i="11"/>
  <c r="AE37" i="11" s="1"/>
  <c r="AA128" i="11"/>
  <c r="AB128" i="11" s="1"/>
  <c r="AD308" i="11"/>
  <c r="AA169" i="11"/>
  <c r="AB169" i="11" s="1"/>
  <c r="AD109" i="11"/>
  <c r="AE109" i="11" s="1"/>
  <c r="AA89" i="11"/>
  <c r="AB89" i="11" s="1"/>
  <c r="AA221" i="11"/>
  <c r="AB221" i="11" s="1"/>
  <c r="AD257" i="11"/>
  <c r="AD193" i="11"/>
  <c r="AE193" i="11" s="1"/>
  <c r="AB295" i="11"/>
  <c r="AA211" i="11"/>
  <c r="AB211" i="11" s="1"/>
  <c r="AD117" i="11"/>
  <c r="AE117" i="11" s="1"/>
  <c r="AD196" i="11"/>
  <c r="AE196" i="11" s="1"/>
  <c r="AA32" i="11"/>
  <c r="AB32" i="11" s="1"/>
  <c r="AD243" i="11"/>
  <c r="AE243" i="11" s="1"/>
  <c r="AD97" i="11"/>
  <c r="AE97" i="11" s="1"/>
  <c r="AA174" i="11"/>
  <c r="AB174" i="11" s="1"/>
  <c r="AA300" i="11"/>
  <c r="AD96" i="11"/>
  <c r="AE96" i="11" s="1"/>
  <c r="AD59" i="11"/>
  <c r="AE59" i="11" s="1"/>
  <c r="AA206" i="11"/>
  <c r="AB206" i="11" s="1"/>
  <c r="AD208" i="11"/>
  <c r="AE208" i="11" s="1"/>
  <c r="AA231" i="11"/>
  <c r="AB231" i="11" s="1"/>
  <c r="AD168" i="11"/>
  <c r="AE168" i="11" s="1"/>
  <c r="AD182" i="11"/>
  <c r="AE182" i="11" s="1"/>
  <c r="AD164" i="11"/>
  <c r="AE164" i="11" s="1"/>
  <c r="AD156" i="11"/>
  <c r="AE156" i="11" s="1"/>
  <c r="AD112" i="11"/>
  <c r="AE112" i="11" s="1"/>
  <c r="AA136" i="11"/>
  <c r="AB136" i="11" s="1"/>
  <c r="AA72" i="11"/>
  <c r="AB72" i="11" s="1"/>
  <c r="AA87" i="11"/>
  <c r="AB87" i="11" s="1"/>
  <c r="AA31" i="11"/>
  <c r="AB31" i="11" s="1"/>
  <c r="AD118" i="11"/>
  <c r="AE118" i="11" s="1"/>
  <c r="AA306" i="11"/>
  <c r="AB306" i="11" s="1"/>
  <c r="AD176" i="11"/>
  <c r="AE176" i="11" s="1"/>
  <c r="AD121" i="11"/>
  <c r="AE121" i="11" s="1"/>
  <c r="AA179" i="11"/>
  <c r="AB179" i="11" s="1"/>
  <c r="AD212" i="11"/>
  <c r="AE212" i="11" s="1"/>
  <c r="AD183" i="11"/>
  <c r="AE183" i="11" s="1"/>
  <c r="AD73" i="11"/>
  <c r="AE73" i="11" s="1"/>
  <c r="AD146" i="11"/>
  <c r="AE146" i="11" s="1"/>
  <c r="AA47" i="11"/>
  <c r="AB47" i="11" s="1"/>
  <c r="AD296" i="11"/>
  <c r="AD161" i="11"/>
  <c r="AE161" i="11" s="1"/>
  <c r="AA90" i="11"/>
  <c r="AB90" i="11" s="1"/>
  <c r="AD137" i="11"/>
  <c r="AE137" i="11" s="1"/>
  <c r="AD228" i="11"/>
  <c r="AE228" i="11" s="1"/>
  <c r="AA97" i="11"/>
  <c r="AB97" i="11" s="1"/>
  <c r="AD197" i="11"/>
  <c r="AE197" i="11" s="1"/>
  <c r="AD238" i="11"/>
  <c r="AE238" i="11" s="1"/>
  <c r="AD131" i="11"/>
  <c r="AE131" i="11" s="1"/>
  <c r="H329" i="11"/>
  <c r="H335" i="11"/>
  <c r="H327" i="11"/>
  <c r="H330" i="11"/>
  <c r="H334" i="11"/>
  <c r="H325" i="11"/>
  <c r="H328" i="11"/>
  <c r="H332" i="11"/>
  <c r="AD95" i="11"/>
  <c r="AE95" i="11" s="1"/>
  <c r="AA193" i="11"/>
  <c r="AB193" i="11" s="1"/>
  <c r="AA246" i="11"/>
  <c r="AB246" i="11" s="1"/>
  <c r="AD125" i="11"/>
  <c r="AE125" i="11" s="1"/>
  <c r="AA273" i="11"/>
  <c r="AB273" i="11" s="1"/>
  <c r="AD153" i="11"/>
  <c r="AE153" i="11" s="1"/>
  <c r="AA240" i="11"/>
  <c r="AB240" i="11" s="1"/>
  <c r="AA113" i="11"/>
  <c r="AB113" i="11" s="1"/>
  <c r="AA198" i="11"/>
  <c r="AB198" i="11" s="1"/>
  <c r="AD42" i="11"/>
  <c r="AE42" i="11" s="1"/>
  <c r="AD242" i="11"/>
  <c r="AE242" i="11" s="1"/>
  <c r="AD202" i="11"/>
  <c r="AE202" i="11" s="1"/>
  <c r="AD188" i="11"/>
  <c r="AE188" i="11" s="1"/>
  <c r="AA64" i="11"/>
  <c r="AB64" i="11" s="1"/>
  <c r="AD206" i="11"/>
  <c r="AE206" i="11" s="1"/>
  <c r="AA111" i="11"/>
  <c r="AB111" i="11" s="1"/>
  <c r="AD141" i="11"/>
  <c r="AE141" i="11" s="1"/>
  <c r="AA73" i="11"/>
  <c r="AB73" i="11" s="1"/>
  <c r="AD31" i="11"/>
  <c r="AE31" i="11" s="1"/>
  <c r="AD205" i="11"/>
  <c r="AE205" i="11" s="1"/>
  <c r="AA167" i="11"/>
  <c r="AB167" i="11" s="1"/>
  <c r="AA257" i="11"/>
  <c r="AB257" i="11" s="1"/>
  <c r="AA279" i="11"/>
  <c r="AB279" i="11" s="1"/>
  <c r="AA289" i="11"/>
  <c r="AB289" i="11" s="1"/>
  <c r="AA292" i="11"/>
  <c r="AB292" i="11" s="1"/>
  <c r="AE292" i="11" s="1"/>
  <c r="AA122" i="11"/>
  <c r="AB122" i="11" s="1"/>
  <c r="AD285" i="11"/>
  <c r="AD214" i="11"/>
  <c r="AE214" i="11" s="1"/>
  <c r="AD263" i="11"/>
  <c r="AD43" i="11"/>
  <c r="AE43" i="11" s="1"/>
  <c r="AA170" i="11"/>
  <c r="AB170" i="11" s="1"/>
  <c r="AA182" i="11"/>
  <c r="AB182" i="11" s="1"/>
  <c r="AD278" i="11"/>
  <c r="AA265" i="11"/>
  <c r="AB265" i="11" s="1"/>
  <c r="AA153" i="11"/>
  <c r="AB153" i="11" s="1"/>
  <c r="AD50" i="11"/>
  <c r="AE50" i="11" s="1"/>
  <c r="AA271" i="11"/>
  <c r="AA223" i="11"/>
  <c r="AB223" i="11" s="1"/>
  <c r="AA66" i="11"/>
  <c r="AB66" i="11" s="1"/>
  <c r="AD124" i="11"/>
  <c r="AE124" i="11" s="1"/>
  <c r="AD122" i="11"/>
  <c r="AE122" i="11" s="1"/>
  <c r="AA261" i="11"/>
  <c r="AB261" i="11" s="1"/>
  <c r="AD209" i="11"/>
  <c r="AE209" i="11" s="1"/>
  <c r="AA37" i="11"/>
  <c r="AB37" i="11" s="1"/>
  <c r="AD265" i="11"/>
  <c r="J375" i="11"/>
  <c r="I375" i="11"/>
  <c r="H375" i="11"/>
  <c r="G375" i="11"/>
  <c r="F375" i="11"/>
  <c r="E375" i="11"/>
  <c r="B397" i="11"/>
  <c r="AD237" i="11"/>
  <c r="AE237" i="11" s="1"/>
  <c r="AD272" i="11"/>
  <c r="AA121" i="11"/>
  <c r="AB121" i="11" s="1"/>
  <c r="AA238" i="11"/>
  <c r="AB238" i="11" s="1"/>
  <c r="AD82" i="11"/>
  <c r="AE82" i="11" s="1"/>
  <c r="AD211" i="11"/>
  <c r="AE211" i="11" s="1"/>
  <c r="AD113" i="11"/>
  <c r="AE113" i="11" s="1"/>
  <c r="AD149" i="11"/>
  <c r="AE149" i="11" s="1"/>
  <c r="AA61" i="11"/>
  <c r="AB61" i="11" s="1"/>
  <c r="AD55" i="11"/>
  <c r="AE55" i="11" s="1"/>
  <c r="AA163" i="11"/>
  <c r="AB163" i="11" s="1"/>
  <c r="AD229" i="11"/>
  <c r="AE229" i="11" s="1"/>
  <c r="AA70" i="11"/>
  <c r="AB70" i="11" s="1"/>
  <c r="AA67" i="11"/>
  <c r="AB67" i="11" s="1"/>
  <c r="AD307" i="11"/>
  <c r="AA272" i="11"/>
  <c r="AB272" i="11" s="1"/>
  <c r="AD295" i="11"/>
  <c r="AE295" i="11" s="1"/>
  <c r="AA212" i="11"/>
  <c r="AB212" i="11" s="1"/>
  <c r="AA219" i="11"/>
  <c r="AB219" i="11" s="1"/>
  <c r="AA160" i="11"/>
  <c r="AB160" i="11" s="1"/>
  <c r="AA51" i="11"/>
  <c r="AB51" i="11" s="1"/>
  <c r="AA79" i="11"/>
  <c r="AB79" i="11" s="1"/>
  <c r="AD64" i="11"/>
  <c r="AE64" i="11" s="1"/>
  <c r="AD39" i="11"/>
  <c r="AE39" i="11" s="1"/>
  <c r="AA205" i="11"/>
  <c r="AB205" i="11" s="1"/>
  <c r="AA168" i="11"/>
  <c r="AB168" i="11" s="1"/>
  <c r="AD305" i="11"/>
  <c r="AD159" i="11"/>
  <c r="AE159" i="11" s="1"/>
  <c r="AA191" i="11"/>
  <c r="AB191" i="11" s="1"/>
  <c r="AA38" i="11"/>
  <c r="AB38" i="11" s="1"/>
  <c r="AD78" i="11"/>
  <c r="AE78" i="11" s="1"/>
  <c r="AD40" i="11"/>
  <c r="AE40" i="11" s="1"/>
  <c r="AA202" i="11"/>
  <c r="AB202" i="11" s="1"/>
  <c r="AD173" i="11"/>
  <c r="AE173" i="11" s="1"/>
  <c r="AA164" i="11"/>
  <c r="AB164" i="11" s="1"/>
  <c r="B372" i="11"/>
  <c r="H350" i="11"/>
  <c r="G350" i="11"/>
  <c r="F350" i="11"/>
  <c r="E350" i="11"/>
  <c r="J350" i="11"/>
  <c r="I350" i="11"/>
  <c r="AA201" i="11"/>
  <c r="AB201" i="11" s="1"/>
  <c r="B437" i="11"/>
  <c r="J415" i="11"/>
  <c r="I415" i="11"/>
  <c r="H415" i="11"/>
  <c r="G415" i="11"/>
  <c r="F415" i="11"/>
  <c r="E415" i="11"/>
  <c r="AD83" i="11"/>
  <c r="AE83" i="11" s="1"/>
  <c r="AA270" i="11"/>
  <c r="AB270" i="11" s="1"/>
  <c r="AE270" i="11" s="1"/>
  <c r="AD53" i="11"/>
  <c r="AE53" i="11" s="1"/>
  <c r="AA96" i="11"/>
  <c r="AB96" i="11" s="1"/>
  <c r="AD74" i="11"/>
  <c r="AE74" i="11" s="1"/>
  <c r="B376" i="11"/>
  <c r="J354" i="11"/>
  <c r="I354" i="11"/>
  <c r="H354" i="11"/>
  <c r="G354" i="11"/>
  <c r="F354" i="11"/>
  <c r="E354" i="11"/>
  <c r="AA81" i="11"/>
  <c r="AB81" i="11" s="1"/>
  <c r="AA119" i="11"/>
  <c r="AB119" i="11" s="1"/>
  <c r="AD52" i="11"/>
  <c r="AE52" i="11" s="1"/>
  <c r="AA304" i="11"/>
  <c r="AB304" i="11" s="1"/>
  <c r="AE304" i="11" s="1"/>
  <c r="AD291" i="11"/>
  <c r="H322" i="11"/>
  <c r="H315" i="11"/>
  <c r="H317" i="11"/>
  <c r="H319" i="11"/>
  <c r="H321" i="11"/>
  <c r="H314" i="11"/>
  <c r="H312" i="11"/>
  <c r="H323" i="11"/>
  <c r="H316" i="11"/>
  <c r="H318" i="11"/>
  <c r="H320" i="11"/>
  <c r="H313" i="11"/>
  <c r="AD276" i="11"/>
  <c r="AA76" i="11"/>
  <c r="AB76" i="11" s="1"/>
  <c r="AD181" i="11"/>
  <c r="AE181" i="11" s="1"/>
  <c r="AD185" i="11"/>
  <c r="AE185" i="11" s="1"/>
  <c r="AA28" i="11"/>
  <c r="AB28" i="11" s="1"/>
  <c r="AA278" i="11"/>
  <c r="AB278" i="11" s="1"/>
  <c r="AA243" i="11"/>
  <c r="AB243" i="11" s="1"/>
  <c r="AA60" i="11"/>
  <c r="AB60" i="11" s="1"/>
  <c r="B381" i="11"/>
  <c r="J359" i="11"/>
  <c r="I359" i="11"/>
  <c r="H359" i="11"/>
  <c r="G359" i="11"/>
  <c r="F359" i="11"/>
  <c r="E359" i="11"/>
  <c r="B383" i="11"/>
  <c r="J361" i="11"/>
  <c r="I361" i="11"/>
  <c r="H361" i="11"/>
  <c r="G361" i="11"/>
  <c r="F361" i="11"/>
  <c r="E361" i="11"/>
  <c r="AD93" i="11"/>
  <c r="AE93" i="11" s="1"/>
  <c r="AA95" i="11"/>
  <c r="AB95" i="11" s="1"/>
  <c r="AD104" i="11"/>
  <c r="AE104" i="11" s="1"/>
  <c r="AD54" i="11"/>
  <c r="AE54" i="11" s="1"/>
  <c r="AA187" i="11"/>
  <c r="AB187" i="11" s="1"/>
  <c r="AD175" i="11"/>
  <c r="AE175" i="11" s="1"/>
  <c r="AA83" i="11"/>
  <c r="AB83" i="11" s="1"/>
  <c r="AD310" i="11"/>
  <c r="AA258" i="11"/>
  <c r="AB258" i="11" s="1"/>
  <c r="AD300" i="11"/>
  <c r="AA234" i="11"/>
  <c r="AB234" i="11" s="1"/>
  <c r="AA172" i="11"/>
  <c r="AB172" i="11" s="1"/>
  <c r="AD60" i="11"/>
  <c r="AE60" i="11" s="1"/>
  <c r="AD135" i="11"/>
  <c r="AE135" i="11" s="1"/>
  <c r="AA55" i="11"/>
  <c r="AB55" i="11" s="1"/>
  <c r="AA296" i="11"/>
  <c r="AB296" i="11" s="1"/>
  <c r="AA86" i="11"/>
  <c r="AB86" i="11" s="1"/>
  <c r="AD128" i="11"/>
  <c r="AE128" i="11" s="1"/>
  <c r="AD240" i="11"/>
  <c r="AE240" i="11" s="1"/>
  <c r="AD258" i="11"/>
  <c r="AA50" i="11"/>
  <c r="AB50" i="11" s="1"/>
  <c r="AD261" i="11"/>
  <c r="AD252" i="11"/>
  <c r="AE252" i="11" s="1"/>
  <c r="AD216" i="11"/>
  <c r="AE216" i="11" s="1"/>
  <c r="AA181" i="11"/>
  <c r="AB181" i="11" s="1"/>
  <c r="AA303" i="11"/>
  <c r="AB303" i="11" s="1"/>
  <c r="AA166" i="11"/>
  <c r="AB166" i="11" s="1"/>
  <c r="AD69" i="11"/>
  <c r="AE69" i="11" s="1"/>
  <c r="AA220" i="11"/>
  <c r="AB220" i="11" s="1"/>
  <c r="AD281" i="11"/>
  <c r="AA196" i="11"/>
  <c r="AB196" i="11" s="1"/>
  <c r="AA284" i="11"/>
  <c r="AB284" i="11" s="1"/>
  <c r="AD29" i="11"/>
  <c r="AE29" i="11" s="1"/>
  <c r="AA200" i="11"/>
  <c r="AB200" i="11" s="1"/>
  <c r="AA158" i="11"/>
  <c r="AB158" i="11" s="1"/>
  <c r="U301" i="11"/>
  <c r="AA301" i="11" s="1"/>
  <c r="AB301" i="11" s="1"/>
  <c r="N13" i="11"/>
  <c r="N14" i="11" s="1"/>
  <c r="N15" i="11" s="1"/>
  <c r="N16" i="11" s="1"/>
  <c r="N17" i="11" s="1"/>
  <c r="AA277" i="11"/>
  <c r="AB277" i="11" s="1"/>
  <c r="AD115" i="11"/>
  <c r="AE115" i="11" s="1"/>
  <c r="AA124" i="11"/>
  <c r="AB124" i="11" s="1"/>
  <c r="AA176" i="11"/>
  <c r="AB176" i="11" s="1"/>
  <c r="AD65" i="11"/>
  <c r="AE65" i="11" s="1"/>
  <c r="AA107" i="11"/>
  <c r="AB107" i="11" s="1"/>
  <c r="AA117" i="11"/>
  <c r="AB117" i="11" s="1"/>
  <c r="AA110" i="11"/>
  <c r="AB110" i="11" s="1"/>
  <c r="AA157" i="11"/>
  <c r="AB157" i="11" s="1"/>
  <c r="AA58" i="11"/>
  <c r="AB58" i="11" s="1"/>
  <c r="AD68" i="11"/>
  <c r="AE68" i="11" s="1"/>
  <c r="AA180" i="11"/>
  <c r="AB180" i="11" s="1"/>
  <c r="AD192" i="11"/>
  <c r="AE192" i="11" s="1"/>
  <c r="AA148" i="11"/>
  <c r="AB148" i="11" s="1"/>
  <c r="AD298" i="11"/>
  <c r="AA159" i="11"/>
  <c r="AB159" i="11" s="1"/>
  <c r="AD165" i="11"/>
  <c r="AE165" i="11" s="1"/>
  <c r="AA297" i="11"/>
  <c r="AB297" i="11" s="1"/>
  <c r="AA213" i="11"/>
  <c r="AB213" i="11" s="1"/>
  <c r="AD108" i="11"/>
  <c r="AE108" i="11" s="1"/>
  <c r="AD195" i="11"/>
  <c r="AE195" i="11" s="1"/>
  <c r="AA114" i="11"/>
  <c r="AB114" i="11" s="1"/>
  <c r="AD190" i="11"/>
  <c r="AE190" i="11" s="1"/>
  <c r="AA149" i="11"/>
  <c r="AB149" i="11" s="1"/>
  <c r="AA36" i="11"/>
  <c r="AB36" i="11" s="1"/>
  <c r="AD147" i="11"/>
  <c r="AE147" i="11" s="1"/>
  <c r="AA183" i="11"/>
  <c r="AB183" i="11" s="1"/>
  <c r="AA197" i="11"/>
  <c r="AB197" i="11" s="1"/>
  <c r="AA80" i="11"/>
  <c r="AB80" i="11" s="1"/>
  <c r="AD264" i="11"/>
  <c r="AA99" i="11"/>
  <c r="AB99" i="11" s="1"/>
  <c r="AD220" i="11"/>
  <c r="AE220" i="11" s="1"/>
  <c r="AA161" i="11"/>
  <c r="AB161" i="11" s="1"/>
  <c r="AA256" i="11"/>
  <c r="AB256" i="11" s="1"/>
  <c r="AE256" i="11" s="1"/>
  <c r="AB300" i="11"/>
  <c r="AA195" i="11"/>
  <c r="AB195" i="11" s="1"/>
  <c r="AA230" i="11"/>
  <c r="AB230" i="11" s="1"/>
  <c r="AD134" i="11"/>
  <c r="AE134" i="11" s="1"/>
  <c r="AD47" i="11"/>
  <c r="AE47" i="11" s="1"/>
  <c r="AD309" i="11"/>
  <c r="AA165" i="11"/>
  <c r="AB165" i="11" s="1"/>
  <c r="AA40" i="11"/>
  <c r="AB40" i="11" s="1"/>
  <c r="AA216" i="11"/>
  <c r="AB216" i="11" s="1"/>
  <c r="AA135" i="11"/>
  <c r="AB135" i="11" s="1"/>
  <c r="AD287" i="11"/>
  <c r="AD248" i="11"/>
  <c r="AE248" i="11" s="1"/>
  <c r="AA125" i="11"/>
  <c r="AB125" i="11" s="1"/>
  <c r="AD44" i="11"/>
  <c r="AE44" i="11" s="1"/>
  <c r="AA59" i="11"/>
  <c r="AB59" i="11" s="1"/>
  <c r="AD254" i="11"/>
  <c r="AE254" i="11" s="1"/>
  <c r="AA42" i="11"/>
  <c r="AB42" i="11" s="1"/>
  <c r="AA266" i="11"/>
  <c r="AB266" i="11" s="1"/>
  <c r="AD256" i="11"/>
  <c r="AA130" i="11"/>
  <c r="AB130" i="11" s="1"/>
  <c r="AD200" i="11"/>
  <c r="AE200" i="11" s="1"/>
  <c r="AD262" i="11"/>
  <c r="AA145" i="11"/>
  <c r="AB145" i="11" s="1"/>
  <c r="AD187" i="11"/>
  <c r="AE187" i="11" s="1"/>
  <c r="AD132" i="11"/>
  <c r="AE132" i="11" s="1"/>
  <c r="AD30" i="11"/>
  <c r="AE30" i="11" s="1"/>
  <c r="AA175" i="11"/>
  <c r="AB175" i="11" s="1"/>
  <c r="AD119" i="11"/>
  <c r="AE119" i="11" s="1"/>
  <c r="AA104" i="11"/>
  <c r="AB104" i="11" s="1"/>
  <c r="AA94" i="11"/>
  <c r="AB94" i="11" s="1"/>
  <c r="AA127" i="11"/>
  <c r="AB127" i="11" s="1"/>
  <c r="AA264" i="11"/>
  <c r="AB264" i="11" s="1"/>
  <c r="AA275" i="11"/>
  <c r="AB275" i="11" s="1"/>
  <c r="AA162" i="11"/>
  <c r="AB162" i="11" s="1"/>
  <c r="AA192" i="11"/>
  <c r="AB192" i="11" s="1"/>
  <c r="AD166" i="11"/>
  <c r="AE166" i="11" s="1"/>
  <c r="AD66" i="11"/>
  <c r="AE66" i="11" s="1"/>
  <c r="AA173" i="11"/>
  <c r="AB173" i="11" s="1"/>
  <c r="AA68" i="11"/>
  <c r="AB68" i="11" s="1"/>
  <c r="AA248" i="11"/>
  <c r="AB248" i="11" s="1"/>
  <c r="AD63" i="11"/>
  <c r="AE63" i="11" s="1"/>
  <c r="AA244" i="11"/>
  <c r="AB244" i="11" s="1"/>
  <c r="AA224" i="11"/>
  <c r="AB224" i="11" s="1"/>
  <c r="AD235" i="11"/>
  <c r="AE235" i="11" s="1"/>
  <c r="AD184" i="11"/>
  <c r="AE184" i="11" s="1"/>
  <c r="AA54" i="11"/>
  <c r="AB54" i="11" s="1"/>
  <c r="AD203" i="11"/>
  <c r="AE203" i="11" s="1"/>
  <c r="AD268" i="11"/>
  <c r="AD259" i="11"/>
  <c r="AA109" i="11"/>
  <c r="AB109" i="11" s="1"/>
  <c r="AA302" i="11"/>
  <c r="AB302" i="11" s="1"/>
  <c r="AA274" i="11"/>
  <c r="AB274" i="11" s="1"/>
  <c r="AD236" i="11"/>
  <c r="AE236" i="11" s="1"/>
  <c r="AD282" i="11"/>
  <c r="AD158" i="11"/>
  <c r="AE158" i="11" s="1"/>
  <c r="AD249" i="11"/>
  <c r="AE249" i="11" s="1"/>
  <c r="AA140" i="11"/>
  <c r="AB140" i="11" s="1"/>
  <c r="AD38" i="11"/>
  <c r="AE38" i="11" s="1"/>
  <c r="AD35" i="11"/>
  <c r="AE35" i="11" s="1"/>
  <c r="AA33" i="11"/>
  <c r="AB33" i="11" s="1"/>
  <c r="AD233" i="11"/>
  <c r="AE233" i="11" s="1"/>
  <c r="AA233" i="11"/>
  <c r="AB233" i="11" s="1"/>
  <c r="AA225" i="11"/>
  <c r="AB225" i="11" s="1"/>
  <c r="AA252" i="11"/>
  <c r="AB252" i="11" s="1"/>
  <c r="AA147" i="11"/>
  <c r="AB147" i="11" s="1"/>
  <c r="AA144" i="11"/>
  <c r="AB144" i="11" s="1"/>
  <c r="AA227" i="11"/>
  <c r="AB227" i="11" s="1"/>
  <c r="AA210" i="11"/>
  <c r="AB210" i="11" s="1"/>
  <c r="AA138" i="11"/>
  <c r="AB138" i="11" s="1"/>
  <c r="AA100" i="11"/>
  <c r="AB100" i="11" s="1"/>
  <c r="AA291" i="11"/>
  <c r="AB291" i="11" s="1"/>
  <c r="AD234" i="11"/>
  <c r="AE234" i="11" s="1"/>
  <c r="AA208" i="11"/>
  <c r="AB208" i="11" s="1"/>
  <c r="AA247" i="11"/>
  <c r="AB247" i="11" s="1"/>
  <c r="AA253" i="11"/>
  <c r="AB253" i="11" s="1"/>
  <c r="AA241" i="11"/>
  <c r="AB241" i="11" s="1"/>
  <c r="AB286" i="11"/>
  <c r="AE286" i="11" s="1"/>
  <c r="AD290" i="11"/>
  <c r="AD102" i="11"/>
  <c r="AE102" i="11" s="1"/>
  <c r="T307" i="11"/>
  <c r="AD180" i="11"/>
  <c r="AE180" i="11" s="1"/>
  <c r="AA105" i="11"/>
  <c r="AB105" i="11" s="1"/>
  <c r="AD88" i="11"/>
  <c r="AE88" i="11" s="1"/>
  <c r="AD85" i="11"/>
  <c r="AE85" i="11" s="1"/>
  <c r="AA139" i="11"/>
  <c r="AB139" i="11" s="1"/>
  <c r="AD127" i="11"/>
  <c r="AE127" i="11" s="1"/>
  <c r="AD33" i="11"/>
  <c r="AE33" i="11" s="1"/>
  <c r="AA239" i="11"/>
  <c r="AB239" i="11" s="1"/>
  <c r="AD289" i="11"/>
  <c r="AA92" i="11"/>
  <c r="AB92" i="11" s="1"/>
  <c r="AA106" i="11"/>
  <c r="AB106" i="11" s="1"/>
  <c r="AD226" i="11"/>
  <c r="AE226" i="11" s="1"/>
  <c r="AA65" i="11"/>
  <c r="AB65" i="11" s="1"/>
  <c r="AD51" i="11"/>
  <c r="AE51" i="11" s="1"/>
  <c r="AA189" i="11"/>
  <c r="AB189" i="11" s="1"/>
  <c r="AA74" i="11"/>
  <c r="AB74" i="11" s="1"/>
  <c r="AA69" i="11"/>
  <c r="AB69" i="11" s="1"/>
  <c r="AA57" i="11"/>
  <c r="AB57" i="11" s="1"/>
  <c r="AD279" i="11"/>
  <c r="AD145" i="11"/>
  <c r="AE145" i="11" s="1"/>
  <c r="AD86" i="11"/>
  <c r="AE86" i="11" s="1"/>
  <c r="AA150" i="11"/>
  <c r="AB150" i="11" s="1"/>
  <c r="AD267" i="11"/>
  <c r="AD302" i="11"/>
  <c r="AA44" i="11"/>
  <c r="AB44" i="11" s="1"/>
  <c r="AA41" i="11"/>
  <c r="AB41" i="11" s="1"/>
  <c r="AA280" i="11"/>
  <c r="AB280" i="11" s="1"/>
  <c r="AA215" i="11"/>
  <c r="AB215" i="11" s="1"/>
  <c r="AD283" i="11"/>
  <c r="AD232" i="11"/>
  <c r="AE232" i="11" s="1"/>
  <c r="AD126" i="11"/>
  <c r="AE126" i="11" s="1"/>
  <c r="AD160" i="11"/>
  <c r="AE160" i="11" s="1"/>
  <c r="AA143" i="11"/>
  <c r="AB143" i="11" s="1"/>
  <c r="AA93" i="11"/>
  <c r="AB93" i="11" s="1"/>
  <c r="AA154" i="11"/>
  <c r="AB154" i="11" s="1"/>
  <c r="AD61" i="11"/>
  <c r="AE61" i="11" s="1"/>
  <c r="AD154" i="11"/>
  <c r="AE154" i="11" s="1"/>
  <c r="AD62" i="11"/>
  <c r="AE62" i="11" s="1"/>
  <c r="AD76" i="11"/>
  <c r="AE76" i="11" s="1"/>
  <c r="AA305" i="11"/>
  <c r="AB305" i="11" s="1"/>
  <c r="AD251" i="11"/>
  <c r="AE251" i="11" s="1"/>
  <c r="AD294" i="11"/>
  <c r="AE294" i="11" s="1"/>
  <c r="AD157" i="11"/>
  <c r="AE157" i="11" s="1"/>
  <c r="AA78" i="11"/>
  <c r="AB78" i="11" s="1"/>
  <c r="AA35" i="11"/>
  <c r="AB35" i="11" s="1"/>
  <c r="AD90" i="11"/>
  <c r="AE90" i="11" s="1"/>
  <c r="AD189" i="11"/>
  <c r="AE189" i="11" s="1"/>
  <c r="AD186" i="11"/>
  <c r="AE186" i="11" s="1"/>
  <c r="AD120" i="11"/>
  <c r="AE120" i="11" s="1"/>
  <c r="AA235" i="11"/>
  <c r="AB235" i="11" s="1"/>
  <c r="AA155" i="11"/>
  <c r="AB155" i="11" s="1"/>
  <c r="AA207" i="11"/>
  <c r="AB207" i="11" s="1"/>
  <c r="AA285" i="11"/>
  <c r="AB285" i="11" s="1"/>
  <c r="AD303" i="11"/>
  <c r="AA194" i="11"/>
  <c r="AB194" i="11" s="1"/>
  <c r="AA129" i="11"/>
  <c r="AB129" i="11" s="1"/>
  <c r="AA254" i="11"/>
  <c r="AB254" i="11" s="1"/>
  <c r="AD253" i="11"/>
  <c r="AE253" i="11" s="1"/>
  <c r="AD58" i="11"/>
  <c r="AE58" i="11" s="1"/>
  <c r="AD150" i="11"/>
  <c r="AE150" i="11" s="1"/>
  <c r="AD71" i="11"/>
  <c r="AE71" i="11" s="1"/>
  <c r="AD171" i="11"/>
  <c r="AE171" i="11" s="1"/>
  <c r="AD48" i="11"/>
  <c r="AE48" i="11" s="1"/>
  <c r="AA294" i="11"/>
  <c r="AB294" i="11" s="1"/>
  <c r="AA199" i="11"/>
  <c r="AB199" i="11" s="1"/>
  <c r="AD138" i="11"/>
  <c r="AE138" i="11" s="1"/>
  <c r="AD34" i="11"/>
  <c r="AE34" i="11" s="1"/>
  <c r="AA108" i="11"/>
  <c r="AB108" i="11" s="1"/>
  <c r="AA141" i="11"/>
  <c r="AB141" i="11" s="1"/>
  <c r="AA298" i="11"/>
  <c r="AB298" i="11" s="1"/>
  <c r="AD284" i="11"/>
  <c r="AD293" i="11"/>
  <c r="AD222" i="11"/>
  <c r="AE222" i="11" s="1"/>
  <c r="AD103" i="11"/>
  <c r="AE103" i="11" s="1"/>
  <c r="AA63" i="11"/>
  <c r="AB63" i="11" s="1"/>
  <c r="AA250" i="11"/>
  <c r="AB250" i="11" s="1"/>
  <c r="AA282" i="11"/>
  <c r="AB282" i="11" s="1"/>
  <c r="AA142" i="11"/>
  <c r="AB142" i="11" s="1"/>
  <c r="AA204" i="11"/>
  <c r="AB204" i="11" s="1"/>
  <c r="AD70" i="11"/>
  <c r="AE70" i="11" s="1"/>
  <c r="AD245" i="11"/>
  <c r="AE245" i="11" s="1"/>
  <c r="AA255" i="11"/>
  <c r="AB255" i="11" s="1"/>
  <c r="AA217" i="11"/>
  <c r="AB217" i="11" s="1"/>
  <c r="AD224" i="11"/>
  <c r="AE224" i="11" s="1"/>
  <c r="AD275" i="11"/>
  <c r="AD260" i="11"/>
  <c r="AD172" i="11"/>
  <c r="AE172" i="11" s="1"/>
  <c r="AD277" i="11"/>
  <c r="AD227" i="11"/>
  <c r="AE227" i="11" s="1"/>
  <c r="AD81" i="11"/>
  <c r="AE81" i="11" s="1"/>
  <c r="AA46" i="11"/>
  <c r="AB46" i="11" s="1"/>
  <c r="AA263" i="11"/>
  <c r="AB263" i="11" s="1"/>
  <c r="AA39" i="11"/>
  <c r="AB39" i="11" s="1"/>
  <c r="AA101" i="11"/>
  <c r="AB101" i="11" s="1"/>
  <c r="AD75" i="11"/>
  <c r="AE75" i="11" s="1"/>
  <c r="AA203" i="11"/>
  <c r="AB203" i="11" s="1"/>
  <c r="AD288" i="11"/>
  <c r="AA288" i="11"/>
  <c r="AB288" i="11" s="1"/>
  <c r="AA75" i="11"/>
  <c r="AB75" i="11" s="1"/>
  <c r="AD218" i="11"/>
  <c r="AE218" i="11" s="1"/>
  <c r="AA218" i="11"/>
  <c r="AB218" i="11" s="1"/>
  <c r="AD177" i="11"/>
  <c r="AE177" i="11" s="1"/>
  <c r="AA177" i="11"/>
  <c r="AB177" i="11" s="1"/>
  <c r="AA283" i="11"/>
  <c r="AB283" i="11" s="1"/>
  <c r="AD273" i="11"/>
  <c r="AD297" i="11"/>
  <c r="AD269" i="11"/>
  <c r="AA269" i="11"/>
  <c r="AB269" i="11" s="1"/>
  <c r="AD114" i="11"/>
  <c r="AE114" i="11" s="1"/>
  <c r="AA245" i="11"/>
  <c r="AB245" i="11" s="1"/>
  <c r="AA259" i="11"/>
  <c r="AB259" i="11" s="1"/>
  <c r="AA184" i="11"/>
  <c r="AB184" i="11" s="1"/>
  <c r="AA134" i="11"/>
  <c r="AB134" i="11" s="1"/>
  <c r="AD105" i="11"/>
  <c r="AE105" i="11" s="1"/>
  <c r="AE272" i="11"/>
  <c r="AA112" i="11"/>
  <c r="AB112" i="11" s="1"/>
  <c r="AA171" i="11"/>
  <c r="AB171" i="11" s="1"/>
  <c r="AD215" i="11"/>
  <c r="AE215" i="11" s="1"/>
  <c r="AA186" i="11"/>
  <c r="AB186" i="11" s="1"/>
  <c r="AD142" i="11"/>
  <c r="AE142" i="11" s="1"/>
  <c r="AA262" i="11"/>
  <c r="AB262" i="11" s="1"/>
  <c r="AA132" i="11"/>
  <c r="AB132" i="11" s="1"/>
  <c r="AA242" i="11"/>
  <c r="AB242" i="11" s="1"/>
  <c r="AA126" i="11"/>
  <c r="AB126" i="11" s="1"/>
  <c r="AA102" i="11"/>
  <c r="AB102" i="11" s="1"/>
  <c r="AD199" i="11"/>
  <c r="AE199" i="11" s="1"/>
  <c r="AA190" i="11"/>
  <c r="AB190" i="11" s="1"/>
  <c r="AA120" i="11"/>
  <c r="AB120" i="11" s="1"/>
  <c r="AD46" i="11"/>
  <c r="AE46" i="11" s="1"/>
  <c r="AD57" i="11"/>
  <c r="AE57" i="11" s="1"/>
  <c r="AA267" i="11"/>
  <c r="AB267" i="11" s="1"/>
  <c r="AA222" i="11"/>
  <c r="AB222" i="11" s="1"/>
  <c r="U315" i="11"/>
  <c r="U316" i="11"/>
  <c r="AD316" i="11" s="1"/>
  <c r="U317" i="11"/>
  <c r="AD317" i="11" s="1"/>
  <c r="U313" i="11"/>
  <c r="AD313" i="11" s="1"/>
  <c r="U314" i="11"/>
  <c r="AA251" i="11"/>
  <c r="AB251" i="11" s="1"/>
  <c r="AD230" i="11"/>
  <c r="AE230" i="11" s="1"/>
  <c r="AD210" i="11"/>
  <c r="AE210" i="11" s="1"/>
  <c r="AD204" i="11"/>
  <c r="AE204" i="11" s="1"/>
  <c r="AA34" i="11"/>
  <c r="AB34" i="11" s="1"/>
  <c r="AD194" i="11"/>
  <c r="AE194" i="11" s="1"/>
  <c r="AA29" i="11"/>
  <c r="AB29" i="11" s="1"/>
  <c r="AA85" i="11"/>
  <c r="AB85" i="11" s="1"/>
  <c r="AA137" i="11"/>
  <c r="AB137" i="11" s="1"/>
  <c r="AA133" i="11"/>
  <c r="AB133" i="11" s="1"/>
  <c r="AA249" i="11"/>
  <c r="AB249" i="11" s="1"/>
  <c r="AA77" i="11"/>
  <c r="AB77" i="11" s="1"/>
  <c r="AA281" i="11"/>
  <c r="AB281" i="11" s="1"/>
  <c r="AA299" i="11"/>
  <c r="AB299" i="11" s="1"/>
  <c r="AD299" i="11"/>
  <c r="AA82" i="11"/>
  <c r="AB82" i="11" s="1"/>
  <c r="AA118" i="11"/>
  <c r="AB118" i="11" s="1"/>
  <c r="AD106" i="11"/>
  <c r="AE106" i="11" s="1"/>
  <c r="AA293" i="11"/>
  <c r="AB293" i="11" s="1"/>
  <c r="AA237" i="11"/>
  <c r="AB237" i="11" s="1"/>
  <c r="AA260" i="11"/>
  <c r="AB260" i="11" s="1"/>
  <c r="AA71" i="11"/>
  <c r="AB71" i="11" s="1"/>
  <c r="AA91" i="11"/>
  <c r="AB91" i="11" s="1"/>
  <c r="AA236" i="11"/>
  <c r="AB236" i="11" s="1"/>
  <c r="AA226" i="11"/>
  <c r="AB226" i="11" s="1"/>
  <c r="AA146" i="11"/>
  <c r="AB146" i="11" s="1"/>
  <c r="AD92" i="11"/>
  <c r="AE92" i="11" s="1"/>
  <c r="AD143" i="11"/>
  <c r="AE143" i="11" s="1"/>
  <c r="AA116" i="11"/>
  <c r="AB116" i="11" s="1"/>
  <c r="AA276" i="11"/>
  <c r="AB276" i="11" s="1"/>
  <c r="AA268" i="11"/>
  <c r="AB268" i="11" s="1"/>
  <c r="AD241" i="11"/>
  <c r="AE241" i="11" s="1"/>
  <c r="AD217" i="11"/>
  <c r="AE217" i="11" s="1"/>
  <c r="AD151" i="11"/>
  <c r="AE151" i="11" s="1"/>
  <c r="AA151" i="11"/>
  <c r="AB151" i="11" s="1"/>
  <c r="AA228" i="11"/>
  <c r="AB228" i="11" s="1"/>
  <c r="AA53" i="11"/>
  <c r="AB53" i="11" s="1"/>
  <c r="AD213" i="11"/>
  <c r="AE213" i="11" s="1"/>
  <c r="AA232" i="11"/>
  <c r="AB232" i="11" s="1"/>
  <c r="AD239" i="11"/>
  <c r="AE239" i="11" s="1"/>
  <c r="AA287" i="11"/>
  <c r="AB287" i="11" s="1"/>
  <c r="AA88" i="11"/>
  <c r="AB88" i="11" s="1"/>
  <c r="AD274" i="11"/>
  <c r="AA98" i="11"/>
  <c r="AB98" i="11" s="1"/>
  <c r="AA290" i="11"/>
  <c r="AB290" i="11" s="1"/>
  <c r="AD148" i="11"/>
  <c r="AE148" i="11" s="1"/>
  <c r="AA103" i="11"/>
  <c r="AB103" i="11" s="1"/>
  <c r="AA43" i="11"/>
  <c r="AB43" i="11" s="1"/>
  <c r="AA52" i="11"/>
  <c r="AB52" i="11" s="1"/>
  <c r="AA185" i="11"/>
  <c r="AB185" i="11" s="1"/>
  <c r="AA62" i="11"/>
  <c r="AB62" i="11" s="1"/>
  <c r="AD162" i="11"/>
  <c r="AE162" i="11" s="1"/>
  <c r="AD280" i="11"/>
  <c r="AD255" i="11"/>
  <c r="AD201" i="11"/>
  <c r="AE201" i="11" s="1"/>
  <c r="AA48" i="11"/>
  <c r="AB48" i="11" s="1"/>
  <c r="AD301" i="11"/>
  <c r="AA49" i="11"/>
  <c r="AB49" i="11" s="1"/>
  <c r="AD266" i="11"/>
  <c r="AA115" i="11"/>
  <c r="AB115" i="11" s="1"/>
  <c r="AA214" i="11"/>
  <c r="AB214" i="11" s="1"/>
  <c r="U311" i="11"/>
  <c r="AD311" i="11" s="1"/>
  <c r="AA229" i="11"/>
  <c r="AB229" i="11" s="1"/>
  <c r="AA188" i="11"/>
  <c r="AB188" i="11" s="1"/>
  <c r="AA178" i="11"/>
  <c r="AB178" i="11" s="1"/>
  <c r="AA30" i="11"/>
  <c r="AB30" i="11" s="1"/>
  <c r="AE285" i="11" l="1"/>
  <c r="AE298" i="11"/>
  <c r="AE306" i="11"/>
  <c r="AE278" i="11"/>
  <c r="AB271" i="11"/>
  <c r="AE271" i="11" s="1"/>
  <c r="AE257" i="11"/>
  <c r="AE296" i="11"/>
  <c r="B384" i="11"/>
  <c r="F362" i="11"/>
  <c r="E362" i="11"/>
  <c r="J362" i="11"/>
  <c r="I362" i="11"/>
  <c r="H362" i="11"/>
  <c r="G362" i="11"/>
  <c r="AE264" i="11"/>
  <c r="B393" i="11"/>
  <c r="H371" i="11"/>
  <c r="G371" i="11"/>
  <c r="F371" i="11"/>
  <c r="E371" i="11"/>
  <c r="J371" i="11"/>
  <c r="I371" i="11"/>
  <c r="J366" i="11"/>
  <c r="I366" i="11"/>
  <c r="H366" i="11"/>
  <c r="G366" i="11"/>
  <c r="F366" i="11"/>
  <c r="E366" i="11"/>
  <c r="B388" i="11"/>
  <c r="AE258" i="11"/>
  <c r="AE266" i="11"/>
  <c r="B449" i="11"/>
  <c r="H427" i="11"/>
  <c r="G427" i="11"/>
  <c r="F427" i="11"/>
  <c r="E427" i="11"/>
  <c r="J427" i="11"/>
  <c r="I427" i="11"/>
  <c r="B409" i="11"/>
  <c r="J387" i="11"/>
  <c r="I387" i="11"/>
  <c r="H387" i="11"/>
  <c r="G387" i="11"/>
  <c r="F387" i="11"/>
  <c r="E387" i="11"/>
  <c r="AE265" i="11"/>
  <c r="B395" i="11"/>
  <c r="J373" i="11"/>
  <c r="I373" i="11"/>
  <c r="H373" i="11"/>
  <c r="G373" i="11"/>
  <c r="F373" i="11"/>
  <c r="E373" i="11"/>
  <c r="AE299" i="11"/>
  <c r="AE277" i="11"/>
  <c r="AE303" i="11"/>
  <c r="AA313" i="11"/>
  <c r="AB313" i="11" s="1"/>
  <c r="AE313" i="11" s="1"/>
  <c r="AE275" i="11"/>
  <c r="AE279" i="11"/>
  <c r="AE261" i="11"/>
  <c r="AE284" i="11"/>
  <c r="AE300" i="11"/>
  <c r="AE302" i="11"/>
  <c r="AE297" i="11"/>
  <c r="AE289" i="11"/>
  <c r="AA316" i="11"/>
  <c r="AB316" i="11" s="1"/>
  <c r="AE273" i="11"/>
  <c r="AE280" i="11"/>
  <c r="AE287" i="11"/>
  <c r="T308" i="11"/>
  <c r="AA307" i="11"/>
  <c r="AA317" i="11"/>
  <c r="AB317" i="11" s="1"/>
  <c r="AE317" i="11" s="1"/>
  <c r="AE263" i="11"/>
  <c r="AE301" i="11"/>
  <c r="AE282" i="11"/>
  <c r="AE274" i="11"/>
  <c r="AE255" i="11"/>
  <c r="AE291" i="11"/>
  <c r="AE305" i="11"/>
  <c r="AE269" i="11"/>
  <c r="AE262" i="11"/>
  <c r="AD314" i="11"/>
  <c r="AA314" i="11"/>
  <c r="AB314" i="11" s="1"/>
  <c r="AE288" i="11"/>
  <c r="AE268" i="11"/>
  <c r="AE259" i="11"/>
  <c r="AE293" i="11"/>
  <c r="AE276" i="11"/>
  <c r="AE281" i="11"/>
  <c r="AE283" i="11"/>
  <c r="AE267" i="11"/>
  <c r="AE290" i="11"/>
  <c r="AD315" i="11"/>
  <c r="AA315" i="11"/>
  <c r="AB315" i="11" s="1"/>
  <c r="AE260" i="11"/>
  <c r="B400" i="11" l="1"/>
  <c r="H378" i="11"/>
  <c r="G378" i="11"/>
  <c r="F378" i="11"/>
  <c r="E378" i="11"/>
  <c r="J378" i="11"/>
  <c r="I378" i="11"/>
  <c r="B407" i="11"/>
  <c r="H385" i="11"/>
  <c r="G385" i="11"/>
  <c r="F385" i="11"/>
  <c r="E385" i="11"/>
  <c r="J385" i="11"/>
  <c r="I385" i="11"/>
  <c r="B405" i="11"/>
  <c r="F383" i="11"/>
  <c r="E383" i="11"/>
  <c r="J383" i="11"/>
  <c r="I383" i="11"/>
  <c r="H383" i="11"/>
  <c r="G383" i="11"/>
  <c r="F439" i="11"/>
  <c r="E439" i="11"/>
  <c r="J439" i="11"/>
  <c r="I439" i="11"/>
  <c r="H439" i="11"/>
  <c r="G439" i="11"/>
  <c r="B421" i="11"/>
  <c r="H399" i="11"/>
  <c r="G399" i="11"/>
  <c r="F399" i="11"/>
  <c r="E399" i="11"/>
  <c r="J399" i="11"/>
  <c r="I399" i="11"/>
  <c r="B396" i="11"/>
  <c r="J374" i="11"/>
  <c r="I374" i="11"/>
  <c r="H374" i="11"/>
  <c r="G374" i="11"/>
  <c r="F374" i="11"/>
  <c r="E374" i="11"/>
  <c r="AE316" i="11"/>
  <c r="AB307" i="11"/>
  <c r="AE307" i="11" s="1"/>
  <c r="T309" i="11"/>
  <c r="AA308" i="11"/>
  <c r="AE315" i="11"/>
  <c r="AE314" i="11"/>
  <c r="B433" i="11" l="1"/>
  <c r="F411" i="11"/>
  <c r="E411" i="11"/>
  <c r="J411" i="11"/>
  <c r="I411" i="11"/>
  <c r="H411" i="11"/>
  <c r="G411" i="11"/>
  <c r="B419" i="11"/>
  <c r="F397" i="11"/>
  <c r="E397" i="11"/>
  <c r="J397" i="11"/>
  <c r="I397" i="11"/>
  <c r="H397" i="11"/>
  <c r="G397" i="11"/>
  <c r="B408" i="11"/>
  <c r="J386" i="11"/>
  <c r="I386" i="11"/>
  <c r="H386" i="11"/>
  <c r="G386" i="11"/>
  <c r="F386" i="11"/>
  <c r="E386" i="11"/>
  <c r="B417" i="11"/>
  <c r="J395" i="11"/>
  <c r="I395" i="11"/>
  <c r="H395" i="11"/>
  <c r="G395" i="11"/>
  <c r="F395" i="11"/>
  <c r="E395" i="11"/>
  <c r="B412" i="11"/>
  <c r="F390" i="11"/>
  <c r="E390" i="11"/>
  <c r="J390" i="11"/>
  <c r="I390" i="11"/>
  <c r="H390" i="11"/>
  <c r="G390" i="11"/>
  <c r="AB308" i="11"/>
  <c r="AE308" i="11" s="1"/>
  <c r="T310" i="11"/>
  <c r="AA309" i="11"/>
  <c r="B431" i="11" l="1"/>
  <c r="J409" i="11"/>
  <c r="I409" i="11"/>
  <c r="H409" i="11"/>
  <c r="G409" i="11"/>
  <c r="F409" i="11"/>
  <c r="E409" i="11"/>
  <c r="B429" i="11"/>
  <c r="J407" i="11"/>
  <c r="I407" i="11"/>
  <c r="H407" i="11"/>
  <c r="G407" i="11"/>
  <c r="F407" i="11"/>
  <c r="E407" i="11"/>
  <c r="B424" i="11"/>
  <c r="J402" i="11"/>
  <c r="I402" i="11"/>
  <c r="H402" i="11"/>
  <c r="G402" i="11"/>
  <c r="F402" i="11"/>
  <c r="E402" i="11"/>
  <c r="B420" i="11"/>
  <c r="J398" i="11"/>
  <c r="I398" i="11"/>
  <c r="H398" i="11"/>
  <c r="G398" i="11"/>
  <c r="F398" i="11"/>
  <c r="E398" i="11"/>
  <c r="B445" i="11"/>
  <c r="J423" i="11"/>
  <c r="I423" i="11"/>
  <c r="H423" i="11"/>
  <c r="G423" i="11"/>
  <c r="F423" i="11"/>
  <c r="E423" i="11"/>
  <c r="AB309" i="11"/>
  <c r="AE309" i="11"/>
  <c r="AA310" i="11"/>
  <c r="T311" i="11"/>
  <c r="AA311" i="11" s="1"/>
  <c r="B432" i="11" l="1"/>
  <c r="J410" i="11"/>
  <c r="I410" i="11"/>
  <c r="H410" i="11"/>
  <c r="G410" i="11"/>
  <c r="F410" i="11"/>
  <c r="E410" i="11"/>
  <c r="B441" i="11"/>
  <c r="J419" i="11"/>
  <c r="I419" i="11"/>
  <c r="H419" i="11"/>
  <c r="G419" i="11"/>
  <c r="F419" i="11"/>
  <c r="E419" i="11"/>
  <c r="J435" i="11"/>
  <c r="I435" i="11"/>
  <c r="H435" i="11"/>
  <c r="G435" i="11"/>
  <c r="F435" i="11"/>
  <c r="E435" i="11"/>
  <c r="B436" i="11"/>
  <c r="J414" i="11"/>
  <c r="I414" i="11"/>
  <c r="H414" i="11"/>
  <c r="G414" i="11"/>
  <c r="F414" i="11"/>
  <c r="E414" i="11"/>
  <c r="B443" i="11"/>
  <c r="J421" i="11"/>
  <c r="I421" i="11"/>
  <c r="H421" i="11"/>
  <c r="G421" i="11"/>
  <c r="F421" i="11"/>
  <c r="E421" i="11"/>
  <c r="AB311" i="11"/>
  <c r="AE311" i="11"/>
  <c r="AB310" i="11"/>
  <c r="AE310" i="11"/>
  <c r="J433" i="11" l="1"/>
  <c r="I433" i="11"/>
  <c r="H433" i="11"/>
  <c r="G433" i="11"/>
  <c r="F433" i="11"/>
  <c r="E433" i="11"/>
  <c r="B453" i="11"/>
  <c r="J431" i="11"/>
  <c r="I431" i="11"/>
  <c r="H431" i="11"/>
  <c r="G431" i="11"/>
  <c r="F431" i="11"/>
  <c r="E431" i="11"/>
  <c r="B448" i="11"/>
  <c r="J426" i="11"/>
  <c r="I426" i="11"/>
  <c r="H426" i="11"/>
  <c r="G426" i="11"/>
  <c r="F426" i="11"/>
  <c r="E426" i="11"/>
  <c r="B444" i="11"/>
  <c r="J422" i="11"/>
  <c r="I422" i="11"/>
  <c r="H422" i="11"/>
  <c r="G422" i="11"/>
  <c r="F422" i="11"/>
  <c r="E422" i="11"/>
  <c r="J438" i="11" l="1"/>
  <c r="I438" i="11"/>
  <c r="H438" i="11"/>
  <c r="G438" i="11"/>
  <c r="F438" i="11"/>
  <c r="E438" i="11"/>
  <c r="H434" i="11"/>
  <c r="G434" i="11"/>
  <c r="F434" i="11"/>
  <c r="E434" i="11"/>
  <c r="J434" i="11"/>
  <c r="I434" i="11"/>
  <c r="J443" i="11"/>
  <c r="I443" i="11"/>
  <c r="H443" i="11"/>
  <c r="G443" i="11"/>
  <c r="F443" i="11"/>
  <c r="E443" i="11"/>
  <c r="AD295" i="7" l="1"/>
  <c r="AA295" i="7"/>
  <c r="AB295" i="7" s="1"/>
  <c r="AD294" i="7"/>
  <c r="AA294" i="7"/>
  <c r="AB294" i="7" s="1"/>
  <c r="AD293" i="7"/>
  <c r="AA293" i="7"/>
  <c r="AB293" i="7" s="1"/>
  <c r="AD292" i="7"/>
  <c r="AA292" i="7"/>
  <c r="AB292" i="7" s="1"/>
  <c r="AD291" i="7"/>
  <c r="AA291" i="7"/>
  <c r="AB291" i="7" s="1"/>
  <c r="X292" i="7"/>
  <c r="X293" i="7"/>
  <c r="X294" i="7"/>
  <c r="X295" i="7"/>
  <c r="X291" i="7"/>
  <c r="Y292" i="7"/>
  <c r="Y293" i="7"/>
  <c r="Y294" i="7"/>
  <c r="Y295" i="7"/>
  <c r="Y291" i="7"/>
  <c r="Y289" i="7"/>
  <c r="X289" i="7"/>
  <c r="W292" i="7"/>
  <c r="W293" i="7"/>
  <c r="W294" i="7"/>
  <c r="W295" i="7"/>
  <c r="W291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6" i="7"/>
  <c r="S292" i="7"/>
  <c r="S293" i="7"/>
  <c r="S294" i="7"/>
  <c r="S295" i="7"/>
  <c r="S291" i="7"/>
  <c r="AE291" i="7" l="1"/>
  <c r="AE292" i="7"/>
  <c r="AE294" i="7"/>
  <c r="AE293" i="7"/>
  <c r="AE295" i="7"/>
  <c r="J289" i="7" l="1"/>
  <c r="J288" i="7"/>
  <c r="Y288" i="7" s="1"/>
  <c r="J287" i="7"/>
  <c r="Y287" i="7" s="1"/>
  <c r="J286" i="7"/>
  <c r="Y286" i="7" s="1"/>
  <c r="J285" i="7"/>
  <c r="Y285" i="7" s="1"/>
  <c r="J284" i="7"/>
  <c r="Y284" i="7" s="1"/>
  <c r="J283" i="7"/>
  <c r="Y283" i="7" s="1"/>
  <c r="J282" i="7"/>
  <c r="Y282" i="7" s="1"/>
  <c r="J281" i="7"/>
  <c r="Y281" i="7" s="1"/>
  <c r="J280" i="7"/>
  <c r="Y280" i="7" s="1"/>
  <c r="J279" i="7"/>
  <c r="Y279" i="7" s="1"/>
  <c r="J278" i="7"/>
  <c r="Y278" i="7" s="1"/>
  <c r="J277" i="7"/>
  <c r="Y277" i="7" s="1"/>
  <c r="J276" i="7"/>
  <c r="Y276" i="7" s="1"/>
  <c r="J275" i="7"/>
  <c r="Y275" i="7" s="1"/>
  <c r="J274" i="7"/>
  <c r="Y274" i="7" s="1"/>
  <c r="J273" i="7"/>
  <c r="Y273" i="7" s="1"/>
  <c r="J272" i="7"/>
  <c r="Y272" i="7" s="1"/>
  <c r="J271" i="7"/>
  <c r="Y271" i="7" s="1"/>
  <c r="J270" i="7"/>
  <c r="Y270" i="7" s="1"/>
  <c r="J269" i="7"/>
  <c r="Y269" i="7" s="1"/>
  <c r="J268" i="7"/>
  <c r="Y268" i="7" s="1"/>
  <c r="J267" i="7"/>
  <c r="Y267" i="7" s="1"/>
  <c r="J266" i="7"/>
  <c r="Y266" i="7" s="1"/>
  <c r="J265" i="7"/>
  <c r="Y265" i="7" s="1"/>
  <c r="J264" i="7"/>
  <c r="Y264" i="7" s="1"/>
  <c r="J263" i="7"/>
  <c r="Y263" i="7" s="1"/>
  <c r="J262" i="7"/>
  <c r="Y262" i="7" s="1"/>
  <c r="J261" i="7"/>
  <c r="Y261" i="7" s="1"/>
  <c r="J260" i="7"/>
  <c r="Y260" i="7" s="1"/>
  <c r="J259" i="7"/>
  <c r="Y259" i="7" s="1"/>
  <c r="J258" i="7"/>
  <c r="Y258" i="7" s="1"/>
  <c r="J257" i="7"/>
  <c r="Y257" i="7" s="1"/>
  <c r="J256" i="7"/>
  <c r="Y256" i="7" s="1"/>
  <c r="J255" i="7"/>
  <c r="Y255" i="7" s="1"/>
  <c r="J254" i="7"/>
  <c r="Y254" i="7" s="1"/>
  <c r="J253" i="7"/>
  <c r="Y253" i="7" s="1"/>
  <c r="J252" i="7"/>
  <c r="Y252" i="7" s="1"/>
  <c r="J251" i="7"/>
  <c r="Y251" i="7" s="1"/>
  <c r="J250" i="7"/>
  <c r="Y250" i="7" s="1"/>
  <c r="J249" i="7"/>
  <c r="Y249" i="7" s="1"/>
  <c r="J248" i="7"/>
  <c r="Y248" i="7" s="1"/>
  <c r="J247" i="7"/>
  <c r="Y247" i="7" s="1"/>
  <c r="J246" i="7"/>
  <c r="Y246" i="7" s="1"/>
  <c r="J245" i="7"/>
  <c r="Y245" i="7" s="1"/>
  <c r="J244" i="7"/>
  <c r="Y244" i="7" s="1"/>
  <c r="J243" i="7"/>
  <c r="Y243" i="7" s="1"/>
  <c r="J242" i="7"/>
  <c r="Y242" i="7" s="1"/>
  <c r="J241" i="7"/>
  <c r="Y241" i="7" s="1"/>
  <c r="J240" i="7"/>
  <c r="Y240" i="7" s="1"/>
  <c r="J239" i="7"/>
  <c r="Y239" i="7" s="1"/>
  <c r="J238" i="7"/>
  <c r="Y238" i="7" s="1"/>
  <c r="J237" i="7"/>
  <c r="Y237" i="7" s="1"/>
  <c r="J236" i="7"/>
  <c r="Y236" i="7" s="1"/>
  <c r="J235" i="7"/>
  <c r="Y235" i="7" s="1"/>
  <c r="J234" i="7"/>
  <c r="Y234" i="7" s="1"/>
  <c r="J233" i="7"/>
  <c r="Y233" i="7" s="1"/>
  <c r="J232" i="7"/>
  <c r="Y232" i="7" s="1"/>
  <c r="J231" i="7"/>
  <c r="Y231" i="7" s="1"/>
  <c r="J230" i="7"/>
  <c r="Y230" i="7" s="1"/>
  <c r="J229" i="7"/>
  <c r="Y229" i="7" s="1"/>
  <c r="J228" i="7"/>
  <c r="Y228" i="7" s="1"/>
  <c r="J227" i="7"/>
  <c r="Y227" i="7" s="1"/>
  <c r="J226" i="7"/>
  <c r="Y226" i="7" s="1"/>
  <c r="J225" i="7"/>
  <c r="Y225" i="7" s="1"/>
  <c r="J224" i="7"/>
  <c r="Y224" i="7" s="1"/>
  <c r="J223" i="7"/>
  <c r="Y223" i="7" s="1"/>
  <c r="J222" i="7"/>
  <c r="Y222" i="7" s="1"/>
  <c r="J221" i="7"/>
  <c r="Y221" i="7" s="1"/>
  <c r="J220" i="7"/>
  <c r="Y220" i="7" s="1"/>
  <c r="J219" i="7"/>
  <c r="Y219" i="7" s="1"/>
  <c r="J218" i="7"/>
  <c r="Y218" i="7" s="1"/>
  <c r="J217" i="7"/>
  <c r="Y217" i="7" s="1"/>
  <c r="J216" i="7"/>
  <c r="Y216" i="7" s="1"/>
  <c r="J215" i="7"/>
  <c r="Y215" i="7" s="1"/>
  <c r="J214" i="7"/>
  <c r="Y214" i="7" s="1"/>
  <c r="J213" i="7"/>
  <c r="Y213" i="7" s="1"/>
  <c r="J212" i="7"/>
  <c r="Y212" i="7" s="1"/>
  <c r="J211" i="7"/>
  <c r="Y211" i="7" s="1"/>
  <c r="J210" i="7"/>
  <c r="Y210" i="7" s="1"/>
  <c r="J209" i="7"/>
  <c r="Y209" i="7" s="1"/>
  <c r="J208" i="7"/>
  <c r="Y208" i="7" s="1"/>
  <c r="J207" i="7"/>
  <c r="Y207" i="7" s="1"/>
  <c r="J206" i="7"/>
  <c r="Y206" i="7" s="1"/>
  <c r="J205" i="7"/>
  <c r="Y205" i="7" s="1"/>
  <c r="J204" i="7"/>
  <c r="Y204" i="7" s="1"/>
  <c r="J203" i="7"/>
  <c r="Y203" i="7" s="1"/>
  <c r="J202" i="7"/>
  <c r="Y202" i="7" s="1"/>
  <c r="J201" i="7"/>
  <c r="Y201" i="7" s="1"/>
  <c r="J200" i="7"/>
  <c r="Y200" i="7" s="1"/>
  <c r="J199" i="7"/>
  <c r="Y199" i="7" s="1"/>
  <c r="J198" i="7"/>
  <c r="Y198" i="7" s="1"/>
  <c r="J197" i="7"/>
  <c r="Y197" i="7" s="1"/>
  <c r="J196" i="7"/>
  <c r="Y196" i="7" s="1"/>
  <c r="J195" i="7"/>
  <c r="Y195" i="7" s="1"/>
  <c r="J194" i="7"/>
  <c r="Y194" i="7" s="1"/>
  <c r="J193" i="7"/>
  <c r="Y193" i="7" s="1"/>
  <c r="J192" i="7"/>
  <c r="Y192" i="7" s="1"/>
  <c r="J191" i="7"/>
  <c r="Y191" i="7" s="1"/>
  <c r="J190" i="7"/>
  <c r="Y190" i="7" s="1"/>
  <c r="J189" i="7"/>
  <c r="Y189" i="7" s="1"/>
  <c r="J188" i="7"/>
  <c r="Y188" i="7" s="1"/>
  <c r="J187" i="7"/>
  <c r="Y187" i="7" s="1"/>
  <c r="J186" i="7"/>
  <c r="Y186" i="7" s="1"/>
  <c r="J185" i="7"/>
  <c r="Y185" i="7" s="1"/>
  <c r="J184" i="7"/>
  <c r="Y184" i="7" s="1"/>
  <c r="J183" i="7"/>
  <c r="Y183" i="7" s="1"/>
  <c r="J182" i="7"/>
  <c r="Y182" i="7" s="1"/>
  <c r="J181" i="7"/>
  <c r="Y181" i="7" s="1"/>
  <c r="J180" i="7"/>
  <c r="Y180" i="7" s="1"/>
  <c r="J179" i="7"/>
  <c r="Y179" i="7" s="1"/>
  <c r="J178" i="7"/>
  <c r="Y178" i="7" s="1"/>
  <c r="J177" i="7"/>
  <c r="Y177" i="7" s="1"/>
  <c r="J176" i="7"/>
  <c r="Y176" i="7" s="1"/>
  <c r="J175" i="7"/>
  <c r="Y175" i="7" s="1"/>
  <c r="J174" i="7"/>
  <c r="Y174" i="7" s="1"/>
  <c r="J173" i="7"/>
  <c r="Y173" i="7" s="1"/>
  <c r="J172" i="7"/>
  <c r="Y172" i="7" s="1"/>
  <c r="J171" i="7"/>
  <c r="Y171" i="7" s="1"/>
  <c r="J170" i="7"/>
  <c r="Y170" i="7" s="1"/>
  <c r="J169" i="7"/>
  <c r="Y169" i="7" s="1"/>
  <c r="J168" i="7"/>
  <c r="Y168" i="7" s="1"/>
  <c r="J167" i="7"/>
  <c r="Y167" i="7" s="1"/>
  <c r="J166" i="7"/>
  <c r="Y166" i="7" s="1"/>
  <c r="J165" i="7"/>
  <c r="Y165" i="7" s="1"/>
  <c r="J164" i="7"/>
  <c r="Y164" i="7" s="1"/>
  <c r="J163" i="7"/>
  <c r="Y163" i="7" s="1"/>
  <c r="J162" i="7"/>
  <c r="Y162" i="7" s="1"/>
  <c r="J161" i="7"/>
  <c r="Y161" i="7" s="1"/>
  <c r="J160" i="7"/>
  <c r="Y160" i="7" s="1"/>
  <c r="J159" i="7"/>
  <c r="Y159" i="7" s="1"/>
  <c r="J158" i="7"/>
  <c r="Y158" i="7" s="1"/>
  <c r="J157" i="7"/>
  <c r="Y157" i="7" s="1"/>
  <c r="J156" i="7"/>
  <c r="Y156" i="7" s="1"/>
  <c r="J155" i="7"/>
  <c r="Y155" i="7" s="1"/>
  <c r="J154" i="7"/>
  <c r="Y154" i="7" s="1"/>
  <c r="J153" i="7"/>
  <c r="Y153" i="7" s="1"/>
  <c r="J152" i="7"/>
  <c r="Y152" i="7" s="1"/>
  <c r="J151" i="7"/>
  <c r="Y151" i="7" s="1"/>
  <c r="J150" i="7"/>
  <c r="Y150" i="7" s="1"/>
  <c r="J149" i="7"/>
  <c r="Y149" i="7" s="1"/>
  <c r="J148" i="7"/>
  <c r="Y148" i="7" s="1"/>
  <c r="J147" i="7"/>
  <c r="Y147" i="7" s="1"/>
  <c r="J146" i="7"/>
  <c r="Y146" i="7" s="1"/>
  <c r="J145" i="7"/>
  <c r="Y145" i="7" s="1"/>
  <c r="J144" i="7"/>
  <c r="Y144" i="7" s="1"/>
  <c r="J143" i="7"/>
  <c r="Y143" i="7" s="1"/>
  <c r="J142" i="7"/>
  <c r="Y142" i="7" s="1"/>
  <c r="J141" i="7"/>
  <c r="Y141" i="7" s="1"/>
  <c r="J140" i="7"/>
  <c r="Y140" i="7" s="1"/>
  <c r="J139" i="7"/>
  <c r="Y139" i="7" s="1"/>
  <c r="J138" i="7"/>
  <c r="Y138" i="7" s="1"/>
  <c r="J137" i="7"/>
  <c r="Y137" i="7" s="1"/>
  <c r="J136" i="7"/>
  <c r="Y136" i="7" s="1"/>
  <c r="J135" i="7"/>
  <c r="Y135" i="7" s="1"/>
  <c r="J134" i="7"/>
  <c r="Y134" i="7" s="1"/>
  <c r="J133" i="7"/>
  <c r="Y133" i="7" s="1"/>
  <c r="J132" i="7"/>
  <c r="Y132" i="7" s="1"/>
  <c r="J131" i="7"/>
  <c r="Y131" i="7" s="1"/>
  <c r="J130" i="7"/>
  <c r="Y130" i="7" s="1"/>
  <c r="J129" i="7"/>
  <c r="Y129" i="7" s="1"/>
  <c r="J128" i="7"/>
  <c r="Y128" i="7" s="1"/>
  <c r="J127" i="7"/>
  <c r="Y127" i="7" s="1"/>
  <c r="J126" i="7"/>
  <c r="Y126" i="7" s="1"/>
  <c r="J125" i="7"/>
  <c r="Y125" i="7" s="1"/>
  <c r="J124" i="7"/>
  <c r="Y124" i="7" s="1"/>
  <c r="J123" i="7"/>
  <c r="Y123" i="7" s="1"/>
  <c r="J122" i="7"/>
  <c r="Y122" i="7" s="1"/>
  <c r="J121" i="7"/>
  <c r="Y121" i="7" s="1"/>
  <c r="J120" i="7"/>
  <c r="Y120" i="7" s="1"/>
  <c r="J119" i="7"/>
  <c r="Y119" i="7" s="1"/>
  <c r="J118" i="7"/>
  <c r="Y118" i="7" s="1"/>
  <c r="J117" i="7"/>
  <c r="Y117" i="7" s="1"/>
  <c r="J116" i="7"/>
  <c r="Y116" i="7" s="1"/>
  <c r="J115" i="7"/>
  <c r="Y115" i="7" s="1"/>
  <c r="J114" i="7"/>
  <c r="Y114" i="7" s="1"/>
  <c r="J113" i="7"/>
  <c r="Y113" i="7" s="1"/>
  <c r="J112" i="7"/>
  <c r="Y112" i="7" s="1"/>
  <c r="J111" i="7"/>
  <c r="Y111" i="7" s="1"/>
  <c r="J110" i="7"/>
  <c r="Y110" i="7" s="1"/>
  <c r="J109" i="7"/>
  <c r="Y109" i="7" s="1"/>
  <c r="J108" i="7"/>
  <c r="Y108" i="7" s="1"/>
  <c r="J107" i="7"/>
  <c r="Y107" i="7" s="1"/>
  <c r="J106" i="7"/>
  <c r="Y106" i="7" s="1"/>
  <c r="J105" i="7"/>
  <c r="Y105" i="7" s="1"/>
  <c r="J104" i="7"/>
  <c r="Y104" i="7" s="1"/>
  <c r="J103" i="7"/>
  <c r="Y103" i="7" s="1"/>
  <c r="J102" i="7"/>
  <c r="Y102" i="7" s="1"/>
  <c r="J101" i="7"/>
  <c r="Y101" i="7" s="1"/>
  <c r="J100" i="7"/>
  <c r="Y100" i="7" s="1"/>
  <c r="J99" i="7"/>
  <c r="Y99" i="7" s="1"/>
  <c r="J98" i="7"/>
  <c r="Y98" i="7" s="1"/>
  <c r="J97" i="7"/>
  <c r="Y97" i="7" s="1"/>
  <c r="J96" i="7"/>
  <c r="Y96" i="7" s="1"/>
  <c r="J95" i="7"/>
  <c r="Y95" i="7" s="1"/>
  <c r="J94" i="7"/>
  <c r="Y94" i="7" s="1"/>
  <c r="J93" i="7"/>
  <c r="Y93" i="7" s="1"/>
  <c r="J92" i="7"/>
  <c r="Y92" i="7" s="1"/>
  <c r="J91" i="7"/>
  <c r="Y91" i="7" s="1"/>
  <c r="J90" i="7"/>
  <c r="Y90" i="7" s="1"/>
  <c r="J89" i="7"/>
  <c r="Y89" i="7" s="1"/>
  <c r="J88" i="7"/>
  <c r="Y88" i="7" s="1"/>
  <c r="J87" i="7"/>
  <c r="Y87" i="7" s="1"/>
  <c r="J86" i="7"/>
  <c r="Y86" i="7" s="1"/>
  <c r="J85" i="7"/>
  <c r="Y85" i="7" s="1"/>
  <c r="J84" i="7"/>
  <c r="Y84" i="7" s="1"/>
  <c r="J83" i="7"/>
  <c r="Y83" i="7" s="1"/>
  <c r="J82" i="7"/>
  <c r="Y82" i="7" s="1"/>
  <c r="J81" i="7"/>
  <c r="Y81" i="7" s="1"/>
  <c r="J80" i="7"/>
  <c r="Y80" i="7" s="1"/>
  <c r="J79" i="7"/>
  <c r="Y79" i="7" s="1"/>
  <c r="J78" i="7"/>
  <c r="Y78" i="7" s="1"/>
  <c r="J77" i="7"/>
  <c r="Y77" i="7" s="1"/>
  <c r="J76" i="7"/>
  <c r="Y76" i="7" s="1"/>
  <c r="J75" i="7"/>
  <c r="Y75" i="7" s="1"/>
  <c r="J74" i="7"/>
  <c r="Y74" i="7" s="1"/>
  <c r="J73" i="7"/>
  <c r="Y73" i="7" s="1"/>
  <c r="J72" i="7"/>
  <c r="Y72" i="7" s="1"/>
  <c r="J71" i="7"/>
  <c r="Y71" i="7" s="1"/>
  <c r="J70" i="7"/>
  <c r="Y70" i="7" s="1"/>
  <c r="J69" i="7"/>
  <c r="Y69" i="7" s="1"/>
  <c r="J68" i="7"/>
  <c r="Y68" i="7" s="1"/>
  <c r="J67" i="7"/>
  <c r="Y67" i="7" s="1"/>
  <c r="J66" i="7"/>
  <c r="Y66" i="7" s="1"/>
  <c r="J65" i="7"/>
  <c r="Y65" i="7" s="1"/>
  <c r="J64" i="7"/>
  <c r="Y64" i="7" s="1"/>
  <c r="J63" i="7"/>
  <c r="Y63" i="7" s="1"/>
  <c r="J62" i="7"/>
  <c r="Y62" i="7" s="1"/>
  <c r="J61" i="7"/>
  <c r="Y61" i="7" s="1"/>
  <c r="J60" i="7"/>
  <c r="Y60" i="7" s="1"/>
  <c r="J59" i="7"/>
  <c r="Y59" i="7" s="1"/>
  <c r="J58" i="7"/>
  <c r="Y58" i="7" s="1"/>
  <c r="J57" i="7"/>
  <c r="Y57" i="7" s="1"/>
  <c r="J56" i="7"/>
  <c r="Y56" i="7" s="1"/>
  <c r="J55" i="7"/>
  <c r="Y55" i="7" s="1"/>
  <c r="J54" i="7"/>
  <c r="Y54" i="7" s="1"/>
  <c r="J53" i="7"/>
  <c r="Y53" i="7" s="1"/>
  <c r="J52" i="7"/>
  <c r="Y52" i="7" s="1"/>
  <c r="J51" i="7"/>
  <c r="Y51" i="7" s="1"/>
  <c r="J50" i="7"/>
  <c r="Y50" i="7" s="1"/>
  <c r="J49" i="7"/>
  <c r="Y49" i="7" s="1"/>
  <c r="J48" i="7"/>
  <c r="Y48" i="7" s="1"/>
  <c r="J47" i="7"/>
  <c r="Y47" i="7" s="1"/>
  <c r="J46" i="7"/>
  <c r="Y46" i="7" s="1"/>
  <c r="J45" i="7"/>
  <c r="Y45" i="7" s="1"/>
  <c r="J44" i="7"/>
  <c r="Y44" i="7" s="1"/>
  <c r="J43" i="7"/>
  <c r="Y43" i="7" s="1"/>
  <c r="J42" i="7"/>
  <c r="Y42" i="7" s="1"/>
  <c r="J41" i="7"/>
  <c r="Y41" i="7" s="1"/>
  <c r="J40" i="7"/>
  <c r="Y40" i="7" s="1"/>
  <c r="J39" i="7"/>
  <c r="Y39" i="7" s="1"/>
  <c r="J38" i="7"/>
  <c r="Y38" i="7" s="1"/>
  <c r="J37" i="7"/>
  <c r="Y37" i="7" s="1"/>
  <c r="J36" i="7"/>
  <c r="Y36" i="7" s="1"/>
  <c r="J35" i="7"/>
  <c r="Y35" i="7" s="1"/>
  <c r="J34" i="7"/>
  <c r="Y34" i="7" s="1"/>
  <c r="J33" i="7"/>
  <c r="Y33" i="7" s="1"/>
  <c r="J32" i="7"/>
  <c r="Y32" i="7" s="1"/>
  <c r="J31" i="7"/>
  <c r="Y31" i="7" s="1"/>
  <c r="J30" i="7"/>
  <c r="Y30" i="7" s="1"/>
  <c r="J29" i="7"/>
  <c r="Y29" i="7" s="1"/>
  <c r="J28" i="7"/>
  <c r="Y28" i="7" s="1"/>
  <c r="J27" i="7"/>
  <c r="Y27" i="7" s="1"/>
  <c r="J26" i="7"/>
  <c r="Y26" i="7" s="1"/>
  <c r="J25" i="7"/>
  <c r="Y25" i="7" s="1"/>
  <c r="J24" i="7"/>
  <c r="Y24" i="7" s="1"/>
  <c r="J23" i="7"/>
  <c r="Y23" i="7" s="1"/>
  <c r="J22" i="7"/>
  <c r="Y22" i="7" s="1"/>
  <c r="J21" i="7"/>
  <c r="Y21" i="7" s="1"/>
  <c r="J20" i="7"/>
  <c r="Y20" i="7" s="1"/>
  <c r="J19" i="7"/>
  <c r="Y19" i="7" s="1"/>
  <c r="J18" i="7"/>
  <c r="Y18" i="7" s="1"/>
  <c r="J17" i="7"/>
  <c r="Y17" i="7" s="1"/>
  <c r="J16" i="7"/>
  <c r="Y16" i="7" s="1"/>
  <c r="J15" i="7"/>
  <c r="Y15" i="7" s="1"/>
  <c r="J14" i="7"/>
  <c r="Y14" i="7" s="1"/>
  <c r="J13" i="7"/>
  <c r="Y13" i="7" s="1"/>
  <c r="J12" i="7"/>
  <c r="Y12" i="7" s="1"/>
  <c r="J11" i="7"/>
  <c r="Y11" i="7" s="1"/>
  <c r="J10" i="7"/>
  <c r="Y10" i="7" s="1"/>
  <c r="J9" i="7"/>
  <c r="Y9" i="7" s="1"/>
  <c r="J8" i="7"/>
  <c r="Y8" i="7" s="1"/>
  <c r="J7" i="7"/>
  <c r="Y7" i="7" s="1"/>
  <c r="J6" i="7"/>
  <c r="Y6" i="7" s="1"/>
  <c r="O289" i="7" l="1" a="1"/>
  <c r="O289" i="7" s="1"/>
  <c r="O288" i="7" a="1"/>
  <c r="O288" i="7" s="1"/>
  <c r="O287" i="7" a="1"/>
  <c r="O287" i="7" s="1"/>
  <c r="O286" i="7" a="1"/>
  <c r="O286" i="7" s="1"/>
  <c r="O285" i="7" a="1"/>
  <c r="O285" i="7" s="1"/>
  <c r="O284" i="7" a="1"/>
  <c r="O284" i="7" s="1"/>
  <c r="O283" i="7" a="1"/>
  <c r="O283" i="7" s="1"/>
  <c r="O282" i="7" a="1"/>
  <c r="O282" i="7" s="1"/>
  <c r="O281" i="7" a="1"/>
  <c r="O281" i="7" s="1"/>
  <c r="O280" i="7" a="1"/>
  <c r="O280" i="7" s="1"/>
  <c r="O279" i="7" a="1"/>
  <c r="O279" i="7" s="1"/>
  <c r="O278" i="7" a="1"/>
  <c r="O278" i="7" s="1"/>
  <c r="O277" i="7" a="1"/>
  <c r="O277" i="7" s="1"/>
  <c r="O276" i="7" a="1"/>
  <c r="O276" i="7" s="1"/>
  <c r="O275" i="7" a="1"/>
  <c r="O275" i="7" s="1"/>
  <c r="O274" i="7" a="1"/>
  <c r="O274" i="7" s="1"/>
  <c r="O273" i="7" a="1"/>
  <c r="O273" i="7" s="1"/>
  <c r="O272" i="7" a="1"/>
  <c r="O272" i="7" s="1"/>
  <c r="O271" i="7" a="1"/>
  <c r="O271" i="7" s="1"/>
  <c r="O270" i="7" a="1"/>
  <c r="O270" i="7" s="1"/>
  <c r="O269" i="7" a="1"/>
  <c r="O269" i="7" s="1"/>
  <c r="O268" i="7" a="1"/>
  <c r="O268" i="7" s="1"/>
  <c r="O267" i="7" a="1"/>
  <c r="O267" i="7" s="1"/>
  <c r="O266" i="7" a="1"/>
  <c r="O266" i="7" s="1"/>
  <c r="O265" i="7" a="1"/>
  <c r="O265" i="7" s="1"/>
  <c r="O264" i="7" a="1"/>
  <c r="O264" i="7" s="1"/>
  <c r="O263" i="7" a="1"/>
  <c r="O263" i="7" s="1"/>
  <c r="O262" i="7" a="1"/>
  <c r="O262" i="7" s="1"/>
  <c r="O261" i="7" a="1"/>
  <c r="O261" i="7" s="1"/>
  <c r="O260" i="7" a="1"/>
  <c r="O260" i="7" s="1"/>
  <c r="O259" i="7" a="1"/>
  <c r="O259" i="7" s="1"/>
  <c r="O258" i="7" a="1"/>
  <c r="O258" i="7" s="1"/>
  <c r="O257" i="7" a="1"/>
  <c r="O257" i="7" s="1"/>
  <c r="O256" i="7" a="1"/>
  <c r="O256" i="7" s="1"/>
  <c r="O255" i="7" a="1"/>
  <c r="O255" i="7" s="1"/>
  <c r="O254" i="7" a="1"/>
  <c r="O254" i="7" s="1"/>
  <c r="O253" i="7" a="1"/>
  <c r="O253" i="7" s="1"/>
  <c r="O252" i="7" a="1"/>
  <c r="O252" i="7" s="1"/>
  <c r="O251" i="7" a="1"/>
  <c r="O251" i="7" s="1"/>
  <c r="O250" i="7" a="1"/>
  <c r="O250" i="7" s="1"/>
  <c r="O249" i="7" a="1"/>
  <c r="O249" i="7" s="1"/>
  <c r="O248" i="7" a="1"/>
  <c r="O248" i="7" s="1"/>
  <c r="O247" i="7" a="1"/>
  <c r="O247" i="7" s="1"/>
  <c r="O246" i="7" a="1"/>
  <c r="O246" i="7" s="1"/>
  <c r="O245" i="7" a="1"/>
  <c r="O245" i="7" s="1"/>
  <c r="O244" i="7" a="1"/>
  <c r="O244" i="7" s="1"/>
  <c r="O243" i="7" a="1"/>
  <c r="O243" i="7" s="1"/>
  <c r="O242" i="7" a="1"/>
  <c r="O242" i="7" s="1"/>
  <c r="O241" i="7" a="1"/>
  <c r="O241" i="7" s="1"/>
  <c r="O240" i="7" a="1"/>
  <c r="O240" i="7" s="1"/>
  <c r="O239" i="7" a="1"/>
  <c r="O239" i="7" s="1"/>
  <c r="O238" i="7" a="1"/>
  <c r="O238" i="7" s="1"/>
  <c r="O237" i="7" a="1"/>
  <c r="O237" i="7" s="1"/>
  <c r="O236" i="7" a="1"/>
  <c r="O236" i="7" s="1"/>
  <c r="O235" i="7" a="1"/>
  <c r="O235" i="7" s="1"/>
  <c r="O234" i="7" a="1"/>
  <c r="O234" i="7" s="1"/>
  <c r="O233" i="7" a="1"/>
  <c r="O233" i="7" s="1"/>
  <c r="O232" i="7" a="1"/>
  <c r="O232" i="7" s="1"/>
  <c r="O231" i="7" a="1"/>
  <c r="O231" i="7" s="1"/>
  <c r="O230" i="7" a="1"/>
  <c r="O230" i="7" s="1"/>
  <c r="O229" i="7" a="1"/>
  <c r="O229" i="7" s="1"/>
  <c r="O228" i="7" a="1"/>
  <c r="O228" i="7" s="1"/>
  <c r="O227" i="7" a="1"/>
  <c r="O227" i="7" s="1"/>
  <c r="O226" i="7" a="1"/>
  <c r="O226" i="7" s="1"/>
  <c r="O225" i="7" a="1"/>
  <c r="O225" i="7" s="1"/>
  <c r="O224" i="7" a="1"/>
  <c r="O224" i="7" s="1"/>
  <c r="O223" i="7" a="1"/>
  <c r="O223" i="7" s="1"/>
  <c r="O222" i="7" a="1"/>
  <c r="O222" i="7" s="1"/>
  <c r="O221" i="7" a="1"/>
  <c r="O221" i="7" s="1"/>
  <c r="O220" i="7" a="1"/>
  <c r="O220" i="7" s="1"/>
  <c r="O219" i="7" a="1"/>
  <c r="O219" i="7" s="1"/>
  <c r="O218" i="7" a="1"/>
  <c r="O218" i="7" s="1"/>
  <c r="O217" i="7" a="1"/>
  <c r="O217" i="7" s="1"/>
  <c r="O216" i="7" a="1"/>
  <c r="O216" i="7" s="1"/>
  <c r="O215" i="7" a="1"/>
  <c r="O215" i="7" s="1"/>
  <c r="O214" i="7" a="1"/>
  <c r="O214" i="7" s="1"/>
  <c r="O213" i="7" a="1"/>
  <c r="O213" i="7" s="1"/>
  <c r="O212" i="7" a="1"/>
  <c r="O212" i="7" s="1"/>
  <c r="O211" i="7" a="1"/>
  <c r="O211" i="7" s="1"/>
  <c r="O210" i="7" a="1"/>
  <c r="O210" i="7" s="1"/>
  <c r="O209" i="7" a="1"/>
  <c r="O209" i="7" s="1"/>
  <c r="O208" i="7" a="1"/>
  <c r="O208" i="7" s="1"/>
  <c r="O207" i="7" a="1"/>
  <c r="O207" i="7" s="1"/>
  <c r="O206" i="7" a="1"/>
  <c r="O206" i="7" s="1"/>
  <c r="O205" i="7" a="1"/>
  <c r="O205" i="7" s="1"/>
  <c r="O204" i="7" a="1"/>
  <c r="O204" i="7" s="1"/>
  <c r="O203" i="7" a="1"/>
  <c r="O203" i="7" s="1"/>
  <c r="O202" i="7" a="1"/>
  <c r="O202" i="7" s="1"/>
  <c r="O201" i="7" a="1"/>
  <c r="O201" i="7" s="1"/>
  <c r="O200" i="7" a="1"/>
  <c r="O200" i="7" s="1"/>
  <c r="O199" i="7" a="1"/>
  <c r="O199" i="7" s="1"/>
  <c r="O198" i="7" a="1"/>
  <c r="O198" i="7" s="1"/>
  <c r="O197" i="7" a="1"/>
  <c r="O197" i="7" s="1"/>
  <c r="O196" i="7" a="1"/>
  <c r="O196" i="7" s="1"/>
  <c r="O195" i="7" a="1"/>
  <c r="O195" i="7" s="1"/>
  <c r="O194" i="7" a="1"/>
  <c r="O194" i="7" s="1"/>
  <c r="O193" i="7" a="1"/>
  <c r="O193" i="7" s="1"/>
  <c r="O192" i="7" a="1"/>
  <c r="O192" i="7" s="1"/>
  <c r="O191" i="7" a="1"/>
  <c r="O191" i="7" s="1"/>
  <c r="O190" i="7" a="1"/>
  <c r="O190" i="7" s="1"/>
  <c r="O189" i="7" a="1"/>
  <c r="O189" i="7" s="1"/>
  <c r="O188" i="7" a="1"/>
  <c r="O188" i="7" s="1"/>
  <c r="O187" i="7" a="1"/>
  <c r="O187" i="7" s="1"/>
  <c r="O186" i="7" a="1"/>
  <c r="O186" i="7" s="1"/>
  <c r="O185" i="7" a="1"/>
  <c r="O185" i="7" s="1"/>
  <c r="O184" i="7" a="1"/>
  <c r="O184" i="7" s="1"/>
  <c r="O183" i="7" a="1"/>
  <c r="O183" i="7" s="1"/>
  <c r="O182" i="7" a="1"/>
  <c r="O182" i="7" s="1"/>
  <c r="O181" i="7" a="1"/>
  <c r="O181" i="7" s="1"/>
  <c r="O180" i="7" a="1"/>
  <c r="O180" i="7" s="1"/>
  <c r="O179" i="7" a="1"/>
  <c r="O179" i="7" s="1"/>
  <c r="O178" i="7" a="1"/>
  <c r="O178" i="7" s="1"/>
  <c r="O177" i="7" a="1"/>
  <c r="O177" i="7" s="1"/>
  <c r="O176" i="7" a="1"/>
  <c r="O176" i="7" s="1"/>
  <c r="O175" i="7" a="1"/>
  <c r="O175" i="7" s="1"/>
  <c r="O174" i="7" a="1"/>
  <c r="O174" i="7" s="1"/>
  <c r="O173" i="7" a="1"/>
  <c r="O173" i="7" s="1"/>
  <c r="O172" i="7" a="1"/>
  <c r="O172" i="7" s="1"/>
  <c r="O171" i="7" a="1"/>
  <c r="O171" i="7" s="1"/>
  <c r="O170" i="7" a="1"/>
  <c r="O170" i="7" s="1"/>
  <c r="O169" i="7" a="1"/>
  <c r="O169" i="7" s="1"/>
  <c r="O168" i="7" a="1"/>
  <c r="O168" i="7" s="1"/>
  <c r="O167" i="7" a="1"/>
  <c r="O167" i="7" s="1"/>
  <c r="O166" i="7" a="1"/>
  <c r="O166" i="7" s="1"/>
  <c r="O165" i="7" a="1"/>
  <c r="O165" i="7" s="1"/>
  <c r="O164" i="7" a="1"/>
  <c r="O164" i="7" s="1"/>
  <c r="O163" i="7" a="1"/>
  <c r="O163" i="7" s="1"/>
  <c r="O162" i="7" a="1"/>
  <c r="O162" i="7" s="1"/>
  <c r="O161" i="7" a="1"/>
  <c r="O161" i="7" s="1"/>
  <c r="O160" i="7" a="1"/>
  <c r="O160" i="7" s="1"/>
  <c r="O159" i="7" a="1"/>
  <c r="O159" i="7" s="1"/>
  <c r="O158" i="7" a="1"/>
  <c r="O158" i="7" s="1"/>
  <c r="O157" i="7" a="1"/>
  <c r="O157" i="7" s="1"/>
  <c r="O156" i="7" a="1"/>
  <c r="O156" i="7" s="1"/>
  <c r="O155" i="7" a="1"/>
  <c r="O155" i="7" s="1"/>
  <c r="O154" i="7" a="1"/>
  <c r="O154" i="7" s="1"/>
  <c r="O153" i="7" a="1"/>
  <c r="O153" i="7" s="1"/>
  <c r="O152" i="7" a="1"/>
  <c r="O152" i="7" s="1"/>
  <c r="O151" i="7" a="1"/>
  <c r="O151" i="7" s="1"/>
  <c r="O150" i="7" a="1"/>
  <c r="O150" i="7" s="1"/>
  <c r="O149" i="7" a="1"/>
  <c r="O149" i="7" s="1"/>
  <c r="O148" i="7" a="1"/>
  <c r="O148" i="7" s="1"/>
  <c r="O147" i="7" a="1"/>
  <c r="O147" i="7" s="1"/>
  <c r="O146" i="7" a="1"/>
  <c r="O146" i="7" s="1"/>
  <c r="O145" i="7" a="1"/>
  <c r="O145" i="7" s="1"/>
  <c r="O144" i="7" a="1"/>
  <c r="O144" i="7" s="1"/>
  <c r="O143" i="7" a="1"/>
  <c r="O143" i="7" s="1"/>
  <c r="O142" i="7" a="1"/>
  <c r="O142" i="7" s="1"/>
  <c r="O141" i="7" a="1"/>
  <c r="O141" i="7" s="1"/>
  <c r="O140" i="7" a="1"/>
  <c r="O140" i="7" s="1"/>
  <c r="O139" i="7" a="1"/>
  <c r="O139" i="7" s="1"/>
  <c r="O138" i="7" a="1"/>
  <c r="O138" i="7" s="1"/>
  <c r="O137" i="7" a="1"/>
  <c r="O137" i="7" s="1"/>
  <c r="O136" i="7" a="1"/>
  <c r="O136" i="7" s="1"/>
  <c r="O135" i="7" a="1"/>
  <c r="O135" i="7" s="1"/>
  <c r="O134" i="7" a="1"/>
  <c r="O134" i="7" s="1"/>
  <c r="O133" i="7" a="1"/>
  <c r="O133" i="7" s="1"/>
  <c r="O132" i="7" a="1"/>
  <c r="O132" i="7" s="1"/>
  <c r="O131" i="7" a="1"/>
  <c r="O131" i="7" s="1"/>
  <c r="O130" i="7" a="1"/>
  <c r="O130" i="7" s="1"/>
  <c r="O129" i="7" a="1"/>
  <c r="O129" i="7" s="1"/>
  <c r="O128" i="7" a="1"/>
  <c r="O128" i="7" s="1"/>
  <c r="O127" i="7" a="1"/>
  <c r="O127" i="7" s="1"/>
  <c r="O126" i="7" a="1"/>
  <c r="O126" i="7" s="1"/>
  <c r="O125" i="7" a="1"/>
  <c r="O125" i="7" s="1"/>
  <c r="O124" i="7" a="1"/>
  <c r="O124" i="7" s="1"/>
  <c r="O123" i="7" a="1"/>
  <c r="O123" i="7" s="1"/>
  <c r="O122" i="7" a="1"/>
  <c r="O122" i="7" s="1"/>
  <c r="O121" i="7" a="1"/>
  <c r="O121" i="7" s="1"/>
  <c r="O120" i="7" a="1"/>
  <c r="O120" i="7" s="1"/>
  <c r="O119" i="7" a="1"/>
  <c r="O119" i="7" s="1"/>
  <c r="O118" i="7" a="1"/>
  <c r="O118" i="7" s="1"/>
  <c r="O117" i="7" a="1"/>
  <c r="O117" i="7" s="1"/>
  <c r="O116" i="7" a="1"/>
  <c r="O116" i="7" s="1"/>
  <c r="O115" i="7" a="1"/>
  <c r="O115" i="7" s="1"/>
  <c r="O114" i="7" a="1"/>
  <c r="O114" i="7" s="1"/>
  <c r="O113" i="7" a="1"/>
  <c r="O113" i="7" s="1"/>
  <c r="O112" i="7" a="1"/>
  <c r="O112" i="7" s="1"/>
  <c r="O111" i="7" a="1"/>
  <c r="O111" i="7" s="1"/>
  <c r="O110" i="7" a="1"/>
  <c r="O110" i="7" s="1"/>
  <c r="O109" i="7" a="1"/>
  <c r="O109" i="7" s="1"/>
  <c r="O108" i="7" a="1"/>
  <c r="O108" i="7" s="1"/>
  <c r="O107" i="7" a="1"/>
  <c r="O107" i="7" s="1"/>
  <c r="O106" i="7" a="1"/>
  <c r="O106" i="7" s="1"/>
  <c r="O105" i="7" a="1"/>
  <c r="O105" i="7" s="1"/>
  <c r="O104" i="7" a="1"/>
  <c r="O104" i="7" s="1"/>
  <c r="O103" i="7" a="1"/>
  <c r="O103" i="7" s="1"/>
  <c r="O102" i="7" a="1"/>
  <c r="O102" i="7" s="1"/>
  <c r="O101" i="7" a="1"/>
  <c r="O101" i="7" s="1"/>
  <c r="O100" i="7" a="1"/>
  <c r="O100" i="7" s="1"/>
  <c r="O99" i="7" a="1"/>
  <c r="O99" i="7" s="1"/>
  <c r="O98" i="7" a="1"/>
  <c r="O98" i="7" s="1"/>
  <c r="O97" i="7" a="1"/>
  <c r="O97" i="7" s="1"/>
  <c r="O96" i="7" a="1"/>
  <c r="O96" i="7" s="1"/>
  <c r="O95" i="7" a="1"/>
  <c r="O95" i="7" s="1"/>
  <c r="O94" i="7" a="1"/>
  <c r="O94" i="7" s="1"/>
  <c r="O93" i="7" a="1"/>
  <c r="O93" i="7" s="1"/>
  <c r="O92" i="7" a="1"/>
  <c r="O92" i="7" s="1"/>
  <c r="O91" i="7" a="1"/>
  <c r="O91" i="7" s="1"/>
  <c r="O90" i="7" a="1"/>
  <c r="O90" i="7" s="1"/>
  <c r="O89" i="7" a="1"/>
  <c r="O89" i="7" s="1"/>
  <c r="O88" i="7" a="1"/>
  <c r="O88" i="7" s="1"/>
  <c r="O87" i="7" a="1"/>
  <c r="O87" i="7" s="1"/>
  <c r="O86" i="7" a="1"/>
  <c r="O86" i="7" s="1"/>
  <c r="O85" i="7" a="1"/>
  <c r="O85" i="7" s="1"/>
  <c r="O84" i="7" a="1"/>
  <c r="O84" i="7" s="1"/>
  <c r="O83" i="7" a="1"/>
  <c r="O83" i="7" s="1"/>
  <c r="O82" i="7" a="1"/>
  <c r="O82" i="7" s="1"/>
  <c r="O81" i="7" a="1"/>
  <c r="O81" i="7" s="1"/>
  <c r="O80" i="7" a="1"/>
  <c r="O80" i="7" s="1"/>
  <c r="O79" i="7" a="1"/>
  <c r="O79" i="7" s="1"/>
  <c r="O78" i="7" a="1"/>
  <c r="O78" i="7" s="1"/>
  <c r="O77" i="7" a="1"/>
  <c r="O77" i="7" s="1"/>
  <c r="O76" i="7" a="1"/>
  <c r="O76" i="7" s="1"/>
  <c r="O75" i="7" a="1"/>
  <c r="O75" i="7" s="1"/>
  <c r="O74" i="7" a="1"/>
  <c r="O74" i="7" s="1"/>
  <c r="O73" i="7" a="1"/>
  <c r="O73" i="7" s="1"/>
  <c r="O72" i="7" a="1"/>
  <c r="O72" i="7" s="1"/>
  <c r="O71" i="7" a="1"/>
  <c r="O71" i="7" s="1"/>
  <c r="O70" i="7" a="1"/>
  <c r="O70" i="7" s="1"/>
  <c r="O68" i="7" a="1"/>
  <c r="O68" i="7" s="1"/>
  <c r="O67" i="7" a="1"/>
  <c r="O67" i="7" s="1"/>
  <c r="O66" i="7" a="1"/>
  <c r="O66" i="7" s="1"/>
  <c r="O65" i="7" a="1"/>
  <c r="O65" i="7" s="1"/>
  <c r="O64" i="7" a="1"/>
  <c r="O64" i="7" s="1"/>
  <c r="O63" i="7" a="1"/>
  <c r="O63" i="7" s="1"/>
  <c r="O62" i="7" a="1"/>
  <c r="O62" i="7" s="1"/>
  <c r="O61" i="7" a="1"/>
  <c r="O61" i="7" s="1"/>
  <c r="O60" i="7" a="1"/>
  <c r="O60" i="7" s="1"/>
  <c r="O59" i="7" a="1"/>
  <c r="O59" i="7" s="1"/>
  <c r="O58" i="7" a="1"/>
  <c r="O58" i="7" s="1"/>
  <c r="O57" i="7" a="1"/>
  <c r="O57" i="7" s="1"/>
  <c r="O56" i="7" a="1"/>
  <c r="O56" i="7" s="1"/>
  <c r="O55" i="7" a="1"/>
  <c r="O55" i="7" s="1"/>
  <c r="O54" i="7" a="1"/>
  <c r="O54" i="7" s="1"/>
  <c r="O53" i="7" a="1"/>
  <c r="O53" i="7" s="1"/>
  <c r="O52" i="7" a="1"/>
  <c r="O52" i="7" s="1"/>
  <c r="O51" i="7" a="1"/>
  <c r="O51" i="7" s="1"/>
  <c r="O50" i="7" a="1"/>
  <c r="O50" i="7" s="1"/>
  <c r="O49" i="7" a="1"/>
  <c r="O49" i="7" s="1"/>
  <c r="O48" i="7" a="1"/>
  <c r="O48" i="7" s="1"/>
  <c r="O47" i="7" a="1"/>
  <c r="O47" i="7" s="1"/>
  <c r="O46" i="7" a="1"/>
  <c r="O46" i="7" s="1"/>
  <c r="O45" i="7" a="1"/>
  <c r="O45" i="7" s="1"/>
  <c r="O44" i="7" a="1"/>
  <c r="O44" i="7" s="1"/>
  <c r="O43" i="7" a="1"/>
  <c r="O43" i="7" s="1"/>
  <c r="O42" i="7" a="1"/>
  <c r="O42" i="7" s="1"/>
  <c r="O41" i="7" a="1"/>
  <c r="O41" i="7" s="1"/>
  <c r="O40" i="7" a="1"/>
  <c r="O40" i="7" s="1"/>
  <c r="O39" i="7" a="1"/>
  <c r="O39" i="7" s="1"/>
  <c r="O38" i="7" a="1"/>
  <c r="O38" i="7" s="1"/>
  <c r="O37" i="7" a="1"/>
  <c r="O37" i="7" s="1"/>
  <c r="O36" i="7" a="1"/>
  <c r="O36" i="7" s="1"/>
  <c r="O35" i="7" a="1"/>
  <c r="O35" i="7" s="1"/>
  <c r="O34" i="7" a="1"/>
  <c r="O34" i="7" s="1"/>
  <c r="O33" i="7" a="1"/>
  <c r="O33" i="7" s="1"/>
  <c r="O32" i="7" a="1"/>
  <c r="O32" i="7" s="1"/>
  <c r="O31" i="7" a="1"/>
  <c r="O31" i="7" s="1"/>
  <c r="O30" i="7" a="1"/>
  <c r="O30" i="7" s="1"/>
  <c r="O29" i="7" a="1"/>
  <c r="O29" i="7" s="1"/>
  <c r="O28" i="7" a="1"/>
  <c r="O28" i="7" s="1"/>
  <c r="O27" i="7" a="1"/>
  <c r="O27" i="7" s="1"/>
  <c r="O26" i="7" a="1"/>
  <c r="O26" i="7" s="1"/>
  <c r="O25" i="7" a="1"/>
  <c r="O25" i="7" s="1"/>
  <c r="O24" i="7" a="1"/>
  <c r="O24" i="7" s="1"/>
  <c r="O23" i="7" a="1"/>
  <c r="O23" i="7" s="1"/>
  <c r="O22" i="7" a="1"/>
  <c r="O22" i="7" s="1"/>
  <c r="O21" i="7" a="1"/>
  <c r="O21" i="7" s="1"/>
  <c r="O20" i="7" a="1"/>
  <c r="O20" i="7" s="1"/>
  <c r="O19" i="7" a="1"/>
  <c r="O19" i="7" s="1"/>
  <c r="O18" i="7" a="1"/>
  <c r="O18" i="7" s="1"/>
  <c r="O17" i="7" a="1"/>
  <c r="O17" i="7" s="1"/>
  <c r="O16" i="7" a="1"/>
  <c r="O16" i="7" s="1"/>
  <c r="O15" i="7" a="1"/>
  <c r="O15" i="7" s="1"/>
  <c r="O14" i="7" a="1"/>
  <c r="O14" i="7" s="1"/>
  <c r="O13" i="7" a="1"/>
  <c r="O13" i="7" s="1"/>
  <c r="O12" i="7" a="1"/>
  <c r="O12" i="7" s="1"/>
  <c r="O11" i="7" a="1"/>
  <c r="O11" i="7" s="1"/>
  <c r="O10" i="7" a="1"/>
  <c r="O10" i="7" s="1"/>
  <c r="O9" i="7" a="1"/>
  <c r="O9" i="7" s="1"/>
  <c r="O8" i="7" a="1"/>
  <c r="O8" i="7" s="1"/>
  <c r="O7" i="7" a="1"/>
  <c r="O7" i="7" s="1"/>
  <c r="O6" i="7" a="1"/>
  <c r="O6" i="7" s="1"/>
  <c r="O69" i="7" a="1"/>
  <c r="O69" i="7" s="1"/>
  <c r="R256" i="7"/>
  <c r="R208" i="7"/>
  <c r="U203" i="7"/>
  <c r="S194" i="7"/>
  <c r="R194" i="7"/>
  <c r="R20" i="7"/>
  <c r="L7" i="7" a="1"/>
  <c r="L7" i="7" s="1"/>
  <c r="N7" i="7" s="1"/>
  <c r="L8" i="7" a="1"/>
  <c r="L8" i="7" s="1"/>
  <c r="N8" i="7" s="1"/>
  <c r="L9" i="7" a="1"/>
  <c r="L9" i="7" s="1"/>
  <c r="N9" i="7" s="1"/>
  <c r="L10" i="7" a="1"/>
  <c r="L10" i="7" s="1"/>
  <c r="N10" i="7" s="1"/>
  <c r="L11" i="7" a="1"/>
  <c r="L11" i="7" s="1"/>
  <c r="N11" i="7" s="1"/>
  <c r="L12" i="7" a="1"/>
  <c r="L12" i="7" s="1"/>
  <c r="N12" i="7" s="1"/>
  <c r="L13" i="7" a="1"/>
  <c r="L13" i="7" s="1"/>
  <c r="N13" i="7" s="1"/>
  <c r="L14" i="7" a="1"/>
  <c r="L14" i="7" s="1"/>
  <c r="N14" i="7" s="1"/>
  <c r="L15" i="7" a="1"/>
  <c r="L15" i="7" s="1"/>
  <c r="N15" i="7" s="1"/>
  <c r="L16" i="7" a="1"/>
  <c r="L16" i="7" s="1"/>
  <c r="N16" i="7" s="1"/>
  <c r="L17" i="7" a="1"/>
  <c r="L17" i="7" s="1"/>
  <c r="N17" i="7" s="1"/>
  <c r="L18" i="7" a="1"/>
  <c r="L18" i="7" s="1"/>
  <c r="N18" i="7" s="1"/>
  <c r="L19" i="7" a="1"/>
  <c r="L19" i="7" s="1"/>
  <c r="N19" i="7" s="1"/>
  <c r="L20" i="7" a="1"/>
  <c r="L20" i="7" s="1"/>
  <c r="N20" i="7" s="1"/>
  <c r="L21" i="7" a="1"/>
  <c r="L21" i="7" s="1"/>
  <c r="N21" i="7" s="1"/>
  <c r="L22" i="7" a="1"/>
  <c r="L22" i="7" s="1"/>
  <c r="N22" i="7" s="1"/>
  <c r="L23" i="7" a="1"/>
  <c r="L23" i="7" s="1"/>
  <c r="N23" i="7" s="1"/>
  <c r="L24" i="7" a="1"/>
  <c r="L24" i="7" s="1"/>
  <c r="N24" i="7" s="1"/>
  <c r="L25" i="7" a="1"/>
  <c r="L25" i="7" s="1"/>
  <c r="N25" i="7" s="1"/>
  <c r="L26" i="7" a="1"/>
  <c r="L26" i="7" s="1"/>
  <c r="N26" i="7" s="1"/>
  <c r="L27" i="7" a="1"/>
  <c r="L27" i="7" s="1"/>
  <c r="N27" i="7" s="1"/>
  <c r="L28" i="7" a="1"/>
  <c r="L28" i="7" s="1"/>
  <c r="N28" i="7" s="1"/>
  <c r="L29" i="7" a="1"/>
  <c r="L29" i="7" s="1"/>
  <c r="N29" i="7" s="1"/>
  <c r="L30" i="7" a="1"/>
  <c r="L30" i="7" s="1"/>
  <c r="L31" i="7" a="1"/>
  <c r="L31" i="7" s="1"/>
  <c r="N31" i="7" s="1"/>
  <c r="L32" i="7" a="1"/>
  <c r="L32" i="7" s="1"/>
  <c r="N32" i="7" s="1"/>
  <c r="U32" i="7" s="1"/>
  <c r="L33" i="7" a="1"/>
  <c r="L33" i="7" s="1"/>
  <c r="N33" i="7" s="1"/>
  <c r="L34" i="7" a="1"/>
  <c r="L34" i="7" s="1"/>
  <c r="N34" i="7" s="1"/>
  <c r="L35" i="7" a="1"/>
  <c r="L35" i="7" s="1"/>
  <c r="N35" i="7" s="1"/>
  <c r="L36" i="7" a="1"/>
  <c r="L36" i="7" s="1"/>
  <c r="N36" i="7" s="1"/>
  <c r="L37" i="7" a="1"/>
  <c r="L37" i="7" s="1"/>
  <c r="N37" i="7" s="1"/>
  <c r="L38" i="7" a="1"/>
  <c r="L38" i="7" s="1"/>
  <c r="N38" i="7" s="1"/>
  <c r="L39" i="7" a="1"/>
  <c r="L39" i="7" s="1"/>
  <c r="N39" i="7" s="1"/>
  <c r="L40" i="7" a="1"/>
  <c r="L40" i="7" s="1"/>
  <c r="L41" i="7" a="1"/>
  <c r="L41" i="7" s="1"/>
  <c r="N41" i="7" s="1"/>
  <c r="L42" i="7" a="1"/>
  <c r="L42" i="7" s="1"/>
  <c r="N42" i="7" s="1"/>
  <c r="L43" i="7" a="1"/>
  <c r="L43" i="7" s="1"/>
  <c r="N43" i="7" s="1"/>
  <c r="L44" i="7" a="1"/>
  <c r="L44" i="7" s="1"/>
  <c r="N44" i="7" s="1"/>
  <c r="L45" i="7" a="1"/>
  <c r="L45" i="7" s="1"/>
  <c r="N45" i="7" s="1"/>
  <c r="L46" i="7" a="1"/>
  <c r="L46" i="7" s="1"/>
  <c r="N46" i="7" s="1"/>
  <c r="L47" i="7" a="1"/>
  <c r="L47" i="7" s="1"/>
  <c r="N47" i="7" s="1"/>
  <c r="L48" i="7" a="1"/>
  <c r="L48" i="7"/>
  <c r="N48" i="7" s="1"/>
  <c r="L49" i="7" a="1"/>
  <c r="L49" i="7" s="1"/>
  <c r="N49" i="7" s="1"/>
  <c r="L50" i="7" a="1"/>
  <c r="L50" i="7" s="1"/>
  <c r="N50" i="7" s="1"/>
  <c r="L51" i="7" a="1"/>
  <c r="L51" i="7" s="1"/>
  <c r="N51" i="7" s="1"/>
  <c r="L52" i="7" a="1"/>
  <c r="L52" i="7" s="1"/>
  <c r="N52" i="7" s="1"/>
  <c r="L53" i="7" a="1"/>
  <c r="L53" i="7" s="1"/>
  <c r="N53" i="7" s="1"/>
  <c r="L54" i="7" a="1"/>
  <c r="L54" i="7" s="1"/>
  <c r="N54" i="7" s="1"/>
  <c r="L55" i="7" a="1"/>
  <c r="L55" i="7" s="1"/>
  <c r="N55" i="7" s="1"/>
  <c r="L56" i="7" a="1"/>
  <c r="L56" i="7" s="1"/>
  <c r="N56" i="7" s="1"/>
  <c r="L57" i="7" a="1"/>
  <c r="L57" i="7" s="1"/>
  <c r="L58" i="7" a="1"/>
  <c r="L58" i="7" s="1"/>
  <c r="N58" i="7" s="1"/>
  <c r="L59" i="7" a="1"/>
  <c r="L59" i="7" s="1"/>
  <c r="N59" i="7" s="1"/>
  <c r="L60" i="7" a="1"/>
  <c r="L60" i="7" s="1"/>
  <c r="N60" i="7" s="1"/>
  <c r="L61" i="7" a="1"/>
  <c r="L61" i="7" s="1"/>
  <c r="N61" i="7" s="1"/>
  <c r="L62" i="7" a="1"/>
  <c r="L62" i="7" s="1"/>
  <c r="N62" i="7" s="1"/>
  <c r="L63" i="7" a="1"/>
  <c r="L63" i="7" s="1"/>
  <c r="N63" i="7" s="1"/>
  <c r="L64" i="7" a="1"/>
  <c r="L64" i="7" s="1"/>
  <c r="N64" i="7" s="1"/>
  <c r="L65" i="7" a="1"/>
  <c r="L65" i="7" s="1"/>
  <c r="N65" i="7" s="1"/>
  <c r="L66" i="7" a="1"/>
  <c r="L66" i="7" s="1"/>
  <c r="N66" i="7" s="1"/>
  <c r="L67" i="7" a="1"/>
  <c r="L67" i="7" s="1"/>
  <c r="N67" i="7" s="1"/>
  <c r="L68" i="7" a="1"/>
  <c r="L68" i="7" s="1"/>
  <c r="N68" i="7" s="1"/>
  <c r="L69" i="7" a="1"/>
  <c r="L69" i="7" s="1"/>
  <c r="N69" i="7" s="1"/>
  <c r="L70" i="7" a="1"/>
  <c r="L70" i="7" s="1"/>
  <c r="N70" i="7" s="1"/>
  <c r="L71" i="7" a="1"/>
  <c r="L71" i="7"/>
  <c r="N71" i="7" s="1"/>
  <c r="U71" i="7" s="1"/>
  <c r="L72" i="7" a="1"/>
  <c r="L72" i="7"/>
  <c r="N72" i="7" s="1"/>
  <c r="L73" i="7" a="1"/>
  <c r="L73" i="7" s="1"/>
  <c r="N73" i="7" s="1"/>
  <c r="L74" i="7" a="1"/>
  <c r="L74" i="7" s="1"/>
  <c r="N74" i="7" s="1"/>
  <c r="L75" i="7" a="1"/>
  <c r="L75" i="7" s="1"/>
  <c r="N75" i="7" s="1"/>
  <c r="L76" i="7" a="1"/>
  <c r="L76" i="7" s="1"/>
  <c r="N76" i="7" s="1"/>
  <c r="L77" i="7" a="1"/>
  <c r="L77" i="7" s="1"/>
  <c r="L78" i="7" a="1"/>
  <c r="L78" i="7" s="1"/>
  <c r="N78" i="7" s="1"/>
  <c r="L79" i="7" a="1"/>
  <c r="L79" i="7" s="1"/>
  <c r="N79" i="7" s="1"/>
  <c r="L80" i="7" a="1"/>
  <c r="L80" i="7" s="1"/>
  <c r="N80" i="7" s="1"/>
  <c r="L81" i="7" a="1"/>
  <c r="L81" i="7"/>
  <c r="N81" i="7" s="1"/>
  <c r="L82" i="7" a="1"/>
  <c r="L82" i="7" s="1"/>
  <c r="N82" i="7" s="1"/>
  <c r="L83" i="7" a="1"/>
  <c r="L83" i="7" s="1"/>
  <c r="N83" i="7" s="1"/>
  <c r="L84" i="7" a="1"/>
  <c r="L84" i="7" s="1"/>
  <c r="N84" i="7" s="1"/>
  <c r="L85" i="7" a="1"/>
  <c r="L85" i="7" s="1"/>
  <c r="N85" i="7" s="1"/>
  <c r="L86" i="7" a="1"/>
  <c r="L86" i="7" s="1"/>
  <c r="N86" i="7" s="1"/>
  <c r="L87" i="7" a="1"/>
  <c r="L87" i="7" s="1"/>
  <c r="N87" i="7" s="1"/>
  <c r="L88" i="7" a="1"/>
  <c r="L88" i="7" s="1"/>
  <c r="N88" i="7" s="1"/>
  <c r="L89" i="7" a="1"/>
  <c r="L89" i="7"/>
  <c r="N89" i="7" s="1"/>
  <c r="L90" i="7" a="1"/>
  <c r="L90" i="7" s="1"/>
  <c r="N90" i="7" s="1"/>
  <c r="L91" i="7" a="1"/>
  <c r="L91" i="7" s="1"/>
  <c r="N91" i="7" s="1"/>
  <c r="L92" i="7" a="1"/>
  <c r="L92" i="7" s="1"/>
  <c r="N92" i="7" s="1"/>
  <c r="L93" i="7" a="1"/>
  <c r="L93" i="7" s="1"/>
  <c r="N93" i="7" s="1"/>
  <c r="L94" i="7" a="1"/>
  <c r="L94" i="7" s="1"/>
  <c r="N94" i="7" s="1"/>
  <c r="L95" i="7" a="1"/>
  <c r="L95" i="7" s="1"/>
  <c r="N95" i="7" s="1"/>
  <c r="L96" i="7" a="1"/>
  <c r="L96" i="7" s="1"/>
  <c r="N96" i="7" s="1"/>
  <c r="L97" i="7" a="1"/>
  <c r="L97" i="7" s="1"/>
  <c r="N97" i="7" s="1"/>
  <c r="L98" i="7" a="1"/>
  <c r="L98" i="7" s="1"/>
  <c r="N98" i="7" s="1"/>
  <c r="L99" i="7" a="1"/>
  <c r="L99" i="7" s="1"/>
  <c r="N99" i="7" s="1"/>
  <c r="L100" i="7" a="1"/>
  <c r="L100" i="7" s="1"/>
  <c r="N100" i="7" s="1"/>
  <c r="L101" i="7" a="1"/>
  <c r="L101" i="7" s="1"/>
  <c r="N101" i="7" s="1"/>
  <c r="L102" i="7" a="1"/>
  <c r="L102" i="7" s="1"/>
  <c r="N102" i="7" s="1"/>
  <c r="L103" i="7" a="1"/>
  <c r="L103" i="7" s="1"/>
  <c r="N103" i="7" s="1"/>
  <c r="L104" i="7" a="1"/>
  <c r="L104" i="7" s="1"/>
  <c r="N104" i="7" s="1"/>
  <c r="L105" i="7" a="1"/>
  <c r="L105" i="7" s="1"/>
  <c r="N105" i="7" s="1"/>
  <c r="L106" i="7" a="1"/>
  <c r="L106" i="7" s="1"/>
  <c r="N106" i="7" s="1"/>
  <c r="L107" i="7" a="1"/>
  <c r="L107" i="7" s="1"/>
  <c r="N107" i="7" s="1"/>
  <c r="L108" i="7" a="1"/>
  <c r="L108" i="7" s="1"/>
  <c r="N108" i="7" s="1"/>
  <c r="L109" i="7" a="1"/>
  <c r="L109" i="7" s="1"/>
  <c r="N109" i="7" s="1"/>
  <c r="L110" i="7" a="1"/>
  <c r="L110" i="7" s="1"/>
  <c r="N110" i="7" s="1"/>
  <c r="U110" i="7" s="1"/>
  <c r="L111" i="7" a="1"/>
  <c r="L111" i="7" s="1"/>
  <c r="N111" i="7" s="1"/>
  <c r="L112" i="7" a="1"/>
  <c r="L112" i="7" s="1"/>
  <c r="N112" i="7" s="1"/>
  <c r="L113" i="7" a="1"/>
  <c r="L113" i="7" s="1"/>
  <c r="N113" i="7" s="1"/>
  <c r="L114" i="7" a="1"/>
  <c r="L114" i="7" s="1"/>
  <c r="N114" i="7" s="1"/>
  <c r="L115" i="7" a="1"/>
  <c r="L115" i="7" s="1"/>
  <c r="N115" i="7" s="1"/>
  <c r="L116" i="7" a="1"/>
  <c r="L116" i="7" s="1"/>
  <c r="N116" i="7" s="1"/>
  <c r="L117" i="7" a="1"/>
  <c r="L117" i="7" s="1"/>
  <c r="N117" i="7" s="1"/>
  <c r="L118" i="7" a="1"/>
  <c r="L118" i="7" s="1"/>
  <c r="N118" i="7" s="1"/>
  <c r="L119" i="7" a="1"/>
  <c r="L119" i="7" s="1"/>
  <c r="N119" i="7" s="1"/>
  <c r="L120" i="7" a="1"/>
  <c r="L120" i="7" s="1"/>
  <c r="N120" i="7" s="1"/>
  <c r="L121" i="7" a="1"/>
  <c r="L121" i="7" s="1"/>
  <c r="N121" i="7" s="1"/>
  <c r="L122" i="7" a="1"/>
  <c r="L122" i="7"/>
  <c r="N122" i="7" s="1"/>
  <c r="L123" i="7" a="1"/>
  <c r="L123" i="7" s="1"/>
  <c r="N123" i="7" s="1"/>
  <c r="L124" i="7" a="1"/>
  <c r="L124" i="7" s="1"/>
  <c r="N124" i="7" s="1"/>
  <c r="L125" i="7" a="1"/>
  <c r="L125" i="7" s="1"/>
  <c r="N125" i="7" s="1"/>
  <c r="L126" i="7" a="1"/>
  <c r="L126" i="7" s="1"/>
  <c r="N126" i="7" s="1"/>
  <c r="L127" i="7" a="1"/>
  <c r="L127" i="7" s="1"/>
  <c r="N127" i="7" s="1"/>
  <c r="L128" i="7" a="1"/>
  <c r="L128" i="7" s="1"/>
  <c r="N128" i="7" s="1"/>
  <c r="L129" i="7" a="1"/>
  <c r="L129" i="7" s="1"/>
  <c r="N129" i="7" s="1"/>
  <c r="L130" i="7" a="1"/>
  <c r="L130" i="7" s="1"/>
  <c r="N130" i="7" s="1"/>
  <c r="L131" i="7" a="1"/>
  <c r="L131" i="7" s="1"/>
  <c r="N131" i="7" s="1"/>
  <c r="L132" i="7" a="1"/>
  <c r="L132" i="7" s="1"/>
  <c r="N132" i="7" s="1"/>
  <c r="L133" i="7" a="1"/>
  <c r="L133" i="7" s="1"/>
  <c r="N133" i="7" s="1"/>
  <c r="L134" i="7" a="1"/>
  <c r="L134" i="7" s="1"/>
  <c r="N134" i="7" s="1"/>
  <c r="L135" i="7" a="1"/>
  <c r="L135" i="7" s="1"/>
  <c r="N135" i="7" s="1"/>
  <c r="L136" i="7" a="1"/>
  <c r="L136" i="7" s="1"/>
  <c r="N136" i="7" s="1"/>
  <c r="L137" i="7" a="1"/>
  <c r="L137" i="7" s="1"/>
  <c r="N137" i="7" s="1"/>
  <c r="L138" i="7" a="1"/>
  <c r="L138" i="7" s="1"/>
  <c r="L139" i="7" a="1"/>
  <c r="L139" i="7" s="1"/>
  <c r="N139" i="7" s="1"/>
  <c r="L140" i="7" a="1"/>
  <c r="L140" i="7" s="1"/>
  <c r="N140" i="7" s="1"/>
  <c r="L141" i="7" a="1"/>
  <c r="L141" i="7" s="1"/>
  <c r="N141" i="7" s="1"/>
  <c r="L142" i="7" a="1"/>
  <c r="L142" i="7" s="1"/>
  <c r="N142" i="7" s="1"/>
  <c r="L143" i="7" a="1"/>
  <c r="L143" i="7" s="1"/>
  <c r="N143" i="7" s="1"/>
  <c r="L144" i="7" a="1"/>
  <c r="L144" i="7" s="1"/>
  <c r="N144" i="7" s="1"/>
  <c r="L145" i="7" a="1"/>
  <c r="L145" i="7" s="1"/>
  <c r="N145" i="7" s="1"/>
  <c r="L146" i="7" a="1"/>
  <c r="L146" i="7" s="1"/>
  <c r="N146" i="7" s="1"/>
  <c r="L147" i="7" a="1"/>
  <c r="L147" i="7" s="1"/>
  <c r="N147" i="7" s="1"/>
  <c r="L148" i="7" a="1"/>
  <c r="L148" i="7" s="1"/>
  <c r="N148" i="7" s="1"/>
  <c r="L149" i="7" a="1"/>
  <c r="L149" i="7"/>
  <c r="N149" i="7" s="1"/>
  <c r="L150" i="7" a="1"/>
  <c r="L150" i="7" s="1"/>
  <c r="N150" i="7" s="1"/>
  <c r="L151" i="7" a="1"/>
  <c r="L151" i="7" s="1"/>
  <c r="N151" i="7" s="1"/>
  <c r="L152" i="7" a="1"/>
  <c r="L152" i="7" s="1"/>
  <c r="N152" i="7" s="1"/>
  <c r="L153" i="7" a="1"/>
  <c r="L153" i="7" s="1"/>
  <c r="N153" i="7" s="1"/>
  <c r="L154" i="7" a="1"/>
  <c r="L154" i="7" s="1"/>
  <c r="N154" i="7" s="1"/>
  <c r="L155" i="7" a="1"/>
  <c r="L155" i="7" s="1"/>
  <c r="L156" i="7" a="1"/>
  <c r="L156" i="7"/>
  <c r="N156" i="7" s="1"/>
  <c r="L157" i="7" a="1"/>
  <c r="L157" i="7" s="1"/>
  <c r="N157" i="7" s="1"/>
  <c r="L158" i="7" a="1"/>
  <c r="L158" i="7" s="1"/>
  <c r="N158" i="7" s="1"/>
  <c r="L159" i="7" a="1"/>
  <c r="L159" i="7" s="1"/>
  <c r="N159" i="7" s="1"/>
  <c r="L160" i="7" a="1"/>
  <c r="L160" i="7"/>
  <c r="N160" i="7" s="1"/>
  <c r="L161" i="7" a="1"/>
  <c r="L161" i="7" s="1"/>
  <c r="N161" i="7" s="1"/>
  <c r="L162" i="7" a="1"/>
  <c r="L162" i="7" s="1"/>
  <c r="N162" i="7" s="1"/>
  <c r="L163" i="7" a="1"/>
  <c r="L163" i="7" s="1"/>
  <c r="N163" i="7" s="1"/>
  <c r="L164" i="7" a="1"/>
  <c r="L164" i="7" s="1"/>
  <c r="N164" i="7" s="1"/>
  <c r="L165" i="7" a="1"/>
  <c r="L165" i="7" s="1"/>
  <c r="N165" i="7" s="1"/>
  <c r="L166" i="7" a="1"/>
  <c r="L166" i="7" s="1"/>
  <c r="N166" i="7" s="1"/>
  <c r="L167" i="7" a="1"/>
  <c r="L167" i="7"/>
  <c r="N167" i="7" s="1"/>
  <c r="L168" i="7" a="1"/>
  <c r="L168" i="7" s="1"/>
  <c r="N168" i="7" s="1"/>
  <c r="L169" i="7" a="1"/>
  <c r="L169" i="7" s="1"/>
  <c r="N169" i="7" s="1"/>
  <c r="L170" i="7" a="1"/>
  <c r="L170" i="7" s="1"/>
  <c r="N170" i="7" s="1"/>
  <c r="L171" i="7" a="1"/>
  <c r="L171" i="7" s="1"/>
  <c r="N171" i="7" s="1"/>
  <c r="L172" i="7" a="1"/>
  <c r="L172" i="7" s="1"/>
  <c r="N172" i="7" s="1"/>
  <c r="L173" i="7" a="1"/>
  <c r="L173" i="7" s="1"/>
  <c r="N173" i="7" s="1"/>
  <c r="L174" i="7" a="1"/>
  <c r="L174" i="7" s="1"/>
  <c r="N174" i="7" s="1"/>
  <c r="L175" i="7" a="1"/>
  <c r="L175" i="7" s="1"/>
  <c r="N175" i="7" s="1"/>
  <c r="L176" i="7" a="1"/>
  <c r="L176" i="7" s="1"/>
  <c r="N176" i="7" s="1"/>
  <c r="L177" i="7" a="1"/>
  <c r="L177" i="7" s="1"/>
  <c r="N177" i="7" s="1"/>
  <c r="L178" i="7" a="1"/>
  <c r="L178" i="7" s="1"/>
  <c r="N178" i="7" s="1"/>
  <c r="L179" i="7" a="1"/>
  <c r="L179" i="7" s="1"/>
  <c r="N179" i="7" s="1"/>
  <c r="L180" i="7" a="1"/>
  <c r="L180" i="7" s="1"/>
  <c r="N180" i="7" s="1"/>
  <c r="L181" i="7" a="1"/>
  <c r="L181" i="7" s="1"/>
  <c r="N181" i="7" s="1"/>
  <c r="L182" i="7" a="1"/>
  <c r="L182" i="7" s="1"/>
  <c r="N182" i="7" s="1"/>
  <c r="L183" i="7" a="1"/>
  <c r="L183" i="7" s="1"/>
  <c r="N183" i="7" s="1"/>
  <c r="L184" i="7" a="1"/>
  <c r="L184" i="7" s="1"/>
  <c r="N184" i="7" s="1"/>
  <c r="L185" i="7" a="1"/>
  <c r="L185" i="7"/>
  <c r="N185" i="7" s="1"/>
  <c r="L186" i="7" a="1"/>
  <c r="L186" i="7" s="1"/>
  <c r="N186" i="7" s="1"/>
  <c r="L187" i="7" a="1"/>
  <c r="L187" i="7" s="1"/>
  <c r="N187" i="7" s="1"/>
  <c r="L188" i="7" a="1"/>
  <c r="L188" i="7" s="1"/>
  <c r="N188" i="7" s="1"/>
  <c r="L189" i="7" a="1"/>
  <c r="L189" i="7" s="1"/>
  <c r="N189" i="7" s="1"/>
  <c r="L190" i="7" a="1"/>
  <c r="L190" i="7" s="1"/>
  <c r="N190" i="7" s="1"/>
  <c r="L191" i="7" a="1"/>
  <c r="L191" i="7" s="1"/>
  <c r="N191" i="7" s="1"/>
  <c r="L192" i="7" a="1"/>
  <c r="L192" i="7" s="1"/>
  <c r="N192" i="7" s="1"/>
  <c r="L193" i="7" a="1"/>
  <c r="L193" i="7" s="1"/>
  <c r="N193" i="7" s="1"/>
  <c r="L194" i="7" a="1"/>
  <c r="L194" i="7" s="1"/>
  <c r="N194" i="7" s="1"/>
  <c r="L195" i="7" a="1"/>
  <c r="L195" i="7" s="1"/>
  <c r="N195" i="7" s="1"/>
  <c r="L196" i="7" a="1"/>
  <c r="L196" i="7" s="1"/>
  <c r="N196" i="7" s="1"/>
  <c r="L197" i="7" a="1"/>
  <c r="L197" i="7" s="1"/>
  <c r="N197" i="7" s="1"/>
  <c r="L198" i="7" a="1"/>
  <c r="L198" i="7" s="1"/>
  <c r="N198" i="7" s="1"/>
  <c r="L199" i="7" a="1"/>
  <c r="L199" i="7" s="1"/>
  <c r="N199" i="7" s="1"/>
  <c r="L200" i="7" a="1"/>
  <c r="L200" i="7" s="1"/>
  <c r="N200" i="7" s="1"/>
  <c r="L201" i="7" a="1"/>
  <c r="L201" i="7" s="1"/>
  <c r="N201" i="7" s="1"/>
  <c r="L202" i="7" a="1"/>
  <c r="L202" i="7" s="1"/>
  <c r="N202" i="7" s="1"/>
  <c r="L203" i="7" a="1"/>
  <c r="L203" i="7" s="1"/>
  <c r="N203" i="7" s="1"/>
  <c r="L204" i="7" a="1"/>
  <c r="L204" i="7" s="1"/>
  <c r="N204" i="7" s="1"/>
  <c r="L205" i="7" a="1"/>
  <c r="L205" i="7" s="1"/>
  <c r="N205" i="7" s="1"/>
  <c r="L206" i="7" a="1"/>
  <c r="L206" i="7" s="1"/>
  <c r="N206" i="7" s="1"/>
  <c r="L207" i="7" a="1"/>
  <c r="L207" i="7" s="1"/>
  <c r="N207" i="7" s="1"/>
  <c r="L208" i="7" a="1"/>
  <c r="L208" i="7" s="1"/>
  <c r="N208" i="7" s="1"/>
  <c r="L209" i="7" a="1"/>
  <c r="L209" i="7" s="1"/>
  <c r="N209" i="7" s="1"/>
  <c r="L210" i="7" a="1"/>
  <c r="L210" i="7" s="1"/>
  <c r="N210" i="7" s="1"/>
  <c r="L211" i="7" a="1"/>
  <c r="L211" i="7" s="1"/>
  <c r="N211" i="7" s="1"/>
  <c r="L212" i="7" a="1"/>
  <c r="L212" i="7" s="1"/>
  <c r="N212" i="7" s="1"/>
  <c r="L213" i="7" a="1"/>
  <c r="L213" i="7" s="1"/>
  <c r="N213" i="7" s="1"/>
  <c r="L214" i="7" a="1"/>
  <c r="L214" i="7" s="1"/>
  <c r="N214" i="7" s="1"/>
  <c r="L215" i="7" a="1"/>
  <c r="L215" i="7" s="1"/>
  <c r="N215" i="7" s="1"/>
  <c r="L216" i="7" a="1"/>
  <c r="L216" i="7" s="1"/>
  <c r="N216" i="7" s="1"/>
  <c r="L217" i="7" a="1"/>
  <c r="L217" i="7" s="1"/>
  <c r="N217" i="7" s="1"/>
  <c r="L218" i="7" a="1"/>
  <c r="L218" i="7" s="1"/>
  <c r="N218" i="7" s="1"/>
  <c r="L219" i="7" a="1"/>
  <c r="L219" i="7"/>
  <c r="N219" i="7" s="1"/>
  <c r="L220" i="7" a="1"/>
  <c r="L220" i="7" s="1"/>
  <c r="N220" i="7" s="1"/>
  <c r="L221" i="7" a="1"/>
  <c r="L221" i="7" s="1"/>
  <c r="N221" i="7" s="1"/>
  <c r="L222" i="7" a="1"/>
  <c r="L222" i="7" s="1"/>
  <c r="N222" i="7" s="1"/>
  <c r="L223" i="7" a="1"/>
  <c r="L223" i="7" s="1"/>
  <c r="N223" i="7" s="1"/>
  <c r="L224" i="7" a="1"/>
  <c r="L224" i="7" s="1"/>
  <c r="N224" i="7" s="1"/>
  <c r="L225" i="7" a="1"/>
  <c r="L225" i="7" s="1"/>
  <c r="N225" i="7" s="1"/>
  <c r="L226" i="7" a="1"/>
  <c r="L226" i="7" s="1"/>
  <c r="N226" i="7" s="1"/>
  <c r="L227" i="7" a="1"/>
  <c r="L227" i="7" s="1"/>
  <c r="N227" i="7" s="1"/>
  <c r="L228" i="7" a="1"/>
  <c r="L228" i="7" s="1"/>
  <c r="N228" i="7" s="1"/>
  <c r="L229" i="7" a="1"/>
  <c r="L229" i="7" s="1"/>
  <c r="N229" i="7" s="1"/>
  <c r="L230" i="7" a="1"/>
  <c r="L230" i="7" s="1"/>
  <c r="N230" i="7" s="1"/>
  <c r="L231" i="7" a="1"/>
  <c r="L231" i="7" s="1"/>
  <c r="N231" i="7" s="1"/>
  <c r="L232" i="7" a="1"/>
  <c r="L232" i="7" s="1"/>
  <c r="N232" i="7" s="1"/>
  <c r="L233" i="7" a="1"/>
  <c r="L233" i="7" s="1"/>
  <c r="N233" i="7" s="1"/>
  <c r="L234" i="7" a="1"/>
  <c r="L234" i="7" s="1"/>
  <c r="N234" i="7" s="1"/>
  <c r="L235" i="7" a="1"/>
  <c r="L235" i="7" s="1"/>
  <c r="N235" i="7" s="1"/>
  <c r="L236" i="7" a="1"/>
  <c r="L236" i="7" s="1"/>
  <c r="L237" i="7" a="1"/>
  <c r="L237" i="7" s="1"/>
  <c r="N237" i="7" s="1"/>
  <c r="L238" i="7" a="1"/>
  <c r="L238" i="7" s="1"/>
  <c r="N238" i="7" s="1"/>
  <c r="L239" i="7" a="1"/>
  <c r="L239" i="7" s="1"/>
  <c r="N239" i="7" s="1"/>
  <c r="U239" i="7" s="1"/>
  <c r="L240" i="7" a="1"/>
  <c r="L240" i="7" s="1"/>
  <c r="N240" i="7" s="1"/>
  <c r="L241" i="7" a="1"/>
  <c r="L241" i="7" s="1"/>
  <c r="N241" i="7" s="1"/>
  <c r="L242" i="7" a="1"/>
  <c r="L242" i="7" s="1"/>
  <c r="N242" i="7" s="1"/>
  <c r="L243" i="7" a="1"/>
  <c r="L243" i="7" s="1"/>
  <c r="N243" i="7" s="1"/>
  <c r="L244" i="7" a="1"/>
  <c r="L244" i="7" s="1"/>
  <c r="N244" i="7" s="1"/>
  <c r="L245" i="7" a="1"/>
  <c r="L245" i="7" s="1"/>
  <c r="N245" i="7" s="1"/>
  <c r="L246" i="7" a="1"/>
  <c r="L246" i="7" s="1"/>
  <c r="N246" i="7" s="1"/>
  <c r="L247" i="7" a="1"/>
  <c r="L247" i="7" s="1"/>
  <c r="N247" i="7" s="1"/>
  <c r="L248" i="7" a="1"/>
  <c r="L248" i="7" s="1"/>
  <c r="N248" i="7" s="1"/>
  <c r="L249" i="7" a="1"/>
  <c r="L249" i="7" s="1"/>
  <c r="N249" i="7" s="1"/>
  <c r="L250" i="7" a="1"/>
  <c r="L250" i="7" s="1"/>
  <c r="N250" i="7" s="1"/>
  <c r="L251" i="7" a="1"/>
  <c r="L251" i="7" s="1"/>
  <c r="N251" i="7" s="1"/>
  <c r="L252" i="7" a="1"/>
  <c r="L252" i="7" s="1"/>
  <c r="N252" i="7" s="1"/>
  <c r="L253" i="7" a="1"/>
  <c r="L253" i="7" s="1"/>
  <c r="L254" i="7" a="1"/>
  <c r="L254" i="7" s="1"/>
  <c r="N254" i="7" s="1"/>
  <c r="L255" i="7" a="1"/>
  <c r="L255" i="7" s="1"/>
  <c r="N255" i="7" s="1"/>
  <c r="L256" i="7" a="1"/>
  <c r="L256" i="7" s="1"/>
  <c r="N256" i="7" s="1"/>
  <c r="L257" i="7" a="1"/>
  <c r="L257" i="7" s="1"/>
  <c r="N257" i="7" s="1"/>
  <c r="L258" i="7" a="1"/>
  <c r="L258" i="7" s="1"/>
  <c r="N258" i="7" s="1"/>
  <c r="L259" i="7" a="1"/>
  <c r="L259" i="7" s="1"/>
  <c r="N259" i="7" s="1"/>
  <c r="L260" i="7" a="1"/>
  <c r="L260" i="7" s="1"/>
  <c r="N260" i="7" s="1"/>
  <c r="L261" i="7" a="1"/>
  <c r="L261" i="7" s="1"/>
  <c r="N261" i="7" s="1"/>
  <c r="U261" i="7" s="1"/>
  <c r="L262" i="7" a="1"/>
  <c r="L262" i="7" s="1"/>
  <c r="N262" i="7" s="1"/>
  <c r="L263" i="7" a="1"/>
  <c r="L263" i="7" s="1"/>
  <c r="N263" i="7" s="1"/>
  <c r="L264" i="7" a="1"/>
  <c r="L264" i="7" s="1"/>
  <c r="N264" i="7" s="1"/>
  <c r="L265" i="7" a="1"/>
  <c r="L265" i="7" s="1"/>
  <c r="N265" i="7" s="1"/>
  <c r="L266" i="7" a="1"/>
  <c r="L266" i="7" s="1"/>
  <c r="N266" i="7" s="1"/>
  <c r="L267" i="7" a="1"/>
  <c r="L267" i="7" s="1"/>
  <c r="N267" i="7" s="1"/>
  <c r="L268" i="7" a="1"/>
  <c r="L268" i="7" s="1"/>
  <c r="N268" i="7" s="1"/>
  <c r="L269" i="7" a="1"/>
  <c r="L269" i="7" s="1"/>
  <c r="N269" i="7" s="1"/>
  <c r="L270" i="7" a="1"/>
  <c r="L270" i="7" s="1"/>
  <c r="N270" i="7" s="1"/>
  <c r="L271" i="7" a="1"/>
  <c r="L271" i="7" s="1"/>
  <c r="N271" i="7" s="1"/>
  <c r="L272" i="7" a="1"/>
  <c r="L272" i="7" s="1"/>
  <c r="N272" i="7" s="1"/>
  <c r="L273" i="7" a="1"/>
  <c r="L273" i="7" s="1"/>
  <c r="N273" i="7" s="1"/>
  <c r="L274" i="7" a="1"/>
  <c r="L274" i="7" s="1"/>
  <c r="N274" i="7" s="1"/>
  <c r="L275" i="7" a="1"/>
  <c r="L275" i="7" s="1"/>
  <c r="N275" i="7" s="1"/>
  <c r="L276" i="7" a="1"/>
  <c r="L276" i="7" s="1"/>
  <c r="N276" i="7" s="1"/>
  <c r="L277" i="7" a="1"/>
  <c r="L277" i="7" s="1"/>
  <c r="N277" i="7" s="1"/>
  <c r="L278" i="7" a="1"/>
  <c r="L278" i="7" s="1"/>
  <c r="N278" i="7" s="1"/>
  <c r="L279" i="7" a="1"/>
  <c r="L279" i="7" s="1"/>
  <c r="N279" i="7" s="1"/>
  <c r="L280" i="7" a="1"/>
  <c r="L280" i="7" s="1"/>
  <c r="N280" i="7" s="1"/>
  <c r="L281" i="7" a="1"/>
  <c r="L281" i="7" s="1"/>
  <c r="N281" i="7" s="1"/>
  <c r="L282" i="7" a="1"/>
  <c r="L282" i="7" s="1"/>
  <c r="N282" i="7" s="1"/>
  <c r="L283" i="7" a="1"/>
  <c r="L283" i="7" s="1"/>
  <c r="N283" i="7" s="1"/>
  <c r="L284" i="7" a="1"/>
  <c r="L284" i="7" s="1"/>
  <c r="N284" i="7" s="1"/>
  <c r="L285" i="7" a="1"/>
  <c r="L285" i="7" s="1"/>
  <c r="N285" i="7" s="1"/>
  <c r="L286" i="7" a="1"/>
  <c r="L286" i="7"/>
  <c r="N286" i="7" s="1"/>
  <c r="L287" i="7" a="1"/>
  <c r="L287" i="7" s="1"/>
  <c r="N287" i="7" s="1"/>
  <c r="L288" i="7" a="1"/>
  <c r="L288" i="7" s="1"/>
  <c r="N288" i="7" s="1"/>
  <c r="L289" i="7" a="1"/>
  <c r="L289" i="7" s="1"/>
  <c r="L6" i="7" a="1"/>
  <c r="L6" i="7" s="1"/>
  <c r="N6" i="7" s="1"/>
  <c r="M7" i="7" a="1"/>
  <c r="M7" i="7" s="1"/>
  <c r="M8" i="7" a="1"/>
  <c r="M8" i="7" s="1"/>
  <c r="M9" i="7" a="1"/>
  <c r="M9" i="7" s="1"/>
  <c r="M10" i="7" a="1"/>
  <c r="M10" i="7" s="1"/>
  <c r="M11" i="7" a="1"/>
  <c r="M11" i="7" s="1"/>
  <c r="M12" i="7" a="1"/>
  <c r="M12" i="7" s="1"/>
  <c r="M13" i="7" a="1"/>
  <c r="M13" i="7" s="1"/>
  <c r="M14" i="7" a="1"/>
  <c r="M14" i="7" s="1"/>
  <c r="M15" i="7" a="1"/>
  <c r="M15" i="7"/>
  <c r="M16" i="7" a="1"/>
  <c r="M16" i="7" s="1"/>
  <c r="M17" i="7" a="1"/>
  <c r="M17" i="7" s="1"/>
  <c r="M18" i="7" a="1"/>
  <c r="M18" i="7" s="1"/>
  <c r="M19" i="7" a="1"/>
  <c r="M19" i="7" s="1"/>
  <c r="M20" i="7" a="1"/>
  <c r="M20" i="7" s="1"/>
  <c r="S20" i="7" s="1"/>
  <c r="M21" i="7" a="1"/>
  <c r="M21" i="7" s="1"/>
  <c r="M22" i="7" a="1"/>
  <c r="M22" i="7" s="1"/>
  <c r="M23" i="7" a="1"/>
  <c r="M23" i="7" s="1"/>
  <c r="M24" i="7" a="1"/>
  <c r="M24" i="7" s="1"/>
  <c r="M25" i="7" a="1"/>
  <c r="M25" i="7" s="1"/>
  <c r="M26" i="7" a="1"/>
  <c r="M26" i="7" s="1"/>
  <c r="M27" i="7" a="1"/>
  <c r="M27" i="7" s="1"/>
  <c r="M28" i="7" a="1"/>
  <c r="M28" i="7" s="1"/>
  <c r="M29" i="7" a="1"/>
  <c r="M29" i="7" s="1"/>
  <c r="M30" i="7" a="1"/>
  <c r="M30" i="7" s="1"/>
  <c r="M31" i="7" a="1"/>
  <c r="M31" i="7" s="1"/>
  <c r="M32" i="7" a="1"/>
  <c r="M32" i="7" s="1"/>
  <c r="M33" i="7" a="1"/>
  <c r="M33" i="7" s="1"/>
  <c r="M34" i="7" a="1"/>
  <c r="M34" i="7" s="1"/>
  <c r="M35" i="7" a="1"/>
  <c r="M35" i="7" s="1"/>
  <c r="S35" i="7" s="1"/>
  <c r="M36" i="7" a="1"/>
  <c r="M36" i="7" s="1"/>
  <c r="M37" i="7" a="1"/>
  <c r="M37" i="7" s="1"/>
  <c r="M38" i="7" a="1"/>
  <c r="M38" i="7" s="1"/>
  <c r="M39" i="7" a="1"/>
  <c r="M39" i="7" s="1"/>
  <c r="M40" i="7" a="1"/>
  <c r="M40" i="7" s="1"/>
  <c r="M41" i="7" a="1"/>
  <c r="M41" i="7" s="1"/>
  <c r="M42" i="7" a="1"/>
  <c r="M42" i="7" s="1"/>
  <c r="M43" i="7" a="1"/>
  <c r="M43" i="7" s="1"/>
  <c r="M44" i="7" a="1"/>
  <c r="M44" i="7" s="1"/>
  <c r="M45" i="7" a="1"/>
  <c r="M45" i="7" s="1"/>
  <c r="M46" i="7" a="1"/>
  <c r="M46" i="7" s="1"/>
  <c r="M47" i="7" a="1"/>
  <c r="M47" i="7" s="1"/>
  <c r="M48" i="7" a="1"/>
  <c r="M48" i="7" s="1"/>
  <c r="M49" i="7" a="1"/>
  <c r="M49" i="7" s="1"/>
  <c r="M50" i="7" a="1"/>
  <c r="M50" i="7" s="1"/>
  <c r="M51" i="7" a="1"/>
  <c r="M51" i="7" s="1"/>
  <c r="M52" i="7" a="1"/>
  <c r="M52" i="7" s="1"/>
  <c r="M53" i="7" a="1"/>
  <c r="M53" i="7" s="1"/>
  <c r="M54" i="7" a="1"/>
  <c r="M54" i="7" s="1"/>
  <c r="M55" i="7" a="1"/>
  <c r="M55" i="7" s="1"/>
  <c r="M56" i="7" a="1"/>
  <c r="M56" i="7" s="1"/>
  <c r="M57" i="7" a="1"/>
  <c r="M57" i="7" s="1"/>
  <c r="M58" i="7" a="1"/>
  <c r="M58" i="7" s="1"/>
  <c r="M59" i="7" a="1"/>
  <c r="M59" i="7" s="1"/>
  <c r="M60" i="7" a="1"/>
  <c r="M60" i="7" s="1"/>
  <c r="S60" i="7" s="1"/>
  <c r="M61" i="7" a="1"/>
  <c r="M61" i="7" s="1"/>
  <c r="M62" i="7" a="1"/>
  <c r="M62" i="7" s="1"/>
  <c r="M63" i="7" a="1"/>
  <c r="M63" i="7" s="1"/>
  <c r="M64" i="7" a="1"/>
  <c r="M64" i="7" s="1"/>
  <c r="M65" i="7" a="1"/>
  <c r="M65" i="7" s="1"/>
  <c r="M66" i="7" a="1"/>
  <c r="M66" i="7" s="1"/>
  <c r="M67" i="7" a="1"/>
  <c r="M67" i="7" s="1"/>
  <c r="M68" i="7" a="1"/>
  <c r="M68" i="7" s="1"/>
  <c r="M69" i="7" a="1"/>
  <c r="M69" i="7" s="1"/>
  <c r="M70" i="7" a="1"/>
  <c r="M70" i="7" s="1"/>
  <c r="M71" i="7" a="1"/>
  <c r="M71" i="7" s="1"/>
  <c r="M72" i="7" a="1"/>
  <c r="M72" i="7" s="1"/>
  <c r="M73" i="7" a="1"/>
  <c r="M73" i="7" s="1"/>
  <c r="M74" i="7" a="1"/>
  <c r="M74" i="7" s="1"/>
  <c r="M75" i="7" a="1"/>
  <c r="M75" i="7" s="1"/>
  <c r="M76" i="7" a="1"/>
  <c r="M76" i="7" s="1"/>
  <c r="M77" i="7" a="1"/>
  <c r="M77" i="7" s="1"/>
  <c r="M78" i="7" a="1"/>
  <c r="M78" i="7" s="1"/>
  <c r="M79" i="7" a="1"/>
  <c r="M79" i="7" s="1"/>
  <c r="M80" i="7" a="1"/>
  <c r="M80" i="7" s="1"/>
  <c r="M81" i="7" a="1"/>
  <c r="M81" i="7" s="1"/>
  <c r="M82" i="7" a="1"/>
  <c r="M82" i="7" s="1"/>
  <c r="M83" i="7" a="1"/>
  <c r="M83" i="7" s="1"/>
  <c r="M84" i="7" a="1"/>
  <c r="M84" i="7" s="1"/>
  <c r="M85" i="7" a="1"/>
  <c r="M85" i="7" s="1"/>
  <c r="M86" i="7" a="1"/>
  <c r="M86" i="7" s="1"/>
  <c r="M87" i="7" a="1"/>
  <c r="M87" i="7"/>
  <c r="M88" i="7" a="1"/>
  <c r="M88" i="7" s="1"/>
  <c r="M89" i="7" a="1"/>
  <c r="M89" i="7" s="1"/>
  <c r="M90" i="7" a="1"/>
  <c r="M90" i="7" s="1"/>
  <c r="M91" i="7" a="1"/>
  <c r="M91" i="7" s="1"/>
  <c r="M92" i="7" a="1"/>
  <c r="M92" i="7" s="1"/>
  <c r="M93" i="7" a="1"/>
  <c r="M93" i="7" s="1"/>
  <c r="M94" i="7" a="1"/>
  <c r="M94" i="7" s="1"/>
  <c r="M95" i="7" a="1"/>
  <c r="M95" i="7" s="1"/>
  <c r="M96" i="7" a="1"/>
  <c r="M96" i="7" s="1"/>
  <c r="M97" i="7" a="1"/>
  <c r="M97" i="7" s="1"/>
  <c r="M98" i="7" a="1"/>
  <c r="M98" i="7" s="1"/>
  <c r="M99" i="7" a="1"/>
  <c r="M99" i="7" s="1"/>
  <c r="M100" i="7" a="1"/>
  <c r="M100" i="7"/>
  <c r="M101" i="7" a="1"/>
  <c r="M101" i="7" s="1"/>
  <c r="M102" i="7" a="1"/>
  <c r="M102" i="7" s="1"/>
  <c r="M103" i="7" a="1"/>
  <c r="M103" i="7" s="1"/>
  <c r="M104" i="7" a="1"/>
  <c r="M104" i="7" s="1"/>
  <c r="M105" i="7" a="1"/>
  <c r="M105" i="7" s="1"/>
  <c r="M106" i="7" a="1"/>
  <c r="M106" i="7" s="1"/>
  <c r="M107" i="7" a="1"/>
  <c r="M107" i="7" s="1"/>
  <c r="M108" i="7" a="1"/>
  <c r="M108" i="7" s="1"/>
  <c r="M109" i="7" a="1"/>
  <c r="M109" i="7" s="1"/>
  <c r="M110" i="7" a="1"/>
  <c r="M110" i="7" s="1"/>
  <c r="M111" i="7" a="1"/>
  <c r="M111" i="7" s="1"/>
  <c r="M112" i="7" a="1"/>
  <c r="M112" i="7" s="1"/>
  <c r="M113" i="7" a="1"/>
  <c r="M113" i="7" s="1"/>
  <c r="M114" i="7" a="1"/>
  <c r="M114" i="7" s="1"/>
  <c r="M115" i="7" a="1"/>
  <c r="M115" i="7" s="1"/>
  <c r="M116" i="7" a="1"/>
  <c r="M116" i="7" s="1"/>
  <c r="M117" i="7" a="1"/>
  <c r="M117" i="7" s="1"/>
  <c r="M118" i="7" a="1"/>
  <c r="M118" i="7" s="1"/>
  <c r="M119" i="7" a="1"/>
  <c r="M119" i="7" s="1"/>
  <c r="M120" i="7" a="1"/>
  <c r="M120" i="7" s="1"/>
  <c r="M121" i="7" a="1"/>
  <c r="M121" i="7" s="1"/>
  <c r="M122" i="7" a="1"/>
  <c r="M122" i="7"/>
  <c r="M123" i="7" a="1"/>
  <c r="M123" i="7" s="1"/>
  <c r="M124" i="7" a="1"/>
  <c r="M124" i="7" s="1"/>
  <c r="M125" i="7" a="1"/>
  <c r="M125" i="7" s="1"/>
  <c r="M126" i="7" a="1"/>
  <c r="M126" i="7" s="1"/>
  <c r="M127" i="7" a="1"/>
  <c r="M127" i="7" s="1"/>
  <c r="M128" i="7" a="1"/>
  <c r="M128" i="7"/>
  <c r="M129" i="7" a="1"/>
  <c r="M129" i="7" s="1"/>
  <c r="M130" i="7" a="1"/>
  <c r="M130" i="7" s="1"/>
  <c r="M131" i="7" a="1"/>
  <c r="M131" i="7" s="1"/>
  <c r="M132" i="7" a="1"/>
  <c r="M132" i="7" s="1"/>
  <c r="M133" i="7" a="1"/>
  <c r="M133" i="7" s="1"/>
  <c r="M134" i="7" a="1"/>
  <c r="M134" i="7" s="1"/>
  <c r="M135" i="7" a="1"/>
  <c r="M135" i="7" s="1"/>
  <c r="M136" i="7" a="1"/>
  <c r="M136" i="7" s="1"/>
  <c r="M137" i="7" a="1"/>
  <c r="M137" i="7" s="1"/>
  <c r="M138" i="7" a="1"/>
  <c r="M138" i="7" s="1"/>
  <c r="M139" i="7" a="1"/>
  <c r="M139" i="7" s="1"/>
  <c r="M140" i="7" a="1"/>
  <c r="M140" i="7" s="1"/>
  <c r="M141" i="7" a="1"/>
  <c r="M141" i="7" s="1"/>
  <c r="M142" i="7" a="1"/>
  <c r="M142" i="7" s="1"/>
  <c r="M143" i="7" a="1"/>
  <c r="M143" i="7" s="1"/>
  <c r="M144" i="7" a="1"/>
  <c r="M144" i="7" s="1"/>
  <c r="M145" i="7" a="1"/>
  <c r="M145" i="7" s="1"/>
  <c r="M146" i="7" a="1"/>
  <c r="M146" i="7" s="1"/>
  <c r="M147" i="7" a="1"/>
  <c r="M147" i="7" s="1"/>
  <c r="M148" i="7" a="1"/>
  <c r="M148" i="7" s="1"/>
  <c r="M149" i="7" a="1"/>
  <c r="M149" i="7" s="1"/>
  <c r="M150" i="7" a="1"/>
  <c r="M150" i="7" s="1"/>
  <c r="M151" i="7" a="1"/>
  <c r="M151" i="7" s="1"/>
  <c r="M152" i="7" a="1"/>
  <c r="M152" i="7" s="1"/>
  <c r="M153" i="7" a="1"/>
  <c r="M153" i="7" s="1"/>
  <c r="M154" i="7" a="1"/>
  <c r="M154" i="7" s="1"/>
  <c r="M155" i="7" a="1"/>
  <c r="M155" i="7" s="1"/>
  <c r="M156" i="7" a="1"/>
  <c r="M156" i="7" s="1"/>
  <c r="M157" i="7" a="1"/>
  <c r="M157" i="7" s="1"/>
  <c r="M158" i="7" a="1"/>
  <c r="M158" i="7" s="1"/>
  <c r="M159" i="7" a="1"/>
  <c r="M159" i="7" s="1"/>
  <c r="M160" i="7" a="1"/>
  <c r="M160" i="7" s="1"/>
  <c r="M161" i="7" a="1"/>
  <c r="M161" i="7" s="1"/>
  <c r="M162" i="7" a="1"/>
  <c r="M162" i="7" s="1"/>
  <c r="M163" i="7" a="1"/>
  <c r="M163" i="7" s="1"/>
  <c r="M164" i="7" a="1"/>
  <c r="M164" i="7"/>
  <c r="M165" i="7" a="1"/>
  <c r="M165" i="7" s="1"/>
  <c r="M166" i="7" a="1"/>
  <c r="M166" i="7" s="1"/>
  <c r="M167" i="7" a="1"/>
  <c r="M167" i="7" s="1"/>
  <c r="M168" i="7" a="1"/>
  <c r="M168" i="7" s="1"/>
  <c r="M169" i="7" a="1"/>
  <c r="M169" i="7" s="1"/>
  <c r="M170" i="7" a="1"/>
  <c r="M170" i="7" s="1"/>
  <c r="M171" i="7" a="1"/>
  <c r="M171" i="7" s="1"/>
  <c r="M172" i="7" a="1"/>
  <c r="M172" i="7" s="1"/>
  <c r="M173" i="7" a="1"/>
  <c r="M173" i="7" s="1"/>
  <c r="M174" i="7" a="1"/>
  <c r="M174" i="7" s="1"/>
  <c r="M175" i="7" a="1"/>
  <c r="M175" i="7" s="1"/>
  <c r="M176" i="7" a="1"/>
  <c r="M176" i="7" s="1"/>
  <c r="M177" i="7" a="1"/>
  <c r="M177" i="7"/>
  <c r="M178" i="7" a="1"/>
  <c r="M178" i="7" s="1"/>
  <c r="M179" i="7" a="1"/>
  <c r="M179" i="7" s="1"/>
  <c r="M180" i="7" a="1"/>
  <c r="M180" i="7" s="1"/>
  <c r="M181" i="7" a="1"/>
  <c r="M181" i="7" s="1"/>
  <c r="M182" i="7" a="1"/>
  <c r="M182" i="7" s="1"/>
  <c r="M183" i="7" a="1"/>
  <c r="M183" i="7" s="1"/>
  <c r="M184" i="7" a="1"/>
  <c r="M184" i="7" s="1"/>
  <c r="M185" i="7" a="1"/>
  <c r="M185" i="7" s="1"/>
  <c r="M186" i="7" a="1"/>
  <c r="M186" i="7" s="1"/>
  <c r="M187" i="7" a="1"/>
  <c r="M187" i="7" s="1"/>
  <c r="M188" i="7" a="1"/>
  <c r="M188" i="7" s="1"/>
  <c r="M189" i="7" a="1"/>
  <c r="M189" i="7" s="1"/>
  <c r="M190" i="7" a="1"/>
  <c r="M190" i="7" s="1"/>
  <c r="M191" i="7" a="1"/>
  <c r="M191" i="7" s="1"/>
  <c r="M192" i="7" a="1"/>
  <c r="M192" i="7" s="1"/>
  <c r="M193" i="7" a="1"/>
  <c r="M193" i="7" s="1"/>
  <c r="M194" i="7" a="1"/>
  <c r="M194" i="7" s="1"/>
  <c r="M195" i="7" a="1"/>
  <c r="M195" i="7" s="1"/>
  <c r="M196" i="7" a="1"/>
  <c r="M196" i="7" s="1"/>
  <c r="M197" i="7" a="1"/>
  <c r="M197" i="7" s="1"/>
  <c r="M198" i="7" a="1"/>
  <c r="M198" i="7" s="1"/>
  <c r="M199" i="7" a="1"/>
  <c r="M199" i="7" s="1"/>
  <c r="M200" i="7" a="1"/>
  <c r="M200" i="7" s="1"/>
  <c r="M201" i="7" a="1"/>
  <c r="M201" i="7" s="1"/>
  <c r="M202" i="7" a="1"/>
  <c r="M202" i="7" s="1"/>
  <c r="M203" i="7" a="1"/>
  <c r="M203" i="7" s="1"/>
  <c r="M204" i="7" a="1"/>
  <c r="M204" i="7" s="1"/>
  <c r="M205" i="7" a="1"/>
  <c r="M205" i="7" s="1"/>
  <c r="M206" i="7" a="1"/>
  <c r="M206" i="7" s="1"/>
  <c r="M207" i="7" a="1"/>
  <c r="M207" i="7" s="1"/>
  <c r="M208" i="7" a="1"/>
  <c r="M208" i="7" s="1"/>
  <c r="M209" i="7" a="1"/>
  <c r="M209" i="7" s="1"/>
  <c r="M210" i="7" a="1"/>
  <c r="M210" i="7" s="1"/>
  <c r="M211" i="7" a="1"/>
  <c r="M211" i="7" s="1"/>
  <c r="M212" i="7" a="1"/>
  <c r="M212" i="7" s="1"/>
  <c r="M213" i="7" a="1"/>
  <c r="M213" i="7"/>
  <c r="M214" i="7" a="1"/>
  <c r="M214" i="7" s="1"/>
  <c r="M215" i="7" a="1"/>
  <c r="M215" i="7" s="1"/>
  <c r="M216" i="7" a="1"/>
  <c r="M216" i="7" s="1"/>
  <c r="M217" i="7" a="1"/>
  <c r="M217" i="7" s="1"/>
  <c r="M218" i="7" a="1"/>
  <c r="M218" i="7" s="1"/>
  <c r="M219" i="7" a="1"/>
  <c r="M219" i="7"/>
  <c r="M220" i="7" a="1"/>
  <c r="M220" i="7"/>
  <c r="M221" i="7" a="1"/>
  <c r="M221" i="7" s="1"/>
  <c r="M222" i="7" a="1"/>
  <c r="M222" i="7" s="1"/>
  <c r="M223" i="7" a="1"/>
  <c r="M223" i="7" s="1"/>
  <c r="M224" i="7" a="1"/>
  <c r="M224" i="7" s="1"/>
  <c r="M225" i="7" a="1"/>
  <c r="M225" i="7" s="1"/>
  <c r="M226" i="7" a="1"/>
  <c r="M226" i="7" s="1"/>
  <c r="M227" i="7" a="1"/>
  <c r="M227" i="7" s="1"/>
  <c r="M228" i="7" a="1"/>
  <c r="M228" i="7" s="1"/>
  <c r="M229" i="7" a="1"/>
  <c r="M229" i="7" s="1"/>
  <c r="M230" i="7" a="1"/>
  <c r="M230" i="7" s="1"/>
  <c r="M231" i="7" a="1"/>
  <c r="M231" i="7" s="1"/>
  <c r="M232" i="7" a="1"/>
  <c r="M232" i="7" s="1"/>
  <c r="M233" i="7" a="1"/>
  <c r="M233" i="7"/>
  <c r="M234" i="7" a="1"/>
  <c r="M234" i="7" s="1"/>
  <c r="M235" i="7" a="1"/>
  <c r="M235" i="7" s="1"/>
  <c r="M236" i="7" a="1"/>
  <c r="M236" i="7" s="1"/>
  <c r="M237" i="7" a="1"/>
  <c r="M237" i="7" s="1"/>
  <c r="M238" i="7" a="1"/>
  <c r="M238" i="7" s="1"/>
  <c r="M239" i="7" a="1"/>
  <c r="M239" i="7" s="1"/>
  <c r="M240" i="7" a="1"/>
  <c r="M240" i="7" s="1"/>
  <c r="M241" i="7" a="1"/>
  <c r="M241" i="7" s="1"/>
  <c r="M242" i="7" a="1"/>
  <c r="M242" i="7" s="1"/>
  <c r="M243" i="7" a="1"/>
  <c r="M243" i="7" s="1"/>
  <c r="M244" i="7" a="1"/>
  <c r="M244" i="7" s="1"/>
  <c r="M245" i="7" a="1"/>
  <c r="M245" i="7" s="1"/>
  <c r="M246" i="7" a="1"/>
  <c r="M246" i="7" s="1"/>
  <c r="M247" i="7" a="1"/>
  <c r="M247" i="7" s="1"/>
  <c r="M248" i="7" a="1"/>
  <c r="M248" i="7" s="1"/>
  <c r="M249" i="7" a="1"/>
  <c r="M249" i="7" s="1"/>
  <c r="M250" i="7" a="1"/>
  <c r="M250" i="7" s="1"/>
  <c r="M251" i="7" a="1"/>
  <c r="M251" i="7" s="1"/>
  <c r="M252" i="7" a="1"/>
  <c r="M252" i="7" s="1"/>
  <c r="M253" i="7" a="1"/>
  <c r="M253" i="7" s="1"/>
  <c r="M254" i="7" a="1"/>
  <c r="M254" i="7" s="1"/>
  <c r="M255" i="7" a="1"/>
  <c r="M255" i="7" s="1"/>
  <c r="M256" i="7" a="1"/>
  <c r="M256" i="7" s="1"/>
  <c r="M257" i="7" a="1"/>
  <c r="M257" i="7" s="1"/>
  <c r="M258" i="7" a="1"/>
  <c r="M258" i="7" s="1"/>
  <c r="M259" i="7" a="1"/>
  <c r="M259" i="7" s="1"/>
  <c r="M260" i="7" a="1"/>
  <c r="M260" i="7" s="1"/>
  <c r="M261" i="7" a="1"/>
  <c r="M261" i="7" s="1"/>
  <c r="M262" i="7" a="1"/>
  <c r="M262" i="7" s="1"/>
  <c r="S262" i="7" s="1"/>
  <c r="M263" i="7" a="1"/>
  <c r="M263" i="7" s="1"/>
  <c r="M264" i="7" a="1"/>
  <c r="M264" i="7" s="1"/>
  <c r="M265" i="7" a="1"/>
  <c r="M265" i="7" s="1"/>
  <c r="M266" i="7" a="1"/>
  <c r="M266" i="7" s="1"/>
  <c r="M267" i="7" a="1"/>
  <c r="M267" i="7" s="1"/>
  <c r="S267" i="7" s="1"/>
  <c r="M268" i="7" a="1"/>
  <c r="M268" i="7" s="1"/>
  <c r="M269" i="7" a="1"/>
  <c r="M269" i="7" s="1"/>
  <c r="M270" i="7" a="1"/>
  <c r="M270" i="7" s="1"/>
  <c r="M271" i="7" a="1"/>
  <c r="M271" i="7" s="1"/>
  <c r="M272" i="7" a="1"/>
  <c r="M272" i="7" s="1"/>
  <c r="M273" i="7" a="1"/>
  <c r="M273" i="7" s="1"/>
  <c r="M274" i="7" a="1"/>
  <c r="M274" i="7" s="1"/>
  <c r="M275" i="7" a="1"/>
  <c r="M275" i="7" s="1"/>
  <c r="S275" i="7" s="1"/>
  <c r="M276" i="7" a="1"/>
  <c r="M276" i="7" s="1"/>
  <c r="M277" i="7" a="1"/>
  <c r="M277" i="7" s="1"/>
  <c r="M278" i="7" a="1"/>
  <c r="M278" i="7" s="1"/>
  <c r="M279" i="7" a="1"/>
  <c r="M279" i="7" s="1"/>
  <c r="M280" i="7" a="1"/>
  <c r="M280" i="7" s="1"/>
  <c r="M281" i="7" a="1"/>
  <c r="M281" i="7" s="1"/>
  <c r="M282" i="7" a="1"/>
  <c r="M282" i="7" s="1"/>
  <c r="M283" i="7" a="1"/>
  <c r="M283" i="7" s="1"/>
  <c r="M284" i="7" a="1"/>
  <c r="M284" i="7" s="1"/>
  <c r="M285" i="7" a="1"/>
  <c r="M285" i="7" s="1"/>
  <c r="M286" i="7" a="1"/>
  <c r="M286" i="7" s="1"/>
  <c r="M287" i="7" a="1"/>
  <c r="M287" i="7" s="1"/>
  <c r="M288" i="7" a="1"/>
  <c r="M288" i="7" s="1"/>
  <c r="M289" i="7" a="1"/>
  <c r="M289" i="7" s="1"/>
  <c r="M6" i="7" a="1"/>
  <c r="M6" i="7" s="1"/>
  <c r="I34" i="7"/>
  <c r="N77" i="7"/>
  <c r="E7" i="7"/>
  <c r="F7" i="7"/>
  <c r="G7" i="7"/>
  <c r="H7" i="7"/>
  <c r="R7" i="7" s="1"/>
  <c r="I7" i="7"/>
  <c r="X7" i="7" s="1"/>
  <c r="E8" i="7"/>
  <c r="T8" i="7" s="1"/>
  <c r="F8" i="7"/>
  <c r="G8" i="7"/>
  <c r="H8" i="7"/>
  <c r="R8" i="7" s="1"/>
  <c r="I8" i="7"/>
  <c r="E9" i="7"/>
  <c r="F9" i="7"/>
  <c r="G9" i="7"/>
  <c r="H9" i="7"/>
  <c r="R9" i="7" s="1"/>
  <c r="I9" i="7"/>
  <c r="X9" i="7" s="1"/>
  <c r="E10" i="7"/>
  <c r="F10" i="7"/>
  <c r="G10" i="7"/>
  <c r="U10" i="7" s="1"/>
  <c r="H10" i="7"/>
  <c r="R10" i="7" s="1"/>
  <c r="I10" i="7"/>
  <c r="X10" i="7" s="1"/>
  <c r="E11" i="7"/>
  <c r="T11" i="7" s="1"/>
  <c r="F11" i="7"/>
  <c r="G11" i="7"/>
  <c r="H11" i="7"/>
  <c r="R11" i="7" s="1"/>
  <c r="I11" i="7"/>
  <c r="X11" i="7" s="1"/>
  <c r="E12" i="7"/>
  <c r="F12" i="7"/>
  <c r="G12" i="7"/>
  <c r="H12" i="7"/>
  <c r="R12" i="7" s="1"/>
  <c r="I12" i="7"/>
  <c r="E13" i="7"/>
  <c r="F13" i="7"/>
  <c r="S13" i="7" s="1"/>
  <c r="G13" i="7"/>
  <c r="H13" i="7"/>
  <c r="R13" i="7" s="1"/>
  <c r="I13" i="7"/>
  <c r="E14" i="7"/>
  <c r="F14" i="7"/>
  <c r="S14" i="7" s="1"/>
  <c r="G14" i="7"/>
  <c r="H14" i="7"/>
  <c r="R14" i="7" s="1"/>
  <c r="I14" i="7"/>
  <c r="E15" i="7"/>
  <c r="F15" i="7"/>
  <c r="G15" i="7"/>
  <c r="H15" i="7"/>
  <c r="R15" i="7" s="1"/>
  <c r="I15" i="7"/>
  <c r="E16" i="7"/>
  <c r="F16" i="7"/>
  <c r="G16" i="7"/>
  <c r="U16" i="7" s="1"/>
  <c r="H16" i="7"/>
  <c r="R16" i="7" s="1"/>
  <c r="I16" i="7"/>
  <c r="X16" i="7" s="1"/>
  <c r="E17" i="7"/>
  <c r="F17" i="7"/>
  <c r="G17" i="7"/>
  <c r="H17" i="7"/>
  <c r="R17" i="7" s="1"/>
  <c r="I17" i="7"/>
  <c r="E18" i="7"/>
  <c r="F18" i="7"/>
  <c r="G18" i="7"/>
  <c r="H18" i="7"/>
  <c r="R18" i="7" s="1"/>
  <c r="I18" i="7"/>
  <c r="X18" i="7" s="1"/>
  <c r="E19" i="7"/>
  <c r="F19" i="7"/>
  <c r="S19" i="7" s="1"/>
  <c r="G19" i="7"/>
  <c r="H19" i="7"/>
  <c r="R19" i="7" s="1"/>
  <c r="I19" i="7"/>
  <c r="X19" i="7" s="1"/>
  <c r="E20" i="7"/>
  <c r="F20" i="7"/>
  <c r="G20" i="7"/>
  <c r="H20" i="7"/>
  <c r="I20" i="7"/>
  <c r="E21" i="7"/>
  <c r="F21" i="7"/>
  <c r="G21" i="7"/>
  <c r="H21" i="7"/>
  <c r="R21" i="7" s="1"/>
  <c r="I21" i="7"/>
  <c r="X21" i="7" s="1"/>
  <c r="E22" i="7"/>
  <c r="T22" i="7" s="1"/>
  <c r="F22" i="7"/>
  <c r="G22" i="7"/>
  <c r="H22" i="7"/>
  <c r="R22" i="7" s="1"/>
  <c r="I22" i="7"/>
  <c r="X22" i="7" s="1"/>
  <c r="E23" i="7"/>
  <c r="T23" i="7" s="1"/>
  <c r="F23" i="7"/>
  <c r="G23" i="7"/>
  <c r="H23" i="7"/>
  <c r="R23" i="7" s="1"/>
  <c r="I23" i="7"/>
  <c r="X23" i="7" s="1"/>
  <c r="E24" i="7"/>
  <c r="F24" i="7"/>
  <c r="S24" i="7" s="1"/>
  <c r="G24" i="7"/>
  <c r="U24" i="7" s="1"/>
  <c r="H24" i="7"/>
  <c r="R24" i="7" s="1"/>
  <c r="AD24" i="7" s="1"/>
  <c r="AE24" i="7" s="1"/>
  <c r="I24" i="7"/>
  <c r="X24" i="7" s="1"/>
  <c r="E25" i="7"/>
  <c r="T25" i="7" s="1"/>
  <c r="F25" i="7"/>
  <c r="S25" i="7" s="1"/>
  <c r="G25" i="7"/>
  <c r="H25" i="7"/>
  <c r="R25" i="7" s="1"/>
  <c r="I25" i="7"/>
  <c r="X25" i="7" s="1"/>
  <c r="E26" i="7"/>
  <c r="F26" i="7"/>
  <c r="G26" i="7"/>
  <c r="H26" i="7"/>
  <c r="R26" i="7" s="1"/>
  <c r="I26" i="7"/>
  <c r="X26" i="7" s="1"/>
  <c r="E27" i="7"/>
  <c r="F27" i="7"/>
  <c r="G27" i="7"/>
  <c r="H27" i="7"/>
  <c r="R27" i="7" s="1"/>
  <c r="I27" i="7"/>
  <c r="E28" i="7"/>
  <c r="F28" i="7"/>
  <c r="G28" i="7"/>
  <c r="H28" i="7"/>
  <c r="R28" i="7" s="1"/>
  <c r="I28" i="7"/>
  <c r="E29" i="7"/>
  <c r="F29" i="7"/>
  <c r="G29" i="7"/>
  <c r="H29" i="7"/>
  <c r="R29" i="7" s="1"/>
  <c r="I29" i="7"/>
  <c r="E30" i="7"/>
  <c r="F30" i="7"/>
  <c r="G30" i="7"/>
  <c r="H30" i="7"/>
  <c r="R30" i="7" s="1"/>
  <c r="I30" i="7"/>
  <c r="X30" i="7" s="1"/>
  <c r="E31" i="7"/>
  <c r="F31" i="7"/>
  <c r="G31" i="7"/>
  <c r="H31" i="7"/>
  <c r="R31" i="7" s="1"/>
  <c r="I31" i="7"/>
  <c r="E32" i="7"/>
  <c r="F32" i="7"/>
  <c r="G32" i="7"/>
  <c r="H32" i="7"/>
  <c r="R32" i="7" s="1"/>
  <c r="I32" i="7"/>
  <c r="X32" i="7" s="1"/>
  <c r="E33" i="7"/>
  <c r="F33" i="7"/>
  <c r="S33" i="7" s="1"/>
  <c r="G33" i="7"/>
  <c r="H33" i="7"/>
  <c r="R33" i="7" s="1"/>
  <c r="I33" i="7"/>
  <c r="X33" i="7" s="1"/>
  <c r="E34" i="7"/>
  <c r="F34" i="7"/>
  <c r="G34" i="7"/>
  <c r="H34" i="7"/>
  <c r="R34" i="7" s="1"/>
  <c r="E35" i="7"/>
  <c r="F35" i="7"/>
  <c r="G35" i="7"/>
  <c r="H35" i="7"/>
  <c r="R35" i="7" s="1"/>
  <c r="I35" i="7"/>
  <c r="E36" i="7"/>
  <c r="F36" i="7"/>
  <c r="G36" i="7"/>
  <c r="H36" i="7"/>
  <c r="R36" i="7" s="1"/>
  <c r="I36" i="7"/>
  <c r="X36" i="7" s="1"/>
  <c r="E37" i="7"/>
  <c r="F37" i="7"/>
  <c r="G37" i="7"/>
  <c r="H37" i="7"/>
  <c r="R37" i="7" s="1"/>
  <c r="I37" i="7"/>
  <c r="X37" i="7" s="1"/>
  <c r="E38" i="7"/>
  <c r="F38" i="7"/>
  <c r="G38" i="7"/>
  <c r="H38" i="7"/>
  <c r="R38" i="7" s="1"/>
  <c r="I38" i="7"/>
  <c r="X38" i="7" s="1"/>
  <c r="E39" i="7"/>
  <c r="F39" i="7"/>
  <c r="S39" i="7" s="1"/>
  <c r="G39" i="7"/>
  <c r="H39" i="7"/>
  <c r="R39" i="7" s="1"/>
  <c r="I39" i="7"/>
  <c r="X39" i="7" s="1"/>
  <c r="E40" i="7"/>
  <c r="F40" i="7"/>
  <c r="G40" i="7"/>
  <c r="H40" i="7"/>
  <c r="R40" i="7" s="1"/>
  <c r="I40" i="7"/>
  <c r="E41" i="7"/>
  <c r="F41" i="7"/>
  <c r="G41" i="7"/>
  <c r="H41" i="7"/>
  <c r="R41" i="7" s="1"/>
  <c r="I41" i="7"/>
  <c r="E42" i="7"/>
  <c r="T42" i="7" s="1"/>
  <c r="F42" i="7"/>
  <c r="S42" i="7" s="1"/>
  <c r="G42" i="7"/>
  <c r="H42" i="7"/>
  <c r="R42" i="7" s="1"/>
  <c r="I42" i="7"/>
  <c r="E43" i="7"/>
  <c r="F43" i="7"/>
  <c r="G43" i="7"/>
  <c r="H43" i="7"/>
  <c r="R43" i="7" s="1"/>
  <c r="I43" i="7"/>
  <c r="E44" i="7"/>
  <c r="F44" i="7"/>
  <c r="G44" i="7"/>
  <c r="U44" i="7" s="1"/>
  <c r="H44" i="7"/>
  <c r="R44" i="7" s="1"/>
  <c r="I44" i="7"/>
  <c r="X44" i="7" s="1"/>
  <c r="E45" i="7"/>
  <c r="F45" i="7"/>
  <c r="G45" i="7"/>
  <c r="H45" i="7"/>
  <c r="R45" i="7" s="1"/>
  <c r="I45" i="7"/>
  <c r="E46" i="7"/>
  <c r="F46" i="7"/>
  <c r="G46" i="7"/>
  <c r="H46" i="7"/>
  <c r="R46" i="7" s="1"/>
  <c r="I46" i="7"/>
  <c r="X46" i="7" s="1"/>
  <c r="E47" i="7"/>
  <c r="F47" i="7"/>
  <c r="G47" i="7"/>
  <c r="H47" i="7"/>
  <c r="R47" i="7" s="1"/>
  <c r="I47" i="7"/>
  <c r="E48" i="7"/>
  <c r="F48" i="7"/>
  <c r="G48" i="7"/>
  <c r="H48" i="7"/>
  <c r="R48" i="7" s="1"/>
  <c r="I48" i="7"/>
  <c r="E49" i="7"/>
  <c r="F49" i="7"/>
  <c r="G49" i="7"/>
  <c r="H49" i="7"/>
  <c r="R49" i="7" s="1"/>
  <c r="I49" i="7"/>
  <c r="E50" i="7"/>
  <c r="T50" i="7" s="1"/>
  <c r="F50" i="7"/>
  <c r="S50" i="7" s="1"/>
  <c r="G50" i="7"/>
  <c r="U50" i="7" s="1"/>
  <c r="H50" i="7"/>
  <c r="R50" i="7" s="1"/>
  <c r="AD50" i="7" s="1"/>
  <c r="AE50" i="7" s="1"/>
  <c r="I50" i="7"/>
  <c r="X50" i="7" s="1"/>
  <c r="E51" i="7"/>
  <c r="T51" i="7" s="1"/>
  <c r="F51" i="7"/>
  <c r="G51" i="7"/>
  <c r="U51" i="7" s="1"/>
  <c r="H51" i="7"/>
  <c r="R51" i="7" s="1"/>
  <c r="I51" i="7"/>
  <c r="X51" i="7" s="1"/>
  <c r="E52" i="7"/>
  <c r="F52" i="7"/>
  <c r="G52" i="7"/>
  <c r="H52" i="7"/>
  <c r="R52" i="7" s="1"/>
  <c r="I52" i="7"/>
  <c r="X52" i="7" s="1"/>
  <c r="E53" i="7"/>
  <c r="T53" i="7" s="1"/>
  <c r="F53" i="7"/>
  <c r="G53" i="7"/>
  <c r="H53" i="7"/>
  <c r="R53" i="7" s="1"/>
  <c r="I53" i="7"/>
  <c r="X53" i="7" s="1"/>
  <c r="E54" i="7"/>
  <c r="F54" i="7"/>
  <c r="G54" i="7"/>
  <c r="H54" i="7"/>
  <c r="R54" i="7" s="1"/>
  <c r="I54" i="7"/>
  <c r="E55" i="7"/>
  <c r="F55" i="7"/>
  <c r="G55" i="7"/>
  <c r="H55" i="7"/>
  <c r="R55" i="7" s="1"/>
  <c r="I55" i="7"/>
  <c r="E56" i="7"/>
  <c r="T56" i="7" s="1"/>
  <c r="F56" i="7"/>
  <c r="G56" i="7"/>
  <c r="H56" i="7"/>
  <c r="R56" i="7" s="1"/>
  <c r="I56" i="7"/>
  <c r="E57" i="7"/>
  <c r="F57" i="7"/>
  <c r="G57" i="7"/>
  <c r="H57" i="7"/>
  <c r="R57" i="7" s="1"/>
  <c r="I57" i="7"/>
  <c r="E58" i="7"/>
  <c r="F58" i="7"/>
  <c r="G58" i="7"/>
  <c r="U58" i="7" s="1"/>
  <c r="H58" i="7"/>
  <c r="R58" i="7" s="1"/>
  <c r="I58" i="7"/>
  <c r="X58" i="7" s="1"/>
  <c r="E59" i="7"/>
  <c r="F59" i="7"/>
  <c r="G59" i="7"/>
  <c r="H59" i="7"/>
  <c r="R59" i="7" s="1"/>
  <c r="I59" i="7"/>
  <c r="E60" i="7"/>
  <c r="F60" i="7"/>
  <c r="G60" i="7"/>
  <c r="H60" i="7"/>
  <c r="R60" i="7" s="1"/>
  <c r="I60" i="7"/>
  <c r="X60" i="7" s="1"/>
  <c r="E61" i="7"/>
  <c r="F61" i="7"/>
  <c r="G61" i="7"/>
  <c r="H61" i="7"/>
  <c r="R61" i="7" s="1"/>
  <c r="I61" i="7"/>
  <c r="X61" i="7" s="1"/>
  <c r="E62" i="7"/>
  <c r="F62" i="7"/>
  <c r="G62" i="7"/>
  <c r="H62" i="7"/>
  <c r="R62" i="7" s="1"/>
  <c r="I62" i="7"/>
  <c r="E63" i="7"/>
  <c r="F63" i="7"/>
  <c r="G63" i="7"/>
  <c r="H63" i="7"/>
  <c r="R63" i="7" s="1"/>
  <c r="I63" i="7"/>
  <c r="E64" i="7"/>
  <c r="T64" i="7" s="1"/>
  <c r="F64" i="7"/>
  <c r="S64" i="7" s="1"/>
  <c r="G64" i="7"/>
  <c r="H64" i="7"/>
  <c r="R64" i="7" s="1"/>
  <c r="I64" i="7"/>
  <c r="X64" i="7" s="1"/>
  <c r="E65" i="7"/>
  <c r="F65" i="7"/>
  <c r="G65" i="7"/>
  <c r="H65" i="7"/>
  <c r="R65" i="7" s="1"/>
  <c r="I65" i="7"/>
  <c r="X65" i="7" s="1"/>
  <c r="E66" i="7"/>
  <c r="F66" i="7"/>
  <c r="G66" i="7"/>
  <c r="H66" i="7"/>
  <c r="R66" i="7" s="1"/>
  <c r="I66" i="7"/>
  <c r="X66" i="7" s="1"/>
  <c r="E67" i="7"/>
  <c r="T67" i="7" s="1"/>
  <c r="F67" i="7"/>
  <c r="G67" i="7"/>
  <c r="U67" i="7" s="1"/>
  <c r="H67" i="7"/>
  <c r="R67" i="7" s="1"/>
  <c r="I67" i="7"/>
  <c r="X67" i="7" s="1"/>
  <c r="E68" i="7"/>
  <c r="F68" i="7"/>
  <c r="G68" i="7"/>
  <c r="H68" i="7"/>
  <c r="R68" i="7" s="1"/>
  <c r="I68" i="7"/>
  <c r="E69" i="7"/>
  <c r="F69" i="7"/>
  <c r="G69" i="7"/>
  <c r="H69" i="7"/>
  <c r="R69" i="7" s="1"/>
  <c r="I69" i="7"/>
  <c r="X69" i="7" s="1"/>
  <c r="E70" i="7"/>
  <c r="T70" i="7" s="1"/>
  <c r="F70" i="7"/>
  <c r="S70" i="7" s="1"/>
  <c r="G70" i="7"/>
  <c r="H70" i="7"/>
  <c r="R70" i="7" s="1"/>
  <c r="I70" i="7"/>
  <c r="E71" i="7"/>
  <c r="F71" i="7"/>
  <c r="G71" i="7"/>
  <c r="H71" i="7"/>
  <c r="R71" i="7" s="1"/>
  <c r="I71" i="7"/>
  <c r="E72" i="7"/>
  <c r="F72" i="7"/>
  <c r="G72" i="7"/>
  <c r="H72" i="7"/>
  <c r="R72" i="7" s="1"/>
  <c r="I72" i="7"/>
  <c r="X72" i="7" s="1"/>
  <c r="E73" i="7"/>
  <c r="F73" i="7"/>
  <c r="G73" i="7"/>
  <c r="H73" i="7"/>
  <c r="R73" i="7" s="1"/>
  <c r="I73" i="7"/>
  <c r="E74" i="7"/>
  <c r="F74" i="7"/>
  <c r="G74" i="7"/>
  <c r="H74" i="7"/>
  <c r="R74" i="7" s="1"/>
  <c r="I74" i="7"/>
  <c r="E75" i="7"/>
  <c r="F75" i="7"/>
  <c r="G75" i="7"/>
  <c r="U75" i="7" s="1"/>
  <c r="H75" i="7"/>
  <c r="R75" i="7" s="1"/>
  <c r="I75" i="7"/>
  <c r="X75" i="7" s="1"/>
  <c r="E76" i="7"/>
  <c r="F76" i="7"/>
  <c r="G76" i="7"/>
  <c r="H76" i="7"/>
  <c r="R76" i="7" s="1"/>
  <c r="I76" i="7"/>
  <c r="E77" i="7"/>
  <c r="F77" i="7"/>
  <c r="G77" i="7"/>
  <c r="H77" i="7"/>
  <c r="R77" i="7" s="1"/>
  <c r="I77" i="7"/>
  <c r="E78" i="7"/>
  <c r="T78" i="7" s="1"/>
  <c r="F78" i="7"/>
  <c r="G78" i="7"/>
  <c r="U78" i="7" s="1"/>
  <c r="H78" i="7"/>
  <c r="R78" i="7" s="1"/>
  <c r="I78" i="7"/>
  <c r="X78" i="7" s="1"/>
  <c r="E79" i="7"/>
  <c r="F79" i="7"/>
  <c r="G79" i="7"/>
  <c r="H79" i="7"/>
  <c r="R79" i="7" s="1"/>
  <c r="I79" i="7"/>
  <c r="X79" i="7" s="1"/>
  <c r="E80" i="7"/>
  <c r="F80" i="7"/>
  <c r="G80" i="7"/>
  <c r="H80" i="7"/>
  <c r="R80" i="7" s="1"/>
  <c r="I80" i="7"/>
  <c r="X80" i="7" s="1"/>
  <c r="E81" i="7"/>
  <c r="T81" i="7" s="1"/>
  <c r="F81" i="7"/>
  <c r="G81" i="7"/>
  <c r="U81" i="7" s="1"/>
  <c r="H81" i="7"/>
  <c r="R81" i="7" s="1"/>
  <c r="I81" i="7"/>
  <c r="X81" i="7" s="1"/>
  <c r="E82" i="7"/>
  <c r="F82" i="7"/>
  <c r="G82" i="7"/>
  <c r="H82" i="7"/>
  <c r="R82" i="7" s="1"/>
  <c r="I82" i="7"/>
  <c r="X82" i="7" s="1"/>
  <c r="E83" i="7"/>
  <c r="F83" i="7"/>
  <c r="G83" i="7"/>
  <c r="H83" i="7"/>
  <c r="R83" i="7" s="1"/>
  <c r="I83" i="7"/>
  <c r="X83" i="7" s="1"/>
  <c r="E84" i="7"/>
  <c r="F84" i="7"/>
  <c r="G84" i="7"/>
  <c r="U84" i="7" s="1"/>
  <c r="H84" i="7"/>
  <c r="R84" i="7" s="1"/>
  <c r="I84" i="7"/>
  <c r="E85" i="7"/>
  <c r="F85" i="7"/>
  <c r="G85" i="7"/>
  <c r="H85" i="7"/>
  <c r="R85" i="7" s="1"/>
  <c r="I85" i="7"/>
  <c r="E86" i="7"/>
  <c r="F86" i="7"/>
  <c r="G86" i="7"/>
  <c r="H86" i="7"/>
  <c r="R86" i="7" s="1"/>
  <c r="I86" i="7"/>
  <c r="X86" i="7" s="1"/>
  <c r="E87" i="7"/>
  <c r="F87" i="7"/>
  <c r="G87" i="7"/>
  <c r="H87" i="7"/>
  <c r="R87" i="7" s="1"/>
  <c r="I87" i="7"/>
  <c r="E88" i="7"/>
  <c r="F88" i="7"/>
  <c r="G88" i="7"/>
  <c r="H88" i="7"/>
  <c r="R88" i="7" s="1"/>
  <c r="I88" i="7"/>
  <c r="E89" i="7"/>
  <c r="F89" i="7"/>
  <c r="G89" i="7"/>
  <c r="U89" i="7" s="1"/>
  <c r="H89" i="7"/>
  <c r="R89" i="7" s="1"/>
  <c r="I89" i="7"/>
  <c r="X89" i="7" s="1"/>
  <c r="E90" i="7"/>
  <c r="F90" i="7"/>
  <c r="G90" i="7"/>
  <c r="H90" i="7"/>
  <c r="R90" i="7" s="1"/>
  <c r="I90" i="7"/>
  <c r="E91" i="7"/>
  <c r="F91" i="7"/>
  <c r="G91" i="7"/>
  <c r="H91" i="7"/>
  <c r="R91" i="7" s="1"/>
  <c r="I91" i="7"/>
  <c r="E92" i="7"/>
  <c r="T92" i="7" s="1"/>
  <c r="F92" i="7"/>
  <c r="G92" i="7"/>
  <c r="U92" i="7" s="1"/>
  <c r="H92" i="7"/>
  <c r="R92" i="7" s="1"/>
  <c r="I92" i="7"/>
  <c r="X92" i="7" s="1"/>
  <c r="E93" i="7"/>
  <c r="F93" i="7"/>
  <c r="G93" i="7"/>
  <c r="H93" i="7"/>
  <c r="R93" i="7" s="1"/>
  <c r="I93" i="7"/>
  <c r="X93" i="7" s="1"/>
  <c r="E94" i="7"/>
  <c r="F94" i="7"/>
  <c r="S94" i="7" s="1"/>
  <c r="G94" i="7"/>
  <c r="H94" i="7"/>
  <c r="R94" i="7" s="1"/>
  <c r="I94" i="7"/>
  <c r="X94" i="7" s="1"/>
  <c r="E95" i="7"/>
  <c r="T95" i="7" s="1"/>
  <c r="F95" i="7"/>
  <c r="S95" i="7" s="1"/>
  <c r="G95" i="7"/>
  <c r="U95" i="7" s="1"/>
  <c r="H95" i="7"/>
  <c r="R95" i="7" s="1"/>
  <c r="AD95" i="7" s="1"/>
  <c r="AE95" i="7" s="1"/>
  <c r="I95" i="7"/>
  <c r="E96" i="7"/>
  <c r="F96" i="7"/>
  <c r="G96" i="7"/>
  <c r="H96" i="7"/>
  <c r="R96" i="7" s="1"/>
  <c r="I96" i="7"/>
  <c r="X96" i="7" s="1"/>
  <c r="E97" i="7"/>
  <c r="F97" i="7"/>
  <c r="G97" i="7"/>
  <c r="H97" i="7"/>
  <c r="R97" i="7" s="1"/>
  <c r="I97" i="7"/>
  <c r="X97" i="7" s="1"/>
  <c r="E98" i="7"/>
  <c r="F98" i="7"/>
  <c r="G98" i="7"/>
  <c r="H98" i="7"/>
  <c r="R98" i="7" s="1"/>
  <c r="I98" i="7"/>
  <c r="E99" i="7"/>
  <c r="F99" i="7"/>
  <c r="G99" i="7"/>
  <c r="H99" i="7"/>
  <c r="R99" i="7" s="1"/>
  <c r="I99" i="7"/>
  <c r="E100" i="7"/>
  <c r="F100" i="7"/>
  <c r="G100" i="7"/>
  <c r="H100" i="7"/>
  <c r="R100" i="7" s="1"/>
  <c r="I100" i="7"/>
  <c r="X100" i="7" s="1"/>
  <c r="E101" i="7"/>
  <c r="F101" i="7"/>
  <c r="G101" i="7"/>
  <c r="H101" i="7"/>
  <c r="R101" i="7" s="1"/>
  <c r="I101" i="7"/>
  <c r="E102" i="7"/>
  <c r="F102" i="7"/>
  <c r="G102" i="7"/>
  <c r="H102" i="7"/>
  <c r="R102" i="7" s="1"/>
  <c r="I102" i="7"/>
  <c r="E103" i="7"/>
  <c r="F103" i="7"/>
  <c r="G103" i="7"/>
  <c r="U103" i="7" s="1"/>
  <c r="H103" i="7"/>
  <c r="R103" i="7" s="1"/>
  <c r="I103" i="7"/>
  <c r="X103" i="7" s="1"/>
  <c r="E104" i="7"/>
  <c r="F104" i="7"/>
  <c r="G104" i="7"/>
  <c r="H104" i="7"/>
  <c r="R104" i="7" s="1"/>
  <c r="I104" i="7"/>
  <c r="E105" i="7"/>
  <c r="F105" i="7"/>
  <c r="G105" i="7"/>
  <c r="H105" i="7"/>
  <c r="R105" i="7" s="1"/>
  <c r="I105" i="7"/>
  <c r="E106" i="7"/>
  <c r="T106" i="7" s="1"/>
  <c r="F106" i="7"/>
  <c r="S106" i="7" s="1"/>
  <c r="G106" i="7"/>
  <c r="U106" i="7" s="1"/>
  <c r="H106" i="7"/>
  <c r="R106" i="7" s="1"/>
  <c r="AD106" i="7" s="1"/>
  <c r="AE106" i="7" s="1"/>
  <c r="I106" i="7"/>
  <c r="X106" i="7" s="1"/>
  <c r="E107" i="7"/>
  <c r="F107" i="7"/>
  <c r="G107" i="7"/>
  <c r="H107" i="7"/>
  <c r="R107" i="7" s="1"/>
  <c r="I107" i="7"/>
  <c r="X107" i="7" s="1"/>
  <c r="E108" i="7"/>
  <c r="F108" i="7"/>
  <c r="G108" i="7"/>
  <c r="H108" i="7"/>
  <c r="R108" i="7" s="1"/>
  <c r="I108" i="7"/>
  <c r="X108" i="7" s="1"/>
  <c r="E109" i="7"/>
  <c r="T109" i="7" s="1"/>
  <c r="F109" i="7"/>
  <c r="G109" i="7"/>
  <c r="H109" i="7"/>
  <c r="R109" i="7" s="1"/>
  <c r="I109" i="7"/>
  <c r="X109" i="7" s="1"/>
  <c r="E110" i="7"/>
  <c r="F110" i="7"/>
  <c r="G110" i="7"/>
  <c r="H110" i="7"/>
  <c r="R110" i="7" s="1"/>
  <c r="I110" i="7"/>
  <c r="X110" i="7" s="1"/>
  <c r="E111" i="7"/>
  <c r="F111" i="7"/>
  <c r="G111" i="7"/>
  <c r="H111" i="7"/>
  <c r="R111" i="7" s="1"/>
  <c r="I111" i="7"/>
  <c r="X111" i="7" s="1"/>
  <c r="E112" i="7"/>
  <c r="F112" i="7"/>
  <c r="G112" i="7"/>
  <c r="U112" i="7" s="1"/>
  <c r="H112" i="7"/>
  <c r="R112" i="7" s="1"/>
  <c r="I112" i="7"/>
  <c r="E113" i="7"/>
  <c r="F113" i="7"/>
  <c r="G113" i="7"/>
  <c r="H113" i="7"/>
  <c r="R113" i="7" s="1"/>
  <c r="I113" i="7"/>
  <c r="E114" i="7"/>
  <c r="F114" i="7"/>
  <c r="G114" i="7"/>
  <c r="U114" i="7" s="1"/>
  <c r="H114" i="7"/>
  <c r="R114" i="7" s="1"/>
  <c r="I114" i="7"/>
  <c r="X114" i="7" s="1"/>
  <c r="E115" i="7"/>
  <c r="F115" i="7"/>
  <c r="G115" i="7"/>
  <c r="H115" i="7"/>
  <c r="R115" i="7" s="1"/>
  <c r="I115" i="7"/>
  <c r="E116" i="7"/>
  <c r="F116" i="7"/>
  <c r="G116" i="7"/>
  <c r="H116" i="7"/>
  <c r="R116" i="7" s="1"/>
  <c r="I116" i="7"/>
  <c r="E117" i="7"/>
  <c r="T117" i="7" s="1"/>
  <c r="F117" i="7"/>
  <c r="S117" i="7" s="1"/>
  <c r="G117" i="7"/>
  <c r="U117" i="7" s="1"/>
  <c r="H117" i="7"/>
  <c r="R117" i="7" s="1"/>
  <c r="AD117" i="7" s="1"/>
  <c r="AE117" i="7" s="1"/>
  <c r="I117" i="7"/>
  <c r="X117" i="7" s="1"/>
  <c r="E118" i="7"/>
  <c r="F118" i="7"/>
  <c r="G118" i="7"/>
  <c r="H118" i="7"/>
  <c r="R118" i="7" s="1"/>
  <c r="I118" i="7"/>
  <c r="E119" i="7"/>
  <c r="F119" i="7"/>
  <c r="G119" i="7"/>
  <c r="H119" i="7"/>
  <c r="R119" i="7" s="1"/>
  <c r="I119" i="7"/>
  <c r="E120" i="7"/>
  <c r="T120" i="7" s="1"/>
  <c r="F120" i="7"/>
  <c r="S120" i="7" s="1"/>
  <c r="G120" i="7"/>
  <c r="U120" i="7" s="1"/>
  <c r="H120" i="7"/>
  <c r="R120" i="7" s="1"/>
  <c r="AD120" i="7" s="1"/>
  <c r="AE120" i="7" s="1"/>
  <c r="I120" i="7"/>
  <c r="X120" i="7" s="1"/>
  <c r="E121" i="7"/>
  <c r="F121" i="7"/>
  <c r="G121" i="7"/>
  <c r="H121" i="7"/>
  <c r="R121" i="7" s="1"/>
  <c r="I121" i="7"/>
  <c r="X121" i="7" s="1"/>
  <c r="E122" i="7"/>
  <c r="F122" i="7"/>
  <c r="G122" i="7"/>
  <c r="H122" i="7"/>
  <c r="R122" i="7" s="1"/>
  <c r="I122" i="7"/>
  <c r="X122" i="7" s="1"/>
  <c r="E123" i="7"/>
  <c r="F123" i="7"/>
  <c r="G123" i="7"/>
  <c r="U123" i="7" s="1"/>
  <c r="H123" i="7"/>
  <c r="R123" i="7" s="1"/>
  <c r="I123" i="7"/>
  <c r="X123" i="7" s="1"/>
  <c r="E124" i="7"/>
  <c r="F124" i="7"/>
  <c r="G124" i="7"/>
  <c r="H124" i="7"/>
  <c r="R124" i="7" s="1"/>
  <c r="I124" i="7"/>
  <c r="X124" i="7" s="1"/>
  <c r="E125" i="7"/>
  <c r="F125" i="7"/>
  <c r="G125" i="7"/>
  <c r="H125" i="7"/>
  <c r="R125" i="7" s="1"/>
  <c r="I125" i="7"/>
  <c r="X125" i="7" s="1"/>
  <c r="E126" i="7"/>
  <c r="T126" i="7" s="1"/>
  <c r="F126" i="7"/>
  <c r="G126" i="7"/>
  <c r="H126" i="7"/>
  <c r="R126" i="7" s="1"/>
  <c r="I126" i="7"/>
  <c r="E127" i="7"/>
  <c r="F127" i="7"/>
  <c r="G127" i="7"/>
  <c r="H127" i="7"/>
  <c r="R127" i="7" s="1"/>
  <c r="I127" i="7"/>
  <c r="E128" i="7"/>
  <c r="F128" i="7"/>
  <c r="G128" i="7"/>
  <c r="U128" i="7" s="1"/>
  <c r="H128" i="7"/>
  <c r="R128" i="7" s="1"/>
  <c r="I128" i="7"/>
  <c r="X128" i="7" s="1"/>
  <c r="E129" i="7"/>
  <c r="F129" i="7"/>
  <c r="G129" i="7"/>
  <c r="U129" i="7" s="1"/>
  <c r="H129" i="7"/>
  <c r="R129" i="7" s="1"/>
  <c r="I129" i="7"/>
  <c r="E130" i="7"/>
  <c r="F130" i="7"/>
  <c r="G130" i="7"/>
  <c r="H130" i="7"/>
  <c r="R130" i="7" s="1"/>
  <c r="I130" i="7"/>
  <c r="E131" i="7"/>
  <c r="F131" i="7"/>
  <c r="G131" i="7"/>
  <c r="U131" i="7" s="1"/>
  <c r="H131" i="7"/>
  <c r="R131" i="7" s="1"/>
  <c r="I131" i="7"/>
  <c r="X131" i="7" s="1"/>
  <c r="E132" i="7"/>
  <c r="F132" i="7"/>
  <c r="G132" i="7"/>
  <c r="H132" i="7"/>
  <c r="R132" i="7" s="1"/>
  <c r="I132" i="7"/>
  <c r="E133" i="7"/>
  <c r="F133" i="7"/>
  <c r="G133" i="7"/>
  <c r="H133" i="7"/>
  <c r="R133" i="7" s="1"/>
  <c r="I133" i="7"/>
  <c r="E134" i="7"/>
  <c r="F134" i="7"/>
  <c r="S134" i="7" s="1"/>
  <c r="G134" i="7"/>
  <c r="U134" i="7" s="1"/>
  <c r="H134" i="7"/>
  <c r="R134" i="7" s="1"/>
  <c r="AD134" i="7" s="1"/>
  <c r="AE134" i="7" s="1"/>
  <c r="I134" i="7"/>
  <c r="X134" i="7" s="1"/>
  <c r="E135" i="7"/>
  <c r="F135" i="7"/>
  <c r="S135" i="7" s="1"/>
  <c r="G135" i="7"/>
  <c r="H135" i="7"/>
  <c r="R135" i="7" s="1"/>
  <c r="I135" i="7"/>
  <c r="X135" i="7" s="1"/>
  <c r="E136" i="7"/>
  <c r="F136" i="7"/>
  <c r="G136" i="7"/>
  <c r="H136" i="7"/>
  <c r="R136" i="7" s="1"/>
  <c r="I136" i="7"/>
  <c r="X136" i="7" s="1"/>
  <c r="E137" i="7"/>
  <c r="F137" i="7"/>
  <c r="G137" i="7"/>
  <c r="H137" i="7"/>
  <c r="R137" i="7" s="1"/>
  <c r="I137" i="7"/>
  <c r="X137" i="7" s="1"/>
  <c r="E138" i="7"/>
  <c r="F138" i="7"/>
  <c r="G138" i="7"/>
  <c r="H138" i="7"/>
  <c r="R138" i="7" s="1"/>
  <c r="I138" i="7"/>
  <c r="X138" i="7" s="1"/>
  <c r="E139" i="7"/>
  <c r="F139" i="7"/>
  <c r="G139" i="7"/>
  <c r="H139" i="7"/>
  <c r="R139" i="7" s="1"/>
  <c r="I139" i="7"/>
  <c r="X139" i="7" s="1"/>
  <c r="E140" i="7"/>
  <c r="T140" i="7" s="1"/>
  <c r="F140" i="7"/>
  <c r="G140" i="7"/>
  <c r="H140" i="7"/>
  <c r="R140" i="7" s="1"/>
  <c r="I140" i="7"/>
  <c r="E141" i="7"/>
  <c r="F141" i="7"/>
  <c r="G141" i="7"/>
  <c r="H141" i="7"/>
  <c r="R141" i="7" s="1"/>
  <c r="I141" i="7"/>
  <c r="E142" i="7"/>
  <c r="F142" i="7"/>
  <c r="G142" i="7"/>
  <c r="U142" i="7" s="1"/>
  <c r="H142" i="7"/>
  <c r="R142" i="7" s="1"/>
  <c r="I142" i="7"/>
  <c r="X142" i="7" s="1"/>
  <c r="E143" i="7"/>
  <c r="F143" i="7"/>
  <c r="G143" i="7"/>
  <c r="U143" i="7" s="1"/>
  <c r="H143" i="7"/>
  <c r="R143" i="7" s="1"/>
  <c r="I143" i="7"/>
  <c r="E144" i="7"/>
  <c r="F144" i="7"/>
  <c r="G144" i="7"/>
  <c r="H144" i="7"/>
  <c r="R144" i="7" s="1"/>
  <c r="I144" i="7"/>
  <c r="E145" i="7"/>
  <c r="F145" i="7"/>
  <c r="G145" i="7"/>
  <c r="U145" i="7" s="1"/>
  <c r="H145" i="7"/>
  <c r="R145" i="7" s="1"/>
  <c r="I145" i="7"/>
  <c r="X145" i="7" s="1"/>
  <c r="E146" i="7"/>
  <c r="F146" i="7"/>
  <c r="G146" i="7"/>
  <c r="H146" i="7"/>
  <c r="R146" i="7" s="1"/>
  <c r="I146" i="7"/>
  <c r="E147" i="7"/>
  <c r="F147" i="7"/>
  <c r="G147" i="7"/>
  <c r="H147" i="7"/>
  <c r="R147" i="7" s="1"/>
  <c r="I147" i="7"/>
  <c r="E148" i="7"/>
  <c r="F148" i="7"/>
  <c r="S148" i="7" s="1"/>
  <c r="G148" i="7"/>
  <c r="H148" i="7"/>
  <c r="R148" i="7" s="1"/>
  <c r="I148" i="7"/>
  <c r="X148" i="7" s="1"/>
  <c r="E149" i="7"/>
  <c r="F149" i="7"/>
  <c r="G149" i="7"/>
  <c r="H149" i="7"/>
  <c r="R149" i="7" s="1"/>
  <c r="I149" i="7"/>
  <c r="X149" i="7" s="1"/>
  <c r="E150" i="7"/>
  <c r="F150" i="7"/>
  <c r="G150" i="7"/>
  <c r="H150" i="7"/>
  <c r="R150" i="7" s="1"/>
  <c r="I150" i="7"/>
  <c r="X150" i="7" s="1"/>
  <c r="E151" i="7"/>
  <c r="T151" i="7" s="1"/>
  <c r="F151" i="7"/>
  <c r="G151" i="7"/>
  <c r="U151" i="7" s="1"/>
  <c r="H151" i="7"/>
  <c r="R151" i="7" s="1"/>
  <c r="I151" i="7"/>
  <c r="X151" i="7" s="1"/>
  <c r="E152" i="7"/>
  <c r="F152" i="7"/>
  <c r="G152" i="7"/>
  <c r="H152" i="7"/>
  <c r="R152" i="7" s="1"/>
  <c r="I152" i="7"/>
  <c r="X152" i="7" s="1"/>
  <c r="E153" i="7"/>
  <c r="F153" i="7"/>
  <c r="G153" i="7"/>
  <c r="U153" i="7" s="1"/>
  <c r="H153" i="7"/>
  <c r="R153" i="7" s="1"/>
  <c r="I153" i="7"/>
  <c r="X153" i="7" s="1"/>
  <c r="E154" i="7"/>
  <c r="F154" i="7"/>
  <c r="S154" i="7" s="1"/>
  <c r="G154" i="7"/>
  <c r="U154" i="7" s="1"/>
  <c r="H154" i="7"/>
  <c r="R154" i="7" s="1"/>
  <c r="I154" i="7"/>
  <c r="E155" i="7"/>
  <c r="F155" i="7"/>
  <c r="G155" i="7"/>
  <c r="H155" i="7"/>
  <c r="R155" i="7" s="1"/>
  <c r="I155" i="7"/>
  <c r="E156" i="7"/>
  <c r="F156" i="7"/>
  <c r="G156" i="7"/>
  <c r="H156" i="7"/>
  <c r="R156" i="7" s="1"/>
  <c r="I156" i="7"/>
  <c r="X156" i="7" s="1"/>
  <c r="E157" i="7"/>
  <c r="F157" i="7"/>
  <c r="G157" i="7"/>
  <c r="H157" i="7"/>
  <c r="R157" i="7" s="1"/>
  <c r="I157" i="7"/>
  <c r="E158" i="7"/>
  <c r="F158" i="7"/>
  <c r="G158" i="7"/>
  <c r="H158" i="7"/>
  <c r="R158" i="7" s="1"/>
  <c r="I158" i="7"/>
  <c r="E159" i="7"/>
  <c r="F159" i="7"/>
  <c r="G159" i="7"/>
  <c r="U159" i="7" s="1"/>
  <c r="H159" i="7"/>
  <c r="R159" i="7" s="1"/>
  <c r="I159" i="7"/>
  <c r="X159" i="7" s="1"/>
  <c r="E160" i="7"/>
  <c r="F160" i="7"/>
  <c r="S160" i="7" s="1"/>
  <c r="G160" i="7"/>
  <c r="H160" i="7"/>
  <c r="R160" i="7" s="1"/>
  <c r="I160" i="7"/>
  <c r="E161" i="7"/>
  <c r="F161" i="7"/>
  <c r="G161" i="7"/>
  <c r="H161" i="7"/>
  <c r="R161" i="7" s="1"/>
  <c r="I161" i="7"/>
  <c r="E162" i="7"/>
  <c r="F162" i="7"/>
  <c r="S162" i="7" s="1"/>
  <c r="G162" i="7"/>
  <c r="H162" i="7"/>
  <c r="R162" i="7" s="1"/>
  <c r="I162" i="7"/>
  <c r="X162" i="7" s="1"/>
  <c r="E163" i="7"/>
  <c r="T163" i="7" s="1"/>
  <c r="F163" i="7"/>
  <c r="G163" i="7"/>
  <c r="U163" i="7" s="1"/>
  <c r="H163" i="7"/>
  <c r="R163" i="7" s="1"/>
  <c r="I163" i="7"/>
  <c r="X163" i="7" s="1"/>
  <c r="E164" i="7"/>
  <c r="F164" i="7"/>
  <c r="G164" i="7"/>
  <c r="H164" i="7"/>
  <c r="R164" i="7" s="1"/>
  <c r="I164" i="7"/>
  <c r="X164" i="7" s="1"/>
  <c r="E165" i="7"/>
  <c r="T165" i="7" s="1"/>
  <c r="F165" i="7"/>
  <c r="S165" i="7" s="1"/>
  <c r="G165" i="7"/>
  <c r="H165" i="7"/>
  <c r="R165" i="7" s="1"/>
  <c r="I165" i="7"/>
  <c r="X165" i="7" s="1"/>
  <c r="E166" i="7"/>
  <c r="F166" i="7"/>
  <c r="G166" i="7"/>
  <c r="H166" i="7"/>
  <c r="R166" i="7" s="1"/>
  <c r="I166" i="7"/>
  <c r="X166" i="7" s="1"/>
  <c r="E167" i="7"/>
  <c r="F167" i="7"/>
  <c r="G167" i="7"/>
  <c r="H167" i="7"/>
  <c r="R167" i="7" s="1"/>
  <c r="I167" i="7"/>
  <c r="X167" i="7" s="1"/>
  <c r="E168" i="7"/>
  <c r="T168" i="7" s="1"/>
  <c r="F168" i="7"/>
  <c r="G168" i="7"/>
  <c r="H168" i="7"/>
  <c r="R168" i="7" s="1"/>
  <c r="I168" i="7"/>
  <c r="E169" i="7"/>
  <c r="F169" i="7"/>
  <c r="G169" i="7"/>
  <c r="H169" i="7"/>
  <c r="R169" i="7" s="1"/>
  <c r="I169" i="7"/>
  <c r="E170" i="7"/>
  <c r="F170" i="7"/>
  <c r="G170" i="7"/>
  <c r="U170" i="7" s="1"/>
  <c r="H170" i="7"/>
  <c r="R170" i="7" s="1"/>
  <c r="I170" i="7"/>
  <c r="X170" i="7" s="1"/>
  <c r="E171" i="7"/>
  <c r="F171" i="7"/>
  <c r="G171" i="7"/>
  <c r="H171" i="7"/>
  <c r="R171" i="7" s="1"/>
  <c r="I171" i="7"/>
  <c r="E172" i="7"/>
  <c r="F172" i="7"/>
  <c r="G172" i="7"/>
  <c r="H172" i="7"/>
  <c r="R172" i="7" s="1"/>
  <c r="I172" i="7"/>
  <c r="E173" i="7"/>
  <c r="F173" i="7"/>
  <c r="S173" i="7" s="1"/>
  <c r="G173" i="7"/>
  <c r="H173" i="7"/>
  <c r="R173" i="7" s="1"/>
  <c r="I173" i="7"/>
  <c r="X173" i="7" s="1"/>
  <c r="E174" i="7"/>
  <c r="F174" i="7"/>
  <c r="G174" i="7"/>
  <c r="H174" i="7"/>
  <c r="R174" i="7" s="1"/>
  <c r="I174" i="7"/>
  <c r="X174" i="7" s="1"/>
  <c r="E175" i="7"/>
  <c r="F175" i="7"/>
  <c r="G175" i="7"/>
  <c r="H175" i="7"/>
  <c r="R175" i="7" s="1"/>
  <c r="I175" i="7"/>
  <c r="E176" i="7"/>
  <c r="F176" i="7"/>
  <c r="S176" i="7" s="1"/>
  <c r="G176" i="7"/>
  <c r="H176" i="7"/>
  <c r="R176" i="7" s="1"/>
  <c r="I176" i="7"/>
  <c r="X176" i="7" s="1"/>
  <c r="E177" i="7"/>
  <c r="F177" i="7"/>
  <c r="G177" i="7"/>
  <c r="U177" i="7" s="1"/>
  <c r="H177" i="7"/>
  <c r="R177" i="7" s="1"/>
  <c r="I177" i="7"/>
  <c r="X177" i="7" s="1"/>
  <c r="E178" i="7"/>
  <c r="F178" i="7"/>
  <c r="G178" i="7"/>
  <c r="H178" i="7"/>
  <c r="R178" i="7" s="1"/>
  <c r="I178" i="7"/>
  <c r="X178" i="7" s="1"/>
  <c r="E179" i="7"/>
  <c r="T179" i="7" s="1"/>
  <c r="F179" i="7"/>
  <c r="S179" i="7" s="1"/>
  <c r="G179" i="7"/>
  <c r="U179" i="7" s="1"/>
  <c r="H179" i="7"/>
  <c r="R179" i="7" s="1"/>
  <c r="AD179" i="7" s="1"/>
  <c r="AE179" i="7" s="1"/>
  <c r="I179" i="7"/>
  <c r="X179" i="7" s="1"/>
  <c r="E180" i="7"/>
  <c r="F180" i="7"/>
  <c r="G180" i="7"/>
  <c r="H180" i="7"/>
  <c r="R180" i="7" s="1"/>
  <c r="I180" i="7"/>
  <c r="X180" i="7" s="1"/>
  <c r="E181" i="7"/>
  <c r="F181" i="7"/>
  <c r="G181" i="7"/>
  <c r="H181" i="7"/>
  <c r="R181" i="7" s="1"/>
  <c r="I181" i="7"/>
  <c r="X181" i="7" s="1"/>
  <c r="E182" i="7"/>
  <c r="T182" i="7" s="1"/>
  <c r="F182" i="7"/>
  <c r="G182" i="7"/>
  <c r="U182" i="7" s="1"/>
  <c r="H182" i="7"/>
  <c r="R182" i="7" s="1"/>
  <c r="I182" i="7"/>
  <c r="E183" i="7"/>
  <c r="F183" i="7"/>
  <c r="G183" i="7"/>
  <c r="H183" i="7"/>
  <c r="R183" i="7" s="1"/>
  <c r="I183" i="7"/>
  <c r="E184" i="7"/>
  <c r="F184" i="7"/>
  <c r="G184" i="7"/>
  <c r="H184" i="7"/>
  <c r="R184" i="7" s="1"/>
  <c r="I184" i="7"/>
  <c r="X184" i="7" s="1"/>
  <c r="E185" i="7"/>
  <c r="F185" i="7"/>
  <c r="G185" i="7"/>
  <c r="H185" i="7"/>
  <c r="R185" i="7" s="1"/>
  <c r="I185" i="7"/>
  <c r="E186" i="7"/>
  <c r="F186" i="7"/>
  <c r="G186" i="7"/>
  <c r="H186" i="7"/>
  <c r="R186" i="7" s="1"/>
  <c r="I186" i="7"/>
  <c r="E187" i="7"/>
  <c r="F187" i="7"/>
  <c r="G187" i="7"/>
  <c r="U187" i="7" s="1"/>
  <c r="H187" i="7"/>
  <c r="R187" i="7" s="1"/>
  <c r="I187" i="7"/>
  <c r="X187" i="7" s="1"/>
  <c r="E188" i="7"/>
  <c r="F188" i="7"/>
  <c r="G188" i="7"/>
  <c r="H188" i="7"/>
  <c r="R188" i="7" s="1"/>
  <c r="I188" i="7"/>
  <c r="X188" i="7" s="1"/>
  <c r="E189" i="7"/>
  <c r="F189" i="7"/>
  <c r="G189" i="7"/>
  <c r="H189" i="7"/>
  <c r="R189" i="7" s="1"/>
  <c r="I189" i="7"/>
  <c r="E190" i="7"/>
  <c r="T190" i="7" s="1"/>
  <c r="F190" i="7"/>
  <c r="S190" i="7" s="1"/>
  <c r="G190" i="7"/>
  <c r="H190" i="7"/>
  <c r="R190" i="7" s="1"/>
  <c r="I190" i="7"/>
  <c r="X190" i="7" s="1"/>
  <c r="E191" i="7"/>
  <c r="F191" i="7"/>
  <c r="G191" i="7"/>
  <c r="H191" i="7"/>
  <c r="R191" i="7" s="1"/>
  <c r="I191" i="7"/>
  <c r="X191" i="7" s="1"/>
  <c r="E192" i="7"/>
  <c r="F192" i="7"/>
  <c r="G192" i="7"/>
  <c r="H192" i="7"/>
  <c r="R192" i="7" s="1"/>
  <c r="I192" i="7"/>
  <c r="X192" i="7" s="1"/>
  <c r="E193" i="7"/>
  <c r="T193" i="7" s="1"/>
  <c r="F193" i="7"/>
  <c r="S193" i="7" s="1"/>
  <c r="G193" i="7"/>
  <c r="H193" i="7"/>
  <c r="R193" i="7" s="1"/>
  <c r="I193" i="7"/>
  <c r="X193" i="7" s="1"/>
  <c r="E194" i="7"/>
  <c r="F194" i="7"/>
  <c r="G194" i="7"/>
  <c r="H194" i="7"/>
  <c r="I194" i="7"/>
  <c r="X194" i="7" s="1"/>
  <c r="E195" i="7"/>
  <c r="F195" i="7"/>
  <c r="G195" i="7"/>
  <c r="H195" i="7"/>
  <c r="R195" i="7" s="1"/>
  <c r="I195" i="7"/>
  <c r="X195" i="7" s="1"/>
  <c r="E196" i="7"/>
  <c r="T196" i="7" s="1"/>
  <c r="F196" i="7"/>
  <c r="G196" i="7"/>
  <c r="U196" i="7" s="1"/>
  <c r="H196" i="7"/>
  <c r="R196" i="7" s="1"/>
  <c r="I196" i="7"/>
  <c r="E197" i="7"/>
  <c r="F197" i="7"/>
  <c r="G197" i="7"/>
  <c r="H197" i="7"/>
  <c r="R197" i="7" s="1"/>
  <c r="I197" i="7"/>
  <c r="E198" i="7"/>
  <c r="F198" i="7"/>
  <c r="G198" i="7"/>
  <c r="H198" i="7"/>
  <c r="R198" i="7" s="1"/>
  <c r="I198" i="7"/>
  <c r="X198" i="7" s="1"/>
  <c r="E199" i="7"/>
  <c r="F199" i="7"/>
  <c r="G199" i="7"/>
  <c r="H199" i="7"/>
  <c r="R199" i="7" s="1"/>
  <c r="I199" i="7"/>
  <c r="E200" i="7"/>
  <c r="F200" i="7"/>
  <c r="G200" i="7"/>
  <c r="H200" i="7"/>
  <c r="R200" i="7" s="1"/>
  <c r="I200" i="7"/>
  <c r="X200" i="7" s="1"/>
  <c r="E201" i="7"/>
  <c r="F201" i="7"/>
  <c r="G201" i="7"/>
  <c r="U201" i="7" s="1"/>
  <c r="H201" i="7"/>
  <c r="R201" i="7" s="1"/>
  <c r="I201" i="7"/>
  <c r="X201" i="7" s="1"/>
  <c r="E202" i="7"/>
  <c r="F202" i="7"/>
  <c r="G202" i="7"/>
  <c r="H202" i="7"/>
  <c r="R202" i="7" s="1"/>
  <c r="I202" i="7"/>
  <c r="X202" i="7" s="1"/>
  <c r="E203" i="7"/>
  <c r="F203" i="7"/>
  <c r="G203" i="7"/>
  <c r="H203" i="7"/>
  <c r="R203" i="7" s="1"/>
  <c r="I203" i="7"/>
  <c r="X203" i="7" s="1"/>
  <c r="E204" i="7"/>
  <c r="F204" i="7"/>
  <c r="S204" i="7" s="1"/>
  <c r="G204" i="7"/>
  <c r="H204" i="7"/>
  <c r="R204" i="7" s="1"/>
  <c r="I204" i="7"/>
  <c r="X204" i="7" s="1"/>
  <c r="E205" i="7"/>
  <c r="F205" i="7"/>
  <c r="G205" i="7"/>
  <c r="H205" i="7"/>
  <c r="R205" i="7" s="1"/>
  <c r="I205" i="7"/>
  <c r="X205" i="7" s="1"/>
  <c r="E206" i="7"/>
  <c r="F206" i="7"/>
  <c r="G206" i="7"/>
  <c r="H206" i="7"/>
  <c r="R206" i="7" s="1"/>
  <c r="I206" i="7"/>
  <c r="E207" i="7"/>
  <c r="F207" i="7"/>
  <c r="G207" i="7"/>
  <c r="H207" i="7"/>
  <c r="R207" i="7" s="1"/>
  <c r="I207" i="7"/>
  <c r="X207" i="7" s="1"/>
  <c r="E208" i="7"/>
  <c r="F208" i="7"/>
  <c r="G208" i="7"/>
  <c r="H208" i="7"/>
  <c r="I208" i="7"/>
  <c r="X208" i="7" s="1"/>
  <c r="E209" i="7"/>
  <c r="F209" i="7"/>
  <c r="G209" i="7"/>
  <c r="H209" i="7"/>
  <c r="R209" i="7" s="1"/>
  <c r="I209" i="7"/>
  <c r="E210" i="7"/>
  <c r="F210" i="7"/>
  <c r="G210" i="7"/>
  <c r="H210" i="7"/>
  <c r="R210" i="7" s="1"/>
  <c r="I210" i="7"/>
  <c r="E211" i="7"/>
  <c r="F211" i="7"/>
  <c r="G211" i="7"/>
  <c r="H211" i="7"/>
  <c r="R211" i="7" s="1"/>
  <c r="I211" i="7"/>
  <c r="E212" i="7"/>
  <c r="F212" i="7"/>
  <c r="G212" i="7"/>
  <c r="H212" i="7"/>
  <c r="R212" i="7" s="1"/>
  <c r="I212" i="7"/>
  <c r="X212" i="7" s="1"/>
  <c r="E213" i="7"/>
  <c r="F213" i="7"/>
  <c r="G213" i="7"/>
  <c r="H213" i="7"/>
  <c r="R213" i="7" s="1"/>
  <c r="I213" i="7"/>
  <c r="X213" i="7" s="1"/>
  <c r="E214" i="7"/>
  <c r="F214" i="7"/>
  <c r="G214" i="7"/>
  <c r="H214" i="7"/>
  <c r="R214" i="7" s="1"/>
  <c r="I214" i="7"/>
  <c r="X214" i="7" s="1"/>
  <c r="E215" i="7"/>
  <c r="F215" i="7"/>
  <c r="G215" i="7"/>
  <c r="U215" i="7" s="1"/>
  <c r="H215" i="7"/>
  <c r="R215" i="7" s="1"/>
  <c r="I215" i="7"/>
  <c r="X215" i="7" s="1"/>
  <c r="E216" i="7"/>
  <c r="F216" i="7"/>
  <c r="S216" i="7" s="1"/>
  <c r="G216" i="7"/>
  <c r="H216" i="7"/>
  <c r="R216" i="7" s="1"/>
  <c r="I216" i="7"/>
  <c r="X216" i="7" s="1"/>
  <c r="E217" i="7"/>
  <c r="F217" i="7"/>
  <c r="S217" i="7" s="1"/>
  <c r="G217" i="7"/>
  <c r="H217" i="7"/>
  <c r="R217" i="7" s="1"/>
  <c r="I217" i="7"/>
  <c r="X217" i="7" s="1"/>
  <c r="E218" i="7"/>
  <c r="F218" i="7"/>
  <c r="S218" i="7" s="1"/>
  <c r="G218" i="7"/>
  <c r="U218" i="7" s="1"/>
  <c r="H218" i="7"/>
  <c r="R218" i="7" s="1"/>
  <c r="AD218" i="7" s="1"/>
  <c r="AE218" i="7" s="1"/>
  <c r="I218" i="7"/>
  <c r="X218" i="7" s="1"/>
  <c r="E219" i="7"/>
  <c r="T219" i="7" s="1"/>
  <c r="F219" i="7"/>
  <c r="G219" i="7"/>
  <c r="H219" i="7"/>
  <c r="R219" i="7" s="1"/>
  <c r="I219" i="7"/>
  <c r="X219" i="7" s="1"/>
  <c r="E220" i="7"/>
  <c r="F220" i="7"/>
  <c r="G220" i="7"/>
  <c r="U220" i="7" s="1"/>
  <c r="H220" i="7"/>
  <c r="R220" i="7" s="1"/>
  <c r="I220" i="7"/>
  <c r="X220" i="7" s="1"/>
  <c r="E221" i="7"/>
  <c r="T221" i="7" s="1"/>
  <c r="F221" i="7"/>
  <c r="G221" i="7"/>
  <c r="U221" i="7" s="1"/>
  <c r="H221" i="7"/>
  <c r="R221" i="7" s="1"/>
  <c r="I221" i="7"/>
  <c r="X221" i="7" s="1"/>
  <c r="E222" i="7"/>
  <c r="F222" i="7"/>
  <c r="G222" i="7"/>
  <c r="H222" i="7"/>
  <c r="R222" i="7" s="1"/>
  <c r="I222" i="7"/>
  <c r="E223" i="7"/>
  <c r="F223" i="7"/>
  <c r="G223" i="7"/>
  <c r="H223" i="7"/>
  <c r="R223" i="7" s="1"/>
  <c r="I223" i="7"/>
  <c r="X223" i="7" s="1"/>
  <c r="E224" i="7"/>
  <c r="T224" i="7" s="1"/>
  <c r="F224" i="7"/>
  <c r="S224" i="7" s="1"/>
  <c r="G224" i="7"/>
  <c r="H224" i="7"/>
  <c r="R224" i="7" s="1"/>
  <c r="I224" i="7"/>
  <c r="E225" i="7"/>
  <c r="F225" i="7"/>
  <c r="G225" i="7"/>
  <c r="H225" i="7"/>
  <c r="R225" i="7" s="1"/>
  <c r="I225" i="7"/>
  <c r="E226" i="7"/>
  <c r="F226" i="7"/>
  <c r="G226" i="7"/>
  <c r="H226" i="7"/>
  <c r="R226" i="7" s="1"/>
  <c r="I226" i="7"/>
  <c r="X226" i="7" s="1"/>
  <c r="E227" i="7"/>
  <c r="F227" i="7"/>
  <c r="G227" i="7"/>
  <c r="H227" i="7"/>
  <c r="R227" i="7" s="1"/>
  <c r="I227" i="7"/>
  <c r="X227" i="7" s="1"/>
  <c r="E228" i="7"/>
  <c r="F228" i="7"/>
  <c r="G228" i="7"/>
  <c r="H228" i="7"/>
  <c r="R228" i="7" s="1"/>
  <c r="I228" i="7"/>
  <c r="X228" i="7" s="1"/>
  <c r="E229" i="7"/>
  <c r="F229" i="7"/>
  <c r="S229" i="7" s="1"/>
  <c r="G229" i="7"/>
  <c r="H229" i="7"/>
  <c r="R229" i="7" s="1"/>
  <c r="I229" i="7"/>
  <c r="X229" i="7" s="1"/>
  <c r="E230" i="7"/>
  <c r="F230" i="7"/>
  <c r="G230" i="7"/>
  <c r="U230" i="7" s="1"/>
  <c r="H230" i="7"/>
  <c r="R230" i="7" s="1"/>
  <c r="I230" i="7"/>
  <c r="X230" i="7" s="1"/>
  <c r="E231" i="7"/>
  <c r="T231" i="7" s="1"/>
  <c r="F231" i="7"/>
  <c r="G231" i="7"/>
  <c r="U231" i="7" s="1"/>
  <c r="H231" i="7"/>
  <c r="R231" i="7" s="1"/>
  <c r="I231" i="7"/>
  <c r="X231" i="7" s="1"/>
  <c r="E232" i="7"/>
  <c r="T232" i="7" s="1"/>
  <c r="F232" i="7"/>
  <c r="G232" i="7"/>
  <c r="U232" i="7" s="1"/>
  <c r="H232" i="7"/>
  <c r="R232" i="7" s="1"/>
  <c r="I232" i="7"/>
  <c r="X232" i="7" s="1"/>
  <c r="E233" i="7"/>
  <c r="T233" i="7" s="1"/>
  <c r="F233" i="7"/>
  <c r="G233" i="7"/>
  <c r="H233" i="7"/>
  <c r="R233" i="7" s="1"/>
  <c r="I233" i="7"/>
  <c r="X233" i="7" s="1"/>
  <c r="E234" i="7"/>
  <c r="F234" i="7"/>
  <c r="G234" i="7"/>
  <c r="H234" i="7"/>
  <c r="R234" i="7" s="1"/>
  <c r="I234" i="7"/>
  <c r="X234" i="7" s="1"/>
  <c r="E235" i="7"/>
  <c r="F235" i="7"/>
  <c r="G235" i="7"/>
  <c r="H235" i="7"/>
  <c r="R235" i="7" s="1"/>
  <c r="I235" i="7"/>
  <c r="X235" i="7" s="1"/>
  <c r="E236" i="7"/>
  <c r="F236" i="7"/>
  <c r="G236" i="7"/>
  <c r="H236" i="7"/>
  <c r="R236" i="7" s="1"/>
  <c r="I236" i="7"/>
  <c r="X236" i="7" s="1"/>
  <c r="E237" i="7"/>
  <c r="F237" i="7"/>
  <c r="G237" i="7"/>
  <c r="H237" i="7"/>
  <c r="R237" i="7" s="1"/>
  <c r="I237" i="7"/>
  <c r="X237" i="7" s="1"/>
  <c r="E238" i="7"/>
  <c r="F238" i="7"/>
  <c r="G238" i="7"/>
  <c r="H238" i="7"/>
  <c r="R238" i="7" s="1"/>
  <c r="I238" i="7"/>
  <c r="E239" i="7"/>
  <c r="F239" i="7"/>
  <c r="G239" i="7"/>
  <c r="H239" i="7"/>
  <c r="R239" i="7" s="1"/>
  <c r="I239" i="7"/>
  <c r="E240" i="7"/>
  <c r="F240" i="7"/>
  <c r="G240" i="7"/>
  <c r="H240" i="7"/>
  <c r="R240" i="7" s="1"/>
  <c r="I240" i="7"/>
  <c r="X240" i="7" s="1"/>
  <c r="E241" i="7"/>
  <c r="F241" i="7"/>
  <c r="G241" i="7"/>
  <c r="H241" i="7"/>
  <c r="R241" i="7" s="1"/>
  <c r="I241" i="7"/>
  <c r="X241" i="7" s="1"/>
  <c r="E242" i="7"/>
  <c r="F242" i="7"/>
  <c r="G242" i="7"/>
  <c r="H242" i="7"/>
  <c r="R242" i="7" s="1"/>
  <c r="I242" i="7"/>
  <c r="X242" i="7" s="1"/>
  <c r="E243" i="7"/>
  <c r="F243" i="7"/>
  <c r="S243" i="7" s="1"/>
  <c r="G243" i="7"/>
  <c r="H243" i="7"/>
  <c r="R243" i="7" s="1"/>
  <c r="I243" i="7"/>
  <c r="X243" i="7" s="1"/>
  <c r="E244" i="7"/>
  <c r="F244" i="7"/>
  <c r="G244" i="7"/>
  <c r="H244" i="7"/>
  <c r="R244" i="7" s="1"/>
  <c r="I244" i="7"/>
  <c r="E245" i="7"/>
  <c r="F245" i="7"/>
  <c r="G245" i="7"/>
  <c r="H245" i="7"/>
  <c r="R245" i="7" s="1"/>
  <c r="I245" i="7"/>
  <c r="X245" i="7" s="1"/>
  <c r="E246" i="7"/>
  <c r="F246" i="7"/>
  <c r="G246" i="7"/>
  <c r="H246" i="7"/>
  <c r="R246" i="7" s="1"/>
  <c r="I246" i="7"/>
  <c r="X246" i="7" s="1"/>
  <c r="E247" i="7"/>
  <c r="F247" i="7"/>
  <c r="G247" i="7"/>
  <c r="H247" i="7"/>
  <c r="R247" i="7" s="1"/>
  <c r="I247" i="7"/>
  <c r="X247" i="7" s="1"/>
  <c r="E248" i="7"/>
  <c r="F248" i="7"/>
  <c r="G248" i="7"/>
  <c r="H248" i="7"/>
  <c r="R248" i="7" s="1"/>
  <c r="I248" i="7"/>
  <c r="X248" i="7" s="1"/>
  <c r="E249" i="7"/>
  <c r="T249" i="7" s="1"/>
  <c r="F249" i="7"/>
  <c r="S249" i="7" s="1"/>
  <c r="G249" i="7"/>
  <c r="H249" i="7"/>
  <c r="R249" i="7" s="1"/>
  <c r="I249" i="7"/>
  <c r="X249" i="7" s="1"/>
  <c r="E250" i="7"/>
  <c r="F250" i="7"/>
  <c r="G250" i="7"/>
  <c r="H250" i="7"/>
  <c r="R250" i="7" s="1"/>
  <c r="I250" i="7"/>
  <c r="E251" i="7"/>
  <c r="F251" i="7"/>
  <c r="G251" i="7"/>
  <c r="H251" i="7"/>
  <c r="R251" i="7" s="1"/>
  <c r="I251" i="7"/>
  <c r="X251" i="7" s="1"/>
  <c r="E252" i="7"/>
  <c r="F252" i="7"/>
  <c r="G252" i="7"/>
  <c r="H252" i="7"/>
  <c r="R252" i="7" s="1"/>
  <c r="I252" i="7"/>
  <c r="E253" i="7"/>
  <c r="F253" i="7"/>
  <c r="G253" i="7"/>
  <c r="H253" i="7"/>
  <c r="R253" i="7" s="1"/>
  <c r="I253" i="7"/>
  <c r="E254" i="7"/>
  <c r="F254" i="7"/>
  <c r="G254" i="7"/>
  <c r="H254" i="7"/>
  <c r="R254" i="7" s="1"/>
  <c r="I254" i="7"/>
  <c r="X254" i="7" s="1"/>
  <c r="E255" i="7"/>
  <c r="F255" i="7"/>
  <c r="G255" i="7"/>
  <c r="U255" i="7" s="1"/>
  <c r="H255" i="7"/>
  <c r="R255" i="7" s="1"/>
  <c r="I255" i="7"/>
  <c r="X255" i="7" s="1"/>
  <c r="E256" i="7"/>
  <c r="F256" i="7"/>
  <c r="G256" i="7"/>
  <c r="H256" i="7"/>
  <c r="I256" i="7"/>
  <c r="X256" i="7" s="1"/>
  <c r="E257" i="7"/>
  <c r="F257" i="7"/>
  <c r="G257" i="7"/>
  <c r="U257" i="7" s="1"/>
  <c r="H257" i="7"/>
  <c r="R257" i="7" s="1"/>
  <c r="I257" i="7"/>
  <c r="X257" i="7" s="1"/>
  <c r="E258" i="7"/>
  <c r="F258" i="7"/>
  <c r="G258" i="7"/>
  <c r="U258" i="7" s="1"/>
  <c r="H258" i="7"/>
  <c r="R258" i="7" s="1"/>
  <c r="I258" i="7"/>
  <c r="X258" i="7" s="1"/>
  <c r="E259" i="7"/>
  <c r="F259" i="7"/>
  <c r="G259" i="7"/>
  <c r="H259" i="7"/>
  <c r="R259" i="7" s="1"/>
  <c r="I259" i="7"/>
  <c r="X259" i="7" s="1"/>
  <c r="E260" i="7"/>
  <c r="T260" i="7" s="1"/>
  <c r="F260" i="7"/>
  <c r="G260" i="7"/>
  <c r="U260" i="7" s="1"/>
  <c r="H260" i="7"/>
  <c r="R260" i="7" s="1"/>
  <c r="I260" i="7"/>
  <c r="X260" i="7" s="1"/>
  <c r="E261" i="7"/>
  <c r="F261" i="7"/>
  <c r="G261" i="7"/>
  <c r="H261" i="7"/>
  <c r="R261" i="7" s="1"/>
  <c r="I261" i="7"/>
  <c r="X261" i="7" s="1"/>
  <c r="E262" i="7"/>
  <c r="F262" i="7"/>
  <c r="G262" i="7"/>
  <c r="H262" i="7"/>
  <c r="R262" i="7" s="1"/>
  <c r="I262" i="7"/>
  <c r="X262" i="7" s="1"/>
  <c r="E263" i="7"/>
  <c r="T263" i="7" s="1"/>
  <c r="F263" i="7"/>
  <c r="S263" i="7" s="1"/>
  <c r="G263" i="7"/>
  <c r="U263" i="7" s="1"/>
  <c r="H263" i="7"/>
  <c r="R263" i="7" s="1"/>
  <c r="AD263" i="7" s="1"/>
  <c r="I263" i="7"/>
  <c r="X263" i="7" s="1"/>
  <c r="E264" i="7"/>
  <c r="F264" i="7"/>
  <c r="G264" i="7"/>
  <c r="H264" i="7"/>
  <c r="R264" i="7" s="1"/>
  <c r="I264" i="7"/>
  <c r="E265" i="7"/>
  <c r="F265" i="7"/>
  <c r="G265" i="7"/>
  <c r="H265" i="7"/>
  <c r="R265" i="7" s="1"/>
  <c r="I265" i="7"/>
  <c r="X265" i="7" s="1"/>
  <c r="E266" i="7"/>
  <c r="F266" i="7"/>
  <c r="G266" i="7"/>
  <c r="H266" i="7"/>
  <c r="R266" i="7" s="1"/>
  <c r="I266" i="7"/>
  <c r="E267" i="7"/>
  <c r="F267" i="7"/>
  <c r="G267" i="7"/>
  <c r="H267" i="7"/>
  <c r="R267" i="7" s="1"/>
  <c r="I267" i="7"/>
  <c r="E268" i="7"/>
  <c r="F268" i="7"/>
  <c r="G268" i="7"/>
  <c r="H268" i="7"/>
  <c r="R268" i="7" s="1"/>
  <c r="I268" i="7"/>
  <c r="X268" i="7" s="1"/>
  <c r="E269" i="7"/>
  <c r="F269" i="7"/>
  <c r="G269" i="7"/>
  <c r="H269" i="7"/>
  <c r="R269" i="7" s="1"/>
  <c r="I269" i="7"/>
  <c r="X269" i="7" s="1"/>
  <c r="E270" i="7"/>
  <c r="T270" i="7" s="1"/>
  <c r="F270" i="7"/>
  <c r="G270" i="7"/>
  <c r="U270" i="7" s="1"/>
  <c r="H270" i="7"/>
  <c r="R270" i="7" s="1"/>
  <c r="I270" i="7"/>
  <c r="X270" i="7" s="1"/>
  <c r="E271" i="7"/>
  <c r="F271" i="7"/>
  <c r="G271" i="7"/>
  <c r="U271" i="7" s="1"/>
  <c r="H271" i="7"/>
  <c r="R271" i="7" s="1"/>
  <c r="I271" i="7"/>
  <c r="E272" i="7"/>
  <c r="F272" i="7"/>
  <c r="G272" i="7"/>
  <c r="U272" i="7" s="1"/>
  <c r="H272" i="7"/>
  <c r="R272" i="7" s="1"/>
  <c r="I272" i="7"/>
  <c r="X272" i="7" s="1"/>
  <c r="E273" i="7"/>
  <c r="F273" i="7"/>
  <c r="G273" i="7"/>
  <c r="H273" i="7"/>
  <c r="R273" i="7" s="1"/>
  <c r="I273" i="7"/>
  <c r="X273" i="7" s="1"/>
  <c r="E274" i="7"/>
  <c r="T274" i="7" s="1"/>
  <c r="F274" i="7"/>
  <c r="G274" i="7"/>
  <c r="H274" i="7"/>
  <c r="R274" i="7" s="1"/>
  <c r="I274" i="7"/>
  <c r="E275" i="7"/>
  <c r="F275" i="7"/>
  <c r="G275" i="7"/>
  <c r="H275" i="7"/>
  <c r="R275" i="7" s="1"/>
  <c r="I275" i="7"/>
  <c r="X275" i="7" s="1"/>
  <c r="E276" i="7"/>
  <c r="F276" i="7"/>
  <c r="G276" i="7"/>
  <c r="H276" i="7"/>
  <c r="R276" i="7" s="1"/>
  <c r="I276" i="7"/>
  <c r="X276" i="7" s="1"/>
  <c r="E277" i="7"/>
  <c r="T277" i="7" s="1"/>
  <c r="F277" i="7"/>
  <c r="G277" i="7"/>
  <c r="H277" i="7"/>
  <c r="R277" i="7" s="1"/>
  <c r="I277" i="7"/>
  <c r="X277" i="7" s="1"/>
  <c r="E278" i="7"/>
  <c r="F278" i="7"/>
  <c r="G278" i="7"/>
  <c r="H278" i="7"/>
  <c r="R278" i="7" s="1"/>
  <c r="I278" i="7"/>
  <c r="X278" i="7" s="1"/>
  <c r="E279" i="7"/>
  <c r="F279" i="7"/>
  <c r="G279" i="7"/>
  <c r="H279" i="7"/>
  <c r="R279" i="7" s="1"/>
  <c r="I279" i="7"/>
  <c r="X279" i="7" s="1"/>
  <c r="E280" i="7"/>
  <c r="F280" i="7"/>
  <c r="G280" i="7"/>
  <c r="U280" i="7" s="1"/>
  <c r="H280" i="7"/>
  <c r="R280" i="7" s="1"/>
  <c r="I280" i="7"/>
  <c r="E281" i="7"/>
  <c r="F281" i="7"/>
  <c r="G281" i="7"/>
  <c r="H281" i="7"/>
  <c r="R281" i="7" s="1"/>
  <c r="I281" i="7"/>
  <c r="E282" i="7"/>
  <c r="F282" i="7"/>
  <c r="G282" i="7"/>
  <c r="U282" i="7" s="1"/>
  <c r="H282" i="7"/>
  <c r="R282" i="7" s="1"/>
  <c r="I282" i="7"/>
  <c r="E283" i="7"/>
  <c r="F283" i="7"/>
  <c r="G283" i="7"/>
  <c r="U283" i="7" s="1"/>
  <c r="H283" i="7"/>
  <c r="R283" i="7" s="1"/>
  <c r="I283" i="7"/>
  <c r="X283" i="7" s="1"/>
  <c r="E284" i="7"/>
  <c r="F284" i="7"/>
  <c r="G284" i="7"/>
  <c r="H284" i="7"/>
  <c r="R284" i="7" s="1"/>
  <c r="I284" i="7"/>
  <c r="X284" i="7" s="1"/>
  <c r="E285" i="7"/>
  <c r="F285" i="7"/>
  <c r="G285" i="7"/>
  <c r="U285" i="7" s="1"/>
  <c r="H285" i="7"/>
  <c r="R285" i="7" s="1"/>
  <c r="I285" i="7"/>
  <c r="X285" i="7" s="1"/>
  <c r="E286" i="7"/>
  <c r="F286" i="7"/>
  <c r="G286" i="7"/>
  <c r="H286" i="7"/>
  <c r="R286" i="7" s="1"/>
  <c r="I286" i="7"/>
  <c r="X286" i="7" s="1"/>
  <c r="E287" i="7"/>
  <c r="F287" i="7"/>
  <c r="G287" i="7"/>
  <c r="H287" i="7"/>
  <c r="R287" i="7" s="1"/>
  <c r="I287" i="7"/>
  <c r="X287" i="7" s="1"/>
  <c r="E288" i="7"/>
  <c r="F288" i="7"/>
  <c r="G288" i="7"/>
  <c r="U288" i="7" s="1"/>
  <c r="H288" i="7"/>
  <c r="R288" i="7" s="1"/>
  <c r="I288" i="7"/>
  <c r="E289" i="7"/>
  <c r="F289" i="7"/>
  <c r="G289" i="7"/>
  <c r="H289" i="7"/>
  <c r="R289" i="7" s="1"/>
  <c r="I289" i="7"/>
  <c r="I6" i="7"/>
  <c r="H6" i="7"/>
  <c r="R6" i="7" s="1"/>
  <c r="G6" i="7"/>
  <c r="F6" i="7"/>
  <c r="E6" i="7"/>
  <c r="D1976" i="6"/>
  <c r="B1976" i="6"/>
  <c r="D1975" i="6"/>
  <c r="B1975" i="6"/>
  <c r="D1974" i="6"/>
  <c r="B1974" i="6"/>
  <c r="D1973" i="6"/>
  <c r="B1973" i="6"/>
  <c r="D1972" i="6"/>
  <c r="B1972" i="6"/>
  <c r="D1971" i="6"/>
  <c r="B1971" i="6"/>
  <c r="D1970" i="6"/>
  <c r="B1970" i="6"/>
  <c r="D1969" i="6"/>
  <c r="B1969" i="6"/>
  <c r="D1968" i="6"/>
  <c r="B1968" i="6"/>
  <c r="D1967" i="6"/>
  <c r="B1967" i="6"/>
  <c r="D1966" i="6"/>
  <c r="B1966" i="6"/>
  <c r="D1965" i="6"/>
  <c r="B1965" i="6"/>
  <c r="D1964" i="6"/>
  <c r="B1964" i="6"/>
  <c r="D1963" i="6"/>
  <c r="B1963" i="6"/>
  <c r="D1962" i="6"/>
  <c r="B1962" i="6"/>
  <c r="D1961" i="6"/>
  <c r="B1961" i="6"/>
  <c r="D1960" i="6"/>
  <c r="B1960" i="6"/>
  <c r="D1959" i="6"/>
  <c r="B1959" i="6"/>
  <c r="D1958" i="6"/>
  <c r="B1958" i="6"/>
  <c r="D1957" i="6"/>
  <c r="B1957" i="6"/>
  <c r="D1956" i="6"/>
  <c r="B1956" i="6"/>
  <c r="D1955" i="6"/>
  <c r="B1955" i="6"/>
  <c r="D1954" i="6"/>
  <c r="B1954" i="6"/>
  <c r="D1953" i="6"/>
  <c r="B1953" i="6"/>
  <c r="D1952" i="6"/>
  <c r="B1952" i="6"/>
  <c r="D1951" i="6"/>
  <c r="B1951" i="6"/>
  <c r="D1950" i="6"/>
  <c r="B1950" i="6"/>
  <c r="D1949" i="6"/>
  <c r="B1949" i="6"/>
  <c r="D1948" i="6"/>
  <c r="B1948" i="6"/>
  <c r="D1947" i="6"/>
  <c r="B1947" i="6"/>
  <c r="D1946" i="6"/>
  <c r="B1946" i="6"/>
  <c r="D1945" i="6"/>
  <c r="B1945" i="6"/>
  <c r="D1944" i="6"/>
  <c r="B1944" i="6"/>
  <c r="D1943" i="6"/>
  <c r="B1943" i="6"/>
  <c r="D1942" i="6"/>
  <c r="B1942" i="6"/>
  <c r="D1941" i="6"/>
  <c r="B1941" i="6"/>
  <c r="D1940" i="6"/>
  <c r="B1940" i="6"/>
  <c r="D1939" i="6"/>
  <c r="B1939" i="6"/>
  <c r="D1938" i="6"/>
  <c r="B1938" i="6"/>
  <c r="D1937" i="6"/>
  <c r="B1937" i="6"/>
  <c r="D1936" i="6"/>
  <c r="B1936" i="6"/>
  <c r="D1935" i="6"/>
  <c r="B1935" i="6"/>
  <c r="D1934" i="6"/>
  <c r="B1934" i="6"/>
  <c r="D1933" i="6"/>
  <c r="B1933" i="6"/>
  <c r="D1932" i="6"/>
  <c r="B1932" i="6"/>
  <c r="D1931" i="6"/>
  <c r="B1931" i="6"/>
  <c r="D1930" i="6"/>
  <c r="B1930" i="6"/>
  <c r="D1929" i="6"/>
  <c r="B1929" i="6"/>
  <c r="D1928" i="6"/>
  <c r="B1928" i="6"/>
  <c r="D1927" i="6"/>
  <c r="B1927" i="6"/>
  <c r="D1926" i="6"/>
  <c r="B1926" i="6"/>
  <c r="D1925" i="6"/>
  <c r="B1925" i="6"/>
  <c r="D1924" i="6"/>
  <c r="B1924" i="6"/>
  <c r="D1923" i="6"/>
  <c r="B1923" i="6"/>
  <c r="D1922" i="6"/>
  <c r="B1922" i="6"/>
  <c r="D1921" i="6"/>
  <c r="B1921" i="6"/>
  <c r="D1920" i="6"/>
  <c r="B1920" i="6"/>
  <c r="D1919" i="6"/>
  <c r="B1919" i="6"/>
  <c r="D1918" i="6"/>
  <c r="B1918" i="6"/>
  <c r="D1917" i="6"/>
  <c r="B1917" i="6"/>
  <c r="D1916" i="6"/>
  <c r="B1916" i="6"/>
  <c r="D1915" i="6"/>
  <c r="B1915" i="6"/>
  <c r="D1914" i="6"/>
  <c r="B1914" i="6"/>
  <c r="D1913" i="6"/>
  <c r="B1913" i="6"/>
  <c r="D1912" i="6"/>
  <c r="B1912" i="6"/>
  <c r="D1911" i="6"/>
  <c r="B1911" i="6"/>
  <c r="D1910" i="6"/>
  <c r="B1910" i="6"/>
  <c r="D1909" i="6"/>
  <c r="B1909" i="6"/>
  <c r="D1908" i="6"/>
  <c r="B1908" i="6"/>
  <c r="D1907" i="6"/>
  <c r="B1907" i="6"/>
  <c r="D1906" i="6"/>
  <c r="B1906" i="6"/>
  <c r="D1905" i="6"/>
  <c r="B1905" i="6"/>
  <c r="D1904" i="6"/>
  <c r="B1904" i="6"/>
  <c r="D1903" i="6"/>
  <c r="B1903" i="6"/>
  <c r="D1902" i="6"/>
  <c r="B1902" i="6"/>
  <c r="D1901" i="6"/>
  <c r="B1901" i="6"/>
  <c r="D1900" i="6"/>
  <c r="B1900" i="6"/>
  <c r="D1899" i="6"/>
  <c r="B1899" i="6"/>
  <c r="D1898" i="6"/>
  <c r="B1898" i="6"/>
  <c r="D1897" i="6"/>
  <c r="B1897" i="6"/>
  <c r="D1896" i="6"/>
  <c r="B1896" i="6"/>
  <c r="D1895" i="6"/>
  <c r="B1895" i="6"/>
  <c r="D1894" i="6"/>
  <c r="B1894" i="6"/>
  <c r="D1893" i="6"/>
  <c r="B1893" i="6"/>
  <c r="D1892" i="6"/>
  <c r="B1892" i="6"/>
  <c r="D1891" i="6"/>
  <c r="B1891" i="6"/>
  <c r="D1890" i="6"/>
  <c r="B1890" i="6"/>
  <c r="D1889" i="6"/>
  <c r="B1889" i="6"/>
  <c r="D1888" i="6"/>
  <c r="B1888" i="6"/>
  <c r="D1887" i="6"/>
  <c r="B1887" i="6"/>
  <c r="D1886" i="6"/>
  <c r="B1886" i="6"/>
  <c r="D1885" i="6"/>
  <c r="B1885" i="6"/>
  <c r="D1884" i="6"/>
  <c r="B1884" i="6"/>
  <c r="D1883" i="6"/>
  <c r="B1883" i="6"/>
  <c r="D1882" i="6"/>
  <c r="B1882" i="6"/>
  <c r="D1881" i="6"/>
  <c r="B1881" i="6"/>
  <c r="D1880" i="6"/>
  <c r="B1880" i="6"/>
  <c r="D1879" i="6"/>
  <c r="B1879" i="6"/>
  <c r="D1878" i="6"/>
  <c r="B1878" i="6"/>
  <c r="D1877" i="6"/>
  <c r="B1877" i="6"/>
  <c r="D1876" i="6"/>
  <c r="B1876" i="6"/>
  <c r="D1875" i="6"/>
  <c r="B1875" i="6"/>
  <c r="D1874" i="6"/>
  <c r="B1874" i="6"/>
  <c r="D1873" i="6"/>
  <c r="B1873" i="6"/>
  <c r="D1872" i="6"/>
  <c r="B1872" i="6"/>
  <c r="D1871" i="6"/>
  <c r="B1871" i="6"/>
  <c r="D1870" i="6"/>
  <c r="B1870" i="6"/>
  <c r="D1869" i="6"/>
  <c r="B1869" i="6"/>
  <c r="D1868" i="6"/>
  <c r="B1868" i="6"/>
  <c r="D1867" i="6"/>
  <c r="B1867" i="6"/>
  <c r="D1866" i="6"/>
  <c r="B1866" i="6"/>
  <c r="D1865" i="6"/>
  <c r="B1865" i="6"/>
  <c r="D1864" i="6"/>
  <c r="B1864" i="6"/>
  <c r="D1863" i="6"/>
  <c r="B1863" i="6"/>
  <c r="D1862" i="6"/>
  <c r="B1862" i="6"/>
  <c r="D1861" i="6"/>
  <c r="B1861" i="6"/>
  <c r="D1860" i="6"/>
  <c r="B1860" i="6"/>
  <c r="D1859" i="6"/>
  <c r="B1859" i="6"/>
  <c r="D1858" i="6"/>
  <c r="B1858" i="6"/>
  <c r="D1857" i="6"/>
  <c r="B1857" i="6"/>
  <c r="D1856" i="6"/>
  <c r="B1856" i="6"/>
  <c r="D1855" i="6"/>
  <c r="B1855" i="6"/>
  <c r="D1854" i="6"/>
  <c r="B1854" i="6"/>
  <c r="D1853" i="6"/>
  <c r="B1853" i="6"/>
  <c r="D1852" i="6"/>
  <c r="B1852" i="6"/>
  <c r="D1851" i="6"/>
  <c r="B1851" i="6"/>
  <c r="D1850" i="6"/>
  <c r="B1850" i="6"/>
  <c r="D1849" i="6"/>
  <c r="B1849" i="6"/>
  <c r="D1848" i="6"/>
  <c r="B1848" i="6"/>
  <c r="D1847" i="6"/>
  <c r="B1847" i="6"/>
  <c r="D1846" i="6"/>
  <c r="B1846" i="6"/>
  <c r="D1845" i="6"/>
  <c r="B1845" i="6"/>
  <c r="D1844" i="6"/>
  <c r="B1844" i="6"/>
  <c r="D1843" i="6"/>
  <c r="B1843" i="6"/>
  <c r="D1842" i="6"/>
  <c r="B1842" i="6"/>
  <c r="D1841" i="6"/>
  <c r="B1841" i="6"/>
  <c r="D1840" i="6"/>
  <c r="B1840" i="6"/>
  <c r="D1839" i="6"/>
  <c r="B1839" i="6"/>
  <c r="D1838" i="6"/>
  <c r="B1838" i="6"/>
  <c r="D1837" i="6"/>
  <c r="B1837" i="6"/>
  <c r="D1836" i="6"/>
  <c r="B1836" i="6"/>
  <c r="D1835" i="6"/>
  <c r="B1835" i="6"/>
  <c r="D1834" i="6"/>
  <c r="B1834" i="6"/>
  <c r="D1833" i="6"/>
  <c r="B1833" i="6"/>
  <c r="D1832" i="6"/>
  <c r="B1832" i="6"/>
  <c r="D1831" i="6"/>
  <c r="B1831" i="6"/>
  <c r="D1830" i="6"/>
  <c r="B1830" i="6"/>
  <c r="D1829" i="6"/>
  <c r="B1829" i="6"/>
  <c r="D1828" i="6"/>
  <c r="B1828" i="6"/>
  <c r="D1827" i="6"/>
  <c r="B1827" i="6"/>
  <c r="D1826" i="6"/>
  <c r="B1826" i="6"/>
  <c r="D1825" i="6"/>
  <c r="B1825" i="6"/>
  <c r="D1824" i="6"/>
  <c r="B1824" i="6"/>
  <c r="D1823" i="6"/>
  <c r="B1823" i="6"/>
  <c r="D1822" i="6"/>
  <c r="B1822" i="6"/>
  <c r="D1821" i="6"/>
  <c r="B1821" i="6"/>
  <c r="D1820" i="6"/>
  <c r="B1820" i="6"/>
  <c r="D1819" i="6"/>
  <c r="B1819" i="6"/>
  <c r="D1818" i="6"/>
  <c r="B1818" i="6"/>
  <c r="D1817" i="6"/>
  <c r="B1817" i="6"/>
  <c r="D1816" i="6"/>
  <c r="B1816" i="6"/>
  <c r="D1815" i="6"/>
  <c r="B1815" i="6"/>
  <c r="D1814" i="6"/>
  <c r="B1814" i="6"/>
  <c r="D1813" i="6"/>
  <c r="B1813" i="6"/>
  <c r="D1812" i="6"/>
  <c r="B1812" i="6"/>
  <c r="D1811" i="6"/>
  <c r="B1811" i="6"/>
  <c r="D1810" i="6"/>
  <c r="B1810" i="6"/>
  <c r="D1809" i="6"/>
  <c r="B1809" i="6"/>
  <c r="D1808" i="6"/>
  <c r="B1808" i="6"/>
  <c r="D1807" i="6"/>
  <c r="B1807" i="6"/>
  <c r="D1806" i="6"/>
  <c r="B1806" i="6"/>
  <c r="D1805" i="6"/>
  <c r="B1805" i="6"/>
  <c r="D1804" i="6"/>
  <c r="B1804" i="6"/>
  <c r="D1803" i="6"/>
  <c r="B1803" i="6"/>
  <c r="D1802" i="6"/>
  <c r="B1802" i="6"/>
  <c r="D1801" i="6"/>
  <c r="B1801" i="6"/>
  <c r="D1800" i="6"/>
  <c r="B1800" i="6"/>
  <c r="D1799" i="6"/>
  <c r="B1799" i="6"/>
  <c r="D1798" i="6"/>
  <c r="B1798" i="6"/>
  <c r="D1797" i="6"/>
  <c r="B1797" i="6"/>
  <c r="D1796" i="6"/>
  <c r="B1796" i="6"/>
  <c r="D1795" i="6"/>
  <c r="B1795" i="6"/>
  <c r="D1794" i="6"/>
  <c r="B1794" i="6"/>
  <c r="D1793" i="6"/>
  <c r="B1793" i="6"/>
  <c r="D1792" i="6"/>
  <c r="B1792" i="6"/>
  <c r="D1791" i="6"/>
  <c r="B1791" i="6"/>
  <c r="D1790" i="6"/>
  <c r="B1790" i="6"/>
  <c r="D1789" i="6"/>
  <c r="B1789" i="6"/>
  <c r="D1788" i="6"/>
  <c r="B1788" i="6"/>
  <c r="D1787" i="6"/>
  <c r="B1787" i="6"/>
  <c r="D1786" i="6"/>
  <c r="B1786" i="6"/>
  <c r="D1785" i="6"/>
  <c r="B1785" i="6"/>
  <c r="D1784" i="6"/>
  <c r="B1784" i="6"/>
  <c r="D1783" i="6"/>
  <c r="B1783" i="6"/>
  <c r="D1782" i="6"/>
  <c r="B1782" i="6"/>
  <c r="D1781" i="6"/>
  <c r="B1781" i="6"/>
  <c r="D1780" i="6"/>
  <c r="B1780" i="6"/>
  <c r="D1779" i="6"/>
  <c r="B1779" i="6"/>
  <c r="D1778" i="6"/>
  <c r="B1778" i="6"/>
  <c r="D1777" i="6"/>
  <c r="B1777" i="6"/>
  <c r="D1776" i="6"/>
  <c r="B1776" i="6"/>
  <c r="D1775" i="6"/>
  <c r="B1775" i="6"/>
  <c r="D1774" i="6"/>
  <c r="B1774" i="6"/>
  <c r="D1773" i="6"/>
  <c r="B1773" i="6"/>
  <c r="D1772" i="6"/>
  <c r="B1772" i="6"/>
  <c r="D1771" i="6"/>
  <c r="B1771" i="6"/>
  <c r="D1770" i="6"/>
  <c r="B1770" i="6"/>
  <c r="D1769" i="6"/>
  <c r="B1769" i="6"/>
  <c r="D1768" i="6"/>
  <c r="B1768" i="6"/>
  <c r="D1767" i="6"/>
  <c r="B1767" i="6"/>
  <c r="D1766" i="6"/>
  <c r="B1766" i="6"/>
  <c r="D1765" i="6"/>
  <c r="B1765" i="6"/>
  <c r="D1764" i="6"/>
  <c r="B1764" i="6"/>
  <c r="D1763" i="6"/>
  <c r="B1763" i="6"/>
  <c r="D1762" i="6"/>
  <c r="B1762" i="6"/>
  <c r="D1761" i="6"/>
  <c r="B1761" i="6"/>
  <c r="D1760" i="6"/>
  <c r="B1760" i="6"/>
  <c r="D1759" i="6"/>
  <c r="B1759" i="6"/>
  <c r="D1758" i="6"/>
  <c r="B1758" i="6"/>
  <c r="D1757" i="6"/>
  <c r="B1757" i="6"/>
  <c r="D1756" i="6"/>
  <c r="B1756" i="6"/>
  <c r="D1755" i="6"/>
  <c r="B1755" i="6"/>
  <c r="D1754" i="6"/>
  <c r="B1754" i="6"/>
  <c r="D1753" i="6"/>
  <c r="B1753" i="6"/>
  <c r="D1752" i="6"/>
  <c r="B1752" i="6"/>
  <c r="D1751" i="6"/>
  <c r="B1751" i="6"/>
  <c r="D1750" i="6"/>
  <c r="B1750" i="6"/>
  <c r="D1749" i="6"/>
  <c r="B1749" i="6"/>
  <c r="D1748" i="6"/>
  <c r="B1748" i="6"/>
  <c r="D1747" i="6"/>
  <c r="B1747" i="6"/>
  <c r="D1746" i="6"/>
  <c r="B1746" i="6"/>
  <c r="D1745" i="6"/>
  <c r="B1745" i="6"/>
  <c r="D1744" i="6"/>
  <c r="B1744" i="6"/>
  <c r="D1743" i="6"/>
  <c r="B1743" i="6"/>
  <c r="D1742" i="6"/>
  <c r="B1742" i="6"/>
  <c r="D1741" i="6"/>
  <c r="B1741" i="6"/>
  <c r="D1740" i="6"/>
  <c r="B1740" i="6"/>
  <c r="D1739" i="6"/>
  <c r="B1739" i="6"/>
  <c r="D1738" i="6"/>
  <c r="B1738" i="6"/>
  <c r="D1737" i="6"/>
  <c r="B1737" i="6"/>
  <c r="D1736" i="6"/>
  <c r="B1736" i="6"/>
  <c r="D1735" i="6"/>
  <c r="B1735" i="6"/>
  <c r="D1734" i="6"/>
  <c r="B1734" i="6"/>
  <c r="D1733" i="6"/>
  <c r="B1733" i="6"/>
  <c r="D1732" i="6"/>
  <c r="B1732" i="6"/>
  <c r="D1731" i="6"/>
  <c r="B1731" i="6"/>
  <c r="D1730" i="6"/>
  <c r="B1730" i="6"/>
  <c r="D1729" i="6"/>
  <c r="B1729" i="6"/>
  <c r="D1728" i="6"/>
  <c r="B1728" i="6"/>
  <c r="D1727" i="6"/>
  <c r="B1727" i="6"/>
  <c r="D1726" i="6"/>
  <c r="B1726" i="6"/>
  <c r="D1725" i="6"/>
  <c r="B1725" i="6"/>
  <c r="D1724" i="6"/>
  <c r="B1724" i="6"/>
  <c r="D1723" i="6"/>
  <c r="B1723" i="6"/>
  <c r="D1722" i="6"/>
  <c r="B1722" i="6"/>
  <c r="D1721" i="6"/>
  <c r="B1721" i="6"/>
  <c r="D1720" i="6"/>
  <c r="B1720" i="6"/>
  <c r="D1719" i="6"/>
  <c r="B1719" i="6"/>
  <c r="D1718" i="6"/>
  <c r="B1718" i="6"/>
  <c r="D1717" i="6"/>
  <c r="B1717" i="6"/>
  <c r="D1716" i="6"/>
  <c r="B1716" i="6"/>
  <c r="D1715" i="6"/>
  <c r="B1715" i="6"/>
  <c r="D1714" i="6"/>
  <c r="B1714" i="6"/>
  <c r="D1713" i="6"/>
  <c r="B1713" i="6"/>
  <c r="D1712" i="6"/>
  <c r="B1712" i="6"/>
  <c r="D1711" i="6"/>
  <c r="B1711" i="6"/>
  <c r="D1710" i="6"/>
  <c r="B1710" i="6"/>
  <c r="D1709" i="6"/>
  <c r="B1709" i="6"/>
  <c r="D1708" i="6"/>
  <c r="B1708" i="6"/>
  <c r="D1707" i="6"/>
  <c r="B1707" i="6"/>
  <c r="D1706" i="6"/>
  <c r="B1706" i="6"/>
  <c r="D1705" i="6"/>
  <c r="B1705" i="6"/>
  <c r="D1704" i="6"/>
  <c r="B1704" i="6"/>
  <c r="D1703" i="6"/>
  <c r="B1703" i="6"/>
  <c r="D1702" i="6"/>
  <c r="B1702" i="6"/>
  <c r="D1701" i="6"/>
  <c r="B1701" i="6"/>
  <c r="D1700" i="6"/>
  <c r="B1700" i="6"/>
  <c r="D1699" i="6"/>
  <c r="B1699" i="6"/>
  <c r="D1698" i="6"/>
  <c r="B1698" i="6"/>
  <c r="D1697" i="6"/>
  <c r="B1697" i="6"/>
  <c r="D1696" i="6"/>
  <c r="B1696" i="6"/>
  <c r="D1695" i="6"/>
  <c r="B1695" i="6"/>
  <c r="D1694" i="6"/>
  <c r="B1694" i="6"/>
  <c r="D1693" i="6"/>
  <c r="B1693" i="6"/>
  <c r="D1692" i="6"/>
  <c r="B1692" i="6"/>
  <c r="D1691" i="6"/>
  <c r="B1691" i="6"/>
  <c r="D1690" i="6"/>
  <c r="B1690" i="6"/>
  <c r="D1689" i="6"/>
  <c r="B1689" i="6"/>
  <c r="D1688" i="6"/>
  <c r="B1688" i="6"/>
  <c r="D1687" i="6"/>
  <c r="B1687" i="6"/>
  <c r="D1686" i="6"/>
  <c r="B1686" i="6"/>
  <c r="D1685" i="6"/>
  <c r="B1685" i="6"/>
  <c r="D1684" i="6"/>
  <c r="B1684" i="6"/>
  <c r="D1683" i="6"/>
  <c r="B1683" i="6"/>
  <c r="D1682" i="6"/>
  <c r="B1682" i="6"/>
  <c r="D1681" i="6"/>
  <c r="B1681" i="6"/>
  <c r="D1680" i="6"/>
  <c r="B1680" i="6"/>
  <c r="D1679" i="6"/>
  <c r="B1679" i="6"/>
  <c r="D1678" i="6"/>
  <c r="B1678" i="6"/>
  <c r="D1677" i="6"/>
  <c r="B1677" i="6"/>
  <c r="D1676" i="6"/>
  <c r="B1676" i="6"/>
  <c r="D1675" i="6"/>
  <c r="B1675" i="6"/>
  <c r="D1674" i="6"/>
  <c r="B1674" i="6"/>
  <c r="D1673" i="6"/>
  <c r="B1673" i="6"/>
  <c r="D1672" i="6"/>
  <c r="B1672" i="6"/>
  <c r="D1671" i="6"/>
  <c r="B1671" i="6"/>
  <c r="D1670" i="6"/>
  <c r="B1670" i="6"/>
  <c r="D1669" i="6"/>
  <c r="B1669" i="6"/>
  <c r="D1668" i="6"/>
  <c r="B1668" i="6"/>
  <c r="D1667" i="6"/>
  <c r="B1667" i="6"/>
  <c r="D1666" i="6"/>
  <c r="B1666" i="6"/>
  <c r="D1665" i="6"/>
  <c r="B1665" i="6"/>
  <c r="D1664" i="6"/>
  <c r="B1664" i="6"/>
  <c r="D1663" i="6"/>
  <c r="B1663" i="6"/>
  <c r="D1662" i="6"/>
  <c r="B1662" i="6"/>
  <c r="D1661" i="6"/>
  <c r="B1661" i="6"/>
  <c r="D1660" i="6"/>
  <c r="B1660" i="6"/>
  <c r="D1659" i="6"/>
  <c r="B1659" i="6"/>
  <c r="D1658" i="6"/>
  <c r="B1658" i="6"/>
  <c r="D1657" i="6"/>
  <c r="B1657" i="6"/>
  <c r="D1656" i="6"/>
  <c r="B1656" i="6"/>
  <c r="D1655" i="6"/>
  <c r="B1655" i="6"/>
  <c r="D1654" i="6"/>
  <c r="B1654" i="6"/>
  <c r="D1653" i="6"/>
  <c r="B1653" i="6"/>
  <c r="D1652" i="6"/>
  <c r="B1652" i="6"/>
  <c r="D1651" i="6"/>
  <c r="B1651" i="6"/>
  <c r="D1650" i="6"/>
  <c r="B1650" i="6"/>
  <c r="D1649" i="6"/>
  <c r="B1649" i="6"/>
  <c r="D1648" i="6"/>
  <c r="B1648" i="6"/>
  <c r="D1647" i="6"/>
  <c r="B1647" i="6"/>
  <c r="D1646" i="6"/>
  <c r="B1646" i="6"/>
  <c r="D1645" i="6"/>
  <c r="B1645" i="6"/>
  <c r="D1644" i="6"/>
  <c r="B1644" i="6"/>
  <c r="D1643" i="6"/>
  <c r="B1643" i="6"/>
  <c r="D1642" i="6"/>
  <c r="B1642" i="6"/>
  <c r="D1641" i="6"/>
  <c r="B1641" i="6"/>
  <c r="D1640" i="6"/>
  <c r="B1640" i="6"/>
  <c r="D1639" i="6"/>
  <c r="B1639" i="6"/>
  <c r="D1638" i="6"/>
  <c r="B1638" i="6"/>
  <c r="D1637" i="6"/>
  <c r="B1637" i="6"/>
  <c r="D1636" i="6"/>
  <c r="B1636" i="6"/>
  <c r="D1635" i="6"/>
  <c r="B1635" i="6"/>
  <c r="D1634" i="6"/>
  <c r="B1634" i="6"/>
  <c r="D1633" i="6"/>
  <c r="B1633" i="6"/>
  <c r="D1632" i="6"/>
  <c r="B1632" i="6"/>
  <c r="D1631" i="6"/>
  <c r="B1631" i="6"/>
  <c r="D1630" i="6"/>
  <c r="B1630" i="6"/>
  <c r="D1629" i="6"/>
  <c r="B1629" i="6"/>
  <c r="D1628" i="6"/>
  <c r="B1628" i="6"/>
  <c r="D1627" i="6"/>
  <c r="B1627" i="6"/>
  <c r="D1626" i="6"/>
  <c r="B1626" i="6"/>
  <c r="D1625" i="6"/>
  <c r="B1625" i="6"/>
  <c r="D1624" i="6"/>
  <c r="B1624" i="6"/>
  <c r="D1623" i="6"/>
  <c r="B1623" i="6"/>
  <c r="D1622" i="6"/>
  <c r="B1622" i="6"/>
  <c r="D1621" i="6"/>
  <c r="B1621" i="6"/>
  <c r="D1620" i="6"/>
  <c r="B1620" i="6"/>
  <c r="D1619" i="6"/>
  <c r="B1619" i="6"/>
  <c r="D1618" i="6"/>
  <c r="B1618" i="6"/>
  <c r="D1617" i="6"/>
  <c r="B1617" i="6"/>
  <c r="D1616" i="6"/>
  <c r="B1616" i="6"/>
  <c r="D1615" i="6"/>
  <c r="B1615" i="6"/>
  <c r="D1614" i="6"/>
  <c r="B1614" i="6"/>
  <c r="D1613" i="6"/>
  <c r="B1613" i="6"/>
  <c r="D1612" i="6"/>
  <c r="B1612" i="6"/>
  <c r="D1611" i="6"/>
  <c r="B1611" i="6"/>
  <c r="D1610" i="6"/>
  <c r="B1610" i="6"/>
  <c r="D1609" i="6"/>
  <c r="B1609" i="6"/>
  <c r="D1608" i="6"/>
  <c r="B1608" i="6"/>
  <c r="D1607" i="6"/>
  <c r="B1607" i="6"/>
  <c r="D1606" i="6"/>
  <c r="B1606" i="6"/>
  <c r="D1605" i="6"/>
  <c r="B1605" i="6"/>
  <c r="D1604" i="6"/>
  <c r="B1604" i="6"/>
  <c r="D1603" i="6"/>
  <c r="B1603" i="6"/>
  <c r="D1602" i="6"/>
  <c r="B1602" i="6"/>
  <c r="D1601" i="6"/>
  <c r="B1601" i="6"/>
  <c r="D1600" i="6"/>
  <c r="B1600" i="6"/>
  <c r="D1599" i="6"/>
  <c r="B1599" i="6"/>
  <c r="D1598" i="6"/>
  <c r="B1598" i="6"/>
  <c r="D1597" i="6"/>
  <c r="B1597" i="6"/>
  <c r="D1596" i="6"/>
  <c r="B1596" i="6"/>
  <c r="D1595" i="6"/>
  <c r="B1595" i="6"/>
  <c r="D1594" i="6"/>
  <c r="B1594" i="6"/>
  <c r="D1593" i="6"/>
  <c r="B1593" i="6"/>
  <c r="D1592" i="6"/>
  <c r="B1592" i="6"/>
  <c r="D1591" i="6"/>
  <c r="B1591" i="6"/>
  <c r="D1590" i="6"/>
  <c r="B1590" i="6"/>
  <c r="D1589" i="6"/>
  <c r="B1589" i="6"/>
  <c r="D1588" i="6"/>
  <c r="B1588" i="6"/>
  <c r="D1587" i="6"/>
  <c r="B1587" i="6"/>
  <c r="D1586" i="6"/>
  <c r="B1586" i="6"/>
  <c r="D1585" i="6"/>
  <c r="B1585" i="6"/>
  <c r="D1584" i="6"/>
  <c r="B1584" i="6"/>
  <c r="D1583" i="6"/>
  <c r="B1583" i="6"/>
  <c r="D1582" i="6"/>
  <c r="B1582" i="6"/>
  <c r="D1581" i="6"/>
  <c r="B1581" i="6"/>
  <c r="D1580" i="6"/>
  <c r="B1580" i="6"/>
  <c r="D1579" i="6"/>
  <c r="B1579" i="6"/>
  <c r="D1578" i="6"/>
  <c r="B1578" i="6"/>
  <c r="D1577" i="6"/>
  <c r="B1577" i="6"/>
  <c r="D1576" i="6"/>
  <c r="B1576" i="6"/>
  <c r="D1575" i="6"/>
  <c r="B1575" i="6"/>
  <c r="D1574" i="6"/>
  <c r="B1574" i="6"/>
  <c r="D1573" i="6"/>
  <c r="B1573" i="6"/>
  <c r="D1572" i="6"/>
  <c r="B1572" i="6"/>
  <c r="D1571" i="6"/>
  <c r="B1571" i="6"/>
  <c r="D1570" i="6"/>
  <c r="B1570" i="6"/>
  <c r="D1569" i="6"/>
  <c r="B1569" i="6"/>
  <c r="D1568" i="6"/>
  <c r="B1568" i="6"/>
  <c r="D1567" i="6"/>
  <c r="B1567" i="6"/>
  <c r="D1566" i="6"/>
  <c r="B1566" i="6"/>
  <c r="D1565" i="6"/>
  <c r="B1565" i="6"/>
  <c r="D1564" i="6"/>
  <c r="B1564" i="6"/>
  <c r="D1563" i="6"/>
  <c r="B1563" i="6"/>
  <c r="D1562" i="6"/>
  <c r="B1562" i="6"/>
  <c r="D1561" i="6"/>
  <c r="B1561" i="6"/>
  <c r="D1560" i="6"/>
  <c r="B1560" i="6"/>
  <c r="D1559" i="6"/>
  <c r="B1559" i="6"/>
  <c r="D1558" i="6"/>
  <c r="B1558" i="6"/>
  <c r="D1557" i="6"/>
  <c r="B1557" i="6"/>
  <c r="D1556" i="6"/>
  <c r="B1556" i="6"/>
  <c r="D1555" i="6"/>
  <c r="B1555" i="6"/>
  <c r="D1554" i="6"/>
  <c r="B1554" i="6"/>
  <c r="D1553" i="6"/>
  <c r="B1553" i="6"/>
  <c r="D1552" i="6"/>
  <c r="B1552" i="6"/>
  <c r="D1551" i="6"/>
  <c r="B1551" i="6"/>
  <c r="D1550" i="6"/>
  <c r="B1550" i="6"/>
  <c r="D1549" i="6"/>
  <c r="B1549" i="6"/>
  <c r="D1548" i="6"/>
  <c r="B1548" i="6"/>
  <c r="D1547" i="6"/>
  <c r="B1547" i="6"/>
  <c r="D1546" i="6"/>
  <c r="B1546" i="6"/>
  <c r="D1545" i="6"/>
  <c r="B1545" i="6"/>
  <c r="D1544" i="6"/>
  <c r="B1544" i="6"/>
  <c r="D1543" i="6"/>
  <c r="B1543" i="6"/>
  <c r="D1542" i="6"/>
  <c r="B1542" i="6"/>
  <c r="D1541" i="6"/>
  <c r="B1541" i="6"/>
  <c r="D1540" i="6"/>
  <c r="B1540" i="6"/>
  <c r="D1539" i="6"/>
  <c r="B1539" i="6"/>
  <c r="D1538" i="6"/>
  <c r="B1538" i="6"/>
  <c r="D1537" i="6"/>
  <c r="B1537" i="6"/>
  <c r="D1536" i="6"/>
  <c r="B1536" i="6"/>
  <c r="D1535" i="6"/>
  <c r="B1535" i="6"/>
  <c r="D1534" i="6"/>
  <c r="B1534" i="6"/>
  <c r="D1533" i="6"/>
  <c r="B1533" i="6"/>
  <c r="D1532" i="6"/>
  <c r="B1532" i="6"/>
  <c r="D1531" i="6"/>
  <c r="B1531" i="6"/>
  <c r="D1530" i="6"/>
  <c r="B1530" i="6"/>
  <c r="D1529" i="6"/>
  <c r="B1529" i="6"/>
  <c r="D1528" i="6"/>
  <c r="B1528" i="6"/>
  <c r="D1527" i="6"/>
  <c r="B1527" i="6"/>
  <c r="D1526" i="6"/>
  <c r="B1526" i="6"/>
  <c r="D1525" i="6"/>
  <c r="B1525" i="6"/>
  <c r="D1524" i="6"/>
  <c r="B1524" i="6"/>
  <c r="D1523" i="6"/>
  <c r="B1523" i="6"/>
  <c r="D1522" i="6"/>
  <c r="B1522" i="6"/>
  <c r="D1521" i="6"/>
  <c r="B1521" i="6"/>
  <c r="D1520" i="6"/>
  <c r="B1520" i="6"/>
  <c r="D1519" i="6"/>
  <c r="B1519" i="6"/>
  <c r="D1518" i="6"/>
  <c r="B1518" i="6"/>
  <c r="D1517" i="6"/>
  <c r="B1517" i="6"/>
  <c r="D1516" i="6"/>
  <c r="B1516" i="6"/>
  <c r="D1515" i="6"/>
  <c r="B1515" i="6"/>
  <c r="D1514" i="6"/>
  <c r="B1514" i="6"/>
  <c r="D1513" i="6"/>
  <c r="B1513" i="6"/>
  <c r="D1512" i="6"/>
  <c r="B1512" i="6"/>
  <c r="D1511" i="6"/>
  <c r="B1511" i="6"/>
  <c r="D1510" i="6"/>
  <c r="B1510" i="6"/>
  <c r="D1509" i="6"/>
  <c r="B1509" i="6"/>
  <c r="D1508" i="6"/>
  <c r="B1508" i="6"/>
  <c r="D1507" i="6"/>
  <c r="B1507" i="6"/>
  <c r="D1506" i="6"/>
  <c r="B1506" i="6"/>
  <c r="D1505" i="6"/>
  <c r="B1505" i="6"/>
  <c r="D1504" i="6"/>
  <c r="B1504" i="6"/>
  <c r="D1503" i="6"/>
  <c r="B1503" i="6"/>
  <c r="D1502" i="6"/>
  <c r="B1502" i="6"/>
  <c r="D1501" i="6"/>
  <c r="B1501" i="6"/>
  <c r="D1500" i="6"/>
  <c r="B1500" i="6"/>
  <c r="D1499" i="6"/>
  <c r="B1499" i="6"/>
  <c r="D1498" i="6"/>
  <c r="B1498" i="6"/>
  <c r="D1497" i="6"/>
  <c r="B1497" i="6"/>
  <c r="D1496" i="6"/>
  <c r="B1496" i="6"/>
  <c r="D1495" i="6"/>
  <c r="B1495" i="6"/>
  <c r="D1494" i="6"/>
  <c r="B1494" i="6"/>
  <c r="D1493" i="6"/>
  <c r="B1493" i="6"/>
  <c r="D1492" i="6"/>
  <c r="B1492" i="6"/>
  <c r="D1491" i="6"/>
  <c r="B1491" i="6"/>
  <c r="D1490" i="6"/>
  <c r="B1490" i="6"/>
  <c r="D1489" i="6"/>
  <c r="B1489" i="6"/>
  <c r="D1488" i="6"/>
  <c r="B1488" i="6"/>
  <c r="D1487" i="6"/>
  <c r="B1487" i="6"/>
  <c r="D1486" i="6"/>
  <c r="B1486" i="6"/>
  <c r="D1485" i="6"/>
  <c r="B1485" i="6"/>
  <c r="D1484" i="6"/>
  <c r="B1484" i="6"/>
  <c r="D1483" i="6"/>
  <c r="B1483" i="6"/>
  <c r="D1482" i="6"/>
  <c r="B1482" i="6"/>
  <c r="D1481" i="6"/>
  <c r="B1481" i="6"/>
  <c r="D1480" i="6"/>
  <c r="B1480" i="6"/>
  <c r="D1479" i="6"/>
  <c r="B1479" i="6"/>
  <c r="D1478" i="6"/>
  <c r="B1478" i="6"/>
  <c r="D1477" i="6"/>
  <c r="B1477" i="6"/>
  <c r="D1476" i="6"/>
  <c r="B1476" i="6"/>
  <c r="D1475" i="6"/>
  <c r="B1475" i="6"/>
  <c r="D1474" i="6"/>
  <c r="B1474" i="6"/>
  <c r="D1473" i="6"/>
  <c r="B1473" i="6"/>
  <c r="D1472" i="6"/>
  <c r="B1472" i="6"/>
  <c r="D1471" i="6"/>
  <c r="B1471" i="6"/>
  <c r="D1470" i="6"/>
  <c r="B1470" i="6"/>
  <c r="D1469" i="6"/>
  <c r="B1469" i="6"/>
  <c r="D1468" i="6"/>
  <c r="B1468" i="6"/>
  <c r="D1467" i="6"/>
  <c r="B1467" i="6"/>
  <c r="D1466" i="6"/>
  <c r="B1466" i="6"/>
  <c r="D1465" i="6"/>
  <c r="B1465" i="6"/>
  <c r="D1464" i="6"/>
  <c r="B1464" i="6"/>
  <c r="D1463" i="6"/>
  <c r="B1463" i="6"/>
  <c r="D1462" i="6"/>
  <c r="B1462" i="6"/>
  <c r="D1461" i="6"/>
  <c r="B1461" i="6"/>
  <c r="D1460" i="6"/>
  <c r="B1460" i="6"/>
  <c r="D1459" i="6"/>
  <c r="B1459" i="6"/>
  <c r="D1458" i="6"/>
  <c r="B1458" i="6"/>
  <c r="D1457" i="6"/>
  <c r="B1457" i="6"/>
  <c r="D1456" i="6"/>
  <c r="B1456" i="6"/>
  <c r="D1455" i="6"/>
  <c r="B1455" i="6"/>
  <c r="D1454" i="6"/>
  <c r="B1454" i="6"/>
  <c r="D1453" i="6"/>
  <c r="B1453" i="6"/>
  <c r="D1452" i="6"/>
  <c r="B1452" i="6"/>
  <c r="D1451" i="6"/>
  <c r="B1451" i="6"/>
  <c r="D1450" i="6"/>
  <c r="B1450" i="6"/>
  <c r="D1449" i="6"/>
  <c r="B1449" i="6"/>
  <c r="D1448" i="6"/>
  <c r="B1448" i="6"/>
  <c r="D1447" i="6"/>
  <c r="B1447" i="6"/>
  <c r="D1446" i="6"/>
  <c r="B1446" i="6"/>
  <c r="D1445" i="6"/>
  <c r="B1445" i="6"/>
  <c r="D1444" i="6"/>
  <c r="B1444" i="6"/>
  <c r="D1443" i="6"/>
  <c r="B1443" i="6"/>
  <c r="D1442" i="6"/>
  <c r="B1442" i="6"/>
  <c r="D1441" i="6"/>
  <c r="B1441" i="6"/>
  <c r="D1440" i="6"/>
  <c r="B1440" i="6"/>
  <c r="D1439" i="6"/>
  <c r="B1439" i="6"/>
  <c r="D1438" i="6"/>
  <c r="B1438" i="6"/>
  <c r="D1437" i="6"/>
  <c r="B1437" i="6"/>
  <c r="D1436" i="6"/>
  <c r="B1436" i="6"/>
  <c r="D1435" i="6"/>
  <c r="B1435" i="6"/>
  <c r="D1434" i="6"/>
  <c r="B1434" i="6"/>
  <c r="D1433" i="6"/>
  <c r="B1433" i="6"/>
  <c r="D1432" i="6"/>
  <c r="B1432" i="6"/>
  <c r="D1431" i="6"/>
  <c r="B1431" i="6"/>
  <c r="D1430" i="6"/>
  <c r="B1430" i="6"/>
  <c r="D1429" i="6"/>
  <c r="B1429" i="6"/>
  <c r="D1428" i="6"/>
  <c r="B1428" i="6"/>
  <c r="D1427" i="6"/>
  <c r="B1427" i="6"/>
  <c r="D1426" i="6"/>
  <c r="B1426" i="6"/>
  <c r="D1425" i="6"/>
  <c r="B1425" i="6"/>
  <c r="D1424" i="6"/>
  <c r="B1424" i="6"/>
  <c r="D1423" i="6"/>
  <c r="B1423" i="6"/>
  <c r="D1422" i="6"/>
  <c r="B1422" i="6"/>
  <c r="D1421" i="6"/>
  <c r="B1421" i="6"/>
  <c r="D1420" i="6"/>
  <c r="B1420" i="6"/>
  <c r="D1419" i="6"/>
  <c r="B1419" i="6"/>
  <c r="D1418" i="6"/>
  <c r="B1418" i="6"/>
  <c r="D1417" i="6"/>
  <c r="B1417" i="6"/>
  <c r="D1416" i="6"/>
  <c r="B1416" i="6"/>
  <c r="D1415" i="6"/>
  <c r="B1415" i="6"/>
  <c r="D1414" i="6"/>
  <c r="B1414" i="6"/>
  <c r="D1413" i="6"/>
  <c r="B1413" i="6"/>
  <c r="D1412" i="6"/>
  <c r="B1412" i="6"/>
  <c r="D1411" i="6"/>
  <c r="B1411" i="6"/>
  <c r="D1410" i="6"/>
  <c r="B1410" i="6"/>
  <c r="D1409" i="6"/>
  <c r="B1409" i="6"/>
  <c r="D1408" i="6"/>
  <c r="B1408" i="6"/>
  <c r="D1407" i="6"/>
  <c r="B1407" i="6"/>
  <c r="D1406" i="6"/>
  <c r="B1406" i="6"/>
  <c r="D1405" i="6"/>
  <c r="B1405" i="6"/>
  <c r="D1404" i="6"/>
  <c r="B1404" i="6"/>
  <c r="D1403" i="6"/>
  <c r="B1403" i="6"/>
  <c r="D1402" i="6"/>
  <c r="B1402" i="6"/>
  <c r="D1401" i="6"/>
  <c r="B1401" i="6"/>
  <c r="D1400" i="6"/>
  <c r="B1400" i="6"/>
  <c r="D1399" i="6"/>
  <c r="B1399" i="6"/>
  <c r="D1398" i="6"/>
  <c r="B1398" i="6"/>
  <c r="D1397" i="6"/>
  <c r="B1397" i="6"/>
  <c r="D1396" i="6"/>
  <c r="B1396" i="6"/>
  <c r="D1395" i="6"/>
  <c r="B1395" i="6"/>
  <c r="D1394" i="6"/>
  <c r="B1394" i="6"/>
  <c r="D1393" i="6"/>
  <c r="B1393" i="6"/>
  <c r="D1392" i="6"/>
  <c r="B1392" i="6"/>
  <c r="D1391" i="6"/>
  <c r="B1391" i="6"/>
  <c r="D1390" i="6"/>
  <c r="B1390" i="6"/>
  <c r="D1389" i="6"/>
  <c r="B1389" i="6"/>
  <c r="D1388" i="6"/>
  <c r="B1388" i="6"/>
  <c r="D1387" i="6"/>
  <c r="B1387" i="6"/>
  <c r="D1386" i="6"/>
  <c r="B1386" i="6"/>
  <c r="D1385" i="6"/>
  <c r="B1385" i="6"/>
  <c r="D1384" i="6"/>
  <c r="B1384" i="6"/>
  <c r="D1383" i="6"/>
  <c r="B1383" i="6"/>
  <c r="D1382" i="6"/>
  <c r="B1382" i="6"/>
  <c r="D1381" i="6"/>
  <c r="B1381" i="6"/>
  <c r="D1380" i="6"/>
  <c r="B1380" i="6"/>
  <c r="D1379" i="6"/>
  <c r="B1379" i="6"/>
  <c r="D1378" i="6"/>
  <c r="B1378" i="6"/>
  <c r="D1377" i="6"/>
  <c r="B1377" i="6"/>
  <c r="D1376" i="6"/>
  <c r="B1376" i="6"/>
  <c r="D1375" i="6"/>
  <c r="B1375" i="6"/>
  <c r="D1374" i="6"/>
  <c r="B1374" i="6"/>
  <c r="D1373" i="6"/>
  <c r="B1373" i="6"/>
  <c r="D1372" i="6"/>
  <c r="B1372" i="6"/>
  <c r="D1371" i="6"/>
  <c r="B1371" i="6"/>
  <c r="D1370" i="6"/>
  <c r="B1370" i="6"/>
  <c r="D1369" i="6"/>
  <c r="B1369" i="6"/>
  <c r="D1368" i="6"/>
  <c r="B1368" i="6"/>
  <c r="D1367" i="6"/>
  <c r="B1367" i="6"/>
  <c r="D1366" i="6"/>
  <c r="B1366" i="6"/>
  <c r="D1365" i="6"/>
  <c r="B1365" i="6"/>
  <c r="D1364" i="6"/>
  <c r="B1364" i="6"/>
  <c r="D1363" i="6"/>
  <c r="B1363" i="6"/>
  <c r="D1362" i="6"/>
  <c r="B1362" i="6"/>
  <c r="D1361" i="6"/>
  <c r="B1361" i="6"/>
  <c r="D1360" i="6"/>
  <c r="B1360" i="6"/>
  <c r="D1359" i="6"/>
  <c r="B1359" i="6"/>
  <c r="D1358" i="6"/>
  <c r="B1358" i="6"/>
  <c r="D1357" i="6"/>
  <c r="B1357" i="6"/>
  <c r="D1356" i="6"/>
  <c r="B1356" i="6"/>
  <c r="D1355" i="6"/>
  <c r="B1355" i="6"/>
  <c r="D1354" i="6"/>
  <c r="B1354" i="6"/>
  <c r="D1353" i="6"/>
  <c r="B1353" i="6"/>
  <c r="D1352" i="6"/>
  <c r="B1352" i="6"/>
  <c r="D1351" i="6"/>
  <c r="B1351" i="6"/>
  <c r="D1350" i="6"/>
  <c r="B1350" i="6"/>
  <c r="D1349" i="6"/>
  <c r="B1349" i="6"/>
  <c r="D1348" i="6"/>
  <c r="B1348" i="6"/>
  <c r="D1347" i="6"/>
  <c r="B1347" i="6"/>
  <c r="D1346" i="6"/>
  <c r="B1346" i="6"/>
  <c r="D1345" i="6"/>
  <c r="B1345" i="6"/>
  <c r="D1344" i="6"/>
  <c r="B1344" i="6"/>
  <c r="D1343" i="6"/>
  <c r="B1343" i="6"/>
  <c r="D1342" i="6"/>
  <c r="B1342" i="6"/>
  <c r="D1341" i="6"/>
  <c r="B1341" i="6"/>
  <c r="D1340" i="6"/>
  <c r="B1340" i="6"/>
  <c r="D1339" i="6"/>
  <c r="B1339" i="6"/>
  <c r="D1338" i="6"/>
  <c r="B1338" i="6"/>
  <c r="D1337" i="6"/>
  <c r="B1337" i="6"/>
  <c r="D1336" i="6"/>
  <c r="B1336" i="6"/>
  <c r="D1335" i="6"/>
  <c r="B1335" i="6"/>
  <c r="D1334" i="6"/>
  <c r="B1334" i="6"/>
  <c r="D1333" i="6"/>
  <c r="B1333" i="6"/>
  <c r="D1332" i="6"/>
  <c r="B1332" i="6"/>
  <c r="D1331" i="6"/>
  <c r="B1331" i="6"/>
  <c r="D1330" i="6"/>
  <c r="B1330" i="6"/>
  <c r="D1329" i="6"/>
  <c r="B1329" i="6"/>
  <c r="D1328" i="6"/>
  <c r="B1328" i="6"/>
  <c r="D1327" i="6"/>
  <c r="B1327" i="6"/>
  <c r="D1326" i="6"/>
  <c r="B1326" i="6"/>
  <c r="D1325" i="6"/>
  <c r="B1325" i="6"/>
  <c r="D1324" i="6"/>
  <c r="B1324" i="6"/>
  <c r="D1323" i="6"/>
  <c r="B1323" i="6"/>
  <c r="D1322" i="6"/>
  <c r="B1322" i="6"/>
  <c r="D1321" i="6"/>
  <c r="B1321" i="6"/>
  <c r="D1320" i="6"/>
  <c r="B1320" i="6"/>
  <c r="D1319" i="6"/>
  <c r="B1319" i="6"/>
  <c r="D1318" i="6"/>
  <c r="B1318" i="6"/>
  <c r="D1317" i="6"/>
  <c r="B1317" i="6"/>
  <c r="D1316" i="6"/>
  <c r="B1316" i="6"/>
  <c r="D1315" i="6"/>
  <c r="B1315" i="6"/>
  <c r="D1314" i="6"/>
  <c r="B1314" i="6"/>
  <c r="D1313" i="6"/>
  <c r="B1313" i="6"/>
  <c r="D1312" i="6"/>
  <c r="B1312" i="6"/>
  <c r="D1311" i="6"/>
  <c r="B1311" i="6"/>
  <c r="D1310" i="6"/>
  <c r="B1310" i="6"/>
  <c r="D1309" i="6"/>
  <c r="B1309" i="6"/>
  <c r="D1308" i="6"/>
  <c r="B1308" i="6"/>
  <c r="D1307" i="6"/>
  <c r="B1307" i="6"/>
  <c r="D1306" i="6"/>
  <c r="B1306" i="6"/>
  <c r="D1305" i="6"/>
  <c r="B1305" i="6"/>
  <c r="D1304" i="6"/>
  <c r="B1304" i="6"/>
  <c r="D1303" i="6"/>
  <c r="B1303" i="6"/>
  <c r="D1302" i="6"/>
  <c r="B1302" i="6"/>
  <c r="D1301" i="6"/>
  <c r="B1301" i="6"/>
  <c r="D1300" i="6"/>
  <c r="B1300" i="6"/>
  <c r="D1299" i="6"/>
  <c r="B1299" i="6"/>
  <c r="D1298" i="6"/>
  <c r="B1298" i="6"/>
  <c r="D1297" i="6"/>
  <c r="B1297" i="6"/>
  <c r="D1296" i="6"/>
  <c r="B1296" i="6"/>
  <c r="D1295" i="6"/>
  <c r="B1295" i="6"/>
  <c r="D1294" i="6"/>
  <c r="B1294" i="6"/>
  <c r="D1293" i="6"/>
  <c r="B1293" i="6"/>
  <c r="D1292" i="6"/>
  <c r="B1292" i="6"/>
  <c r="D1291" i="6"/>
  <c r="B1291" i="6"/>
  <c r="D1290" i="6"/>
  <c r="B1290" i="6"/>
  <c r="D1289" i="6"/>
  <c r="B1289" i="6"/>
  <c r="D1288" i="6"/>
  <c r="B1288" i="6"/>
  <c r="D1287" i="6"/>
  <c r="B1287" i="6"/>
  <c r="D1286" i="6"/>
  <c r="B1286" i="6"/>
  <c r="D1285" i="6"/>
  <c r="B1285" i="6"/>
  <c r="D1284" i="6"/>
  <c r="B1284" i="6"/>
  <c r="D1283" i="6"/>
  <c r="B1283" i="6"/>
  <c r="D1282" i="6"/>
  <c r="B1282" i="6"/>
  <c r="D1281" i="6"/>
  <c r="B1281" i="6"/>
  <c r="D1280" i="6"/>
  <c r="B1280" i="6"/>
  <c r="D1279" i="6"/>
  <c r="B1279" i="6"/>
  <c r="D1278" i="6"/>
  <c r="B1278" i="6"/>
  <c r="D1277" i="6"/>
  <c r="B1277" i="6"/>
  <c r="D1276" i="6"/>
  <c r="B1276" i="6"/>
  <c r="D1275" i="6"/>
  <c r="B1275" i="6"/>
  <c r="D1274" i="6"/>
  <c r="B1274" i="6"/>
  <c r="D1273" i="6"/>
  <c r="B1273" i="6"/>
  <c r="D1272" i="6"/>
  <c r="B1272" i="6"/>
  <c r="D1271" i="6"/>
  <c r="B1271" i="6"/>
  <c r="D1270" i="6"/>
  <c r="B1270" i="6"/>
  <c r="D1269" i="6"/>
  <c r="B1269" i="6"/>
  <c r="D1268" i="6"/>
  <c r="B1268" i="6"/>
  <c r="D1267" i="6"/>
  <c r="B1267" i="6"/>
  <c r="D1266" i="6"/>
  <c r="B1266" i="6"/>
  <c r="D1265" i="6"/>
  <c r="B1265" i="6"/>
  <c r="D1264" i="6"/>
  <c r="B1264" i="6"/>
  <c r="D1263" i="6"/>
  <c r="B1263" i="6"/>
  <c r="D1262" i="6"/>
  <c r="B1262" i="6"/>
  <c r="D1261" i="6"/>
  <c r="B1261" i="6"/>
  <c r="D1260" i="6"/>
  <c r="B1260" i="6"/>
  <c r="D1259" i="6"/>
  <c r="B1259" i="6"/>
  <c r="D1258" i="6"/>
  <c r="B1258" i="6"/>
  <c r="D1257" i="6"/>
  <c r="B1257" i="6"/>
  <c r="D1256" i="6"/>
  <c r="B1256" i="6"/>
  <c r="D1255" i="6"/>
  <c r="B1255" i="6"/>
  <c r="D1254" i="6"/>
  <c r="B1254" i="6"/>
  <c r="D1253" i="6"/>
  <c r="B1253" i="6"/>
  <c r="D1252" i="6"/>
  <c r="B1252" i="6"/>
  <c r="D1251" i="6"/>
  <c r="B1251" i="6"/>
  <c r="D1250" i="6"/>
  <c r="B1250" i="6"/>
  <c r="D1249" i="6"/>
  <c r="B1249" i="6"/>
  <c r="D1248" i="6"/>
  <c r="B1248" i="6"/>
  <c r="D1247" i="6"/>
  <c r="B1247" i="6"/>
  <c r="D1246" i="6"/>
  <c r="B1246" i="6"/>
  <c r="D1245" i="6"/>
  <c r="B1245" i="6"/>
  <c r="D1244" i="6"/>
  <c r="B1244" i="6"/>
  <c r="D1243" i="6"/>
  <c r="B1243" i="6"/>
  <c r="D1242" i="6"/>
  <c r="B1242" i="6"/>
  <c r="D1241" i="6"/>
  <c r="B1241" i="6"/>
  <c r="D1240" i="6"/>
  <c r="B1240" i="6"/>
  <c r="D1239" i="6"/>
  <c r="B1239" i="6"/>
  <c r="D1238" i="6"/>
  <c r="B1238" i="6"/>
  <c r="D1237" i="6"/>
  <c r="B1237" i="6"/>
  <c r="D1236" i="6"/>
  <c r="B1236" i="6"/>
  <c r="D1235" i="6"/>
  <c r="B1235" i="6"/>
  <c r="D1234" i="6"/>
  <c r="B1234" i="6"/>
  <c r="D1233" i="6"/>
  <c r="B1233" i="6"/>
  <c r="D1232" i="6"/>
  <c r="B1232" i="6"/>
  <c r="D1231" i="6"/>
  <c r="B1231" i="6"/>
  <c r="D1230" i="6"/>
  <c r="B1230" i="6"/>
  <c r="D1229" i="6"/>
  <c r="B1229" i="6"/>
  <c r="D1228" i="6"/>
  <c r="B1228" i="6"/>
  <c r="D1227" i="6"/>
  <c r="B1227" i="6"/>
  <c r="D1226" i="6"/>
  <c r="B1226" i="6"/>
  <c r="D1225" i="6"/>
  <c r="B1225" i="6"/>
  <c r="D1224" i="6"/>
  <c r="B1224" i="6"/>
  <c r="D1223" i="6"/>
  <c r="B1223" i="6"/>
  <c r="D1222" i="6"/>
  <c r="B1222" i="6"/>
  <c r="D1221" i="6"/>
  <c r="B1221" i="6"/>
  <c r="D1220" i="6"/>
  <c r="B1220" i="6"/>
  <c r="D1219" i="6"/>
  <c r="B1219" i="6"/>
  <c r="D1218" i="6"/>
  <c r="B1218" i="6"/>
  <c r="D1217" i="6"/>
  <c r="B1217" i="6"/>
  <c r="D1216" i="6"/>
  <c r="B1216" i="6"/>
  <c r="D1215" i="6"/>
  <c r="B1215" i="6"/>
  <c r="D1214" i="6"/>
  <c r="B1214" i="6"/>
  <c r="D1213" i="6"/>
  <c r="B1213" i="6"/>
  <c r="D1212" i="6"/>
  <c r="B1212" i="6"/>
  <c r="D1211" i="6"/>
  <c r="B1211" i="6"/>
  <c r="D1210" i="6"/>
  <c r="B1210" i="6"/>
  <c r="D1209" i="6"/>
  <c r="B1209" i="6"/>
  <c r="D1208" i="6"/>
  <c r="B1208" i="6"/>
  <c r="D1207" i="6"/>
  <c r="B1207" i="6"/>
  <c r="D1206" i="6"/>
  <c r="B1206" i="6"/>
  <c r="D1205" i="6"/>
  <c r="B1205" i="6"/>
  <c r="D1204" i="6"/>
  <c r="B1204" i="6"/>
  <c r="D1203" i="6"/>
  <c r="B1203" i="6"/>
  <c r="D1202" i="6"/>
  <c r="B1202" i="6"/>
  <c r="D1201" i="6"/>
  <c r="B1201" i="6"/>
  <c r="D1200" i="6"/>
  <c r="B1200" i="6"/>
  <c r="D1199" i="6"/>
  <c r="B1199" i="6"/>
  <c r="D1198" i="6"/>
  <c r="B1198" i="6"/>
  <c r="D1197" i="6"/>
  <c r="B1197" i="6"/>
  <c r="D1196" i="6"/>
  <c r="B1196" i="6"/>
  <c r="D1195" i="6"/>
  <c r="B1195" i="6"/>
  <c r="D1194" i="6"/>
  <c r="B1194" i="6"/>
  <c r="D1193" i="6"/>
  <c r="B1193" i="6"/>
  <c r="D1192" i="6"/>
  <c r="B1192" i="6"/>
  <c r="D1191" i="6"/>
  <c r="B1191" i="6"/>
  <c r="D1190" i="6"/>
  <c r="B1190" i="6"/>
  <c r="D1189" i="6"/>
  <c r="B1189" i="6"/>
  <c r="D1188" i="6"/>
  <c r="B1188" i="6"/>
  <c r="D1187" i="6"/>
  <c r="B1187" i="6"/>
  <c r="D1186" i="6"/>
  <c r="B1186" i="6"/>
  <c r="D1185" i="6"/>
  <c r="B1185" i="6"/>
  <c r="D1184" i="6"/>
  <c r="B1184" i="6"/>
  <c r="D1183" i="6"/>
  <c r="B1183" i="6"/>
  <c r="D1182" i="6"/>
  <c r="B1182" i="6"/>
  <c r="D1181" i="6"/>
  <c r="B1181" i="6"/>
  <c r="D1180" i="6"/>
  <c r="B1180" i="6"/>
  <c r="D1179" i="6"/>
  <c r="B1179" i="6"/>
  <c r="D1178" i="6"/>
  <c r="B1178" i="6"/>
  <c r="D1177" i="6"/>
  <c r="B1177" i="6"/>
  <c r="D1176" i="6"/>
  <c r="B1176" i="6"/>
  <c r="D1175" i="6"/>
  <c r="B1175" i="6"/>
  <c r="D1174" i="6"/>
  <c r="B1174" i="6"/>
  <c r="D1173" i="6"/>
  <c r="B1173" i="6"/>
  <c r="D1172" i="6"/>
  <c r="B1172" i="6"/>
  <c r="D1171" i="6"/>
  <c r="B1171" i="6"/>
  <c r="D1170" i="6"/>
  <c r="B1170" i="6"/>
  <c r="D1169" i="6"/>
  <c r="B1169" i="6"/>
  <c r="D1168" i="6"/>
  <c r="B1168" i="6"/>
  <c r="D1167" i="6"/>
  <c r="B1167" i="6"/>
  <c r="D1166" i="6"/>
  <c r="B1166" i="6"/>
  <c r="D1165" i="6"/>
  <c r="B1165" i="6"/>
  <c r="D1164" i="6"/>
  <c r="B1164" i="6"/>
  <c r="D1163" i="6"/>
  <c r="B1163" i="6"/>
  <c r="D1162" i="6"/>
  <c r="B1162" i="6"/>
  <c r="D1161" i="6"/>
  <c r="B1161" i="6"/>
  <c r="D1160" i="6"/>
  <c r="B1160" i="6"/>
  <c r="D1159" i="6"/>
  <c r="B1159" i="6"/>
  <c r="D1158" i="6"/>
  <c r="B1158" i="6"/>
  <c r="D1157" i="6"/>
  <c r="B1157" i="6"/>
  <c r="D1156" i="6"/>
  <c r="B1156" i="6"/>
  <c r="D1155" i="6"/>
  <c r="B1155" i="6"/>
  <c r="D1154" i="6"/>
  <c r="B1154" i="6"/>
  <c r="D1153" i="6"/>
  <c r="B1153" i="6"/>
  <c r="D1152" i="6"/>
  <c r="B1152" i="6"/>
  <c r="D1151" i="6"/>
  <c r="B1151" i="6"/>
  <c r="D1150" i="6"/>
  <c r="B1150" i="6"/>
  <c r="D1149" i="6"/>
  <c r="B1149" i="6"/>
  <c r="D1148" i="6"/>
  <c r="B1148" i="6"/>
  <c r="D1147" i="6"/>
  <c r="B1147" i="6"/>
  <c r="D1146" i="6"/>
  <c r="B1146" i="6"/>
  <c r="D1145" i="6"/>
  <c r="B1145" i="6"/>
  <c r="D1144" i="6"/>
  <c r="B1144" i="6"/>
  <c r="D1143" i="6"/>
  <c r="B1143" i="6"/>
  <c r="D1142" i="6"/>
  <c r="B1142" i="6"/>
  <c r="D1141" i="6"/>
  <c r="B1141" i="6"/>
  <c r="D1140" i="6"/>
  <c r="B1140" i="6"/>
  <c r="D1139" i="6"/>
  <c r="B1139" i="6"/>
  <c r="D1138" i="6"/>
  <c r="B1138" i="6"/>
  <c r="D1137" i="6"/>
  <c r="B1137" i="6"/>
  <c r="D1136" i="6"/>
  <c r="B1136" i="6"/>
  <c r="D1135" i="6"/>
  <c r="B1135" i="6"/>
  <c r="D1134" i="6"/>
  <c r="B1134" i="6"/>
  <c r="D1133" i="6"/>
  <c r="B1133" i="6"/>
  <c r="D1132" i="6"/>
  <c r="B1132" i="6"/>
  <c r="D1131" i="6"/>
  <c r="B1131" i="6"/>
  <c r="D1130" i="6"/>
  <c r="B1130" i="6"/>
  <c r="D1129" i="6"/>
  <c r="B1129" i="6"/>
  <c r="D1128" i="6"/>
  <c r="B1128" i="6"/>
  <c r="D1127" i="6"/>
  <c r="B1127" i="6"/>
  <c r="D1126" i="6"/>
  <c r="B1126" i="6"/>
  <c r="D1125" i="6"/>
  <c r="B1125" i="6"/>
  <c r="D1124" i="6"/>
  <c r="B1124" i="6"/>
  <c r="D1123" i="6"/>
  <c r="B1123" i="6"/>
  <c r="D1122" i="6"/>
  <c r="B1122" i="6"/>
  <c r="D1121" i="6"/>
  <c r="B1121" i="6"/>
  <c r="D1120" i="6"/>
  <c r="B1120" i="6"/>
  <c r="D1119" i="6"/>
  <c r="B1119" i="6"/>
  <c r="D1118" i="6"/>
  <c r="B1118" i="6"/>
  <c r="D1117" i="6"/>
  <c r="B1117" i="6"/>
  <c r="D1116" i="6"/>
  <c r="B1116" i="6"/>
  <c r="D1115" i="6"/>
  <c r="B1115" i="6"/>
  <c r="D1114" i="6"/>
  <c r="B1114" i="6"/>
  <c r="D1113" i="6"/>
  <c r="B1113" i="6"/>
  <c r="D1112" i="6"/>
  <c r="B1112" i="6"/>
  <c r="D1111" i="6"/>
  <c r="B1111" i="6"/>
  <c r="D1110" i="6"/>
  <c r="B1110" i="6"/>
  <c r="D1109" i="6"/>
  <c r="B1109" i="6"/>
  <c r="D1108" i="6"/>
  <c r="B1108" i="6"/>
  <c r="D1107" i="6"/>
  <c r="B1107" i="6"/>
  <c r="D1106" i="6"/>
  <c r="B1106" i="6"/>
  <c r="D1105" i="6"/>
  <c r="B1105" i="6"/>
  <c r="D1104" i="6"/>
  <c r="B1104" i="6"/>
  <c r="D1103" i="6"/>
  <c r="B1103" i="6"/>
  <c r="D1102" i="6"/>
  <c r="B1102" i="6"/>
  <c r="D1101" i="6"/>
  <c r="B1101" i="6"/>
  <c r="D1100" i="6"/>
  <c r="B1100" i="6"/>
  <c r="D1099" i="6"/>
  <c r="B1099" i="6"/>
  <c r="D1098" i="6"/>
  <c r="B1098" i="6"/>
  <c r="D1097" i="6"/>
  <c r="B1097" i="6"/>
  <c r="D1096" i="6"/>
  <c r="B1096" i="6"/>
  <c r="D1095" i="6"/>
  <c r="B1095" i="6"/>
  <c r="D1094" i="6"/>
  <c r="B1094" i="6"/>
  <c r="D1093" i="6"/>
  <c r="B1093" i="6"/>
  <c r="D1092" i="6"/>
  <c r="B1092" i="6"/>
  <c r="D1091" i="6"/>
  <c r="B1091" i="6"/>
  <c r="D1090" i="6"/>
  <c r="B1090" i="6"/>
  <c r="D1089" i="6"/>
  <c r="B1089" i="6"/>
  <c r="D1088" i="6"/>
  <c r="B1088" i="6"/>
  <c r="D1087" i="6"/>
  <c r="B1087" i="6"/>
  <c r="D1086" i="6"/>
  <c r="B1086" i="6"/>
  <c r="D1085" i="6"/>
  <c r="B1085" i="6"/>
  <c r="D1084" i="6"/>
  <c r="B1084" i="6"/>
  <c r="D1083" i="6"/>
  <c r="B1083" i="6"/>
  <c r="D1082" i="6"/>
  <c r="B1082" i="6"/>
  <c r="D1081" i="6"/>
  <c r="B1081" i="6"/>
  <c r="D1080" i="6"/>
  <c r="B1080" i="6"/>
  <c r="D1079" i="6"/>
  <c r="B1079" i="6"/>
  <c r="D1078" i="6"/>
  <c r="B1078" i="6"/>
  <c r="D1077" i="6"/>
  <c r="B1077" i="6"/>
  <c r="D1076" i="6"/>
  <c r="B1076" i="6"/>
  <c r="D1075" i="6"/>
  <c r="B1075" i="6"/>
  <c r="D1074" i="6"/>
  <c r="B1074" i="6"/>
  <c r="D1073" i="6"/>
  <c r="B1073" i="6"/>
  <c r="D1072" i="6"/>
  <c r="B1072" i="6"/>
  <c r="D1071" i="6"/>
  <c r="B1071" i="6"/>
  <c r="D1070" i="6"/>
  <c r="B1070" i="6"/>
  <c r="D1069" i="6"/>
  <c r="B1069" i="6"/>
  <c r="D1068" i="6"/>
  <c r="B1068" i="6"/>
  <c r="D1067" i="6"/>
  <c r="B1067" i="6"/>
  <c r="D1066" i="6"/>
  <c r="B1066" i="6"/>
  <c r="D1065" i="6"/>
  <c r="B1065" i="6"/>
  <c r="D1064" i="6"/>
  <c r="B1064" i="6"/>
  <c r="D1063" i="6"/>
  <c r="B1063" i="6"/>
  <c r="D1062" i="6"/>
  <c r="B1062" i="6"/>
  <c r="D1061" i="6"/>
  <c r="B1061" i="6"/>
  <c r="D1060" i="6"/>
  <c r="B1060" i="6"/>
  <c r="D1059" i="6"/>
  <c r="B1059" i="6"/>
  <c r="D1058" i="6"/>
  <c r="B1058" i="6"/>
  <c r="D1057" i="6"/>
  <c r="B1057" i="6"/>
  <c r="D1056" i="6"/>
  <c r="B1056" i="6"/>
  <c r="D1055" i="6"/>
  <c r="B1055" i="6"/>
  <c r="D1054" i="6"/>
  <c r="B1054" i="6"/>
  <c r="D1053" i="6"/>
  <c r="B1053" i="6"/>
  <c r="D1052" i="6"/>
  <c r="B1052" i="6"/>
  <c r="D1051" i="6"/>
  <c r="B1051" i="6"/>
  <c r="D1050" i="6"/>
  <c r="B1050" i="6"/>
  <c r="D1049" i="6"/>
  <c r="B1049" i="6"/>
  <c r="D1048" i="6"/>
  <c r="B1048" i="6"/>
  <c r="D1047" i="6"/>
  <c r="B1047" i="6"/>
  <c r="D1046" i="6"/>
  <c r="B1046" i="6"/>
  <c r="D1045" i="6"/>
  <c r="B1045" i="6"/>
  <c r="D1044" i="6"/>
  <c r="B1044" i="6"/>
  <c r="D1043" i="6"/>
  <c r="B1043" i="6"/>
  <c r="D1042" i="6"/>
  <c r="B1042" i="6"/>
  <c r="D1041" i="6"/>
  <c r="B1041" i="6"/>
  <c r="D1040" i="6"/>
  <c r="B1040" i="6"/>
  <c r="D1039" i="6"/>
  <c r="B1039" i="6"/>
  <c r="D1038" i="6"/>
  <c r="B1038" i="6"/>
  <c r="D1037" i="6"/>
  <c r="B1037" i="6"/>
  <c r="D1036" i="6"/>
  <c r="B1036" i="6"/>
  <c r="D1035" i="6"/>
  <c r="B1035" i="6"/>
  <c r="D1034" i="6"/>
  <c r="B1034" i="6"/>
  <c r="D1033" i="6"/>
  <c r="B1033" i="6"/>
  <c r="D1032" i="6"/>
  <c r="B1032" i="6"/>
  <c r="D1031" i="6"/>
  <c r="B1031" i="6"/>
  <c r="D1030" i="6"/>
  <c r="B1030" i="6"/>
  <c r="D1029" i="6"/>
  <c r="B1029" i="6"/>
  <c r="D1028" i="6"/>
  <c r="B1028" i="6"/>
  <c r="D1027" i="6"/>
  <c r="B1027" i="6"/>
  <c r="D1026" i="6"/>
  <c r="B1026" i="6"/>
  <c r="D1025" i="6"/>
  <c r="B1025" i="6"/>
  <c r="D1024" i="6"/>
  <c r="B1024" i="6"/>
  <c r="D1023" i="6"/>
  <c r="B1023" i="6"/>
  <c r="D1022" i="6"/>
  <c r="B1022" i="6"/>
  <c r="D1021" i="6"/>
  <c r="B1021" i="6"/>
  <c r="D1020" i="6"/>
  <c r="B1020" i="6"/>
  <c r="D1019" i="6"/>
  <c r="B1019" i="6"/>
  <c r="D1018" i="6"/>
  <c r="B1018" i="6"/>
  <c r="D1017" i="6"/>
  <c r="B1017" i="6"/>
  <c r="D1016" i="6"/>
  <c r="B1016" i="6"/>
  <c r="D1015" i="6"/>
  <c r="B1015" i="6"/>
  <c r="D1014" i="6"/>
  <c r="B1014" i="6"/>
  <c r="D1013" i="6"/>
  <c r="B1013" i="6"/>
  <c r="D1012" i="6"/>
  <c r="B1012" i="6"/>
  <c r="D1011" i="6"/>
  <c r="B1011" i="6"/>
  <c r="D1010" i="6"/>
  <c r="B1010" i="6"/>
  <c r="D1009" i="6"/>
  <c r="B1009" i="6"/>
  <c r="D1008" i="6"/>
  <c r="B1008" i="6"/>
  <c r="D1007" i="6"/>
  <c r="B1007" i="6"/>
  <c r="D1006" i="6"/>
  <c r="B1006" i="6"/>
  <c r="D1005" i="6"/>
  <c r="B1005" i="6"/>
  <c r="D1004" i="6"/>
  <c r="B1004" i="6"/>
  <c r="D1003" i="6"/>
  <c r="B1003" i="6"/>
  <c r="D1002" i="6"/>
  <c r="B1002" i="6"/>
  <c r="D1001" i="6"/>
  <c r="B1001" i="6"/>
  <c r="D1000" i="6"/>
  <c r="B1000" i="6"/>
  <c r="D999" i="6"/>
  <c r="B999" i="6"/>
  <c r="D998" i="6"/>
  <c r="B998" i="6"/>
  <c r="D997" i="6"/>
  <c r="B997" i="6"/>
  <c r="D996" i="6"/>
  <c r="B996" i="6"/>
  <c r="D995" i="6"/>
  <c r="B995" i="6"/>
  <c r="D994" i="6"/>
  <c r="B994" i="6"/>
  <c r="D993" i="6"/>
  <c r="B993" i="6"/>
  <c r="D992" i="6"/>
  <c r="B992" i="6"/>
  <c r="D991" i="6"/>
  <c r="B991" i="6"/>
  <c r="D990" i="6"/>
  <c r="B990" i="6"/>
  <c r="D989" i="6"/>
  <c r="B989" i="6"/>
  <c r="D988" i="6"/>
  <c r="B988" i="6"/>
  <c r="D987" i="6"/>
  <c r="B987" i="6"/>
  <c r="D986" i="6"/>
  <c r="B986" i="6"/>
  <c r="D985" i="6"/>
  <c r="B985" i="6"/>
  <c r="D984" i="6"/>
  <c r="B984" i="6"/>
  <c r="D983" i="6"/>
  <c r="B983" i="6"/>
  <c r="D982" i="6"/>
  <c r="B982" i="6"/>
  <c r="D981" i="6"/>
  <c r="B981" i="6"/>
  <c r="D980" i="6"/>
  <c r="B980" i="6"/>
  <c r="D979" i="6"/>
  <c r="B979" i="6"/>
  <c r="D978" i="6"/>
  <c r="B978" i="6"/>
  <c r="D977" i="6"/>
  <c r="B977" i="6"/>
  <c r="D976" i="6"/>
  <c r="B976" i="6"/>
  <c r="D975" i="6"/>
  <c r="B975" i="6"/>
  <c r="D974" i="6"/>
  <c r="B974" i="6"/>
  <c r="D973" i="6"/>
  <c r="B973" i="6"/>
  <c r="D972" i="6"/>
  <c r="B972" i="6"/>
  <c r="D971" i="6"/>
  <c r="B971" i="6"/>
  <c r="D970" i="6"/>
  <c r="B970" i="6"/>
  <c r="D969" i="6"/>
  <c r="B969" i="6"/>
  <c r="D968" i="6"/>
  <c r="B968" i="6"/>
  <c r="D967" i="6"/>
  <c r="B967" i="6"/>
  <c r="D966" i="6"/>
  <c r="B966" i="6"/>
  <c r="D965" i="6"/>
  <c r="B965" i="6"/>
  <c r="D964" i="6"/>
  <c r="B964" i="6"/>
  <c r="D963" i="6"/>
  <c r="B963" i="6"/>
  <c r="D962" i="6"/>
  <c r="B962" i="6"/>
  <c r="D961" i="6"/>
  <c r="B961" i="6"/>
  <c r="D960" i="6"/>
  <c r="B960" i="6"/>
  <c r="D959" i="6"/>
  <c r="B959" i="6"/>
  <c r="D958" i="6"/>
  <c r="B958" i="6"/>
  <c r="D957" i="6"/>
  <c r="B957" i="6"/>
  <c r="D956" i="6"/>
  <c r="B956" i="6"/>
  <c r="D955" i="6"/>
  <c r="B955" i="6"/>
  <c r="D954" i="6"/>
  <c r="B954" i="6"/>
  <c r="D953" i="6"/>
  <c r="B953" i="6"/>
  <c r="D952" i="6"/>
  <c r="B952" i="6"/>
  <c r="D951" i="6"/>
  <c r="B951" i="6"/>
  <c r="D950" i="6"/>
  <c r="B950" i="6"/>
  <c r="D949" i="6"/>
  <c r="B949" i="6"/>
  <c r="D948" i="6"/>
  <c r="B948" i="6"/>
  <c r="D947" i="6"/>
  <c r="B947" i="6"/>
  <c r="D946" i="6"/>
  <c r="B946" i="6"/>
  <c r="D945" i="6"/>
  <c r="B945" i="6"/>
  <c r="D944" i="6"/>
  <c r="B944" i="6"/>
  <c r="D943" i="6"/>
  <c r="B943" i="6"/>
  <c r="D942" i="6"/>
  <c r="B942" i="6"/>
  <c r="D941" i="6"/>
  <c r="B941" i="6"/>
  <c r="D940" i="6"/>
  <c r="B940" i="6"/>
  <c r="D939" i="6"/>
  <c r="B939" i="6"/>
  <c r="D938" i="6"/>
  <c r="B938" i="6"/>
  <c r="D937" i="6"/>
  <c r="B937" i="6"/>
  <c r="D936" i="6"/>
  <c r="B936" i="6"/>
  <c r="D935" i="6"/>
  <c r="B935" i="6"/>
  <c r="D934" i="6"/>
  <c r="B934" i="6"/>
  <c r="D933" i="6"/>
  <c r="B933" i="6"/>
  <c r="D932" i="6"/>
  <c r="B932" i="6"/>
  <c r="D931" i="6"/>
  <c r="B931" i="6"/>
  <c r="D930" i="6"/>
  <c r="B930" i="6"/>
  <c r="D929" i="6"/>
  <c r="B929" i="6"/>
  <c r="D928" i="6"/>
  <c r="B928" i="6"/>
  <c r="D927" i="6"/>
  <c r="B927" i="6"/>
  <c r="D926" i="6"/>
  <c r="B926" i="6"/>
  <c r="D925" i="6"/>
  <c r="B925" i="6"/>
  <c r="D924" i="6"/>
  <c r="B924" i="6"/>
  <c r="D923" i="6"/>
  <c r="B923" i="6"/>
  <c r="D922" i="6"/>
  <c r="B922" i="6"/>
  <c r="D921" i="6"/>
  <c r="B921" i="6"/>
  <c r="D920" i="6"/>
  <c r="B920" i="6"/>
  <c r="D919" i="6"/>
  <c r="B919" i="6"/>
  <c r="D918" i="6"/>
  <c r="B918" i="6"/>
  <c r="D917" i="6"/>
  <c r="B917" i="6"/>
  <c r="D916" i="6"/>
  <c r="B916" i="6"/>
  <c r="D915" i="6"/>
  <c r="B915" i="6"/>
  <c r="D914" i="6"/>
  <c r="B914" i="6"/>
  <c r="D913" i="6"/>
  <c r="B913" i="6"/>
  <c r="D912" i="6"/>
  <c r="B912" i="6"/>
  <c r="D911" i="6"/>
  <c r="B911" i="6"/>
  <c r="D910" i="6"/>
  <c r="B910" i="6"/>
  <c r="D909" i="6"/>
  <c r="B909" i="6"/>
  <c r="D908" i="6"/>
  <c r="B908" i="6"/>
  <c r="D907" i="6"/>
  <c r="B907" i="6"/>
  <c r="D906" i="6"/>
  <c r="B906" i="6"/>
  <c r="D905" i="6"/>
  <c r="B905" i="6"/>
  <c r="D904" i="6"/>
  <c r="B904" i="6"/>
  <c r="D903" i="6"/>
  <c r="B903" i="6"/>
  <c r="D902" i="6"/>
  <c r="B902" i="6"/>
  <c r="D901" i="6"/>
  <c r="B901" i="6"/>
  <c r="D900" i="6"/>
  <c r="B900" i="6"/>
  <c r="D899" i="6"/>
  <c r="B899" i="6"/>
  <c r="D898" i="6"/>
  <c r="B898" i="6"/>
  <c r="D897" i="6"/>
  <c r="B897" i="6"/>
  <c r="D896" i="6"/>
  <c r="B896" i="6"/>
  <c r="D895" i="6"/>
  <c r="B895" i="6"/>
  <c r="D894" i="6"/>
  <c r="B894" i="6"/>
  <c r="D893" i="6"/>
  <c r="B893" i="6"/>
  <c r="D892" i="6"/>
  <c r="B892" i="6"/>
  <c r="D891" i="6"/>
  <c r="B891" i="6"/>
  <c r="D890" i="6"/>
  <c r="B890" i="6"/>
  <c r="D889" i="6"/>
  <c r="B889" i="6"/>
  <c r="D888" i="6"/>
  <c r="B888" i="6"/>
  <c r="D887" i="6"/>
  <c r="B887" i="6"/>
  <c r="D886" i="6"/>
  <c r="B886" i="6"/>
  <c r="D885" i="6"/>
  <c r="B885" i="6"/>
  <c r="D884" i="6"/>
  <c r="B884" i="6"/>
  <c r="D883" i="6"/>
  <c r="B883" i="6"/>
  <c r="D882" i="6"/>
  <c r="B882" i="6"/>
  <c r="D881" i="6"/>
  <c r="B881" i="6"/>
  <c r="D880" i="6"/>
  <c r="B880" i="6"/>
  <c r="D879" i="6"/>
  <c r="B879" i="6"/>
  <c r="D878" i="6"/>
  <c r="B878" i="6"/>
  <c r="D877" i="6"/>
  <c r="B877" i="6"/>
  <c r="D876" i="6"/>
  <c r="B876" i="6"/>
  <c r="D875" i="6"/>
  <c r="B875" i="6"/>
  <c r="D874" i="6"/>
  <c r="B874" i="6"/>
  <c r="D873" i="6"/>
  <c r="B873" i="6"/>
  <c r="D872" i="6"/>
  <c r="B872" i="6"/>
  <c r="D871" i="6"/>
  <c r="B871" i="6"/>
  <c r="D870" i="6"/>
  <c r="B870" i="6"/>
  <c r="D869" i="6"/>
  <c r="B869" i="6"/>
  <c r="D868" i="6"/>
  <c r="B868" i="6"/>
  <c r="D867" i="6"/>
  <c r="B867" i="6"/>
  <c r="D866" i="6"/>
  <c r="B866" i="6"/>
  <c r="D865" i="6"/>
  <c r="B865" i="6"/>
  <c r="D864" i="6"/>
  <c r="B864" i="6"/>
  <c r="D863" i="6"/>
  <c r="B863" i="6"/>
  <c r="D862" i="6"/>
  <c r="B862" i="6"/>
  <c r="D861" i="6"/>
  <c r="B861" i="6"/>
  <c r="D860" i="6"/>
  <c r="B860" i="6"/>
  <c r="D859" i="6"/>
  <c r="B859" i="6"/>
  <c r="D858" i="6"/>
  <c r="B858" i="6"/>
  <c r="D857" i="6"/>
  <c r="B857" i="6"/>
  <c r="D856" i="6"/>
  <c r="B856" i="6"/>
  <c r="D855" i="6"/>
  <c r="B855" i="6"/>
  <c r="D854" i="6"/>
  <c r="B854" i="6"/>
  <c r="D853" i="6"/>
  <c r="B853" i="6"/>
  <c r="D852" i="6"/>
  <c r="B852" i="6"/>
  <c r="D851" i="6"/>
  <c r="B851" i="6"/>
  <c r="D850" i="6"/>
  <c r="B850" i="6"/>
  <c r="D849" i="6"/>
  <c r="B849" i="6"/>
  <c r="D848" i="6"/>
  <c r="B848" i="6"/>
  <c r="D847" i="6"/>
  <c r="B847" i="6"/>
  <c r="D846" i="6"/>
  <c r="B846" i="6"/>
  <c r="D845" i="6"/>
  <c r="B845" i="6"/>
  <c r="D844" i="6"/>
  <c r="B844" i="6"/>
  <c r="D843" i="6"/>
  <c r="B843" i="6"/>
  <c r="D842" i="6"/>
  <c r="B842" i="6"/>
  <c r="D841" i="6"/>
  <c r="B841" i="6"/>
  <c r="D840" i="6"/>
  <c r="B840" i="6"/>
  <c r="D839" i="6"/>
  <c r="B839" i="6"/>
  <c r="D838" i="6"/>
  <c r="B838" i="6"/>
  <c r="D837" i="6"/>
  <c r="B837" i="6"/>
  <c r="D836" i="6"/>
  <c r="B836" i="6"/>
  <c r="D835" i="6"/>
  <c r="B835" i="6"/>
  <c r="D834" i="6"/>
  <c r="B834" i="6"/>
  <c r="D833" i="6"/>
  <c r="B833" i="6"/>
  <c r="D832" i="6"/>
  <c r="B832" i="6"/>
  <c r="D831" i="6"/>
  <c r="B831" i="6"/>
  <c r="D830" i="6"/>
  <c r="B830" i="6"/>
  <c r="D829" i="6"/>
  <c r="B829" i="6"/>
  <c r="D828" i="6"/>
  <c r="B828" i="6"/>
  <c r="D827" i="6"/>
  <c r="B827" i="6"/>
  <c r="D826" i="6"/>
  <c r="B826" i="6"/>
  <c r="D825" i="6"/>
  <c r="B825" i="6"/>
  <c r="D824" i="6"/>
  <c r="B824" i="6"/>
  <c r="D823" i="6"/>
  <c r="B823" i="6"/>
  <c r="D822" i="6"/>
  <c r="B822" i="6"/>
  <c r="D821" i="6"/>
  <c r="B821" i="6"/>
  <c r="D820" i="6"/>
  <c r="B820" i="6"/>
  <c r="D819" i="6"/>
  <c r="B819" i="6"/>
  <c r="D818" i="6"/>
  <c r="B818" i="6"/>
  <c r="D817" i="6"/>
  <c r="B817" i="6"/>
  <c r="D816" i="6"/>
  <c r="B816" i="6"/>
  <c r="D815" i="6"/>
  <c r="B815" i="6"/>
  <c r="D814" i="6"/>
  <c r="B814" i="6"/>
  <c r="D813" i="6"/>
  <c r="B813" i="6"/>
  <c r="D812" i="6"/>
  <c r="B812" i="6"/>
  <c r="D811" i="6"/>
  <c r="B811" i="6"/>
  <c r="D810" i="6"/>
  <c r="B810" i="6"/>
  <c r="D809" i="6"/>
  <c r="B809" i="6"/>
  <c r="D808" i="6"/>
  <c r="B808" i="6"/>
  <c r="D807" i="6"/>
  <c r="B807" i="6"/>
  <c r="D806" i="6"/>
  <c r="B806" i="6"/>
  <c r="D805" i="6"/>
  <c r="B805" i="6"/>
  <c r="D804" i="6"/>
  <c r="B804" i="6"/>
  <c r="D803" i="6"/>
  <c r="B803" i="6"/>
  <c r="D802" i="6"/>
  <c r="B802" i="6"/>
  <c r="D801" i="6"/>
  <c r="B801" i="6"/>
  <c r="D800" i="6"/>
  <c r="B800" i="6"/>
  <c r="D799" i="6"/>
  <c r="B799" i="6"/>
  <c r="D798" i="6"/>
  <c r="B798" i="6"/>
  <c r="D797" i="6"/>
  <c r="B797" i="6"/>
  <c r="D796" i="6"/>
  <c r="B796" i="6"/>
  <c r="D795" i="6"/>
  <c r="B795" i="6"/>
  <c r="D794" i="6"/>
  <c r="B794" i="6"/>
  <c r="D793" i="6"/>
  <c r="B793" i="6"/>
  <c r="D792" i="6"/>
  <c r="B792" i="6"/>
  <c r="D791" i="6"/>
  <c r="B791" i="6"/>
  <c r="D790" i="6"/>
  <c r="B790" i="6"/>
  <c r="D789" i="6"/>
  <c r="B789" i="6"/>
  <c r="D788" i="6"/>
  <c r="B788" i="6"/>
  <c r="D787" i="6"/>
  <c r="B787" i="6"/>
  <c r="D786" i="6"/>
  <c r="B786" i="6"/>
  <c r="D785" i="6"/>
  <c r="B785" i="6"/>
  <c r="D784" i="6"/>
  <c r="B784" i="6"/>
  <c r="D783" i="6"/>
  <c r="B783" i="6"/>
  <c r="D782" i="6"/>
  <c r="B782" i="6"/>
  <c r="D781" i="6"/>
  <c r="B781" i="6"/>
  <c r="D780" i="6"/>
  <c r="B780" i="6"/>
  <c r="D779" i="6"/>
  <c r="B779" i="6"/>
  <c r="D778" i="6"/>
  <c r="B778" i="6"/>
  <c r="D777" i="6"/>
  <c r="B777" i="6"/>
  <c r="D776" i="6"/>
  <c r="B776" i="6"/>
  <c r="D775" i="6"/>
  <c r="B775" i="6"/>
  <c r="D774" i="6"/>
  <c r="B774" i="6"/>
  <c r="D773" i="6"/>
  <c r="B773" i="6"/>
  <c r="D772" i="6"/>
  <c r="B772" i="6"/>
  <c r="D771" i="6"/>
  <c r="B771" i="6"/>
  <c r="D770" i="6"/>
  <c r="B770" i="6"/>
  <c r="D769" i="6"/>
  <c r="B769" i="6"/>
  <c r="D768" i="6"/>
  <c r="B768" i="6"/>
  <c r="D767" i="6"/>
  <c r="B767" i="6"/>
  <c r="D766" i="6"/>
  <c r="B766" i="6"/>
  <c r="D765" i="6"/>
  <c r="B765" i="6"/>
  <c r="D764" i="6"/>
  <c r="B764" i="6"/>
  <c r="D763" i="6"/>
  <c r="B763" i="6"/>
  <c r="D762" i="6"/>
  <c r="B762" i="6"/>
  <c r="D761" i="6"/>
  <c r="B761" i="6"/>
  <c r="D760" i="6"/>
  <c r="B760" i="6"/>
  <c r="D759" i="6"/>
  <c r="B759" i="6"/>
  <c r="D758" i="6"/>
  <c r="B758" i="6"/>
  <c r="D757" i="6"/>
  <c r="B757" i="6"/>
  <c r="D756" i="6"/>
  <c r="B756" i="6"/>
  <c r="D755" i="6"/>
  <c r="B755" i="6"/>
  <c r="D754" i="6"/>
  <c r="B754" i="6"/>
  <c r="D753" i="6"/>
  <c r="B753" i="6"/>
  <c r="D752" i="6"/>
  <c r="B752" i="6"/>
  <c r="D751" i="6"/>
  <c r="B751" i="6"/>
  <c r="D750" i="6"/>
  <c r="B750" i="6"/>
  <c r="D749" i="6"/>
  <c r="B749" i="6"/>
  <c r="D748" i="6"/>
  <c r="B748" i="6"/>
  <c r="D747" i="6"/>
  <c r="B747" i="6"/>
  <c r="D746" i="6"/>
  <c r="B746" i="6"/>
  <c r="D745" i="6"/>
  <c r="B745" i="6"/>
  <c r="D744" i="6"/>
  <c r="B744" i="6"/>
  <c r="D743" i="6"/>
  <c r="B743" i="6"/>
  <c r="D742" i="6"/>
  <c r="B742" i="6"/>
  <c r="D741" i="6"/>
  <c r="B741" i="6"/>
  <c r="D740" i="6"/>
  <c r="B740" i="6"/>
  <c r="D739" i="6"/>
  <c r="B739" i="6"/>
  <c r="D738" i="6"/>
  <c r="B738" i="6"/>
  <c r="D737" i="6"/>
  <c r="B737" i="6"/>
  <c r="D736" i="6"/>
  <c r="B736" i="6"/>
  <c r="D735" i="6"/>
  <c r="B735" i="6"/>
  <c r="D734" i="6"/>
  <c r="B734" i="6"/>
  <c r="D733" i="6"/>
  <c r="B733" i="6"/>
  <c r="D732" i="6"/>
  <c r="B732" i="6"/>
  <c r="D731" i="6"/>
  <c r="B731" i="6"/>
  <c r="D730" i="6"/>
  <c r="B730" i="6"/>
  <c r="D729" i="6"/>
  <c r="B729" i="6"/>
  <c r="D728" i="6"/>
  <c r="B728" i="6"/>
  <c r="D727" i="6"/>
  <c r="B727" i="6"/>
  <c r="D726" i="6"/>
  <c r="B726" i="6"/>
  <c r="D725" i="6"/>
  <c r="B725" i="6"/>
  <c r="D724" i="6"/>
  <c r="B724" i="6"/>
  <c r="D723" i="6"/>
  <c r="B723" i="6"/>
  <c r="D722" i="6"/>
  <c r="B722" i="6"/>
  <c r="D721" i="6"/>
  <c r="B721" i="6"/>
  <c r="D720" i="6"/>
  <c r="B720" i="6"/>
  <c r="D719" i="6"/>
  <c r="B719" i="6"/>
  <c r="D718" i="6"/>
  <c r="B718" i="6"/>
  <c r="D717" i="6"/>
  <c r="B717" i="6"/>
  <c r="D716" i="6"/>
  <c r="B716" i="6"/>
  <c r="D715" i="6"/>
  <c r="B715" i="6"/>
  <c r="D714" i="6"/>
  <c r="B714" i="6"/>
  <c r="D713" i="6"/>
  <c r="B713" i="6"/>
  <c r="D712" i="6"/>
  <c r="B712" i="6"/>
  <c r="D711" i="6"/>
  <c r="B711" i="6"/>
  <c r="D710" i="6"/>
  <c r="B710" i="6"/>
  <c r="D709" i="6"/>
  <c r="B709" i="6"/>
  <c r="D708" i="6"/>
  <c r="B708" i="6"/>
  <c r="D707" i="6"/>
  <c r="B707" i="6"/>
  <c r="D706" i="6"/>
  <c r="B706" i="6"/>
  <c r="D705" i="6"/>
  <c r="B705" i="6"/>
  <c r="D704" i="6"/>
  <c r="B704" i="6"/>
  <c r="D703" i="6"/>
  <c r="B703" i="6"/>
  <c r="D702" i="6"/>
  <c r="B702" i="6"/>
  <c r="D701" i="6"/>
  <c r="B701" i="6"/>
  <c r="D700" i="6"/>
  <c r="B700" i="6"/>
  <c r="D699" i="6"/>
  <c r="B699" i="6"/>
  <c r="D698" i="6"/>
  <c r="B698" i="6"/>
  <c r="D697" i="6"/>
  <c r="B697" i="6"/>
  <c r="D696" i="6"/>
  <c r="B696" i="6"/>
  <c r="D695" i="6"/>
  <c r="B695" i="6"/>
  <c r="D694" i="6"/>
  <c r="B694" i="6"/>
  <c r="D693" i="6"/>
  <c r="B693" i="6"/>
  <c r="D692" i="6"/>
  <c r="B692" i="6"/>
  <c r="D691" i="6"/>
  <c r="B691" i="6"/>
  <c r="D690" i="6"/>
  <c r="B690" i="6"/>
  <c r="D689" i="6"/>
  <c r="B689" i="6"/>
  <c r="D688" i="6"/>
  <c r="B688" i="6"/>
  <c r="D687" i="6"/>
  <c r="B687" i="6"/>
  <c r="D686" i="6"/>
  <c r="B686" i="6"/>
  <c r="D685" i="6"/>
  <c r="B685" i="6"/>
  <c r="D684" i="6"/>
  <c r="B684" i="6"/>
  <c r="D683" i="6"/>
  <c r="B683" i="6"/>
  <c r="D682" i="6"/>
  <c r="B682" i="6"/>
  <c r="D681" i="6"/>
  <c r="B681" i="6"/>
  <c r="D680" i="6"/>
  <c r="B680" i="6"/>
  <c r="D679" i="6"/>
  <c r="B679" i="6"/>
  <c r="D678" i="6"/>
  <c r="B678" i="6"/>
  <c r="D677" i="6"/>
  <c r="B677" i="6"/>
  <c r="D676" i="6"/>
  <c r="B676" i="6"/>
  <c r="D675" i="6"/>
  <c r="B675" i="6"/>
  <c r="D674" i="6"/>
  <c r="B674" i="6"/>
  <c r="D673" i="6"/>
  <c r="B673" i="6"/>
  <c r="D672" i="6"/>
  <c r="B672" i="6"/>
  <c r="D671" i="6"/>
  <c r="B671" i="6"/>
  <c r="D670" i="6"/>
  <c r="B670" i="6"/>
  <c r="D669" i="6"/>
  <c r="B669" i="6"/>
  <c r="D668" i="6"/>
  <c r="B668" i="6"/>
  <c r="D667" i="6"/>
  <c r="B667" i="6"/>
  <c r="D666" i="6"/>
  <c r="B666" i="6"/>
  <c r="D665" i="6"/>
  <c r="B665" i="6"/>
  <c r="D664" i="6"/>
  <c r="B664" i="6"/>
  <c r="D663" i="6"/>
  <c r="B663" i="6"/>
  <c r="D662" i="6"/>
  <c r="B662" i="6"/>
  <c r="D661" i="6"/>
  <c r="B661" i="6"/>
  <c r="D660" i="6"/>
  <c r="B660" i="6"/>
  <c r="D659" i="6"/>
  <c r="B659" i="6"/>
  <c r="D658" i="6"/>
  <c r="B658" i="6"/>
  <c r="D657" i="6"/>
  <c r="B657" i="6"/>
  <c r="D656" i="6"/>
  <c r="B656" i="6"/>
  <c r="D655" i="6"/>
  <c r="B655" i="6"/>
  <c r="D654" i="6"/>
  <c r="B654" i="6"/>
  <c r="D653" i="6"/>
  <c r="B653" i="6"/>
  <c r="D652" i="6"/>
  <c r="B652" i="6"/>
  <c r="D651" i="6"/>
  <c r="B651" i="6"/>
  <c r="D650" i="6"/>
  <c r="B650" i="6"/>
  <c r="D649" i="6"/>
  <c r="B649" i="6"/>
  <c r="D648" i="6"/>
  <c r="B648" i="6"/>
  <c r="D647" i="6"/>
  <c r="B647" i="6"/>
  <c r="D646" i="6"/>
  <c r="B646" i="6"/>
  <c r="D645" i="6"/>
  <c r="B645" i="6"/>
  <c r="D644" i="6"/>
  <c r="B644" i="6"/>
  <c r="D643" i="6"/>
  <c r="B643" i="6"/>
  <c r="D642" i="6"/>
  <c r="B642" i="6"/>
  <c r="D641" i="6"/>
  <c r="B641" i="6"/>
  <c r="D640" i="6"/>
  <c r="B640" i="6"/>
  <c r="D639" i="6"/>
  <c r="B639" i="6"/>
  <c r="D638" i="6"/>
  <c r="B638" i="6"/>
  <c r="D637" i="6"/>
  <c r="B637" i="6"/>
  <c r="D636" i="6"/>
  <c r="B636" i="6"/>
  <c r="D635" i="6"/>
  <c r="B635" i="6"/>
  <c r="D634" i="6"/>
  <c r="B634" i="6"/>
  <c r="D633" i="6"/>
  <c r="B633" i="6"/>
  <c r="D632" i="6"/>
  <c r="B632" i="6"/>
  <c r="D631" i="6"/>
  <c r="B631" i="6"/>
  <c r="D630" i="6"/>
  <c r="B630" i="6"/>
  <c r="D629" i="6"/>
  <c r="B629" i="6"/>
  <c r="D628" i="6"/>
  <c r="B628" i="6"/>
  <c r="D627" i="6"/>
  <c r="B627" i="6"/>
  <c r="D626" i="6"/>
  <c r="B626" i="6"/>
  <c r="D625" i="6"/>
  <c r="B625" i="6"/>
  <c r="D624" i="6"/>
  <c r="B624" i="6"/>
  <c r="D623" i="6"/>
  <c r="B623" i="6"/>
  <c r="D622" i="6"/>
  <c r="B622" i="6"/>
  <c r="D621" i="6"/>
  <c r="B621" i="6"/>
  <c r="D620" i="6"/>
  <c r="B620" i="6"/>
  <c r="D619" i="6"/>
  <c r="B619" i="6"/>
  <c r="D618" i="6"/>
  <c r="B618" i="6"/>
  <c r="D617" i="6"/>
  <c r="B617" i="6"/>
  <c r="D616" i="6"/>
  <c r="B616" i="6"/>
  <c r="D615" i="6"/>
  <c r="B615" i="6"/>
  <c r="D614" i="6"/>
  <c r="B614" i="6"/>
  <c r="D613" i="6"/>
  <c r="B613" i="6"/>
  <c r="D612" i="6"/>
  <c r="B612" i="6"/>
  <c r="D611" i="6"/>
  <c r="B611" i="6"/>
  <c r="D610" i="6"/>
  <c r="B610" i="6"/>
  <c r="D609" i="6"/>
  <c r="B609" i="6"/>
  <c r="D608" i="6"/>
  <c r="B608" i="6"/>
  <c r="D607" i="6"/>
  <c r="B607" i="6"/>
  <c r="D606" i="6"/>
  <c r="B606" i="6"/>
  <c r="D605" i="6"/>
  <c r="B605" i="6"/>
  <c r="D604" i="6"/>
  <c r="B604" i="6"/>
  <c r="D603" i="6"/>
  <c r="B603" i="6"/>
  <c r="D602" i="6"/>
  <c r="B602" i="6"/>
  <c r="D601" i="6"/>
  <c r="B601" i="6"/>
  <c r="D600" i="6"/>
  <c r="B600" i="6"/>
  <c r="D599" i="6"/>
  <c r="B599" i="6"/>
  <c r="D598" i="6"/>
  <c r="B598" i="6"/>
  <c r="D597" i="6"/>
  <c r="B597" i="6"/>
  <c r="D596" i="6"/>
  <c r="B596" i="6"/>
  <c r="D595" i="6"/>
  <c r="B595" i="6"/>
  <c r="D594" i="6"/>
  <c r="B594" i="6"/>
  <c r="D593" i="6"/>
  <c r="B593" i="6"/>
  <c r="D592" i="6"/>
  <c r="B592" i="6"/>
  <c r="D591" i="6"/>
  <c r="B591" i="6"/>
  <c r="D590" i="6"/>
  <c r="B590" i="6"/>
  <c r="D589" i="6"/>
  <c r="B589" i="6"/>
  <c r="D588" i="6"/>
  <c r="B588" i="6"/>
  <c r="D587" i="6"/>
  <c r="B587" i="6"/>
  <c r="D586" i="6"/>
  <c r="B586" i="6"/>
  <c r="D585" i="6"/>
  <c r="B585" i="6"/>
  <c r="D584" i="6"/>
  <c r="B584" i="6"/>
  <c r="D583" i="6"/>
  <c r="B583" i="6"/>
  <c r="D582" i="6"/>
  <c r="B582" i="6"/>
  <c r="D581" i="6"/>
  <c r="B581" i="6"/>
  <c r="D580" i="6"/>
  <c r="B580" i="6"/>
  <c r="D579" i="6"/>
  <c r="B579" i="6"/>
  <c r="D578" i="6"/>
  <c r="B578" i="6"/>
  <c r="D577" i="6"/>
  <c r="B577" i="6"/>
  <c r="D576" i="6"/>
  <c r="B576" i="6"/>
  <c r="D575" i="6"/>
  <c r="B575" i="6"/>
  <c r="D574" i="6"/>
  <c r="B574" i="6"/>
  <c r="D573" i="6"/>
  <c r="B573" i="6"/>
  <c r="D572" i="6"/>
  <c r="B572" i="6"/>
  <c r="D571" i="6"/>
  <c r="B571" i="6"/>
  <c r="D570" i="6"/>
  <c r="B570" i="6"/>
  <c r="D569" i="6"/>
  <c r="B569" i="6"/>
  <c r="D568" i="6"/>
  <c r="B568" i="6"/>
  <c r="D567" i="6"/>
  <c r="B567" i="6"/>
  <c r="D566" i="6"/>
  <c r="B566" i="6"/>
  <c r="D565" i="6"/>
  <c r="B565" i="6"/>
  <c r="D564" i="6"/>
  <c r="B564" i="6"/>
  <c r="D563" i="6"/>
  <c r="B563" i="6"/>
  <c r="D562" i="6"/>
  <c r="B562" i="6"/>
  <c r="D561" i="6"/>
  <c r="B561" i="6"/>
  <c r="D560" i="6"/>
  <c r="B560" i="6"/>
  <c r="D559" i="6"/>
  <c r="B559" i="6"/>
  <c r="D558" i="6"/>
  <c r="B558" i="6"/>
  <c r="D557" i="6"/>
  <c r="B557" i="6"/>
  <c r="D556" i="6"/>
  <c r="B556" i="6"/>
  <c r="D555" i="6"/>
  <c r="B555" i="6"/>
  <c r="D554" i="6"/>
  <c r="B554" i="6"/>
  <c r="D553" i="6"/>
  <c r="B553" i="6"/>
  <c r="D552" i="6"/>
  <c r="B552" i="6"/>
  <c r="D551" i="6"/>
  <c r="B551" i="6"/>
  <c r="D550" i="6"/>
  <c r="B550" i="6"/>
  <c r="D549" i="6"/>
  <c r="B549" i="6"/>
  <c r="D548" i="6"/>
  <c r="B548" i="6"/>
  <c r="D547" i="6"/>
  <c r="B547" i="6"/>
  <c r="D546" i="6"/>
  <c r="B546" i="6"/>
  <c r="D545" i="6"/>
  <c r="B545" i="6"/>
  <c r="D544" i="6"/>
  <c r="B544" i="6"/>
  <c r="D543" i="6"/>
  <c r="B543" i="6"/>
  <c r="D542" i="6"/>
  <c r="B542" i="6"/>
  <c r="D541" i="6"/>
  <c r="B541" i="6"/>
  <c r="D540" i="6"/>
  <c r="B540" i="6"/>
  <c r="D539" i="6"/>
  <c r="B539" i="6"/>
  <c r="D538" i="6"/>
  <c r="B538" i="6"/>
  <c r="D537" i="6"/>
  <c r="B537" i="6"/>
  <c r="D536" i="6"/>
  <c r="B536" i="6"/>
  <c r="D535" i="6"/>
  <c r="B535" i="6"/>
  <c r="D534" i="6"/>
  <c r="B534" i="6"/>
  <c r="D533" i="6"/>
  <c r="B533" i="6"/>
  <c r="D532" i="6"/>
  <c r="B532" i="6"/>
  <c r="D531" i="6"/>
  <c r="B531" i="6"/>
  <c r="D530" i="6"/>
  <c r="B530" i="6"/>
  <c r="D529" i="6"/>
  <c r="B529" i="6"/>
  <c r="D528" i="6"/>
  <c r="B528" i="6"/>
  <c r="D527" i="6"/>
  <c r="B527" i="6"/>
  <c r="D526" i="6"/>
  <c r="B526" i="6"/>
  <c r="D525" i="6"/>
  <c r="B525" i="6"/>
  <c r="D524" i="6"/>
  <c r="B524" i="6"/>
  <c r="D523" i="6"/>
  <c r="B523" i="6"/>
  <c r="D522" i="6"/>
  <c r="B522" i="6"/>
  <c r="D521" i="6"/>
  <c r="B521" i="6"/>
  <c r="D520" i="6"/>
  <c r="B520" i="6"/>
  <c r="D519" i="6"/>
  <c r="B519" i="6"/>
  <c r="D518" i="6"/>
  <c r="B518" i="6"/>
  <c r="D517" i="6"/>
  <c r="B517" i="6"/>
  <c r="D516" i="6"/>
  <c r="B516" i="6"/>
  <c r="D515" i="6"/>
  <c r="B515" i="6"/>
  <c r="D514" i="6"/>
  <c r="B514" i="6"/>
  <c r="D513" i="6"/>
  <c r="B513" i="6"/>
  <c r="D512" i="6"/>
  <c r="B512" i="6"/>
  <c r="D511" i="6"/>
  <c r="B511" i="6"/>
  <c r="D510" i="6"/>
  <c r="B510" i="6"/>
  <c r="D509" i="6"/>
  <c r="B509" i="6"/>
  <c r="D508" i="6"/>
  <c r="B508" i="6"/>
  <c r="D507" i="6"/>
  <c r="B507" i="6"/>
  <c r="D506" i="6"/>
  <c r="B506" i="6"/>
  <c r="D505" i="6"/>
  <c r="B505" i="6"/>
  <c r="D504" i="6"/>
  <c r="B504" i="6"/>
  <c r="D503" i="6"/>
  <c r="B503" i="6"/>
  <c r="D502" i="6"/>
  <c r="B502" i="6"/>
  <c r="D501" i="6"/>
  <c r="B501" i="6"/>
  <c r="D500" i="6"/>
  <c r="B500" i="6"/>
  <c r="D499" i="6"/>
  <c r="B499" i="6"/>
  <c r="D498" i="6"/>
  <c r="B498" i="6"/>
  <c r="D497" i="6"/>
  <c r="B497" i="6"/>
  <c r="D496" i="6"/>
  <c r="B496" i="6"/>
  <c r="D495" i="6"/>
  <c r="B495" i="6"/>
  <c r="D494" i="6"/>
  <c r="B494" i="6"/>
  <c r="D493" i="6"/>
  <c r="B493" i="6"/>
  <c r="D492" i="6"/>
  <c r="B492" i="6"/>
  <c r="D491" i="6"/>
  <c r="B491" i="6"/>
  <c r="D490" i="6"/>
  <c r="B490" i="6"/>
  <c r="D489" i="6"/>
  <c r="B489" i="6"/>
  <c r="D488" i="6"/>
  <c r="B488" i="6"/>
  <c r="D487" i="6"/>
  <c r="B487" i="6"/>
  <c r="D486" i="6"/>
  <c r="B486" i="6"/>
  <c r="D485" i="6"/>
  <c r="B485" i="6"/>
  <c r="D484" i="6"/>
  <c r="B484" i="6"/>
  <c r="D483" i="6"/>
  <c r="B483" i="6"/>
  <c r="D482" i="6"/>
  <c r="B482" i="6"/>
  <c r="D481" i="6"/>
  <c r="B481" i="6"/>
  <c r="D480" i="6"/>
  <c r="B480" i="6"/>
  <c r="D479" i="6"/>
  <c r="B479" i="6"/>
  <c r="D478" i="6"/>
  <c r="B478" i="6"/>
  <c r="D477" i="6"/>
  <c r="B477" i="6"/>
  <c r="D476" i="6"/>
  <c r="B476" i="6"/>
  <c r="D475" i="6"/>
  <c r="B475" i="6"/>
  <c r="D474" i="6"/>
  <c r="B474" i="6"/>
  <c r="D473" i="6"/>
  <c r="B473" i="6"/>
  <c r="D472" i="6"/>
  <c r="B472" i="6"/>
  <c r="D471" i="6"/>
  <c r="B471" i="6"/>
  <c r="D470" i="6"/>
  <c r="B470" i="6"/>
  <c r="D469" i="6"/>
  <c r="B469" i="6"/>
  <c r="D468" i="6"/>
  <c r="B468" i="6"/>
  <c r="D467" i="6"/>
  <c r="B467" i="6"/>
  <c r="D466" i="6"/>
  <c r="B466" i="6"/>
  <c r="D465" i="6"/>
  <c r="B465" i="6"/>
  <c r="D464" i="6"/>
  <c r="B464" i="6"/>
  <c r="D463" i="6"/>
  <c r="B463" i="6"/>
  <c r="D462" i="6"/>
  <c r="B462" i="6"/>
  <c r="D461" i="6"/>
  <c r="B461" i="6"/>
  <c r="D460" i="6"/>
  <c r="B460" i="6"/>
  <c r="D459" i="6"/>
  <c r="B459" i="6"/>
  <c r="D458" i="6"/>
  <c r="B458" i="6"/>
  <c r="D457" i="6"/>
  <c r="B457" i="6"/>
  <c r="D456" i="6"/>
  <c r="B456" i="6"/>
  <c r="D455" i="6"/>
  <c r="B455" i="6"/>
  <c r="D454" i="6"/>
  <c r="B454" i="6"/>
  <c r="D453" i="6"/>
  <c r="B453" i="6"/>
  <c r="D452" i="6"/>
  <c r="B452" i="6"/>
  <c r="D451" i="6"/>
  <c r="B451" i="6"/>
  <c r="D450" i="6"/>
  <c r="B450" i="6"/>
  <c r="D449" i="6"/>
  <c r="B449" i="6"/>
  <c r="D448" i="6"/>
  <c r="B448" i="6"/>
  <c r="D447" i="6"/>
  <c r="B447" i="6"/>
  <c r="D446" i="6"/>
  <c r="B446" i="6"/>
  <c r="D445" i="6"/>
  <c r="B445" i="6"/>
  <c r="D444" i="6"/>
  <c r="B444" i="6"/>
  <c r="D443" i="6"/>
  <c r="B443" i="6"/>
  <c r="D442" i="6"/>
  <c r="B442" i="6"/>
  <c r="D441" i="6"/>
  <c r="B441" i="6"/>
  <c r="D440" i="6"/>
  <c r="B440" i="6"/>
  <c r="D439" i="6"/>
  <c r="B439" i="6"/>
  <c r="D438" i="6"/>
  <c r="B438" i="6"/>
  <c r="D437" i="6"/>
  <c r="B437" i="6"/>
  <c r="D436" i="6"/>
  <c r="B436" i="6"/>
  <c r="D435" i="6"/>
  <c r="B435" i="6"/>
  <c r="D434" i="6"/>
  <c r="B434" i="6"/>
  <c r="D433" i="6"/>
  <c r="B433" i="6"/>
  <c r="D432" i="6"/>
  <c r="B432" i="6"/>
  <c r="D431" i="6"/>
  <c r="B431" i="6"/>
  <c r="D430" i="6"/>
  <c r="B430" i="6"/>
  <c r="D429" i="6"/>
  <c r="B429" i="6"/>
  <c r="D428" i="6"/>
  <c r="B428" i="6"/>
  <c r="D427" i="6"/>
  <c r="B427" i="6"/>
  <c r="D426" i="6"/>
  <c r="B426" i="6"/>
  <c r="D425" i="6"/>
  <c r="B425" i="6"/>
  <c r="D424" i="6"/>
  <c r="B424" i="6"/>
  <c r="D423" i="6"/>
  <c r="B423" i="6"/>
  <c r="D422" i="6"/>
  <c r="B422" i="6"/>
  <c r="D421" i="6"/>
  <c r="B421" i="6"/>
  <c r="D420" i="6"/>
  <c r="B420" i="6"/>
  <c r="D419" i="6"/>
  <c r="B419" i="6"/>
  <c r="D418" i="6"/>
  <c r="B418" i="6"/>
  <c r="D417" i="6"/>
  <c r="B417" i="6"/>
  <c r="D416" i="6"/>
  <c r="B416" i="6"/>
  <c r="D415" i="6"/>
  <c r="B415" i="6"/>
  <c r="D414" i="6"/>
  <c r="B414" i="6"/>
  <c r="D413" i="6"/>
  <c r="B413" i="6"/>
  <c r="D412" i="6"/>
  <c r="B412" i="6"/>
  <c r="D411" i="6"/>
  <c r="B411" i="6"/>
  <c r="D410" i="6"/>
  <c r="B410" i="6"/>
  <c r="D409" i="6"/>
  <c r="B409" i="6"/>
  <c r="D408" i="6"/>
  <c r="B408" i="6"/>
  <c r="D407" i="6"/>
  <c r="B407" i="6"/>
  <c r="D406" i="6"/>
  <c r="B406" i="6"/>
  <c r="D405" i="6"/>
  <c r="B405" i="6"/>
  <c r="D404" i="6"/>
  <c r="B404" i="6"/>
  <c r="D403" i="6"/>
  <c r="B403" i="6"/>
  <c r="D402" i="6"/>
  <c r="B402" i="6"/>
  <c r="D401" i="6"/>
  <c r="B401" i="6"/>
  <c r="D400" i="6"/>
  <c r="B400" i="6"/>
  <c r="D399" i="6"/>
  <c r="B399" i="6"/>
  <c r="D398" i="6"/>
  <c r="B398" i="6"/>
  <c r="D397" i="6"/>
  <c r="B397" i="6"/>
  <c r="D396" i="6"/>
  <c r="B396" i="6"/>
  <c r="D395" i="6"/>
  <c r="B395" i="6"/>
  <c r="D394" i="6"/>
  <c r="B394" i="6"/>
  <c r="D393" i="6"/>
  <c r="B393" i="6"/>
  <c r="D392" i="6"/>
  <c r="B392" i="6"/>
  <c r="D391" i="6"/>
  <c r="B391" i="6"/>
  <c r="D390" i="6"/>
  <c r="B390" i="6"/>
  <c r="D389" i="6"/>
  <c r="B389" i="6"/>
  <c r="D388" i="6"/>
  <c r="B388" i="6"/>
  <c r="D387" i="6"/>
  <c r="B387" i="6"/>
  <c r="D386" i="6"/>
  <c r="B386" i="6"/>
  <c r="D385" i="6"/>
  <c r="B385" i="6"/>
  <c r="D384" i="6"/>
  <c r="B384" i="6"/>
  <c r="D383" i="6"/>
  <c r="B383" i="6"/>
  <c r="D382" i="6"/>
  <c r="B382" i="6"/>
  <c r="D381" i="6"/>
  <c r="B381" i="6"/>
  <c r="D380" i="6"/>
  <c r="B380" i="6"/>
  <c r="D379" i="6"/>
  <c r="B379" i="6"/>
  <c r="D378" i="6"/>
  <c r="B378" i="6"/>
  <c r="D377" i="6"/>
  <c r="B377" i="6"/>
  <c r="D376" i="6"/>
  <c r="B376" i="6"/>
  <c r="D375" i="6"/>
  <c r="B375" i="6"/>
  <c r="D374" i="6"/>
  <c r="B374" i="6"/>
  <c r="D373" i="6"/>
  <c r="B373" i="6"/>
  <c r="D372" i="6"/>
  <c r="B372" i="6"/>
  <c r="D371" i="6"/>
  <c r="B371" i="6"/>
  <c r="D370" i="6"/>
  <c r="B370" i="6"/>
  <c r="D369" i="6"/>
  <c r="B369" i="6"/>
  <c r="D368" i="6"/>
  <c r="B368" i="6"/>
  <c r="D367" i="6"/>
  <c r="B367" i="6"/>
  <c r="D366" i="6"/>
  <c r="B366" i="6"/>
  <c r="D365" i="6"/>
  <c r="B365" i="6"/>
  <c r="D364" i="6"/>
  <c r="B364" i="6"/>
  <c r="D363" i="6"/>
  <c r="B363" i="6"/>
  <c r="D362" i="6"/>
  <c r="B362" i="6"/>
  <c r="D361" i="6"/>
  <c r="B361" i="6"/>
  <c r="D360" i="6"/>
  <c r="B360" i="6"/>
  <c r="D359" i="6"/>
  <c r="B359" i="6"/>
  <c r="D358" i="6"/>
  <c r="B358" i="6"/>
  <c r="D357" i="6"/>
  <c r="B357" i="6"/>
  <c r="D356" i="6"/>
  <c r="B356" i="6"/>
  <c r="D355" i="6"/>
  <c r="B355" i="6"/>
  <c r="D354" i="6"/>
  <c r="B354" i="6"/>
  <c r="D353" i="6"/>
  <c r="B353" i="6"/>
  <c r="D352" i="6"/>
  <c r="B352" i="6"/>
  <c r="D351" i="6"/>
  <c r="B351" i="6"/>
  <c r="D350" i="6"/>
  <c r="B350" i="6"/>
  <c r="D349" i="6"/>
  <c r="B349" i="6"/>
  <c r="D348" i="6"/>
  <c r="B348" i="6"/>
  <c r="D347" i="6"/>
  <c r="B347" i="6"/>
  <c r="D346" i="6"/>
  <c r="B346" i="6"/>
  <c r="D345" i="6"/>
  <c r="B345" i="6"/>
  <c r="D344" i="6"/>
  <c r="B344" i="6"/>
  <c r="D343" i="6"/>
  <c r="B343" i="6"/>
  <c r="D342" i="6"/>
  <c r="B342" i="6"/>
  <c r="D341" i="6"/>
  <c r="B341" i="6"/>
  <c r="D340" i="6"/>
  <c r="B340" i="6"/>
  <c r="D339" i="6"/>
  <c r="B339" i="6"/>
  <c r="D338" i="6"/>
  <c r="B338" i="6"/>
  <c r="D337" i="6"/>
  <c r="B337" i="6"/>
  <c r="D336" i="6"/>
  <c r="B336" i="6"/>
  <c r="D335" i="6"/>
  <c r="B335" i="6"/>
  <c r="D334" i="6"/>
  <c r="B334" i="6"/>
  <c r="D333" i="6"/>
  <c r="B333" i="6"/>
  <c r="D332" i="6"/>
  <c r="B332" i="6"/>
  <c r="D331" i="6"/>
  <c r="B331" i="6"/>
  <c r="D330" i="6"/>
  <c r="B330" i="6"/>
  <c r="D329" i="6"/>
  <c r="B329" i="6"/>
  <c r="D328" i="6"/>
  <c r="B328" i="6"/>
  <c r="D327" i="6"/>
  <c r="B327" i="6"/>
  <c r="D326" i="6"/>
  <c r="B326" i="6"/>
  <c r="D325" i="6"/>
  <c r="B325" i="6"/>
  <c r="D324" i="6"/>
  <c r="B324" i="6"/>
  <c r="D323" i="6"/>
  <c r="B323" i="6"/>
  <c r="D322" i="6"/>
  <c r="B322" i="6"/>
  <c r="D321" i="6"/>
  <c r="B321" i="6"/>
  <c r="D320" i="6"/>
  <c r="B320" i="6"/>
  <c r="D319" i="6"/>
  <c r="B319" i="6"/>
  <c r="D318" i="6"/>
  <c r="B318" i="6"/>
  <c r="D317" i="6"/>
  <c r="B317" i="6"/>
  <c r="D316" i="6"/>
  <c r="B316" i="6"/>
  <c r="D315" i="6"/>
  <c r="B315" i="6"/>
  <c r="D314" i="6"/>
  <c r="B314" i="6"/>
  <c r="D313" i="6"/>
  <c r="B313" i="6"/>
  <c r="D312" i="6"/>
  <c r="B312" i="6"/>
  <c r="D311" i="6"/>
  <c r="B311" i="6"/>
  <c r="D310" i="6"/>
  <c r="B310" i="6"/>
  <c r="D309" i="6"/>
  <c r="B309" i="6"/>
  <c r="D308" i="6"/>
  <c r="B308" i="6"/>
  <c r="D307" i="6"/>
  <c r="B307" i="6"/>
  <c r="D306" i="6"/>
  <c r="B306" i="6"/>
  <c r="D305" i="6"/>
  <c r="B305" i="6"/>
  <c r="D304" i="6"/>
  <c r="B304" i="6"/>
  <c r="D303" i="6"/>
  <c r="B303" i="6"/>
  <c r="D302" i="6"/>
  <c r="B302" i="6"/>
  <c r="D301" i="6"/>
  <c r="B301" i="6"/>
  <c r="D300" i="6"/>
  <c r="B300" i="6"/>
  <c r="D299" i="6"/>
  <c r="B299" i="6"/>
  <c r="D298" i="6"/>
  <c r="B298" i="6"/>
  <c r="D297" i="6"/>
  <c r="B297" i="6"/>
  <c r="D296" i="6"/>
  <c r="B296" i="6"/>
  <c r="D295" i="6"/>
  <c r="B295" i="6"/>
  <c r="D294" i="6"/>
  <c r="B294" i="6"/>
  <c r="D293" i="6"/>
  <c r="B293" i="6"/>
  <c r="D292" i="6"/>
  <c r="B292" i="6"/>
  <c r="D291" i="6"/>
  <c r="B291" i="6"/>
  <c r="D290" i="6"/>
  <c r="B290" i="6"/>
  <c r="D289" i="6"/>
  <c r="B289" i="6"/>
  <c r="D288" i="6"/>
  <c r="B288" i="6"/>
  <c r="D287" i="6"/>
  <c r="B287" i="6"/>
  <c r="D286" i="6"/>
  <c r="B286" i="6"/>
  <c r="D285" i="6"/>
  <c r="B285" i="6"/>
  <c r="D284" i="6"/>
  <c r="B284" i="6"/>
  <c r="D283" i="6"/>
  <c r="B283" i="6"/>
  <c r="D282" i="6"/>
  <c r="B282" i="6"/>
  <c r="D281" i="6"/>
  <c r="B281" i="6"/>
  <c r="D280" i="6"/>
  <c r="B280" i="6"/>
  <c r="D279" i="6"/>
  <c r="B279" i="6"/>
  <c r="D278" i="6"/>
  <c r="B278" i="6"/>
  <c r="D277" i="6"/>
  <c r="B277" i="6"/>
  <c r="D276" i="6"/>
  <c r="B276" i="6"/>
  <c r="D275" i="6"/>
  <c r="B275" i="6"/>
  <c r="D274" i="6"/>
  <c r="B274" i="6"/>
  <c r="D273" i="6"/>
  <c r="B273" i="6"/>
  <c r="D272" i="6"/>
  <c r="B272" i="6"/>
  <c r="D271" i="6"/>
  <c r="B271" i="6"/>
  <c r="D270" i="6"/>
  <c r="B270" i="6"/>
  <c r="D269" i="6"/>
  <c r="B269" i="6"/>
  <c r="D268" i="6"/>
  <c r="B268" i="6"/>
  <c r="D267" i="6"/>
  <c r="B267" i="6"/>
  <c r="D266" i="6"/>
  <c r="B266" i="6"/>
  <c r="D265" i="6"/>
  <c r="B265" i="6"/>
  <c r="D264" i="6"/>
  <c r="B264" i="6"/>
  <c r="D263" i="6"/>
  <c r="B263" i="6"/>
  <c r="D262" i="6"/>
  <c r="B262" i="6"/>
  <c r="D261" i="6"/>
  <c r="B261" i="6"/>
  <c r="D260" i="6"/>
  <c r="B260" i="6"/>
  <c r="D259" i="6"/>
  <c r="B259" i="6"/>
  <c r="D258" i="6"/>
  <c r="B258" i="6"/>
  <c r="D257" i="6"/>
  <c r="B257" i="6"/>
  <c r="D256" i="6"/>
  <c r="B256" i="6"/>
  <c r="D255" i="6"/>
  <c r="B255" i="6"/>
  <c r="D254" i="6"/>
  <c r="B254" i="6"/>
  <c r="D253" i="6"/>
  <c r="B253" i="6"/>
  <c r="D252" i="6"/>
  <c r="B252" i="6"/>
  <c r="D251" i="6"/>
  <c r="B251" i="6"/>
  <c r="D250" i="6"/>
  <c r="B250" i="6"/>
  <c r="D249" i="6"/>
  <c r="B249" i="6"/>
  <c r="D248" i="6"/>
  <c r="B248" i="6"/>
  <c r="D247" i="6"/>
  <c r="B247" i="6"/>
  <c r="D246" i="6"/>
  <c r="B246" i="6"/>
  <c r="D245" i="6"/>
  <c r="B245" i="6"/>
  <c r="D244" i="6"/>
  <c r="B244" i="6"/>
  <c r="D243" i="6"/>
  <c r="B243" i="6"/>
  <c r="D242" i="6"/>
  <c r="B242" i="6"/>
  <c r="D241" i="6"/>
  <c r="B241" i="6"/>
  <c r="D240" i="6"/>
  <c r="B240" i="6"/>
  <c r="D239" i="6"/>
  <c r="B239" i="6"/>
  <c r="D238" i="6"/>
  <c r="B238" i="6"/>
  <c r="D237" i="6"/>
  <c r="B237" i="6"/>
  <c r="D236" i="6"/>
  <c r="B236" i="6"/>
  <c r="D235" i="6"/>
  <c r="B235" i="6"/>
  <c r="D234" i="6"/>
  <c r="B234" i="6"/>
  <c r="D233" i="6"/>
  <c r="B233" i="6"/>
  <c r="D232" i="6"/>
  <c r="B232" i="6"/>
  <c r="D231" i="6"/>
  <c r="B231" i="6"/>
  <c r="D230" i="6"/>
  <c r="B230" i="6"/>
  <c r="D229" i="6"/>
  <c r="B229" i="6"/>
  <c r="D228" i="6"/>
  <c r="B228" i="6"/>
  <c r="D227" i="6"/>
  <c r="B227" i="6"/>
  <c r="D226" i="6"/>
  <c r="B226" i="6"/>
  <c r="D225" i="6"/>
  <c r="B225" i="6"/>
  <c r="D224" i="6"/>
  <c r="B224" i="6"/>
  <c r="D223" i="6"/>
  <c r="B223" i="6"/>
  <c r="D222" i="6"/>
  <c r="B222" i="6"/>
  <c r="D221" i="6"/>
  <c r="B221" i="6"/>
  <c r="D220" i="6"/>
  <c r="B220" i="6"/>
  <c r="D219" i="6"/>
  <c r="B219" i="6"/>
  <c r="D218" i="6"/>
  <c r="B218" i="6"/>
  <c r="D217" i="6"/>
  <c r="B217" i="6"/>
  <c r="D216" i="6"/>
  <c r="B216" i="6"/>
  <c r="D215" i="6"/>
  <c r="B215" i="6"/>
  <c r="D214" i="6"/>
  <c r="B214" i="6"/>
  <c r="D213" i="6"/>
  <c r="B213" i="6"/>
  <c r="D212" i="6"/>
  <c r="B212" i="6"/>
  <c r="D211" i="6"/>
  <c r="B211" i="6"/>
  <c r="D210" i="6"/>
  <c r="B210" i="6"/>
  <c r="D209" i="6"/>
  <c r="B209" i="6"/>
  <c r="D208" i="6"/>
  <c r="B208" i="6"/>
  <c r="D207" i="6"/>
  <c r="B207" i="6"/>
  <c r="D206" i="6"/>
  <c r="B206" i="6"/>
  <c r="D205" i="6"/>
  <c r="B205" i="6"/>
  <c r="D204" i="6"/>
  <c r="B204" i="6"/>
  <c r="D203" i="6"/>
  <c r="B203" i="6"/>
  <c r="D202" i="6"/>
  <c r="B202" i="6"/>
  <c r="D201" i="6"/>
  <c r="B201" i="6"/>
  <c r="D200" i="6"/>
  <c r="B200" i="6"/>
  <c r="D199" i="6"/>
  <c r="B199" i="6"/>
  <c r="D198" i="6"/>
  <c r="B198" i="6"/>
  <c r="D197" i="6"/>
  <c r="B197" i="6"/>
  <c r="D196" i="6"/>
  <c r="B196" i="6"/>
  <c r="D195" i="6"/>
  <c r="B195" i="6"/>
  <c r="D194" i="6"/>
  <c r="B194" i="6"/>
  <c r="D193" i="6"/>
  <c r="B193" i="6"/>
  <c r="D192" i="6"/>
  <c r="B192" i="6"/>
  <c r="D191" i="6"/>
  <c r="B191" i="6"/>
  <c r="D190" i="6"/>
  <c r="B190" i="6"/>
  <c r="D189" i="6"/>
  <c r="B189" i="6"/>
  <c r="D188" i="6"/>
  <c r="B188" i="6"/>
  <c r="D187" i="6"/>
  <c r="B187" i="6"/>
  <c r="D186" i="6"/>
  <c r="B186" i="6"/>
  <c r="D185" i="6"/>
  <c r="B185" i="6"/>
  <c r="D184" i="6"/>
  <c r="B184" i="6"/>
  <c r="D183" i="6"/>
  <c r="B183" i="6"/>
  <c r="D182" i="6"/>
  <c r="B182" i="6"/>
  <c r="D181" i="6"/>
  <c r="B181" i="6"/>
  <c r="D180" i="6"/>
  <c r="B180" i="6"/>
  <c r="D179" i="6"/>
  <c r="B179" i="6"/>
  <c r="D178" i="6"/>
  <c r="B178" i="6"/>
  <c r="D177" i="6"/>
  <c r="B177" i="6"/>
  <c r="D176" i="6"/>
  <c r="B176" i="6"/>
  <c r="D175" i="6"/>
  <c r="B175" i="6"/>
  <c r="D174" i="6"/>
  <c r="B174" i="6"/>
  <c r="D173" i="6"/>
  <c r="B173" i="6"/>
  <c r="D172" i="6"/>
  <c r="B172" i="6"/>
  <c r="D171" i="6"/>
  <c r="B171" i="6"/>
  <c r="D170" i="6"/>
  <c r="B170" i="6"/>
  <c r="D169" i="6"/>
  <c r="B169" i="6"/>
  <c r="D168" i="6"/>
  <c r="B168" i="6"/>
  <c r="D167" i="6"/>
  <c r="B167" i="6"/>
  <c r="D166" i="6"/>
  <c r="B166" i="6"/>
  <c r="D165" i="6"/>
  <c r="B165" i="6"/>
  <c r="D164" i="6"/>
  <c r="B164" i="6"/>
  <c r="D163" i="6"/>
  <c r="B163" i="6"/>
  <c r="D162" i="6"/>
  <c r="B162" i="6"/>
  <c r="D161" i="6"/>
  <c r="B161" i="6"/>
  <c r="D160" i="6"/>
  <c r="B160" i="6"/>
  <c r="D159" i="6"/>
  <c r="B159" i="6"/>
  <c r="D158" i="6"/>
  <c r="B158" i="6"/>
  <c r="D157" i="6"/>
  <c r="B157" i="6"/>
  <c r="D156" i="6"/>
  <c r="B156" i="6"/>
  <c r="D155" i="6"/>
  <c r="B155" i="6"/>
  <c r="D154" i="6"/>
  <c r="B154" i="6"/>
  <c r="D153" i="6"/>
  <c r="B153" i="6"/>
  <c r="D152" i="6"/>
  <c r="B152" i="6"/>
  <c r="D151" i="6"/>
  <c r="B151" i="6"/>
  <c r="D150" i="6"/>
  <c r="B150" i="6"/>
  <c r="D149" i="6"/>
  <c r="B149" i="6"/>
  <c r="D148" i="6"/>
  <c r="B148" i="6"/>
  <c r="D147" i="6"/>
  <c r="B147" i="6"/>
  <c r="D146" i="6"/>
  <c r="B146" i="6"/>
  <c r="D145" i="6"/>
  <c r="B145" i="6"/>
  <c r="D144" i="6"/>
  <c r="B144" i="6"/>
  <c r="D143" i="6"/>
  <c r="B143" i="6"/>
  <c r="D142" i="6"/>
  <c r="B142" i="6"/>
  <c r="D141" i="6"/>
  <c r="B141" i="6"/>
  <c r="D140" i="6"/>
  <c r="B140" i="6"/>
  <c r="D139" i="6"/>
  <c r="B139" i="6"/>
  <c r="D138" i="6"/>
  <c r="B138" i="6"/>
  <c r="D137" i="6"/>
  <c r="B137" i="6"/>
  <c r="D136" i="6"/>
  <c r="B136" i="6"/>
  <c r="D135" i="6"/>
  <c r="B135" i="6"/>
  <c r="D134" i="6"/>
  <c r="B134" i="6"/>
  <c r="D133" i="6"/>
  <c r="B133" i="6"/>
  <c r="D132" i="6"/>
  <c r="B132" i="6"/>
  <c r="D131" i="6"/>
  <c r="B131" i="6"/>
  <c r="D130" i="6"/>
  <c r="B130" i="6"/>
  <c r="D129" i="6"/>
  <c r="B129" i="6"/>
  <c r="D128" i="6"/>
  <c r="B128" i="6"/>
  <c r="D127" i="6"/>
  <c r="B127" i="6"/>
  <c r="D126" i="6"/>
  <c r="B126" i="6"/>
  <c r="D125" i="6"/>
  <c r="B125" i="6"/>
  <c r="D124" i="6"/>
  <c r="B124" i="6"/>
  <c r="D123" i="6"/>
  <c r="B123" i="6"/>
  <c r="D122" i="6"/>
  <c r="B122" i="6"/>
  <c r="D121" i="6"/>
  <c r="B121" i="6"/>
  <c r="D120" i="6"/>
  <c r="B120" i="6"/>
  <c r="D119" i="6"/>
  <c r="B119" i="6"/>
  <c r="D118" i="6"/>
  <c r="B118" i="6"/>
  <c r="D117" i="6"/>
  <c r="B117" i="6"/>
  <c r="D116" i="6"/>
  <c r="B116" i="6"/>
  <c r="D115" i="6"/>
  <c r="B115" i="6"/>
  <c r="D114" i="6"/>
  <c r="B114" i="6"/>
  <c r="D113" i="6"/>
  <c r="B113" i="6"/>
  <c r="D112" i="6"/>
  <c r="B112" i="6"/>
  <c r="D111" i="6"/>
  <c r="B111" i="6"/>
  <c r="D110" i="6"/>
  <c r="B110" i="6"/>
  <c r="D109" i="6"/>
  <c r="B109" i="6"/>
  <c r="D108" i="6"/>
  <c r="B108" i="6"/>
  <c r="D107" i="6"/>
  <c r="B107" i="6"/>
  <c r="D106" i="6"/>
  <c r="B106" i="6"/>
  <c r="D105" i="6"/>
  <c r="B105" i="6"/>
  <c r="D104" i="6"/>
  <c r="B104" i="6"/>
  <c r="D103" i="6"/>
  <c r="B103" i="6"/>
  <c r="D102" i="6"/>
  <c r="B102" i="6"/>
  <c r="D101" i="6"/>
  <c r="B101" i="6"/>
  <c r="D100" i="6"/>
  <c r="B100" i="6"/>
  <c r="D99" i="6"/>
  <c r="B99" i="6"/>
  <c r="D98" i="6"/>
  <c r="B98" i="6"/>
  <c r="D97" i="6"/>
  <c r="B97" i="6"/>
  <c r="D96" i="6"/>
  <c r="B96" i="6"/>
  <c r="D95" i="6"/>
  <c r="B95" i="6"/>
  <c r="D94" i="6"/>
  <c r="B94" i="6"/>
  <c r="D93" i="6"/>
  <c r="B93" i="6"/>
  <c r="D92" i="6"/>
  <c r="B92" i="6"/>
  <c r="D91" i="6"/>
  <c r="B91" i="6"/>
  <c r="D90" i="6"/>
  <c r="B90" i="6"/>
  <c r="D89" i="6"/>
  <c r="B89" i="6"/>
  <c r="D88" i="6"/>
  <c r="B88" i="6"/>
  <c r="D87" i="6"/>
  <c r="B87" i="6"/>
  <c r="D86" i="6"/>
  <c r="B86" i="6"/>
  <c r="D85" i="6"/>
  <c r="B85" i="6"/>
  <c r="D84" i="6"/>
  <c r="B84" i="6"/>
  <c r="D83" i="6"/>
  <c r="B83" i="6"/>
  <c r="D82" i="6"/>
  <c r="B82" i="6"/>
  <c r="D81" i="6"/>
  <c r="B81" i="6"/>
  <c r="D80" i="6"/>
  <c r="B80" i="6"/>
  <c r="D79" i="6"/>
  <c r="B79" i="6"/>
  <c r="D78" i="6"/>
  <c r="B78" i="6"/>
  <c r="D77" i="6"/>
  <c r="B77" i="6"/>
  <c r="D76" i="6"/>
  <c r="B76" i="6"/>
  <c r="D75" i="6"/>
  <c r="B75" i="6"/>
  <c r="D74" i="6"/>
  <c r="B74" i="6"/>
  <c r="D73" i="6"/>
  <c r="B73" i="6"/>
  <c r="D72" i="6"/>
  <c r="B72" i="6"/>
  <c r="D71" i="6"/>
  <c r="B71" i="6"/>
  <c r="D70" i="6"/>
  <c r="B70" i="6"/>
  <c r="D69" i="6"/>
  <c r="B69" i="6"/>
  <c r="D68" i="6"/>
  <c r="B68" i="6"/>
  <c r="D67" i="6"/>
  <c r="B67" i="6"/>
  <c r="D66" i="6"/>
  <c r="B66" i="6"/>
  <c r="D65" i="6"/>
  <c r="B65" i="6"/>
  <c r="D64" i="6"/>
  <c r="B64" i="6"/>
  <c r="D63" i="6"/>
  <c r="B63" i="6"/>
  <c r="D62" i="6"/>
  <c r="B62" i="6"/>
  <c r="D61" i="6"/>
  <c r="B61" i="6"/>
  <c r="D60" i="6"/>
  <c r="B60" i="6"/>
  <c r="D59" i="6"/>
  <c r="B59" i="6"/>
  <c r="D58" i="6"/>
  <c r="B58" i="6"/>
  <c r="D57" i="6"/>
  <c r="B57" i="6"/>
  <c r="D56" i="6"/>
  <c r="B56" i="6"/>
  <c r="D55" i="6"/>
  <c r="B55" i="6"/>
  <c r="D54" i="6"/>
  <c r="B54" i="6"/>
  <c r="D53" i="6"/>
  <c r="B53" i="6"/>
  <c r="D52" i="6"/>
  <c r="B52" i="6"/>
  <c r="D51" i="6"/>
  <c r="B51" i="6"/>
  <c r="D50" i="6"/>
  <c r="B50" i="6"/>
  <c r="D49" i="6"/>
  <c r="B49" i="6"/>
  <c r="D48" i="6"/>
  <c r="B48" i="6"/>
  <c r="D47" i="6"/>
  <c r="B47" i="6"/>
  <c r="D46" i="6"/>
  <c r="B46" i="6"/>
  <c r="D45" i="6"/>
  <c r="B45" i="6"/>
  <c r="D44" i="6"/>
  <c r="B44" i="6"/>
  <c r="D43" i="6"/>
  <c r="B43" i="6"/>
  <c r="D42" i="6"/>
  <c r="B42" i="6"/>
  <c r="D41" i="6"/>
  <c r="B41" i="6"/>
  <c r="D40" i="6"/>
  <c r="B40" i="6"/>
  <c r="D39" i="6"/>
  <c r="B39" i="6"/>
  <c r="D38" i="6"/>
  <c r="B38" i="6"/>
  <c r="D37" i="6"/>
  <c r="B37" i="6"/>
  <c r="D36" i="6"/>
  <c r="B36" i="6"/>
  <c r="D35" i="6"/>
  <c r="B35" i="6"/>
  <c r="D34" i="6"/>
  <c r="B34" i="6"/>
  <c r="D33" i="6"/>
  <c r="B33" i="6"/>
  <c r="D32" i="6"/>
  <c r="B32" i="6"/>
  <c r="D31" i="6"/>
  <c r="B31" i="6"/>
  <c r="D30" i="6"/>
  <c r="B30" i="6"/>
  <c r="D29" i="6"/>
  <c r="B29" i="6"/>
  <c r="D28" i="6"/>
  <c r="B28" i="6"/>
  <c r="D27" i="6"/>
  <c r="B27" i="6"/>
  <c r="D26" i="6"/>
  <c r="B26" i="6"/>
  <c r="D25" i="6"/>
  <c r="B25" i="6"/>
  <c r="D24" i="6"/>
  <c r="B24" i="6"/>
  <c r="D23" i="6"/>
  <c r="B23" i="6"/>
  <c r="D22" i="6"/>
  <c r="B22" i="6"/>
  <c r="D21" i="6"/>
  <c r="B21" i="6"/>
  <c r="D20" i="6"/>
  <c r="B20" i="6"/>
  <c r="D19" i="6"/>
  <c r="B19" i="6"/>
  <c r="D18" i="6"/>
  <c r="B18" i="6"/>
  <c r="D17" i="6"/>
  <c r="B17" i="6"/>
  <c r="D16" i="6"/>
  <c r="B16" i="6"/>
  <c r="D15" i="6"/>
  <c r="B15" i="6"/>
  <c r="D14" i="6"/>
  <c r="B14" i="6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D5" i="6"/>
  <c r="B5" i="6"/>
  <c r="D4" i="6"/>
  <c r="B4" i="6"/>
  <c r="D3" i="6"/>
  <c r="B3" i="6"/>
  <c r="D513" i="5"/>
  <c r="B513" i="5"/>
  <c r="D512" i="5"/>
  <c r="B512" i="5"/>
  <c r="D511" i="5"/>
  <c r="B511" i="5"/>
  <c r="D510" i="5"/>
  <c r="B510" i="5"/>
  <c r="D509" i="5"/>
  <c r="B509" i="5"/>
  <c r="D508" i="5"/>
  <c r="B508" i="5"/>
  <c r="D507" i="5"/>
  <c r="B507" i="5"/>
  <c r="D506" i="5"/>
  <c r="B506" i="5"/>
  <c r="D505" i="5"/>
  <c r="B505" i="5"/>
  <c r="D504" i="5"/>
  <c r="B504" i="5"/>
  <c r="D503" i="5"/>
  <c r="B503" i="5"/>
  <c r="D502" i="5"/>
  <c r="B502" i="5"/>
  <c r="D501" i="5"/>
  <c r="B501" i="5"/>
  <c r="D500" i="5"/>
  <c r="B500" i="5"/>
  <c r="D499" i="5"/>
  <c r="B499" i="5"/>
  <c r="D498" i="5"/>
  <c r="B498" i="5"/>
  <c r="D497" i="5"/>
  <c r="B497" i="5"/>
  <c r="D496" i="5"/>
  <c r="B496" i="5"/>
  <c r="D495" i="5"/>
  <c r="B495" i="5"/>
  <c r="D494" i="5"/>
  <c r="B494" i="5"/>
  <c r="D493" i="5"/>
  <c r="B493" i="5"/>
  <c r="D492" i="5"/>
  <c r="B492" i="5"/>
  <c r="D491" i="5"/>
  <c r="B491" i="5"/>
  <c r="D490" i="5"/>
  <c r="B490" i="5"/>
  <c r="D489" i="5"/>
  <c r="B489" i="5"/>
  <c r="D488" i="5"/>
  <c r="B488" i="5"/>
  <c r="D487" i="5"/>
  <c r="B487" i="5"/>
  <c r="D486" i="5"/>
  <c r="B486" i="5"/>
  <c r="D485" i="5"/>
  <c r="B485" i="5"/>
  <c r="D484" i="5"/>
  <c r="B484" i="5"/>
  <c r="D483" i="5"/>
  <c r="B483" i="5"/>
  <c r="D482" i="5"/>
  <c r="B482" i="5"/>
  <c r="D481" i="5"/>
  <c r="B481" i="5"/>
  <c r="D480" i="5"/>
  <c r="B480" i="5"/>
  <c r="D479" i="5"/>
  <c r="B479" i="5"/>
  <c r="D478" i="5"/>
  <c r="B478" i="5"/>
  <c r="D477" i="5"/>
  <c r="B477" i="5"/>
  <c r="D476" i="5"/>
  <c r="B476" i="5"/>
  <c r="D475" i="5"/>
  <c r="B475" i="5"/>
  <c r="D474" i="5"/>
  <c r="B474" i="5"/>
  <c r="D473" i="5"/>
  <c r="B473" i="5"/>
  <c r="D472" i="5"/>
  <c r="B472" i="5"/>
  <c r="D471" i="5"/>
  <c r="B471" i="5"/>
  <c r="D470" i="5"/>
  <c r="B470" i="5"/>
  <c r="D469" i="5"/>
  <c r="B469" i="5"/>
  <c r="D468" i="5"/>
  <c r="B468" i="5"/>
  <c r="D467" i="5"/>
  <c r="B467" i="5"/>
  <c r="D466" i="5"/>
  <c r="B466" i="5"/>
  <c r="D465" i="5"/>
  <c r="B465" i="5"/>
  <c r="D464" i="5"/>
  <c r="B464" i="5"/>
  <c r="D463" i="5"/>
  <c r="B463" i="5"/>
  <c r="D462" i="5"/>
  <c r="B462" i="5"/>
  <c r="D461" i="5"/>
  <c r="B461" i="5"/>
  <c r="D460" i="5"/>
  <c r="B460" i="5"/>
  <c r="D459" i="5"/>
  <c r="B459" i="5"/>
  <c r="D458" i="5"/>
  <c r="B458" i="5"/>
  <c r="D457" i="5"/>
  <c r="B457" i="5"/>
  <c r="D456" i="5"/>
  <c r="B456" i="5"/>
  <c r="D455" i="5"/>
  <c r="B455" i="5"/>
  <c r="D454" i="5"/>
  <c r="B454" i="5"/>
  <c r="D453" i="5"/>
  <c r="B453" i="5"/>
  <c r="D452" i="5"/>
  <c r="B452" i="5"/>
  <c r="D451" i="5"/>
  <c r="B451" i="5"/>
  <c r="D450" i="5"/>
  <c r="B450" i="5"/>
  <c r="D449" i="5"/>
  <c r="B449" i="5"/>
  <c r="D448" i="5"/>
  <c r="B448" i="5"/>
  <c r="D447" i="5"/>
  <c r="B447" i="5"/>
  <c r="D446" i="5"/>
  <c r="B446" i="5"/>
  <c r="D445" i="5"/>
  <c r="B445" i="5"/>
  <c r="D444" i="5"/>
  <c r="B444" i="5"/>
  <c r="D443" i="5"/>
  <c r="B443" i="5"/>
  <c r="D442" i="5"/>
  <c r="B442" i="5"/>
  <c r="D441" i="5"/>
  <c r="B441" i="5"/>
  <c r="D440" i="5"/>
  <c r="B440" i="5"/>
  <c r="D439" i="5"/>
  <c r="B439" i="5"/>
  <c r="D438" i="5"/>
  <c r="B438" i="5"/>
  <c r="D437" i="5"/>
  <c r="B437" i="5"/>
  <c r="D436" i="5"/>
  <c r="B436" i="5"/>
  <c r="D435" i="5"/>
  <c r="B435" i="5"/>
  <c r="D434" i="5"/>
  <c r="B434" i="5"/>
  <c r="D433" i="5"/>
  <c r="B433" i="5"/>
  <c r="D432" i="5"/>
  <c r="B432" i="5"/>
  <c r="D431" i="5"/>
  <c r="B431" i="5"/>
  <c r="D430" i="5"/>
  <c r="B430" i="5"/>
  <c r="D429" i="5"/>
  <c r="B429" i="5"/>
  <c r="D428" i="5"/>
  <c r="B428" i="5"/>
  <c r="D427" i="5"/>
  <c r="B427" i="5"/>
  <c r="D426" i="5"/>
  <c r="B426" i="5"/>
  <c r="D425" i="5"/>
  <c r="B425" i="5"/>
  <c r="D424" i="5"/>
  <c r="B424" i="5"/>
  <c r="D423" i="5"/>
  <c r="B423" i="5"/>
  <c r="D422" i="5"/>
  <c r="B422" i="5"/>
  <c r="D421" i="5"/>
  <c r="B421" i="5"/>
  <c r="D420" i="5"/>
  <c r="B420" i="5"/>
  <c r="D419" i="5"/>
  <c r="B419" i="5"/>
  <c r="D418" i="5"/>
  <c r="B418" i="5"/>
  <c r="D417" i="5"/>
  <c r="B417" i="5"/>
  <c r="D416" i="5"/>
  <c r="B416" i="5"/>
  <c r="D415" i="5"/>
  <c r="B415" i="5"/>
  <c r="D414" i="5"/>
  <c r="B414" i="5"/>
  <c r="D413" i="5"/>
  <c r="B413" i="5"/>
  <c r="D412" i="5"/>
  <c r="B412" i="5"/>
  <c r="D411" i="5"/>
  <c r="B411" i="5"/>
  <c r="D410" i="5"/>
  <c r="B410" i="5"/>
  <c r="D409" i="5"/>
  <c r="B409" i="5"/>
  <c r="D408" i="5"/>
  <c r="B408" i="5"/>
  <c r="D407" i="5"/>
  <c r="B407" i="5"/>
  <c r="D406" i="5"/>
  <c r="B406" i="5"/>
  <c r="D405" i="5"/>
  <c r="B405" i="5"/>
  <c r="D404" i="5"/>
  <c r="B404" i="5"/>
  <c r="D403" i="5"/>
  <c r="B403" i="5"/>
  <c r="D402" i="5"/>
  <c r="B402" i="5"/>
  <c r="D401" i="5"/>
  <c r="B401" i="5"/>
  <c r="D400" i="5"/>
  <c r="B400" i="5"/>
  <c r="D399" i="5"/>
  <c r="B399" i="5"/>
  <c r="D398" i="5"/>
  <c r="B398" i="5"/>
  <c r="D397" i="5"/>
  <c r="B397" i="5"/>
  <c r="D396" i="5"/>
  <c r="B396" i="5"/>
  <c r="D395" i="5"/>
  <c r="B395" i="5"/>
  <c r="D394" i="5"/>
  <c r="B394" i="5"/>
  <c r="D393" i="5"/>
  <c r="B393" i="5"/>
  <c r="D392" i="5"/>
  <c r="B392" i="5"/>
  <c r="D391" i="5"/>
  <c r="B391" i="5"/>
  <c r="D390" i="5"/>
  <c r="B390" i="5"/>
  <c r="D389" i="5"/>
  <c r="B389" i="5"/>
  <c r="D388" i="5"/>
  <c r="B388" i="5"/>
  <c r="D387" i="5"/>
  <c r="B387" i="5"/>
  <c r="D386" i="5"/>
  <c r="B386" i="5"/>
  <c r="D385" i="5"/>
  <c r="B385" i="5"/>
  <c r="D384" i="5"/>
  <c r="B384" i="5"/>
  <c r="D383" i="5"/>
  <c r="B383" i="5"/>
  <c r="D382" i="5"/>
  <c r="B382" i="5"/>
  <c r="D381" i="5"/>
  <c r="B381" i="5"/>
  <c r="D380" i="5"/>
  <c r="B380" i="5"/>
  <c r="D379" i="5"/>
  <c r="B379" i="5"/>
  <c r="D378" i="5"/>
  <c r="B378" i="5"/>
  <c r="D377" i="5"/>
  <c r="B377" i="5"/>
  <c r="D376" i="5"/>
  <c r="B376" i="5"/>
  <c r="D375" i="5"/>
  <c r="B375" i="5"/>
  <c r="D374" i="5"/>
  <c r="B374" i="5"/>
  <c r="D373" i="5"/>
  <c r="B373" i="5"/>
  <c r="D372" i="5"/>
  <c r="B372" i="5"/>
  <c r="D371" i="5"/>
  <c r="B371" i="5"/>
  <c r="D370" i="5"/>
  <c r="B370" i="5"/>
  <c r="D369" i="5"/>
  <c r="B369" i="5"/>
  <c r="D368" i="5"/>
  <c r="B368" i="5"/>
  <c r="D367" i="5"/>
  <c r="B367" i="5"/>
  <c r="D366" i="5"/>
  <c r="B366" i="5"/>
  <c r="D365" i="5"/>
  <c r="B365" i="5"/>
  <c r="D364" i="5"/>
  <c r="B364" i="5"/>
  <c r="D363" i="5"/>
  <c r="B363" i="5"/>
  <c r="D362" i="5"/>
  <c r="B362" i="5"/>
  <c r="D361" i="5"/>
  <c r="B361" i="5"/>
  <c r="D360" i="5"/>
  <c r="B360" i="5"/>
  <c r="D359" i="5"/>
  <c r="B359" i="5"/>
  <c r="D358" i="5"/>
  <c r="B358" i="5"/>
  <c r="D357" i="5"/>
  <c r="B357" i="5"/>
  <c r="D356" i="5"/>
  <c r="B356" i="5"/>
  <c r="D355" i="5"/>
  <c r="B355" i="5"/>
  <c r="D354" i="5"/>
  <c r="B354" i="5"/>
  <c r="D353" i="5"/>
  <c r="B353" i="5"/>
  <c r="D352" i="5"/>
  <c r="B352" i="5"/>
  <c r="D351" i="5"/>
  <c r="B351" i="5"/>
  <c r="D350" i="5"/>
  <c r="B350" i="5"/>
  <c r="D349" i="5"/>
  <c r="B349" i="5"/>
  <c r="D348" i="5"/>
  <c r="B348" i="5"/>
  <c r="D347" i="5"/>
  <c r="B347" i="5"/>
  <c r="D346" i="5"/>
  <c r="B346" i="5"/>
  <c r="D345" i="5"/>
  <c r="B345" i="5"/>
  <c r="D344" i="5"/>
  <c r="B344" i="5"/>
  <c r="D343" i="5"/>
  <c r="B343" i="5"/>
  <c r="D342" i="5"/>
  <c r="B342" i="5"/>
  <c r="D341" i="5"/>
  <c r="B341" i="5"/>
  <c r="D340" i="5"/>
  <c r="B340" i="5"/>
  <c r="D339" i="5"/>
  <c r="B339" i="5"/>
  <c r="D338" i="5"/>
  <c r="B338" i="5"/>
  <c r="D337" i="5"/>
  <c r="B337" i="5"/>
  <c r="D336" i="5"/>
  <c r="B336" i="5"/>
  <c r="D335" i="5"/>
  <c r="B335" i="5"/>
  <c r="D334" i="5"/>
  <c r="B334" i="5"/>
  <c r="D333" i="5"/>
  <c r="B333" i="5"/>
  <c r="D332" i="5"/>
  <c r="B332" i="5"/>
  <c r="D331" i="5"/>
  <c r="B331" i="5"/>
  <c r="D330" i="5"/>
  <c r="B330" i="5"/>
  <c r="D329" i="5"/>
  <c r="B329" i="5"/>
  <c r="D328" i="5"/>
  <c r="B328" i="5"/>
  <c r="D327" i="5"/>
  <c r="B327" i="5"/>
  <c r="D326" i="5"/>
  <c r="B326" i="5"/>
  <c r="D325" i="5"/>
  <c r="B325" i="5"/>
  <c r="D324" i="5"/>
  <c r="B324" i="5"/>
  <c r="D323" i="5"/>
  <c r="B323" i="5"/>
  <c r="D322" i="5"/>
  <c r="B322" i="5"/>
  <c r="D321" i="5"/>
  <c r="B321" i="5"/>
  <c r="D320" i="5"/>
  <c r="B320" i="5"/>
  <c r="D319" i="5"/>
  <c r="B319" i="5"/>
  <c r="D318" i="5"/>
  <c r="B318" i="5"/>
  <c r="D317" i="5"/>
  <c r="B317" i="5"/>
  <c r="D316" i="5"/>
  <c r="B316" i="5"/>
  <c r="D315" i="5"/>
  <c r="B315" i="5"/>
  <c r="D314" i="5"/>
  <c r="B314" i="5"/>
  <c r="D313" i="5"/>
  <c r="B313" i="5"/>
  <c r="D312" i="5"/>
  <c r="B312" i="5"/>
  <c r="D311" i="5"/>
  <c r="B311" i="5"/>
  <c r="D310" i="5"/>
  <c r="B310" i="5"/>
  <c r="D309" i="5"/>
  <c r="B309" i="5"/>
  <c r="D308" i="5"/>
  <c r="B308" i="5"/>
  <c r="D307" i="5"/>
  <c r="B307" i="5"/>
  <c r="D306" i="5"/>
  <c r="B306" i="5"/>
  <c r="D305" i="5"/>
  <c r="B305" i="5"/>
  <c r="D304" i="5"/>
  <c r="B304" i="5"/>
  <c r="D303" i="5"/>
  <c r="B303" i="5"/>
  <c r="D302" i="5"/>
  <c r="B302" i="5"/>
  <c r="D301" i="5"/>
  <c r="B301" i="5"/>
  <c r="D300" i="5"/>
  <c r="B300" i="5"/>
  <c r="D299" i="5"/>
  <c r="B299" i="5"/>
  <c r="D298" i="5"/>
  <c r="B298" i="5"/>
  <c r="D297" i="5"/>
  <c r="B297" i="5"/>
  <c r="D296" i="5"/>
  <c r="B296" i="5"/>
  <c r="D295" i="5"/>
  <c r="B295" i="5"/>
  <c r="D294" i="5"/>
  <c r="B294" i="5"/>
  <c r="D293" i="5"/>
  <c r="B293" i="5"/>
  <c r="D292" i="5"/>
  <c r="B292" i="5"/>
  <c r="D291" i="5"/>
  <c r="B291" i="5"/>
  <c r="D290" i="5"/>
  <c r="B290" i="5"/>
  <c r="D289" i="5"/>
  <c r="B289" i="5"/>
  <c r="D288" i="5"/>
  <c r="B288" i="5"/>
  <c r="D287" i="5"/>
  <c r="B287" i="5"/>
  <c r="D286" i="5"/>
  <c r="B286" i="5"/>
  <c r="D285" i="5"/>
  <c r="B285" i="5"/>
  <c r="D284" i="5"/>
  <c r="B284" i="5"/>
  <c r="D283" i="5"/>
  <c r="B283" i="5"/>
  <c r="D282" i="5"/>
  <c r="B282" i="5"/>
  <c r="D281" i="5"/>
  <c r="B281" i="5"/>
  <c r="D280" i="5"/>
  <c r="B280" i="5"/>
  <c r="D279" i="5"/>
  <c r="B279" i="5"/>
  <c r="D278" i="5"/>
  <c r="B278" i="5"/>
  <c r="D277" i="5"/>
  <c r="B277" i="5"/>
  <c r="D276" i="5"/>
  <c r="B276" i="5"/>
  <c r="D275" i="5"/>
  <c r="B275" i="5"/>
  <c r="D274" i="5"/>
  <c r="B274" i="5"/>
  <c r="D273" i="5"/>
  <c r="B273" i="5"/>
  <c r="D272" i="5"/>
  <c r="B272" i="5"/>
  <c r="D271" i="5"/>
  <c r="B271" i="5"/>
  <c r="D270" i="5"/>
  <c r="B270" i="5"/>
  <c r="D269" i="5"/>
  <c r="B269" i="5"/>
  <c r="D268" i="5"/>
  <c r="B268" i="5"/>
  <c r="D267" i="5"/>
  <c r="B267" i="5"/>
  <c r="D266" i="5"/>
  <c r="B266" i="5"/>
  <c r="D265" i="5"/>
  <c r="B265" i="5"/>
  <c r="D264" i="5"/>
  <c r="B264" i="5"/>
  <c r="D263" i="5"/>
  <c r="B263" i="5"/>
  <c r="D262" i="5"/>
  <c r="B262" i="5"/>
  <c r="D261" i="5"/>
  <c r="B261" i="5"/>
  <c r="D260" i="5"/>
  <c r="B260" i="5"/>
  <c r="D259" i="5"/>
  <c r="B259" i="5"/>
  <c r="D258" i="5"/>
  <c r="B258" i="5"/>
  <c r="D257" i="5"/>
  <c r="B257" i="5"/>
  <c r="D256" i="5"/>
  <c r="B256" i="5"/>
  <c r="D255" i="5"/>
  <c r="B255" i="5"/>
  <c r="D254" i="5"/>
  <c r="B254" i="5"/>
  <c r="D253" i="5"/>
  <c r="B253" i="5"/>
  <c r="D252" i="5"/>
  <c r="B252" i="5"/>
  <c r="D251" i="5"/>
  <c r="B251" i="5"/>
  <c r="D250" i="5"/>
  <c r="B250" i="5"/>
  <c r="D249" i="5"/>
  <c r="B249" i="5"/>
  <c r="D248" i="5"/>
  <c r="B248" i="5"/>
  <c r="D247" i="5"/>
  <c r="B247" i="5"/>
  <c r="D246" i="5"/>
  <c r="B246" i="5"/>
  <c r="D245" i="5"/>
  <c r="B245" i="5"/>
  <c r="D244" i="5"/>
  <c r="B244" i="5"/>
  <c r="D243" i="5"/>
  <c r="B243" i="5"/>
  <c r="D242" i="5"/>
  <c r="B242" i="5"/>
  <c r="D241" i="5"/>
  <c r="B241" i="5"/>
  <c r="D240" i="5"/>
  <c r="B240" i="5"/>
  <c r="D239" i="5"/>
  <c r="B239" i="5"/>
  <c r="D238" i="5"/>
  <c r="B238" i="5"/>
  <c r="D237" i="5"/>
  <c r="B237" i="5"/>
  <c r="D236" i="5"/>
  <c r="B236" i="5"/>
  <c r="D235" i="5"/>
  <c r="B235" i="5"/>
  <c r="D234" i="5"/>
  <c r="B234" i="5"/>
  <c r="D233" i="5"/>
  <c r="B233" i="5"/>
  <c r="D232" i="5"/>
  <c r="B232" i="5"/>
  <c r="D231" i="5"/>
  <c r="B231" i="5"/>
  <c r="D230" i="5"/>
  <c r="B230" i="5"/>
  <c r="D229" i="5"/>
  <c r="B229" i="5"/>
  <c r="D228" i="5"/>
  <c r="B228" i="5"/>
  <c r="D227" i="5"/>
  <c r="B227" i="5"/>
  <c r="D226" i="5"/>
  <c r="B226" i="5"/>
  <c r="D225" i="5"/>
  <c r="B225" i="5"/>
  <c r="D224" i="5"/>
  <c r="B224" i="5"/>
  <c r="D223" i="5"/>
  <c r="B223" i="5"/>
  <c r="D222" i="5"/>
  <c r="B222" i="5"/>
  <c r="D221" i="5"/>
  <c r="B221" i="5"/>
  <c r="D220" i="5"/>
  <c r="B220" i="5"/>
  <c r="D219" i="5"/>
  <c r="B219" i="5"/>
  <c r="D218" i="5"/>
  <c r="B218" i="5"/>
  <c r="D217" i="5"/>
  <c r="B217" i="5"/>
  <c r="D216" i="5"/>
  <c r="B216" i="5"/>
  <c r="D215" i="5"/>
  <c r="B215" i="5"/>
  <c r="D214" i="5"/>
  <c r="B214" i="5"/>
  <c r="D213" i="5"/>
  <c r="B213" i="5"/>
  <c r="D212" i="5"/>
  <c r="B212" i="5"/>
  <c r="D211" i="5"/>
  <c r="B211" i="5"/>
  <c r="D210" i="5"/>
  <c r="B210" i="5"/>
  <c r="D209" i="5"/>
  <c r="B209" i="5"/>
  <c r="D208" i="5"/>
  <c r="B208" i="5"/>
  <c r="D207" i="5"/>
  <c r="B207" i="5"/>
  <c r="D206" i="5"/>
  <c r="B206" i="5"/>
  <c r="D205" i="5"/>
  <c r="B205" i="5"/>
  <c r="D204" i="5"/>
  <c r="B204" i="5"/>
  <c r="D203" i="5"/>
  <c r="B203" i="5"/>
  <c r="D202" i="5"/>
  <c r="B202" i="5"/>
  <c r="D201" i="5"/>
  <c r="B201" i="5"/>
  <c r="D200" i="5"/>
  <c r="B200" i="5"/>
  <c r="D199" i="5"/>
  <c r="B199" i="5"/>
  <c r="D198" i="5"/>
  <c r="B198" i="5"/>
  <c r="D197" i="5"/>
  <c r="B197" i="5"/>
  <c r="D196" i="5"/>
  <c r="B196" i="5"/>
  <c r="D195" i="5"/>
  <c r="B195" i="5"/>
  <c r="D194" i="5"/>
  <c r="B194" i="5"/>
  <c r="D193" i="5"/>
  <c r="B193" i="5"/>
  <c r="D192" i="5"/>
  <c r="B192" i="5"/>
  <c r="D191" i="5"/>
  <c r="B191" i="5"/>
  <c r="D190" i="5"/>
  <c r="B190" i="5"/>
  <c r="D189" i="5"/>
  <c r="B189" i="5"/>
  <c r="D188" i="5"/>
  <c r="B188" i="5"/>
  <c r="D187" i="5"/>
  <c r="B187" i="5"/>
  <c r="D186" i="5"/>
  <c r="B186" i="5"/>
  <c r="D185" i="5"/>
  <c r="B185" i="5"/>
  <c r="D184" i="5"/>
  <c r="B184" i="5"/>
  <c r="D183" i="5"/>
  <c r="B183" i="5"/>
  <c r="D182" i="5"/>
  <c r="B182" i="5"/>
  <c r="D181" i="5"/>
  <c r="B181" i="5"/>
  <c r="D180" i="5"/>
  <c r="B180" i="5"/>
  <c r="D179" i="5"/>
  <c r="B179" i="5"/>
  <c r="D178" i="5"/>
  <c r="B178" i="5"/>
  <c r="D177" i="5"/>
  <c r="B177" i="5"/>
  <c r="D176" i="5"/>
  <c r="B176" i="5"/>
  <c r="D175" i="5"/>
  <c r="B175" i="5"/>
  <c r="D174" i="5"/>
  <c r="B174" i="5"/>
  <c r="D173" i="5"/>
  <c r="B173" i="5"/>
  <c r="D172" i="5"/>
  <c r="B172" i="5"/>
  <c r="D171" i="5"/>
  <c r="B171" i="5"/>
  <c r="D170" i="5"/>
  <c r="B170" i="5"/>
  <c r="D169" i="5"/>
  <c r="B169" i="5"/>
  <c r="D168" i="5"/>
  <c r="B168" i="5"/>
  <c r="D167" i="5"/>
  <c r="B167" i="5"/>
  <c r="D166" i="5"/>
  <c r="B166" i="5"/>
  <c r="D165" i="5"/>
  <c r="B165" i="5"/>
  <c r="D164" i="5"/>
  <c r="B164" i="5"/>
  <c r="D163" i="5"/>
  <c r="B163" i="5"/>
  <c r="D162" i="5"/>
  <c r="B162" i="5"/>
  <c r="D161" i="5"/>
  <c r="B161" i="5"/>
  <c r="D160" i="5"/>
  <c r="B160" i="5"/>
  <c r="D159" i="5"/>
  <c r="B159" i="5"/>
  <c r="D158" i="5"/>
  <c r="B158" i="5"/>
  <c r="D157" i="5"/>
  <c r="B157" i="5"/>
  <c r="D156" i="5"/>
  <c r="B156" i="5"/>
  <c r="D155" i="5"/>
  <c r="B155" i="5"/>
  <c r="D154" i="5"/>
  <c r="B154" i="5"/>
  <c r="D153" i="5"/>
  <c r="B153" i="5"/>
  <c r="D152" i="5"/>
  <c r="B152" i="5"/>
  <c r="D151" i="5"/>
  <c r="B151" i="5"/>
  <c r="D150" i="5"/>
  <c r="B150" i="5"/>
  <c r="D149" i="5"/>
  <c r="B149" i="5"/>
  <c r="D148" i="5"/>
  <c r="B148" i="5"/>
  <c r="D147" i="5"/>
  <c r="B147" i="5"/>
  <c r="D146" i="5"/>
  <c r="B146" i="5"/>
  <c r="D145" i="5"/>
  <c r="B145" i="5"/>
  <c r="D144" i="5"/>
  <c r="B144" i="5"/>
  <c r="D143" i="5"/>
  <c r="B143" i="5"/>
  <c r="D142" i="5"/>
  <c r="B142" i="5"/>
  <c r="D141" i="5"/>
  <c r="B141" i="5"/>
  <c r="D140" i="5"/>
  <c r="B140" i="5"/>
  <c r="D139" i="5"/>
  <c r="B139" i="5"/>
  <c r="D138" i="5"/>
  <c r="B138" i="5"/>
  <c r="D137" i="5"/>
  <c r="B137" i="5"/>
  <c r="D136" i="5"/>
  <c r="B136" i="5"/>
  <c r="D135" i="5"/>
  <c r="B135" i="5"/>
  <c r="D134" i="5"/>
  <c r="B134" i="5"/>
  <c r="D133" i="5"/>
  <c r="B133" i="5"/>
  <c r="D132" i="5"/>
  <c r="B132" i="5"/>
  <c r="D131" i="5"/>
  <c r="B131" i="5"/>
  <c r="D130" i="5"/>
  <c r="B130" i="5"/>
  <c r="D129" i="5"/>
  <c r="B129" i="5"/>
  <c r="D128" i="5"/>
  <c r="B128" i="5"/>
  <c r="D127" i="5"/>
  <c r="B127" i="5"/>
  <c r="D126" i="5"/>
  <c r="B126" i="5"/>
  <c r="D125" i="5"/>
  <c r="B125" i="5"/>
  <c r="D124" i="5"/>
  <c r="B124" i="5"/>
  <c r="D123" i="5"/>
  <c r="B123" i="5"/>
  <c r="D122" i="5"/>
  <c r="B122" i="5"/>
  <c r="D121" i="5"/>
  <c r="B121" i="5"/>
  <c r="D120" i="5"/>
  <c r="B120" i="5"/>
  <c r="D119" i="5"/>
  <c r="B119" i="5"/>
  <c r="D118" i="5"/>
  <c r="B118" i="5"/>
  <c r="D117" i="5"/>
  <c r="B117" i="5"/>
  <c r="D116" i="5"/>
  <c r="B116" i="5"/>
  <c r="D115" i="5"/>
  <c r="B115" i="5"/>
  <c r="D114" i="5"/>
  <c r="B114" i="5"/>
  <c r="D113" i="5"/>
  <c r="B113" i="5"/>
  <c r="D112" i="5"/>
  <c r="B112" i="5"/>
  <c r="D111" i="5"/>
  <c r="B111" i="5"/>
  <c r="D110" i="5"/>
  <c r="B110" i="5"/>
  <c r="D109" i="5"/>
  <c r="B109" i="5"/>
  <c r="D108" i="5"/>
  <c r="B108" i="5"/>
  <c r="D107" i="5"/>
  <c r="B107" i="5"/>
  <c r="D106" i="5"/>
  <c r="B106" i="5"/>
  <c r="D105" i="5"/>
  <c r="B105" i="5"/>
  <c r="D104" i="5"/>
  <c r="B104" i="5"/>
  <c r="D103" i="5"/>
  <c r="B103" i="5"/>
  <c r="D102" i="5"/>
  <c r="B102" i="5"/>
  <c r="D101" i="5"/>
  <c r="B101" i="5"/>
  <c r="D100" i="5"/>
  <c r="B100" i="5"/>
  <c r="D99" i="5"/>
  <c r="B99" i="5"/>
  <c r="D98" i="5"/>
  <c r="B98" i="5"/>
  <c r="D97" i="5"/>
  <c r="B97" i="5"/>
  <c r="D96" i="5"/>
  <c r="B96" i="5"/>
  <c r="D95" i="5"/>
  <c r="B95" i="5"/>
  <c r="D94" i="5"/>
  <c r="B94" i="5"/>
  <c r="D93" i="5"/>
  <c r="B93" i="5"/>
  <c r="D92" i="5"/>
  <c r="B92" i="5"/>
  <c r="D91" i="5"/>
  <c r="B91" i="5"/>
  <c r="D90" i="5"/>
  <c r="B90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9" i="5"/>
  <c r="B79" i="5"/>
  <c r="D78" i="5"/>
  <c r="B78" i="5"/>
  <c r="D77" i="5"/>
  <c r="B77" i="5"/>
  <c r="D76" i="5"/>
  <c r="B76" i="5"/>
  <c r="D75" i="5"/>
  <c r="B75" i="5"/>
  <c r="D74" i="5"/>
  <c r="B74" i="5"/>
  <c r="D73" i="5"/>
  <c r="B73" i="5"/>
  <c r="D72" i="5"/>
  <c r="B72" i="5"/>
  <c r="D71" i="5"/>
  <c r="B71" i="5"/>
  <c r="D70" i="5"/>
  <c r="B70" i="5"/>
  <c r="D69" i="5"/>
  <c r="B69" i="5"/>
  <c r="D68" i="5"/>
  <c r="B68" i="5"/>
  <c r="D67" i="5"/>
  <c r="B67" i="5"/>
  <c r="D66" i="5"/>
  <c r="B66" i="5"/>
  <c r="D65" i="5"/>
  <c r="B65" i="5"/>
  <c r="D64" i="5"/>
  <c r="B64" i="5"/>
  <c r="D63" i="5"/>
  <c r="B63" i="5"/>
  <c r="D62" i="5"/>
  <c r="B62" i="5"/>
  <c r="D61" i="5"/>
  <c r="B61" i="5"/>
  <c r="D60" i="5"/>
  <c r="B60" i="5"/>
  <c r="D59" i="5"/>
  <c r="B59" i="5"/>
  <c r="D58" i="5"/>
  <c r="B58" i="5"/>
  <c r="D57" i="5"/>
  <c r="B57" i="5"/>
  <c r="D56" i="5"/>
  <c r="B56" i="5"/>
  <c r="D55" i="5"/>
  <c r="B55" i="5"/>
  <c r="D54" i="5"/>
  <c r="B54" i="5"/>
  <c r="D53" i="5"/>
  <c r="B53" i="5"/>
  <c r="D52" i="5"/>
  <c r="B52" i="5"/>
  <c r="D51" i="5"/>
  <c r="B51" i="5"/>
  <c r="D50" i="5"/>
  <c r="B50" i="5"/>
  <c r="D49" i="5"/>
  <c r="B49" i="5"/>
  <c r="D48" i="5"/>
  <c r="B48" i="5"/>
  <c r="D47" i="5"/>
  <c r="B47" i="5"/>
  <c r="D46" i="5"/>
  <c r="B46" i="5"/>
  <c r="D45" i="5"/>
  <c r="B45" i="5"/>
  <c r="D44" i="5"/>
  <c r="B44" i="5"/>
  <c r="D43" i="5"/>
  <c r="B43" i="5"/>
  <c r="D42" i="5"/>
  <c r="B42" i="5"/>
  <c r="D41" i="5"/>
  <c r="B41" i="5"/>
  <c r="D40" i="5"/>
  <c r="B40" i="5"/>
  <c r="D39" i="5"/>
  <c r="B39" i="5"/>
  <c r="D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3" i="5"/>
  <c r="B23" i="5"/>
  <c r="D22" i="5"/>
  <c r="B22" i="5"/>
  <c r="D21" i="5"/>
  <c r="B21" i="5"/>
  <c r="D20" i="5"/>
  <c r="B20" i="5"/>
  <c r="D19" i="5"/>
  <c r="B19" i="5"/>
  <c r="D18" i="5"/>
  <c r="B18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B4" i="5"/>
  <c r="D3" i="5"/>
  <c r="B3" i="5"/>
  <c r="AD249" i="7" l="1"/>
  <c r="AD123" i="7"/>
  <c r="AE123" i="7" s="1"/>
  <c r="AD109" i="7"/>
  <c r="AE109" i="7" s="1"/>
  <c r="AD81" i="7"/>
  <c r="AE81" i="7" s="1"/>
  <c r="AD8" i="7"/>
  <c r="AE8" i="7" s="1"/>
  <c r="AD151" i="7"/>
  <c r="AE151" i="7" s="1"/>
  <c r="AD285" i="7"/>
  <c r="AD243" i="7"/>
  <c r="S151" i="7"/>
  <c r="AA151" i="7" s="1"/>
  <c r="AB151" i="7" s="1"/>
  <c r="U148" i="7"/>
  <c r="AD148" i="7" s="1"/>
  <c r="AE148" i="7" s="1"/>
  <c r="AA95" i="7"/>
  <c r="AB95" i="7" s="1"/>
  <c r="T84" i="7"/>
  <c r="AD75" i="7"/>
  <c r="AE75" i="7" s="1"/>
  <c r="AD61" i="7"/>
  <c r="AE61" i="7" s="1"/>
  <c r="AD47" i="7"/>
  <c r="AE47" i="7" s="1"/>
  <c r="X27" i="7"/>
  <c r="S22" i="7"/>
  <c r="AD22" i="7" s="1"/>
  <c r="AE22" i="7" s="1"/>
  <c r="X13" i="7"/>
  <c r="U265" i="7"/>
  <c r="AD262" i="7"/>
  <c r="U237" i="7"/>
  <c r="AD234" i="7"/>
  <c r="AD220" i="7"/>
  <c r="AE220" i="7" s="1"/>
  <c r="U209" i="7"/>
  <c r="U195" i="7"/>
  <c r="X189" i="7"/>
  <c r="U181" i="7"/>
  <c r="X175" i="7"/>
  <c r="X161" i="7"/>
  <c r="T159" i="7"/>
  <c r="AD150" i="7"/>
  <c r="AE150" i="7" s="1"/>
  <c r="X147" i="7"/>
  <c r="T145" i="7"/>
  <c r="X133" i="7"/>
  <c r="T131" i="7"/>
  <c r="S128" i="7"/>
  <c r="X119" i="7"/>
  <c r="U111" i="7"/>
  <c r="X105" i="7"/>
  <c r="S100" i="7"/>
  <c r="X91" i="7"/>
  <c r="U83" i="7"/>
  <c r="AD80" i="7"/>
  <c r="AE80" i="7" s="1"/>
  <c r="X77" i="7"/>
  <c r="X63" i="7"/>
  <c r="T61" i="7"/>
  <c r="X49" i="7"/>
  <c r="X35" i="7"/>
  <c r="S274" i="7"/>
  <c r="AA274" i="7" s="1"/>
  <c r="AB274" i="7" s="1"/>
  <c r="T137" i="7"/>
  <c r="T123" i="7"/>
  <c r="AA106" i="7"/>
  <c r="AB106" i="7" s="1"/>
  <c r="U61" i="7"/>
  <c r="AD203" i="7"/>
  <c r="AE203" i="7" s="1"/>
  <c r="AD189" i="7"/>
  <c r="AE189" i="7" s="1"/>
  <c r="AD175" i="7"/>
  <c r="AE175" i="7" s="1"/>
  <c r="V172" i="7"/>
  <c r="X172" i="7"/>
  <c r="V158" i="7"/>
  <c r="X158" i="7"/>
  <c r="X144" i="7"/>
  <c r="X130" i="7"/>
  <c r="U206" i="7"/>
  <c r="S168" i="7"/>
  <c r="AA154" i="7"/>
  <c r="AB154" i="7" s="1"/>
  <c r="AA42" i="7"/>
  <c r="AB42" i="7" s="1"/>
  <c r="S232" i="7"/>
  <c r="AA232" i="7" s="1"/>
  <c r="AB232" i="7" s="1"/>
  <c r="AD279" i="7"/>
  <c r="AA173" i="7"/>
  <c r="AB173" i="7" s="1"/>
  <c r="AD125" i="7"/>
  <c r="AE125" i="7" s="1"/>
  <c r="AA117" i="7"/>
  <c r="AB117" i="7" s="1"/>
  <c r="AD111" i="7"/>
  <c r="AE111" i="7" s="1"/>
  <c r="S89" i="7"/>
  <c r="AD89" i="7" s="1"/>
  <c r="AE89" i="7" s="1"/>
  <c r="S75" i="7"/>
  <c r="S47" i="7"/>
  <c r="T33" i="7"/>
  <c r="V225" i="7"/>
  <c r="X225" i="7"/>
  <c r="X211" i="7"/>
  <c r="X197" i="7"/>
  <c r="AD186" i="7"/>
  <c r="AE186" i="7" s="1"/>
  <c r="AD172" i="7"/>
  <c r="AE172" i="7" s="1"/>
  <c r="X99" i="7"/>
  <c r="S227" i="7"/>
  <c r="AD267" i="7"/>
  <c r="V250" i="7"/>
  <c r="X250" i="7"/>
  <c r="V222" i="7"/>
  <c r="X222" i="7"/>
  <c r="AD197" i="7"/>
  <c r="AE197" i="7" s="1"/>
  <c r="X68" i="7"/>
  <c r="X40" i="7"/>
  <c r="V288" i="7"/>
  <c r="X288" i="7"/>
  <c r="AD274" i="7"/>
  <c r="AE274" i="7" s="1"/>
  <c r="U238" i="7"/>
  <c r="S246" i="7"/>
  <c r="AD246" i="7" s="1"/>
  <c r="U173" i="7"/>
  <c r="AD173" i="7" s="1"/>
  <c r="AE173" i="7" s="1"/>
  <c r="AA162" i="7"/>
  <c r="AB162" i="7" s="1"/>
  <c r="AD156" i="7"/>
  <c r="AE156" i="7" s="1"/>
  <c r="AA148" i="7"/>
  <c r="AB148" i="7" s="1"/>
  <c r="AD128" i="7"/>
  <c r="AE128" i="7" s="1"/>
  <c r="AA120" i="7"/>
  <c r="AB120" i="7" s="1"/>
  <c r="AD58" i="7"/>
  <c r="AE58" i="7" s="1"/>
  <c r="X55" i="7"/>
  <c r="S36" i="7"/>
  <c r="AA36" i="7" s="1"/>
  <c r="AB36" i="7" s="1"/>
  <c r="X281" i="7"/>
  <c r="V267" i="7"/>
  <c r="X267" i="7"/>
  <c r="V253" i="7"/>
  <c r="X253" i="7"/>
  <c r="X239" i="7"/>
  <c r="S234" i="7"/>
  <c r="X183" i="7"/>
  <c r="X169" i="7"/>
  <c r="X155" i="7"/>
  <c r="X141" i="7"/>
  <c r="X127" i="7"/>
  <c r="X113" i="7"/>
  <c r="AD102" i="7"/>
  <c r="AE102" i="7" s="1"/>
  <c r="AA94" i="7"/>
  <c r="AB94" i="7" s="1"/>
  <c r="X85" i="7"/>
  <c r="T83" i="7"/>
  <c r="X71" i="7"/>
  <c r="X57" i="7"/>
  <c r="X43" i="7"/>
  <c r="U35" i="7"/>
  <c r="AD35" i="7" s="1"/>
  <c r="AE35" i="7" s="1"/>
  <c r="X12" i="7"/>
  <c r="N289" i="7"/>
  <c r="T291" i="7"/>
  <c r="T292" i="7"/>
  <c r="T294" i="7"/>
  <c r="T295" i="7"/>
  <c r="T293" i="7"/>
  <c r="AD231" i="7"/>
  <c r="AE231" i="7" s="1"/>
  <c r="AD217" i="7"/>
  <c r="AE217" i="7" s="1"/>
  <c r="X186" i="7"/>
  <c r="AD161" i="7"/>
  <c r="AE161" i="7" s="1"/>
  <c r="X116" i="7"/>
  <c r="X102" i="7"/>
  <c r="U94" i="7"/>
  <c r="AD94" i="7" s="1"/>
  <c r="AE94" i="7" s="1"/>
  <c r="X88" i="7"/>
  <c r="X74" i="7"/>
  <c r="AD32" i="7"/>
  <c r="AE32" i="7" s="1"/>
  <c r="X29" i="7"/>
  <c r="AD18" i="7"/>
  <c r="AE18" i="7" s="1"/>
  <c r="X15" i="7"/>
  <c r="X6" i="7"/>
  <c r="V264" i="7"/>
  <c r="X264" i="7"/>
  <c r="S231" i="7"/>
  <c r="AA231" i="7" s="1"/>
  <c r="AB231" i="7" s="1"/>
  <c r="X54" i="7"/>
  <c r="S68" i="7"/>
  <c r="S28" i="7"/>
  <c r="AD278" i="7"/>
  <c r="AD264" i="7"/>
  <c r="T245" i="7"/>
  <c r="S88" i="7"/>
  <c r="AD54" i="7"/>
  <c r="AE54" i="7" s="1"/>
  <c r="V20" i="7"/>
  <c r="X20" i="7"/>
  <c r="S266" i="7"/>
  <c r="AA266" i="7" s="1"/>
  <c r="AD247" i="7"/>
  <c r="V244" i="7"/>
  <c r="X244" i="7"/>
  <c r="AD233" i="7"/>
  <c r="AD219" i="7"/>
  <c r="AE219" i="7" s="1"/>
  <c r="V160" i="7"/>
  <c r="X160" i="7"/>
  <c r="V146" i="7"/>
  <c r="X146" i="7"/>
  <c r="S141" i="7"/>
  <c r="X132" i="7"/>
  <c r="AD121" i="7"/>
  <c r="AE121" i="7" s="1"/>
  <c r="X118" i="7"/>
  <c r="X104" i="7"/>
  <c r="X90" i="7"/>
  <c r="X76" i="7"/>
  <c r="X62" i="7"/>
  <c r="X48" i="7"/>
  <c r="AD34" i="7"/>
  <c r="AE34" i="7" s="1"/>
  <c r="X31" i="7"/>
  <c r="U23" i="7"/>
  <c r="X17" i="7"/>
  <c r="S251" i="7"/>
  <c r="S172" i="7"/>
  <c r="S80" i="7"/>
  <c r="U65" i="7"/>
  <c r="V292" i="7"/>
  <c r="V293" i="7"/>
  <c r="V294" i="7"/>
  <c r="V295" i="7"/>
  <c r="V291" i="7"/>
  <c r="AD221" i="7"/>
  <c r="AE221" i="7" s="1"/>
  <c r="AD288" i="7"/>
  <c r="AD260" i="7"/>
  <c r="AE260" i="7" s="1"/>
  <c r="AD232" i="7"/>
  <c r="AE232" i="7" s="1"/>
  <c r="AA50" i="7"/>
  <c r="AB50" i="7" s="1"/>
  <c r="X41" i="7"/>
  <c r="S285" i="7"/>
  <c r="U212" i="7"/>
  <c r="X206" i="7"/>
  <c r="AD195" i="7"/>
  <c r="AE195" i="7" s="1"/>
  <c r="AD181" i="7"/>
  <c r="AE181" i="7" s="1"/>
  <c r="AD167" i="7"/>
  <c r="AE167" i="7" s="1"/>
  <c r="T148" i="7"/>
  <c r="S61" i="7"/>
  <c r="AA61" i="7" s="1"/>
  <c r="AB61" i="7" s="1"/>
  <c r="AD242" i="7"/>
  <c r="AE242" i="7" s="1"/>
  <c r="AD272" i="7"/>
  <c r="AD258" i="7"/>
  <c r="AD244" i="7"/>
  <c r="AD230" i="7"/>
  <c r="AE230" i="7" s="1"/>
  <c r="U219" i="7"/>
  <c r="X199" i="7"/>
  <c r="X185" i="7"/>
  <c r="X171" i="7"/>
  <c r="AD160" i="7"/>
  <c r="AE160" i="7" s="1"/>
  <c r="X157" i="7"/>
  <c r="X143" i="7"/>
  <c r="T141" i="7"/>
  <c r="S138" i="7"/>
  <c r="AD132" i="7"/>
  <c r="AE132" i="7" s="1"/>
  <c r="X129" i="7"/>
  <c r="X115" i="7"/>
  <c r="X101" i="7"/>
  <c r="S96" i="7"/>
  <c r="X87" i="7"/>
  <c r="T85" i="7"/>
  <c r="X73" i="7"/>
  <c r="X59" i="7"/>
  <c r="AD48" i="7"/>
  <c r="AE48" i="7" s="1"/>
  <c r="X45" i="7"/>
  <c r="X28" i="7"/>
  <c r="X14" i="7"/>
  <c r="S9" i="7"/>
  <c r="X34" i="7"/>
  <c r="S105" i="7"/>
  <c r="U189" i="7"/>
  <c r="S260" i="7"/>
  <c r="AA260" i="7" s="1"/>
  <c r="AB260" i="7" s="1"/>
  <c r="AD226" i="7"/>
  <c r="AE226" i="7" s="1"/>
  <c r="X209" i="7"/>
  <c r="AD283" i="7"/>
  <c r="V280" i="7"/>
  <c r="X280" i="7"/>
  <c r="X266" i="7"/>
  <c r="S261" i="7"/>
  <c r="AD261" i="7" s="1"/>
  <c r="AD255" i="7"/>
  <c r="V252" i="7"/>
  <c r="X252" i="7"/>
  <c r="X238" i="7"/>
  <c r="AD227" i="7"/>
  <c r="AE227" i="7" s="1"/>
  <c r="X224" i="7"/>
  <c r="S219" i="7"/>
  <c r="AA219" i="7" s="1"/>
  <c r="AB219" i="7" s="1"/>
  <c r="AD213" i="7"/>
  <c r="AE213" i="7" s="1"/>
  <c r="X210" i="7"/>
  <c r="S205" i="7"/>
  <c r="X196" i="7"/>
  <c r="S191" i="7"/>
  <c r="X182" i="7"/>
  <c r="U174" i="7"/>
  <c r="AD174" i="7" s="1"/>
  <c r="AE174" i="7" s="1"/>
  <c r="X168" i="7"/>
  <c r="AD157" i="7"/>
  <c r="AE157" i="7" s="1"/>
  <c r="V154" i="7"/>
  <c r="X154" i="7"/>
  <c r="S149" i="7"/>
  <c r="X140" i="7"/>
  <c r="X126" i="7"/>
  <c r="T124" i="7"/>
  <c r="X112" i="7"/>
  <c r="X98" i="7"/>
  <c r="X84" i="7"/>
  <c r="AD73" i="7"/>
  <c r="AE73" i="7" s="1"/>
  <c r="X70" i="7"/>
  <c r="V56" i="7"/>
  <c r="X56" i="7"/>
  <c r="X42" i="7"/>
  <c r="S34" i="7"/>
  <c r="V274" i="7"/>
  <c r="X274" i="7"/>
  <c r="AD193" i="7"/>
  <c r="AE193" i="7" s="1"/>
  <c r="V271" i="7"/>
  <c r="X271" i="7"/>
  <c r="AD78" i="7"/>
  <c r="AE78" i="7" s="1"/>
  <c r="AD64" i="7"/>
  <c r="AE64" i="7" s="1"/>
  <c r="V47" i="7"/>
  <c r="X47" i="7"/>
  <c r="AD33" i="7"/>
  <c r="AE33" i="7" s="1"/>
  <c r="X282" i="7"/>
  <c r="AA263" i="7"/>
  <c r="S207" i="7"/>
  <c r="AA193" i="7"/>
  <c r="AB193" i="7" s="1"/>
  <c r="AA179" i="7"/>
  <c r="AB179" i="7" s="1"/>
  <c r="AA165" i="7"/>
  <c r="AB165" i="7" s="1"/>
  <c r="AD103" i="7"/>
  <c r="AE103" i="7" s="1"/>
  <c r="T98" i="7"/>
  <c r="AD208" i="7"/>
  <c r="AE208" i="7" s="1"/>
  <c r="T6" i="7"/>
  <c r="S271" i="7"/>
  <c r="AA271" i="7" s="1"/>
  <c r="AB271" i="7" s="1"/>
  <c r="U226" i="7"/>
  <c r="S286" i="7"/>
  <c r="AD286" i="7" s="1"/>
  <c r="U269" i="7"/>
  <c r="AD266" i="7"/>
  <c r="AD196" i="7"/>
  <c r="AE196" i="7" s="1"/>
  <c r="U171" i="7"/>
  <c r="AD154" i="7"/>
  <c r="AE154" i="7" s="1"/>
  <c r="V95" i="7"/>
  <c r="X95" i="7"/>
  <c r="S76" i="7"/>
  <c r="U73" i="7"/>
  <c r="AD70" i="7"/>
  <c r="AE70" i="7" s="1"/>
  <c r="S62" i="7"/>
  <c r="S48" i="7"/>
  <c r="V8" i="7"/>
  <c r="X8" i="7"/>
  <c r="S208" i="7"/>
  <c r="AA208" i="7" s="1"/>
  <c r="AB208" i="7" s="1"/>
  <c r="U6" i="7"/>
  <c r="S237" i="7"/>
  <c r="T198" i="7"/>
  <c r="U164" i="7"/>
  <c r="T142" i="7"/>
  <c r="S111" i="7"/>
  <c r="S83" i="7"/>
  <c r="V74" i="7"/>
  <c r="U52" i="7"/>
  <c r="S90" i="7"/>
  <c r="S65" i="7"/>
  <c r="V26" i="7"/>
  <c r="T279" i="7"/>
  <c r="S248" i="7"/>
  <c r="U245" i="7"/>
  <c r="AD245" i="7" s="1"/>
  <c r="V197" i="7"/>
  <c r="T195" i="7"/>
  <c r="V169" i="7"/>
  <c r="T153" i="7"/>
  <c r="V113" i="7"/>
  <c r="S108" i="7"/>
  <c r="U63" i="7"/>
  <c r="T41" i="7"/>
  <c r="S21" i="7"/>
  <c r="AD21" i="7" s="1"/>
  <c r="AE21" i="7" s="1"/>
  <c r="S284" i="7"/>
  <c r="AA284" i="7" s="1"/>
  <c r="AB284" i="7" s="1"/>
  <c r="S166" i="7"/>
  <c r="S116" i="7"/>
  <c r="S37" i="7"/>
  <c r="U135" i="7"/>
  <c r="AD135" i="7" s="1"/>
  <c r="AE135" i="7" s="1"/>
  <c r="V283" i="7"/>
  <c r="V269" i="7"/>
  <c r="S287" i="7"/>
  <c r="AD287" i="7" s="1"/>
  <c r="S273" i="7"/>
  <c r="U256" i="7"/>
  <c r="S245" i="7"/>
  <c r="U242" i="7"/>
  <c r="T234" i="7"/>
  <c r="T220" i="7"/>
  <c r="U214" i="7"/>
  <c r="T206" i="7"/>
  <c r="S203" i="7"/>
  <c r="U186" i="7"/>
  <c r="S175" i="7"/>
  <c r="AA175" i="7" s="1"/>
  <c r="AB175" i="7" s="1"/>
  <c r="U172" i="7"/>
  <c r="V166" i="7"/>
  <c r="T164" i="7"/>
  <c r="S161" i="7"/>
  <c r="T150" i="7"/>
  <c r="S147" i="7"/>
  <c r="AD147" i="7" s="1"/>
  <c r="AE147" i="7" s="1"/>
  <c r="V124" i="7"/>
  <c r="U102" i="7"/>
  <c r="T94" i="7"/>
  <c r="S91" i="7"/>
  <c r="U88" i="7"/>
  <c r="S77" i="7"/>
  <c r="V68" i="7"/>
  <c r="T66" i="7"/>
  <c r="S49" i="7"/>
  <c r="U46" i="7"/>
  <c r="S32" i="7"/>
  <c r="S18" i="7"/>
  <c r="T7" i="7"/>
  <c r="S283" i="7"/>
  <c r="U49" i="7"/>
  <c r="V78" i="7"/>
  <c r="V92" i="7"/>
  <c r="S288" i="7"/>
  <c r="U279" i="7"/>
  <c r="T173" i="7"/>
  <c r="S170" i="7"/>
  <c r="T103" i="7"/>
  <c r="S86" i="7"/>
  <c r="T75" i="7"/>
  <c r="S72" i="7"/>
  <c r="AD72" i="7" s="1"/>
  <c r="AE72" i="7" s="1"/>
  <c r="U69" i="7"/>
  <c r="S58" i="7"/>
  <c r="U55" i="7"/>
  <c r="S44" i="7"/>
  <c r="U41" i="7"/>
  <c r="AD41" i="7" s="1"/>
  <c r="AE41" i="7" s="1"/>
  <c r="S27" i="7"/>
  <c r="T16" i="7"/>
  <c r="S233" i="7"/>
  <c r="S143" i="7"/>
  <c r="AA143" i="7" s="1"/>
  <c r="AB143" i="7" s="1"/>
  <c r="V289" i="7"/>
  <c r="V275" i="7"/>
  <c r="V261" i="7"/>
  <c r="V247" i="7"/>
  <c r="T175" i="7"/>
  <c r="T119" i="7"/>
  <c r="U85" i="7"/>
  <c r="T63" i="7"/>
  <c r="S269" i="7"/>
  <c r="S87" i="7"/>
  <c r="U121" i="7"/>
  <c r="V36" i="7"/>
  <c r="V50" i="7"/>
  <c r="V64" i="7"/>
  <c r="V120" i="7"/>
  <c r="V148" i="7"/>
  <c r="T256" i="7"/>
  <c r="S253" i="7"/>
  <c r="T242" i="7"/>
  <c r="U222" i="7"/>
  <c r="T214" i="7"/>
  <c r="S211" i="7"/>
  <c r="U208" i="7"/>
  <c r="S197" i="7"/>
  <c r="AA197" i="7" s="1"/>
  <c r="AB197" i="7" s="1"/>
  <c r="T172" i="7"/>
  <c r="U124" i="7"/>
  <c r="AD124" i="7" s="1"/>
  <c r="AE124" i="7" s="1"/>
  <c r="V118" i="7"/>
  <c r="T102" i="7"/>
  <c r="S85" i="7"/>
  <c r="S71" i="7"/>
  <c r="S57" i="7"/>
  <c r="S26" i="7"/>
  <c r="U9" i="7"/>
  <c r="S255" i="7"/>
  <c r="U205" i="7"/>
  <c r="U107" i="7"/>
  <c r="V121" i="7"/>
  <c r="V149" i="7"/>
  <c r="V190" i="7"/>
  <c r="V204" i="7"/>
  <c r="T197" i="7"/>
  <c r="T99" i="7"/>
  <c r="V59" i="7"/>
  <c r="S54" i="7"/>
  <c r="AA54" i="7" s="1"/>
  <c r="AB54" i="7" s="1"/>
  <c r="V45" i="7"/>
  <c r="U70" i="7"/>
  <c r="AA70" i="7" s="1"/>
  <c r="AB70" i="7" s="1"/>
  <c r="V11" i="7"/>
  <c r="V25" i="7"/>
  <c r="T235" i="7"/>
  <c r="S163" i="7"/>
  <c r="AA163" i="7" s="1"/>
  <c r="AB163" i="7" s="1"/>
  <c r="U160" i="7"/>
  <c r="S278" i="7"/>
  <c r="S213" i="7"/>
  <c r="U104" i="7"/>
  <c r="V183" i="7"/>
  <c r="S280" i="7"/>
  <c r="AA280" i="7" s="1"/>
  <c r="AB280" i="7" s="1"/>
  <c r="U277" i="7"/>
  <c r="AD277" i="7" s="1"/>
  <c r="S252" i="7"/>
  <c r="U235" i="7"/>
  <c r="AD235" i="7" s="1"/>
  <c r="S182" i="7"/>
  <c r="AA182" i="7" s="1"/>
  <c r="AB182" i="7" s="1"/>
  <c r="U165" i="7"/>
  <c r="AD165" i="7" s="1"/>
  <c r="AE165" i="7" s="1"/>
  <c r="S98" i="7"/>
  <c r="AD98" i="7" s="1"/>
  <c r="AE98" i="7" s="1"/>
  <c r="U53" i="7"/>
  <c r="T45" i="7"/>
  <c r="U8" i="7"/>
  <c r="S185" i="7"/>
  <c r="U254" i="7"/>
  <c r="U198" i="7"/>
  <c r="U100" i="7"/>
  <c r="T36" i="7"/>
  <c r="T19" i="7"/>
  <c r="AA19" i="7" s="1"/>
  <c r="AB19" i="7" s="1"/>
  <c r="S16" i="7"/>
  <c r="U87" i="7"/>
  <c r="AD87" i="7" s="1"/>
  <c r="AE87" i="7" s="1"/>
  <c r="U28" i="7"/>
  <c r="S59" i="7"/>
  <c r="T280" i="7"/>
  <c r="U274" i="7"/>
  <c r="T266" i="7"/>
  <c r="T252" i="7"/>
  <c r="T238" i="7"/>
  <c r="S235" i="7"/>
  <c r="S221" i="7"/>
  <c r="AA221" i="7" s="1"/>
  <c r="AB221" i="7" s="1"/>
  <c r="T210" i="7"/>
  <c r="U204" i="7"/>
  <c r="AD204" i="7" s="1"/>
  <c r="AE204" i="7" s="1"/>
  <c r="U190" i="7"/>
  <c r="U176" i="7"/>
  <c r="T154" i="7"/>
  <c r="S137" i="7"/>
  <c r="AA137" i="7" s="1"/>
  <c r="AB137" i="7" s="1"/>
  <c r="S123" i="7"/>
  <c r="T112" i="7"/>
  <c r="S109" i="7"/>
  <c r="AA109" i="7" s="1"/>
  <c r="AB109" i="7" s="1"/>
  <c r="S81" i="7"/>
  <c r="AA81" i="7" s="1"/>
  <c r="AB81" i="7" s="1"/>
  <c r="U64" i="7"/>
  <c r="AA64" i="7" s="1"/>
  <c r="AB64" i="7" s="1"/>
  <c r="V44" i="7"/>
  <c r="U36" i="7"/>
  <c r="U19" i="7"/>
  <c r="AD19" i="7" s="1"/>
  <c r="AE19" i="7" s="1"/>
  <c r="S8" i="7"/>
  <c r="S289" i="7"/>
  <c r="S171" i="7"/>
  <c r="S107" i="7"/>
  <c r="S82" i="7"/>
  <c r="AD82" i="7" s="1"/>
  <c r="AE82" i="7" s="1"/>
  <c r="U140" i="7"/>
  <c r="U109" i="7"/>
  <c r="T246" i="7"/>
  <c r="S215" i="7"/>
  <c r="AD215" i="7" s="1"/>
  <c r="AE215" i="7" s="1"/>
  <c r="T204" i="7"/>
  <c r="AA204" i="7" s="1"/>
  <c r="AB204" i="7" s="1"/>
  <c r="S201" i="7"/>
  <c r="S187" i="7"/>
  <c r="AA187" i="7" s="1"/>
  <c r="AB187" i="7" s="1"/>
  <c r="T176" i="7"/>
  <c r="S159" i="7"/>
  <c r="AA159" i="7" s="1"/>
  <c r="AB159" i="7" s="1"/>
  <c r="U156" i="7"/>
  <c r="S145" i="7"/>
  <c r="T134" i="7"/>
  <c r="AA134" i="7" s="1"/>
  <c r="AB134" i="7" s="1"/>
  <c r="U86" i="7"/>
  <c r="U13" i="7"/>
  <c r="AD13" i="7" s="1"/>
  <c r="AE13" i="7" s="1"/>
  <c r="U251" i="7"/>
  <c r="AD251" i="7" s="1"/>
  <c r="V243" i="7"/>
  <c r="V257" i="7"/>
  <c r="V285" i="7"/>
  <c r="S56" i="7"/>
  <c r="U249" i="7"/>
  <c r="AA249" i="7" s="1"/>
  <c r="AB249" i="7" s="1"/>
  <c r="V229" i="7"/>
  <c r="S196" i="7"/>
  <c r="AA196" i="7" s="1"/>
  <c r="AB196" i="7" s="1"/>
  <c r="S131" i="7"/>
  <c r="AA131" i="7" s="1"/>
  <c r="AB131" i="7" s="1"/>
  <c r="S277" i="7"/>
  <c r="U22" i="7"/>
  <c r="S6" i="7"/>
  <c r="U97" i="7"/>
  <c r="U139" i="7"/>
  <c r="U200" i="7"/>
  <c r="AD200" i="7" s="1"/>
  <c r="AE200" i="7" s="1"/>
  <c r="U144" i="7"/>
  <c r="S133" i="7"/>
  <c r="S119" i="7"/>
  <c r="U116" i="7"/>
  <c r="T108" i="7"/>
  <c r="U74" i="7"/>
  <c r="T38" i="7"/>
  <c r="U250" i="7"/>
  <c r="S225" i="7"/>
  <c r="S183" i="7"/>
  <c r="AA183" i="7" s="1"/>
  <c r="AB183" i="7" s="1"/>
  <c r="T116" i="7"/>
  <c r="S43" i="7"/>
  <c r="T15" i="7"/>
  <c r="U286" i="7"/>
  <c r="T264" i="7"/>
  <c r="T250" i="7"/>
  <c r="T222" i="7"/>
  <c r="U216" i="7"/>
  <c r="AD216" i="7" s="1"/>
  <c r="AE216" i="7" s="1"/>
  <c r="U202" i="7"/>
  <c r="U188" i="7"/>
  <c r="U132" i="7"/>
  <c r="S121" i="7"/>
  <c r="AA121" i="7" s="1"/>
  <c r="AB121" i="7" s="1"/>
  <c r="T110" i="7"/>
  <c r="V98" i="7"/>
  <c r="S93" i="7"/>
  <c r="U90" i="7"/>
  <c r="U17" i="7"/>
  <c r="S177" i="7"/>
  <c r="S152" i="7"/>
  <c r="AD152" i="7" s="1"/>
  <c r="AE152" i="7" s="1"/>
  <c r="U244" i="7"/>
  <c r="U149" i="7"/>
  <c r="V182" i="7"/>
  <c r="U246" i="7"/>
  <c r="T139" i="7"/>
  <c r="S259" i="7"/>
  <c r="T192" i="7"/>
  <c r="T178" i="7"/>
  <c r="T122" i="7"/>
  <c r="T186" i="7"/>
  <c r="S155" i="7"/>
  <c r="T144" i="7"/>
  <c r="T74" i="7"/>
  <c r="U54" i="7"/>
  <c r="U125" i="7"/>
  <c r="T275" i="7"/>
  <c r="S272" i="7"/>
  <c r="S258" i="7"/>
  <c r="T247" i="7"/>
  <c r="S244" i="7"/>
  <c r="U241" i="7"/>
  <c r="U227" i="7"/>
  <c r="S202" i="7"/>
  <c r="U199" i="7"/>
  <c r="T191" i="7"/>
  <c r="S188" i="7"/>
  <c r="T149" i="7"/>
  <c r="S146" i="7"/>
  <c r="T135" i="7"/>
  <c r="AA135" i="7" s="1"/>
  <c r="AB135" i="7" s="1"/>
  <c r="S132" i="7"/>
  <c r="S118" i="7"/>
  <c r="S104" i="7"/>
  <c r="U101" i="7"/>
  <c r="T93" i="7"/>
  <c r="T65" i="7"/>
  <c r="U59" i="7"/>
  <c r="U45" i="7"/>
  <c r="T37" i="7"/>
  <c r="U14" i="7"/>
  <c r="AD14" i="7" s="1"/>
  <c r="AE14" i="7" s="1"/>
  <c r="S126" i="7"/>
  <c r="V30" i="7"/>
  <c r="V196" i="7"/>
  <c r="U47" i="7"/>
  <c r="S240" i="7"/>
  <c r="V215" i="7"/>
  <c r="U147" i="7"/>
  <c r="T111" i="7"/>
  <c r="T262" i="7"/>
  <c r="AA262" i="7" s="1"/>
  <c r="AB262" i="7" s="1"/>
  <c r="U264" i="7"/>
  <c r="S239" i="7"/>
  <c r="S169" i="7"/>
  <c r="AA169" i="7" s="1"/>
  <c r="AB169" i="7" s="1"/>
  <c r="U275" i="7"/>
  <c r="T239" i="7"/>
  <c r="U191" i="7"/>
  <c r="S180" i="7"/>
  <c r="T169" i="7"/>
  <c r="T127" i="7"/>
  <c r="U93" i="7"/>
  <c r="T71" i="7"/>
  <c r="T26" i="7"/>
  <c r="S140" i="7"/>
  <c r="AD140" i="7" s="1"/>
  <c r="AE140" i="7" s="1"/>
  <c r="S11" i="7"/>
  <c r="V16" i="7"/>
  <c r="U252" i="7"/>
  <c r="V246" i="7"/>
  <c r="T216" i="7"/>
  <c r="AA216" i="7" s="1"/>
  <c r="AB216" i="7" s="1"/>
  <c r="U210" i="7"/>
  <c r="AD210" i="7" s="1"/>
  <c r="AE210" i="7" s="1"/>
  <c r="T202" i="7"/>
  <c r="T188" i="7"/>
  <c r="S157" i="7"/>
  <c r="S101" i="7"/>
  <c r="AD101" i="7" s="1"/>
  <c r="AE101" i="7" s="1"/>
  <c r="U98" i="7"/>
  <c r="U42" i="7"/>
  <c r="AD42" i="7" s="1"/>
  <c r="AE42" i="7" s="1"/>
  <c r="U25" i="7"/>
  <c r="AA25" i="7" s="1"/>
  <c r="AB25" i="7" s="1"/>
  <c r="S112" i="7"/>
  <c r="AA112" i="7" s="1"/>
  <c r="AB112" i="7" s="1"/>
  <c r="S73" i="7"/>
  <c r="T43" i="7"/>
  <c r="U34" i="7"/>
  <c r="V152" i="7"/>
  <c r="V165" i="7"/>
  <c r="V208" i="7"/>
  <c r="V221" i="7"/>
  <c r="T282" i="7"/>
  <c r="S279" i="7"/>
  <c r="S265" i="7"/>
  <c r="AD265" i="7" s="1"/>
  <c r="U262" i="7"/>
  <c r="T254" i="7"/>
  <c r="U248" i="7"/>
  <c r="U234" i="7"/>
  <c r="T226" i="7"/>
  <c r="S223" i="7"/>
  <c r="AA223" i="7" s="1"/>
  <c r="AB223" i="7" s="1"/>
  <c r="T212" i="7"/>
  <c r="S209" i="7"/>
  <c r="S195" i="7"/>
  <c r="U192" i="7"/>
  <c r="S181" i="7"/>
  <c r="AA181" i="7" s="1"/>
  <c r="AB181" i="7" s="1"/>
  <c r="U178" i="7"/>
  <c r="T170" i="7"/>
  <c r="S167" i="7"/>
  <c r="T156" i="7"/>
  <c r="U150" i="7"/>
  <c r="S139" i="7"/>
  <c r="U136" i="7"/>
  <c r="T128" i="7"/>
  <c r="S125" i="7"/>
  <c r="U122" i="7"/>
  <c r="T114" i="7"/>
  <c r="U108" i="7"/>
  <c r="AD108" i="7" s="1"/>
  <c r="AE108" i="7" s="1"/>
  <c r="T100" i="7"/>
  <c r="S97" i="7"/>
  <c r="T86" i="7"/>
  <c r="U80" i="7"/>
  <c r="S69" i="7"/>
  <c r="AA69" i="7" s="1"/>
  <c r="AB69" i="7" s="1"/>
  <c r="U66" i="7"/>
  <c r="T58" i="7"/>
  <c r="S55" i="7"/>
  <c r="AA55" i="7" s="1"/>
  <c r="AB55" i="7" s="1"/>
  <c r="T44" i="7"/>
  <c r="S41" i="7"/>
  <c r="U38" i="7"/>
  <c r="V29" i="7"/>
  <c r="U21" i="7"/>
  <c r="V15" i="7"/>
  <c r="T13" i="7"/>
  <c r="AA13" i="7" s="1"/>
  <c r="AB13" i="7" s="1"/>
  <c r="S10" i="7"/>
  <c r="U7" i="7"/>
  <c r="AD7" i="7" s="1"/>
  <c r="AE7" i="7" s="1"/>
  <c r="S124" i="7"/>
  <c r="V129" i="7"/>
  <c r="V143" i="7"/>
  <c r="T265" i="7"/>
  <c r="U217" i="7"/>
  <c r="S206" i="7"/>
  <c r="AA206" i="7" s="1"/>
  <c r="AB206" i="7" s="1"/>
  <c r="S192" i="7"/>
  <c r="T181" i="7"/>
  <c r="U161" i="7"/>
  <c r="V155" i="7"/>
  <c r="U133" i="7"/>
  <c r="AD133" i="7" s="1"/>
  <c r="AE133" i="7" s="1"/>
  <c r="U105" i="7"/>
  <c r="T97" i="7"/>
  <c r="V71" i="7"/>
  <c r="T69" i="7"/>
  <c r="V57" i="7"/>
  <c r="T55" i="7"/>
  <c r="S52" i="7"/>
  <c r="AD52" i="7" s="1"/>
  <c r="AE52" i="7" s="1"/>
  <c r="S38" i="7"/>
  <c r="AD38" i="7" s="1"/>
  <c r="AE38" i="7" s="1"/>
  <c r="T24" i="7"/>
  <c r="AA24" i="7" s="1"/>
  <c r="AB24" i="7" s="1"/>
  <c r="S136" i="7"/>
  <c r="U175" i="7"/>
  <c r="V18" i="7"/>
  <c r="V32" i="7"/>
  <c r="V75" i="7"/>
  <c r="V89" i="7"/>
  <c r="V103" i="7"/>
  <c r="V157" i="7"/>
  <c r="V171" i="7"/>
  <c r="V185" i="7"/>
  <c r="V211" i="7"/>
  <c r="V224" i="7"/>
  <c r="V117" i="7"/>
  <c r="V131" i="7"/>
  <c r="V145" i="7"/>
  <c r="U29" i="7"/>
  <c r="T21" i="7"/>
  <c r="U15" i="7"/>
  <c r="S222" i="7"/>
  <c r="U118" i="7"/>
  <c r="U62" i="7"/>
  <c r="V19" i="7"/>
  <c r="V33" i="7"/>
  <c r="V61" i="7"/>
  <c r="U281" i="7"/>
  <c r="U267" i="7"/>
  <c r="T259" i="7"/>
  <c r="S242" i="7"/>
  <c r="AA242" i="7" s="1"/>
  <c r="AB242" i="7" s="1"/>
  <c r="S228" i="7"/>
  <c r="U225" i="7"/>
  <c r="AD225" i="7" s="1"/>
  <c r="AE225" i="7" s="1"/>
  <c r="V219" i="7"/>
  <c r="T217" i="7"/>
  <c r="AA217" i="7" s="1"/>
  <c r="AB217" i="7" s="1"/>
  <c r="S214" i="7"/>
  <c r="U211" i="7"/>
  <c r="AD211" i="7" s="1"/>
  <c r="AE211" i="7" s="1"/>
  <c r="V205" i="7"/>
  <c r="T203" i="7"/>
  <c r="S200" i="7"/>
  <c r="U197" i="7"/>
  <c r="T189" i="7"/>
  <c r="U183" i="7"/>
  <c r="U169" i="7"/>
  <c r="V163" i="7"/>
  <c r="T161" i="7"/>
  <c r="S158" i="7"/>
  <c r="AA158" i="7" s="1"/>
  <c r="AB158" i="7" s="1"/>
  <c r="T147" i="7"/>
  <c r="S144" i="7"/>
  <c r="U141" i="7"/>
  <c r="T133" i="7"/>
  <c r="S130" i="7"/>
  <c r="U127" i="7"/>
  <c r="U113" i="7"/>
  <c r="V107" i="7"/>
  <c r="T105" i="7"/>
  <c r="S102" i="7"/>
  <c r="U99" i="7"/>
  <c r="T77" i="7"/>
  <c r="V65" i="7"/>
  <c r="S46" i="7"/>
  <c r="T35" i="7"/>
  <c r="AA35" i="7" s="1"/>
  <c r="AB35" i="7" s="1"/>
  <c r="T32" i="7"/>
  <c r="S29" i="7"/>
  <c r="U26" i="7"/>
  <c r="S15" i="7"/>
  <c r="U12" i="7"/>
  <c r="S210" i="7"/>
  <c r="U266" i="7"/>
  <c r="U39" i="7"/>
  <c r="AD39" i="7" s="1"/>
  <c r="AE39" i="7" s="1"/>
  <c r="V173" i="7"/>
  <c r="S30" i="7"/>
  <c r="U273" i="7"/>
  <c r="AD273" i="7" s="1"/>
  <c r="N57" i="7"/>
  <c r="U57" i="7" s="1"/>
  <c r="T57" i="7"/>
  <c r="N40" i="7"/>
  <c r="U40" i="7" s="1"/>
  <c r="T40" i="7"/>
  <c r="S53" i="7"/>
  <c r="U268" i="7"/>
  <c r="S257" i="7"/>
  <c r="U240" i="7"/>
  <c r="AD240" i="7" s="1"/>
  <c r="T218" i="7"/>
  <c r="AA218" i="7" s="1"/>
  <c r="AB218" i="7" s="1"/>
  <c r="U184" i="7"/>
  <c r="T162" i="7"/>
  <c r="S103" i="7"/>
  <c r="U72" i="7"/>
  <c r="U27" i="7"/>
  <c r="AD27" i="7" s="1"/>
  <c r="AE27" i="7" s="1"/>
  <c r="N138" i="7"/>
  <c r="U138" i="7" s="1"/>
  <c r="T138" i="7"/>
  <c r="U284" i="7"/>
  <c r="T248" i="7"/>
  <c r="U130" i="7"/>
  <c r="U60" i="7"/>
  <c r="AD60" i="7" s="1"/>
  <c r="AE60" i="7" s="1"/>
  <c r="V60" i="7"/>
  <c r="V116" i="7"/>
  <c r="V237" i="7"/>
  <c r="V251" i="7"/>
  <c r="U162" i="7"/>
  <c r="AD162" i="7" s="1"/>
  <c r="AE162" i="7" s="1"/>
  <c r="S67" i="7"/>
  <c r="AA67" i="7" s="1"/>
  <c r="AB67" i="7" s="1"/>
  <c r="U33" i="7"/>
  <c r="AA33" i="7" s="1"/>
  <c r="AB33" i="7" s="1"/>
  <c r="U243" i="7"/>
  <c r="U229" i="7"/>
  <c r="AD229" i="7" s="1"/>
  <c r="AE229" i="7" s="1"/>
  <c r="T207" i="7"/>
  <c r="S92" i="7"/>
  <c r="AA92" i="7" s="1"/>
  <c r="AB92" i="7" s="1"/>
  <c r="S78" i="7"/>
  <c r="AA78" i="7" s="1"/>
  <c r="AB78" i="7" s="1"/>
  <c r="T39" i="7"/>
  <c r="AA39" i="7" s="1"/>
  <c r="AB39" i="7" s="1"/>
  <c r="T268" i="7"/>
  <c r="T240" i="7"/>
  <c r="T72" i="7"/>
  <c r="N236" i="7"/>
  <c r="U236" i="7" s="1"/>
  <c r="T236" i="7"/>
  <c r="T276" i="7"/>
  <c r="U228" i="7"/>
  <c r="S189" i="7"/>
  <c r="U158" i="7"/>
  <c r="T136" i="7"/>
  <c r="T80" i="7"/>
  <c r="S63" i="7"/>
  <c r="AA63" i="7" s="1"/>
  <c r="AB63" i="7" s="1"/>
  <c r="T52" i="7"/>
  <c r="T273" i="7"/>
  <c r="S270" i="7"/>
  <c r="S256" i="7"/>
  <c r="S186" i="7"/>
  <c r="AA186" i="7" s="1"/>
  <c r="AB186" i="7" s="1"/>
  <c r="T91" i="7"/>
  <c r="S74" i="7"/>
  <c r="AD74" i="7" s="1"/>
  <c r="AE74" i="7" s="1"/>
  <c r="T49" i="7"/>
  <c r="U43" i="7"/>
  <c r="T18" i="7"/>
  <c r="V130" i="7"/>
  <c r="V144" i="7"/>
  <c r="S281" i="7"/>
  <c r="AD281" i="7" s="1"/>
  <c r="T200" i="7"/>
  <c r="T158" i="7"/>
  <c r="U152" i="7"/>
  <c r="T130" i="7"/>
  <c r="U96" i="7"/>
  <c r="T88" i="7"/>
  <c r="V46" i="7"/>
  <c r="V198" i="7"/>
  <c r="T284" i="7"/>
  <c r="T285" i="7" s="1"/>
  <c r="U278" i="7"/>
  <c r="T228" i="7"/>
  <c r="U194" i="7"/>
  <c r="AD194" i="7" s="1"/>
  <c r="AE194" i="7" s="1"/>
  <c r="U180" i="7"/>
  <c r="U166" i="7"/>
  <c r="AD166" i="7" s="1"/>
  <c r="AE166" i="7" s="1"/>
  <c r="S127" i="7"/>
  <c r="S113" i="7"/>
  <c r="S99" i="7"/>
  <c r="U82" i="7"/>
  <c r="U68" i="7"/>
  <c r="AD68" i="7" s="1"/>
  <c r="AE68" i="7" s="1"/>
  <c r="T60" i="7"/>
  <c r="AA60" i="7" s="1"/>
  <c r="AB60" i="7" s="1"/>
  <c r="T46" i="7"/>
  <c r="T29" i="7"/>
  <c r="S12" i="7"/>
  <c r="AD12" i="7" s="1"/>
  <c r="AE12" i="7" s="1"/>
  <c r="S247" i="7"/>
  <c r="T180" i="7"/>
  <c r="T152" i="7"/>
  <c r="S51" i="7"/>
  <c r="AA51" i="7" s="1"/>
  <c r="AB51" i="7" s="1"/>
  <c r="N30" i="7"/>
  <c r="U30" i="7" s="1"/>
  <c r="T30" i="7"/>
  <c r="N253" i="7"/>
  <c r="U253" i="7" s="1"/>
  <c r="T253" i="7"/>
  <c r="U207" i="7"/>
  <c r="AD207" i="7" s="1"/>
  <c r="AE207" i="7" s="1"/>
  <c r="U276" i="7"/>
  <c r="T184" i="7"/>
  <c r="S153" i="7"/>
  <c r="AA153" i="7" s="1"/>
  <c r="AB153" i="7" s="1"/>
  <c r="T27" i="7"/>
  <c r="V195" i="7"/>
  <c r="T261" i="7"/>
  <c r="S230" i="7"/>
  <c r="U213" i="7"/>
  <c r="T205" i="7"/>
  <c r="V79" i="7"/>
  <c r="V93" i="7"/>
  <c r="T267" i="7"/>
  <c r="AA267" i="7" s="1"/>
  <c r="S23" i="7"/>
  <c r="V39" i="7"/>
  <c r="V53" i="7"/>
  <c r="U185" i="7"/>
  <c r="T177" i="7"/>
  <c r="S174" i="7"/>
  <c r="U157" i="7"/>
  <c r="T121" i="7"/>
  <c r="U115" i="7"/>
  <c r="T107" i="7"/>
  <c r="T79" i="7"/>
  <c r="T34" i="7"/>
  <c r="S31" i="7"/>
  <c r="V22" i="7"/>
  <c r="T20" i="7"/>
  <c r="S17" i="7"/>
  <c r="N155" i="7"/>
  <c r="U155" i="7" s="1"/>
  <c r="T155" i="7"/>
  <c r="S199" i="7"/>
  <c r="AD199" i="7" s="1"/>
  <c r="AE199" i="7" s="1"/>
  <c r="U126" i="7"/>
  <c r="U56" i="7"/>
  <c r="S45" i="7"/>
  <c r="V181" i="7"/>
  <c r="V170" i="7"/>
  <c r="T225" i="7"/>
  <c r="S282" i="7"/>
  <c r="AD282" i="7" s="1"/>
  <c r="T271" i="7"/>
  <c r="S268" i="7"/>
  <c r="T257" i="7"/>
  <c r="S254" i="7"/>
  <c r="T243" i="7"/>
  <c r="AA243" i="7" s="1"/>
  <c r="AB243" i="7" s="1"/>
  <c r="T229" i="7"/>
  <c r="AA229" i="7" s="1"/>
  <c r="AB229" i="7" s="1"/>
  <c r="S226" i="7"/>
  <c r="U223" i="7"/>
  <c r="T215" i="7"/>
  <c r="S212" i="7"/>
  <c r="T201" i="7"/>
  <c r="S198" i="7"/>
  <c r="AD198" i="7" s="1"/>
  <c r="AE198" i="7" s="1"/>
  <c r="T187" i="7"/>
  <c r="S184" i="7"/>
  <c r="AD184" i="7" s="1"/>
  <c r="AE184" i="7" s="1"/>
  <c r="U167" i="7"/>
  <c r="S156" i="7"/>
  <c r="AA156" i="7" s="1"/>
  <c r="AB156" i="7" s="1"/>
  <c r="S142" i="7"/>
  <c r="AA142" i="7" s="1"/>
  <c r="AB142" i="7" s="1"/>
  <c r="S114" i="7"/>
  <c r="T89" i="7"/>
  <c r="T47" i="7"/>
  <c r="V69" i="7"/>
  <c r="V76" i="7"/>
  <c r="V90" i="7"/>
  <c r="V104" i="7"/>
  <c r="V62" i="7"/>
  <c r="V77" i="7"/>
  <c r="V91" i="7"/>
  <c r="V105" i="7"/>
  <c r="V132" i="7"/>
  <c r="V6" i="7"/>
  <c r="V34" i="7"/>
  <c r="V48" i="7"/>
  <c r="U287" i="7"/>
  <c r="S276" i="7"/>
  <c r="U259" i="7"/>
  <c r="T251" i="7"/>
  <c r="T237" i="7"/>
  <c r="T223" i="7"/>
  <c r="S220" i="7"/>
  <c r="AA220" i="7" s="1"/>
  <c r="AB220" i="7" s="1"/>
  <c r="T209" i="7"/>
  <c r="S178" i="7"/>
  <c r="T167" i="7"/>
  <c r="S164" i="7"/>
  <c r="AA164" i="7" s="1"/>
  <c r="AB164" i="7" s="1"/>
  <c r="S150" i="7"/>
  <c r="AA150" i="7" s="1"/>
  <c r="AB150" i="7" s="1"/>
  <c r="T125" i="7"/>
  <c r="S122" i="7"/>
  <c r="U119" i="7"/>
  <c r="AD119" i="7" s="1"/>
  <c r="AE119" i="7" s="1"/>
  <c r="U91" i="7"/>
  <c r="U77" i="7"/>
  <c r="S66" i="7"/>
  <c r="AD66" i="7" s="1"/>
  <c r="AE66" i="7" s="1"/>
  <c r="U18" i="7"/>
  <c r="T10" i="7"/>
  <c r="S7" i="7"/>
  <c r="V7" i="7"/>
  <c r="V21" i="7"/>
  <c r="V35" i="7"/>
  <c r="V49" i="7"/>
  <c r="V63" i="7"/>
  <c r="V133" i="7"/>
  <c r="V147" i="7"/>
  <c r="V282" i="7"/>
  <c r="V67" i="7"/>
  <c r="V82" i="7"/>
  <c r="V96" i="7"/>
  <c r="V110" i="7"/>
  <c r="V177" i="7"/>
  <c r="V189" i="7"/>
  <c r="V203" i="7"/>
  <c r="V256" i="7"/>
  <c r="V270" i="7"/>
  <c r="V284" i="7"/>
  <c r="V216" i="7"/>
  <c r="V12" i="7"/>
  <c r="V178" i="7"/>
  <c r="U289" i="7"/>
  <c r="T281" i="7"/>
  <c r="S264" i="7"/>
  <c r="S250" i="7"/>
  <c r="U247" i="7"/>
  <c r="S236" i="7"/>
  <c r="AA236" i="7" s="1"/>
  <c r="AB236" i="7" s="1"/>
  <c r="U233" i="7"/>
  <c r="T211" i="7"/>
  <c r="T183" i="7"/>
  <c r="T113" i="7"/>
  <c r="S110" i="7"/>
  <c r="AA110" i="7" s="1"/>
  <c r="AB110" i="7" s="1"/>
  <c r="U79" i="7"/>
  <c r="S40" i="7"/>
  <c r="U37" i="7"/>
  <c r="U20" i="7"/>
  <c r="AD20" i="7" s="1"/>
  <c r="AE20" i="7" s="1"/>
  <c r="T12" i="7"/>
  <c r="V13" i="7"/>
  <c r="V125" i="7"/>
  <c r="V139" i="7"/>
  <c r="V153" i="7"/>
  <c r="V272" i="7"/>
  <c r="T278" i="7"/>
  <c r="T208" i="7"/>
  <c r="T194" i="7"/>
  <c r="AA194" i="7" s="1"/>
  <c r="AB194" i="7" s="1"/>
  <c r="T166" i="7"/>
  <c r="U146" i="7"/>
  <c r="AD146" i="7" s="1"/>
  <c r="AE146" i="7" s="1"/>
  <c r="T96" i="7"/>
  <c r="T82" i="7"/>
  <c r="S79" i="7"/>
  <c r="U76" i="7"/>
  <c r="T68" i="7"/>
  <c r="T54" i="7"/>
  <c r="U48" i="7"/>
  <c r="U31" i="7"/>
  <c r="T9" i="7"/>
  <c r="V14" i="7"/>
  <c r="V28" i="7"/>
  <c r="V42" i="7"/>
  <c r="V85" i="7"/>
  <c r="V99" i="7"/>
  <c r="V126" i="7"/>
  <c r="V141" i="7"/>
  <c r="V193" i="7"/>
  <c r="V206" i="7"/>
  <c r="V232" i="7"/>
  <c r="V260" i="7"/>
  <c r="T272" i="7"/>
  <c r="T258" i="7"/>
  <c r="T244" i="7"/>
  <c r="S241" i="7"/>
  <c r="AD241" i="7" s="1"/>
  <c r="T230" i="7"/>
  <c r="U224" i="7"/>
  <c r="AD224" i="7" s="1"/>
  <c r="AE224" i="7" s="1"/>
  <c r="T174" i="7"/>
  <c r="U168" i="7"/>
  <c r="T160" i="7"/>
  <c r="AA160" i="7" s="1"/>
  <c r="AB160" i="7" s="1"/>
  <c r="T146" i="7"/>
  <c r="T132" i="7"/>
  <c r="S129" i="7"/>
  <c r="T118" i="7"/>
  <c r="S115" i="7"/>
  <c r="AD115" i="7" s="1"/>
  <c r="AE115" i="7" s="1"/>
  <c r="T104" i="7"/>
  <c r="T90" i="7"/>
  <c r="T76" i="7"/>
  <c r="T62" i="7"/>
  <c r="T48" i="7"/>
  <c r="U11" i="7"/>
  <c r="V58" i="7"/>
  <c r="V73" i="7"/>
  <c r="V87" i="7"/>
  <c r="V101" i="7"/>
  <c r="V115" i="7"/>
  <c r="V142" i="7"/>
  <c r="V156" i="7"/>
  <c r="V168" i="7"/>
  <c r="V194" i="7"/>
  <c r="V207" i="7"/>
  <c r="V220" i="7"/>
  <c r="V233" i="7"/>
  <c r="V234" i="7"/>
  <c r="V209" i="7"/>
  <c r="V249" i="7"/>
  <c r="V263" i="7"/>
  <c r="V43" i="7"/>
  <c r="V72" i="7"/>
  <c r="V86" i="7"/>
  <c r="V100" i="7"/>
  <c r="V114" i="7"/>
  <c r="V127" i="7"/>
  <c r="V140" i="7"/>
  <c r="V230" i="7"/>
  <c r="V258" i="7"/>
  <c r="V167" i="7"/>
  <c r="V180" i="7"/>
  <c r="V192" i="7"/>
  <c r="V218" i="7"/>
  <c r="V231" i="7"/>
  <c r="V245" i="7"/>
  <c r="V259" i="7"/>
  <c r="V262" i="7"/>
  <c r="V287" i="7"/>
  <c r="V106" i="7"/>
  <c r="V119" i="7"/>
  <c r="V159" i="7"/>
  <c r="V184" i="7"/>
  <c r="V223" i="7"/>
  <c r="V236" i="7"/>
  <c r="V276" i="7"/>
  <c r="T31" i="7"/>
  <c r="T17" i="7"/>
  <c r="V9" i="7"/>
  <c r="V23" i="7"/>
  <c r="V37" i="7"/>
  <c r="V51" i="7"/>
  <c r="V80" i="7"/>
  <c r="V94" i="7"/>
  <c r="V108" i="7"/>
  <c r="V134" i="7"/>
  <c r="V161" i="7"/>
  <c r="V186" i="7"/>
  <c r="V199" i="7"/>
  <c r="V212" i="7"/>
  <c r="V238" i="7"/>
  <c r="T283" i="7"/>
  <c r="T269" i="7"/>
  <c r="T255" i="7"/>
  <c r="T241" i="7"/>
  <c r="S238" i="7"/>
  <c r="T227" i="7"/>
  <c r="T213" i="7"/>
  <c r="T199" i="7"/>
  <c r="U193" i="7"/>
  <c r="T185" i="7"/>
  <c r="T171" i="7"/>
  <c r="T157" i="7"/>
  <c r="T143" i="7"/>
  <c r="U137" i="7"/>
  <c r="T129" i="7"/>
  <c r="T115" i="7"/>
  <c r="T101" i="7"/>
  <c r="T87" i="7"/>
  <c r="S84" i="7"/>
  <c r="T73" i="7"/>
  <c r="T59" i="7"/>
  <c r="T28" i="7"/>
  <c r="T14" i="7"/>
  <c r="AA14" i="7" s="1"/>
  <c r="AB14" i="7" s="1"/>
  <c r="V10" i="7"/>
  <c r="V24" i="7"/>
  <c r="V38" i="7"/>
  <c r="V52" i="7"/>
  <c r="V66" i="7"/>
  <c r="V81" i="7"/>
  <c r="V109" i="7"/>
  <c r="V122" i="7"/>
  <c r="V135" i="7"/>
  <c r="V162" i="7"/>
  <c r="V174" i="7"/>
  <c r="V187" i="7"/>
  <c r="V200" i="7"/>
  <c r="V213" i="7"/>
  <c r="V266" i="7"/>
  <c r="V279" i="7"/>
  <c r="V123" i="7"/>
  <c r="V136" i="7"/>
  <c r="V240" i="7"/>
  <c r="V254" i="7"/>
  <c r="V40" i="7"/>
  <c r="V54" i="7"/>
  <c r="V83" i="7"/>
  <c r="V97" i="7"/>
  <c r="V111" i="7"/>
  <c r="V228" i="7"/>
  <c r="V241" i="7"/>
  <c r="V255" i="7"/>
  <c r="V210" i="7"/>
  <c r="V235" i="7"/>
  <c r="V248" i="7"/>
  <c r="V273" i="7"/>
  <c r="V286" i="7"/>
  <c r="V27" i="7"/>
  <c r="V41" i="7"/>
  <c r="V55" i="7"/>
  <c r="V70" i="7"/>
  <c r="V84" i="7"/>
  <c r="V112" i="7"/>
  <c r="V137" i="7"/>
  <c r="V150" i="7"/>
  <c r="V175" i="7"/>
  <c r="V188" i="7"/>
  <c r="V201" i="7"/>
  <c r="V226" i="7"/>
  <c r="V277" i="7"/>
  <c r="V138" i="7"/>
  <c r="V151" i="7"/>
  <c r="V164" i="7"/>
  <c r="V176" i="7"/>
  <c r="V202" i="7"/>
  <c r="V214" i="7"/>
  <c r="V227" i="7"/>
  <c r="V239" i="7"/>
  <c r="V265" i="7"/>
  <c r="V278" i="7"/>
  <c r="V17" i="7"/>
  <c r="V31" i="7"/>
  <c r="V88" i="7"/>
  <c r="V102" i="7"/>
  <c r="V128" i="7"/>
  <c r="V179" i="7"/>
  <c r="V191" i="7"/>
  <c r="V217" i="7"/>
  <c r="V242" i="7"/>
  <c r="V268" i="7"/>
  <c r="V281" i="7"/>
  <c r="AA62" i="7" l="1"/>
  <c r="AB62" i="7" s="1"/>
  <c r="AD62" i="7"/>
  <c r="AE62" i="7" s="1"/>
  <c r="AA168" i="7"/>
  <c r="AB168" i="7" s="1"/>
  <c r="AD168" i="7"/>
  <c r="AE168" i="7" s="1"/>
  <c r="AE243" i="7"/>
  <c r="AD96" i="7"/>
  <c r="AE96" i="7" s="1"/>
  <c r="AD271" i="7"/>
  <c r="AE271" i="7" s="1"/>
  <c r="AD137" i="7"/>
  <c r="AE137" i="7" s="1"/>
  <c r="AE244" i="7"/>
  <c r="U294" i="7"/>
  <c r="U295" i="7"/>
  <c r="U292" i="7"/>
  <c r="U291" i="7"/>
  <c r="U293" i="7"/>
  <c r="AD142" i="7"/>
  <c r="AE142" i="7" s="1"/>
  <c r="AA129" i="7"/>
  <c r="AB129" i="7" s="1"/>
  <c r="AD129" i="7"/>
  <c r="AE129" i="7" s="1"/>
  <c r="AE240" i="7"/>
  <c r="AA180" i="7"/>
  <c r="AB180" i="7" s="1"/>
  <c r="AD180" i="7"/>
  <c r="AE180" i="7" s="1"/>
  <c r="AA177" i="7"/>
  <c r="AB177" i="7" s="1"/>
  <c r="AD177" i="7"/>
  <c r="AE177" i="7" s="1"/>
  <c r="AE251" i="7"/>
  <c r="AA26" i="7"/>
  <c r="AB26" i="7" s="1"/>
  <c r="AD26" i="7"/>
  <c r="AE26" i="7" s="1"/>
  <c r="AA253" i="7"/>
  <c r="AB253" i="7" s="1"/>
  <c r="AD253" i="7"/>
  <c r="AA149" i="7"/>
  <c r="AB149" i="7" s="1"/>
  <c r="AD149" i="7"/>
  <c r="AE149" i="7" s="1"/>
  <c r="AA276" i="7"/>
  <c r="AB276" i="7" s="1"/>
  <c r="AD276" i="7"/>
  <c r="AA238" i="7"/>
  <c r="AB238" i="7" s="1"/>
  <c r="AD238" i="7"/>
  <c r="AA256" i="7"/>
  <c r="AB256" i="7" s="1"/>
  <c r="AD256" i="7"/>
  <c r="AE256" i="7" s="1"/>
  <c r="AA257" i="7"/>
  <c r="AB257" i="7" s="1"/>
  <c r="AD257" i="7"/>
  <c r="AE257" i="7" s="1"/>
  <c r="AA15" i="7"/>
  <c r="AB15" i="7" s="1"/>
  <c r="AD15" i="7"/>
  <c r="AE15" i="7" s="1"/>
  <c r="AA130" i="7"/>
  <c r="AB130" i="7" s="1"/>
  <c r="AD130" i="7"/>
  <c r="AE130" i="7" s="1"/>
  <c r="AA10" i="7"/>
  <c r="AB10" i="7" s="1"/>
  <c r="AD10" i="7"/>
  <c r="AE10" i="7" s="1"/>
  <c r="AA97" i="7"/>
  <c r="AB97" i="7" s="1"/>
  <c r="AD97" i="7"/>
  <c r="AE97" i="7" s="1"/>
  <c r="AA126" i="7"/>
  <c r="AB126" i="7" s="1"/>
  <c r="AD126" i="7"/>
  <c r="AE126" i="7" s="1"/>
  <c r="AA188" i="7"/>
  <c r="AB188" i="7" s="1"/>
  <c r="AD188" i="7"/>
  <c r="AE188" i="7" s="1"/>
  <c r="AA82" i="7"/>
  <c r="AB82" i="7" s="1"/>
  <c r="AE235" i="7"/>
  <c r="AA57" i="7"/>
  <c r="AB57" i="7" s="1"/>
  <c r="AD57" i="7"/>
  <c r="AE57" i="7" s="1"/>
  <c r="AA86" i="7"/>
  <c r="AB86" i="7" s="1"/>
  <c r="AD86" i="7"/>
  <c r="AE86" i="7" s="1"/>
  <c r="AA49" i="7"/>
  <c r="AB49" i="7" s="1"/>
  <c r="AD49" i="7"/>
  <c r="AE49" i="7" s="1"/>
  <c r="AA237" i="7"/>
  <c r="AB237" i="7" s="1"/>
  <c r="AE237" i="7" s="1"/>
  <c r="AD237" i="7"/>
  <c r="AD182" i="7"/>
  <c r="AE182" i="7" s="1"/>
  <c r="AA28" i="7"/>
  <c r="AB28" i="7" s="1"/>
  <c r="AD28" i="7"/>
  <c r="AE28" i="7" s="1"/>
  <c r="AA155" i="7"/>
  <c r="AB155" i="7" s="1"/>
  <c r="AD155" i="7"/>
  <c r="AE155" i="7" s="1"/>
  <c r="AA43" i="7"/>
  <c r="AB43" i="7" s="1"/>
  <c r="AD43" i="7"/>
  <c r="AE43" i="7" s="1"/>
  <c r="AA107" i="7"/>
  <c r="AB107" i="7" s="1"/>
  <c r="AD107" i="7"/>
  <c r="AE107" i="7" s="1"/>
  <c r="AD176" i="7"/>
  <c r="AE176" i="7" s="1"/>
  <c r="AA176" i="7"/>
  <c r="AB176" i="7" s="1"/>
  <c r="AA16" i="7"/>
  <c r="AB16" i="7" s="1"/>
  <c r="AD16" i="7"/>
  <c r="AE16" i="7" s="1"/>
  <c r="AA252" i="7"/>
  <c r="AB252" i="7" s="1"/>
  <c r="AD252" i="7"/>
  <c r="AE252" i="7" s="1"/>
  <c r="AA71" i="7"/>
  <c r="AB71" i="7" s="1"/>
  <c r="AD71" i="7"/>
  <c r="AE71" i="7" s="1"/>
  <c r="AE245" i="7"/>
  <c r="AB263" i="7"/>
  <c r="AE263" i="7"/>
  <c r="AA138" i="7"/>
  <c r="AB138" i="7" s="1"/>
  <c r="AD138" i="7"/>
  <c r="AE138" i="7" s="1"/>
  <c r="AA79" i="7"/>
  <c r="AB79" i="7" s="1"/>
  <c r="AD79" i="7"/>
  <c r="AE79" i="7" s="1"/>
  <c r="AA114" i="7"/>
  <c r="AB114" i="7" s="1"/>
  <c r="AD114" i="7"/>
  <c r="AE114" i="7" s="1"/>
  <c r="AA17" i="7"/>
  <c r="AB17" i="7" s="1"/>
  <c r="AD17" i="7"/>
  <c r="AE17" i="7" s="1"/>
  <c r="AA270" i="7"/>
  <c r="AB270" i="7" s="1"/>
  <c r="AD270" i="7"/>
  <c r="AE270" i="7" s="1"/>
  <c r="AA40" i="7"/>
  <c r="AB40" i="7" s="1"/>
  <c r="AD40" i="7"/>
  <c r="AE40" i="7" s="1"/>
  <c r="AA23" i="7"/>
  <c r="AB23" i="7" s="1"/>
  <c r="AD23" i="7"/>
  <c r="AE23" i="7" s="1"/>
  <c r="AA29" i="7"/>
  <c r="AB29" i="7" s="1"/>
  <c r="AD29" i="7"/>
  <c r="AE29" i="7" s="1"/>
  <c r="AA214" i="7"/>
  <c r="AB214" i="7" s="1"/>
  <c r="AD214" i="7"/>
  <c r="AE214" i="7" s="1"/>
  <c r="AA171" i="7"/>
  <c r="AB171" i="7" s="1"/>
  <c r="AD171" i="7"/>
  <c r="AE171" i="7" s="1"/>
  <c r="AA248" i="7"/>
  <c r="AB248" i="7" s="1"/>
  <c r="AD248" i="7"/>
  <c r="AE248" i="7" s="1"/>
  <c r="AE282" i="7"/>
  <c r="AA84" i="7"/>
  <c r="AB84" i="7" s="1"/>
  <c r="AD84" i="7"/>
  <c r="AE84" i="7" s="1"/>
  <c r="AA122" i="7"/>
  <c r="AB122" i="7" s="1"/>
  <c r="AD122" i="7"/>
  <c r="AE122" i="7" s="1"/>
  <c r="AA254" i="7"/>
  <c r="AB254" i="7" s="1"/>
  <c r="AD254" i="7"/>
  <c r="AA20" i="7"/>
  <c r="AB20" i="7" s="1"/>
  <c r="AA99" i="7"/>
  <c r="AB99" i="7" s="1"/>
  <c r="AD99" i="7"/>
  <c r="AE99" i="7" s="1"/>
  <c r="AA53" i="7"/>
  <c r="AB53" i="7" s="1"/>
  <c r="AD53" i="7"/>
  <c r="AE53" i="7" s="1"/>
  <c r="AA222" i="7"/>
  <c r="AB222" i="7" s="1"/>
  <c r="AD222" i="7"/>
  <c r="AE222" i="7" s="1"/>
  <c r="AA195" i="7"/>
  <c r="AB195" i="7" s="1"/>
  <c r="AD275" i="7"/>
  <c r="AA275" i="7"/>
  <c r="AB275" i="7" s="1"/>
  <c r="AE275" i="7" s="1"/>
  <c r="AA93" i="7"/>
  <c r="AB93" i="7" s="1"/>
  <c r="AD93" i="7"/>
  <c r="AE93" i="7" s="1"/>
  <c r="AA6" i="7"/>
  <c r="AB6" i="7" s="1"/>
  <c r="AD6" i="7"/>
  <c r="AE6" i="7" s="1"/>
  <c r="AA190" i="7"/>
  <c r="AB190" i="7" s="1"/>
  <c r="AD190" i="7"/>
  <c r="AE190" i="7" s="1"/>
  <c r="AA85" i="7"/>
  <c r="AB85" i="7" s="1"/>
  <c r="AD85" i="7"/>
  <c r="AE85" i="7" s="1"/>
  <c r="AA170" i="7"/>
  <c r="AB170" i="7" s="1"/>
  <c r="AD170" i="7"/>
  <c r="AE170" i="7" s="1"/>
  <c r="AA37" i="7"/>
  <c r="AB37" i="7" s="1"/>
  <c r="AD37" i="7"/>
  <c r="AE37" i="7" s="1"/>
  <c r="AB267" i="7"/>
  <c r="AE267" i="7" s="1"/>
  <c r="AA76" i="7"/>
  <c r="AB76" i="7" s="1"/>
  <c r="AA88" i="7"/>
  <c r="AB88" i="7" s="1"/>
  <c r="AA68" i="7"/>
  <c r="AB68" i="7" s="1"/>
  <c r="AE249" i="7"/>
  <c r="AA268" i="7"/>
  <c r="AA113" i="7"/>
  <c r="AB113" i="7" s="1"/>
  <c r="AA144" i="7"/>
  <c r="AB144" i="7" s="1"/>
  <c r="AA209" i="7"/>
  <c r="AB209" i="7" s="1"/>
  <c r="AA202" i="7"/>
  <c r="AB202" i="7" s="1"/>
  <c r="AA145" i="7"/>
  <c r="AB145" i="7" s="1"/>
  <c r="AA289" i="7"/>
  <c r="AB289" i="7" s="1"/>
  <c r="AE280" i="7"/>
  <c r="AA77" i="7"/>
  <c r="AB77" i="7" s="1"/>
  <c r="AA203" i="7"/>
  <c r="AB203" i="7" s="1"/>
  <c r="AA116" i="7"/>
  <c r="AB116" i="7" s="1"/>
  <c r="AA141" i="7"/>
  <c r="AB141" i="7" s="1"/>
  <c r="AD209" i="7"/>
  <c r="AE209" i="7" s="1"/>
  <c r="AA224" i="7"/>
  <c r="AB224" i="7" s="1"/>
  <c r="AA100" i="7"/>
  <c r="AB100" i="7" s="1"/>
  <c r="AE262" i="7"/>
  <c r="AA31" i="7"/>
  <c r="AB31" i="7" s="1"/>
  <c r="AA127" i="7"/>
  <c r="AB127" i="7" s="1"/>
  <c r="AA239" i="7"/>
  <c r="AB239" i="7" s="1"/>
  <c r="AE239" i="7" s="1"/>
  <c r="AA225" i="7"/>
  <c r="AB225" i="7" s="1"/>
  <c r="AA277" i="7"/>
  <c r="AB277" i="7" s="1"/>
  <c r="AA8" i="7"/>
  <c r="AB8" i="7" s="1"/>
  <c r="AA233" i="7"/>
  <c r="AB233" i="7" s="1"/>
  <c r="AA166" i="7"/>
  <c r="AB166" i="7" s="1"/>
  <c r="AD145" i="7"/>
  <c r="AE145" i="7" s="1"/>
  <c r="AD51" i="7"/>
  <c r="AE51" i="7" s="1"/>
  <c r="AD110" i="7"/>
  <c r="AE110" i="7" s="1"/>
  <c r="AD239" i="7"/>
  <c r="AD223" i="7"/>
  <c r="AE223" i="7" s="1"/>
  <c r="AD164" i="7"/>
  <c r="AE164" i="7" s="1"/>
  <c r="AA288" i="7"/>
  <c r="AB288" i="7" s="1"/>
  <c r="AE288" i="7" s="1"/>
  <c r="AA65" i="7"/>
  <c r="AB65" i="7" s="1"/>
  <c r="AD76" i="7"/>
  <c r="AE76" i="7" s="1"/>
  <c r="AA178" i="7"/>
  <c r="AB178" i="7" s="1"/>
  <c r="AA228" i="7"/>
  <c r="AB228" i="7" s="1"/>
  <c r="AA136" i="7"/>
  <c r="AB136" i="7" s="1"/>
  <c r="AA192" i="7"/>
  <c r="AB192" i="7" s="1"/>
  <c r="AA41" i="7"/>
  <c r="AB41" i="7" s="1"/>
  <c r="AA73" i="7"/>
  <c r="AB73" i="7" s="1"/>
  <c r="AA11" i="7"/>
  <c r="AB11" i="7" s="1"/>
  <c r="AA244" i="7"/>
  <c r="AB244" i="7" s="1"/>
  <c r="AA259" i="7"/>
  <c r="AB259" i="7" s="1"/>
  <c r="AA235" i="7"/>
  <c r="AB235" i="7" s="1"/>
  <c r="AA213" i="7"/>
  <c r="AB213" i="7" s="1"/>
  <c r="AA27" i="7"/>
  <c r="AB27" i="7" s="1"/>
  <c r="AA21" i="7"/>
  <c r="AB21" i="7" s="1"/>
  <c r="AA90" i="7"/>
  <c r="AB90" i="7" s="1"/>
  <c r="AA105" i="7"/>
  <c r="AB105" i="7" s="1"/>
  <c r="AD90" i="7"/>
  <c r="AE90" i="7" s="1"/>
  <c r="AD284" i="7"/>
  <c r="AE284" i="7" s="1"/>
  <c r="AA285" i="7"/>
  <c r="AB285" i="7" s="1"/>
  <c r="AE285" i="7" s="1"/>
  <c r="AD65" i="7"/>
  <c r="AE65" i="7" s="1"/>
  <c r="AD289" i="7"/>
  <c r="AD105" i="7"/>
  <c r="AE105" i="7" s="1"/>
  <c r="AD178" i="7"/>
  <c r="AE178" i="7" s="1"/>
  <c r="AD131" i="7"/>
  <c r="AE131" i="7" s="1"/>
  <c r="AA241" i="7"/>
  <c r="AB241" i="7" s="1"/>
  <c r="AA278" i="7"/>
  <c r="AB278" i="7" s="1"/>
  <c r="AA34" i="7"/>
  <c r="AB34" i="7" s="1"/>
  <c r="AA7" i="7"/>
  <c r="AB7" i="7" s="1"/>
  <c r="AA230" i="7"/>
  <c r="AB230" i="7" s="1"/>
  <c r="AA189" i="7"/>
  <c r="AB189" i="7" s="1"/>
  <c r="AA30" i="7"/>
  <c r="AB30" i="7" s="1"/>
  <c r="AA38" i="7"/>
  <c r="AB38" i="7" s="1"/>
  <c r="AA139" i="7"/>
  <c r="AB139" i="7" s="1"/>
  <c r="AA104" i="7"/>
  <c r="AB104" i="7" s="1"/>
  <c r="AA258" i="7"/>
  <c r="AB258" i="7" s="1"/>
  <c r="AA201" i="7"/>
  <c r="AB201" i="7" s="1"/>
  <c r="AA269" i="7"/>
  <c r="AB269" i="7" s="1"/>
  <c r="AA44" i="7"/>
  <c r="AB44" i="7" s="1"/>
  <c r="AD11" i="7"/>
  <c r="AE11" i="7" s="1"/>
  <c r="AA207" i="7"/>
  <c r="AB207" i="7" s="1"/>
  <c r="AD92" i="7"/>
  <c r="AE92" i="7" s="1"/>
  <c r="AA191" i="7"/>
  <c r="AB191" i="7" s="1"/>
  <c r="AA261" i="7"/>
  <c r="AB261" i="7" s="1"/>
  <c r="AE261" i="7" s="1"/>
  <c r="AA9" i="7"/>
  <c r="AB9" i="7" s="1"/>
  <c r="AD69" i="7"/>
  <c r="AE69" i="7" s="1"/>
  <c r="AD9" i="7"/>
  <c r="AE9" i="7" s="1"/>
  <c r="AD63" i="7"/>
  <c r="AE63" i="7" s="1"/>
  <c r="AA47" i="7"/>
  <c r="AB47" i="7" s="1"/>
  <c r="AD44" i="7"/>
  <c r="AE44" i="7" s="1"/>
  <c r="AD141" i="7"/>
  <c r="AE141" i="7" s="1"/>
  <c r="AA184" i="7"/>
  <c r="AB184" i="7" s="1"/>
  <c r="AA87" i="7"/>
  <c r="AB87" i="7" s="1"/>
  <c r="AA96" i="7"/>
  <c r="AB96" i="7" s="1"/>
  <c r="AA212" i="7"/>
  <c r="AB212" i="7" s="1"/>
  <c r="AA45" i="7"/>
  <c r="AB45" i="7" s="1"/>
  <c r="AA247" i="7"/>
  <c r="AB247" i="7" s="1"/>
  <c r="AE247" i="7" s="1"/>
  <c r="AA103" i="7"/>
  <c r="AB103" i="7" s="1"/>
  <c r="AA102" i="7"/>
  <c r="AB102" i="7" s="1"/>
  <c r="AA52" i="7"/>
  <c r="AB52" i="7" s="1"/>
  <c r="AA118" i="7"/>
  <c r="AB118" i="7" s="1"/>
  <c r="AA272" i="7"/>
  <c r="AB272" i="7" s="1"/>
  <c r="AA56" i="7"/>
  <c r="AB56" i="7" s="1"/>
  <c r="AA211" i="7"/>
  <c r="AB211" i="7" s="1"/>
  <c r="AA283" i="7"/>
  <c r="AB283" i="7" s="1"/>
  <c r="AE283" i="7" s="1"/>
  <c r="AA147" i="7"/>
  <c r="AB147" i="7" s="1"/>
  <c r="AA245" i="7"/>
  <c r="AB245" i="7" s="1"/>
  <c r="AA108" i="7"/>
  <c r="AB108" i="7" s="1"/>
  <c r="AA83" i="7"/>
  <c r="AB83" i="7" s="1"/>
  <c r="AD25" i="7"/>
  <c r="AE25" i="7" s="1"/>
  <c r="AD280" i="7"/>
  <c r="AD45" i="7"/>
  <c r="AE45" i="7" s="1"/>
  <c r="AD104" i="7"/>
  <c r="AE104" i="7" s="1"/>
  <c r="AD83" i="7"/>
  <c r="AE83" i="7" s="1"/>
  <c r="AA80" i="7"/>
  <c r="AB80" i="7" s="1"/>
  <c r="AD163" i="7"/>
  <c r="AE163" i="7" s="1"/>
  <c r="AD259" i="7"/>
  <c r="AD228" i="7"/>
  <c r="AE228" i="7" s="1"/>
  <c r="AD113" i="7"/>
  <c r="AE113" i="7" s="1"/>
  <c r="AA227" i="7"/>
  <c r="AB227" i="7" s="1"/>
  <c r="AD55" i="7"/>
  <c r="AE55" i="7" s="1"/>
  <c r="AD268" i="7"/>
  <c r="AA128" i="7"/>
  <c r="AB128" i="7" s="1"/>
  <c r="AD192" i="7"/>
  <c r="AE192" i="7" s="1"/>
  <c r="AD159" i="7"/>
  <c r="AE159" i="7" s="1"/>
  <c r="AA46" i="7"/>
  <c r="AB46" i="7" s="1"/>
  <c r="AA125" i="7"/>
  <c r="AB125" i="7" s="1"/>
  <c r="AA198" i="7"/>
  <c r="AB198" i="7" s="1"/>
  <c r="AE255" i="7"/>
  <c r="AA12" i="7"/>
  <c r="AB12" i="7" s="1"/>
  <c r="T286" i="7"/>
  <c r="T287" i="7" s="1"/>
  <c r="T288" i="7" s="1"/>
  <c r="T289" i="7" s="1"/>
  <c r="AA240" i="7"/>
  <c r="AB240" i="7" s="1"/>
  <c r="AA132" i="7"/>
  <c r="AB132" i="7" s="1"/>
  <c r="AA119" i="7"/>
  <c r="AB119" i="7" s="1"/>
  <c r="AA215" i="7"/>
  <c r="AB215" i="7" s="1"/>
  <c r="AA58" i="7"/>
  <c r="AB58" i="7" s="1"/>
  <c r="AA111" i="7"/>
  <c r="AB111" i="7" s="1"/>
  <c r="AA286" i="7"/>
  <c r="AD269" i="7"/>
  <c r="AD139" i="7"/>
  <c r="AE139" i="7" s="1"/>
  <c r="AA172" i="7"/>
  <c r="AB172" i="7" s="1"/>
  <c r="AD236" i="7"/>
  <c r="AE236" i="7" s="1"/>
  <c r="AD77" i="7"/>
  <c r="AE77" i="7" s="1"/>
  <c r="AA234" i="7"/>
  <c r="AB234" i="7" s="1"/>
  <c r="AE234" i="7" s="1"/>
  <c r="AD212" i="7"/>
  <c r="AE212" i="7" s="1"/>
  <c r="AD127" i="7"/>
  <c r="AE127" i="7" s="1"/>
  <c r="AA75" i="7"/>
  <c r="AB75" i="7" s="1"/>
  <c r="AA22" i="7"/>
  <c r="AB22" i="7" s="1"/>
  <c r="AD88" i="7"/>
  <c r="AE88" i="7" s="1"/>
  <c r="AA140" i="7"/>
  <c r="AB140" i="7" s="1"/>
  <c r="AA185" i="7"/>
  <c r="AB185" i="7" s="1"/>
  <c r="AA250" i="7"/>
  <c r="AB250" i="7" s="1"/>
  <c r="AA174" i="7"/>
  <c r="AB174" i="7" s="1"/>
  <c r="AA74" i="7"/>
  <c r="AB74" i="7" s="1"/>
  <c r="AA167" i="7"/>
  <c r="AB167" i="7" s="1"/>
  <c r="AA265" i="7"/>
  <c r="AA101" i="7"/>
  <c r="AB101" i="7" s="1"/>
  <c r="AA133" i="7"/>
  <c r="AB133" i="7" s="1"/>
  <c r="AA98" i="7"/>
  <c r="AB98" i="7" s="1"/>
  <c r="AA255" i="7"/>
  <c r="AB255" i="7" s="1"/>
  <c r="AA18" i="7"/>
  <c r="AB18" i="7" s="1"/>
  <c r="AA161" i="7"/>
  <c r="AB161" i="7" s="1"/>
  <c r="AA273" i="7"/>
  <c r="AB273" i="7" s="1"/>
  <c r="AA48" i="7"/>
  <c r="AB48" i="7" s="1"/>
  <c r="AA205" i="7"/>
  <c r="AB205" i="7" s="1"/>
  <c r="AD118" i="7"/>
  <c r="AE118" i="7" s="1"/>
  <c r="AD202" i="7"/>
  <c r="AE202" i="7" s="1"/>
  <c r="AA251" i="7"/>
  <c r="AB251" i="7" s="1"/>
  <c r="AD191" i="7"/>
  <c r="AE191" i="7" s="1"/>
  <c r="AD169" i="7"/>
  <c r="AE169" i="7" s="1"/>
  <c r="AD116" i="7"/>
  <c r="AE116" i="7" s="1"/>
  <c r="AA89" i="7"/>
  <c r="AB89" i="7" s="1"/>
  <c r="AD100" i="7"/>
  <c r="AE100" i="7" s="1"/>
  <c r="AD206" i="7"/>
  <c r="AE206" i="7" s="1"/>
  <c r="AD187" i="7"/>
  <c r="AE187" i="7" s="1"/>
  <c r="AA282" i="7"/>
  <c r="AB282" i="7" s="1"/>
  <c r="AA281" i="7"/>
  <c r="AB281" i="7" s="1"/>
  <c r="AA91" i="7"/>
  <c r="AB91" i="7" s="1"/>
  <c r="AD112" i="7"/>
  <c r="AE112" i="7" s="1"/>
  <c r="AD185" i="7"/>
  <c r="AE185" i="7" s="1"/>
  <c r="AB266" i="7"/>
  <c r="AE266" i="7" s="1"/>
  <c r="AD46" i="7"/>
  <c r="AE46" i="7" s="1"/>
  <c r="AA115" i="7"/>
  <c r="AB115" i="7" s="1"/>
  <c r="AA66" i="7"/>
  <c r="AB66" i="7" s="1"/>
  <c r="AA264" i="7"/>
  <c r="AB264" i="7" s="1"/>
  <c r="AA226" i="7"/>
  <c r="AB226" i="7" s="1"/>
  <c r="AA199" i="7"/>
  <c r="AB199" i="7" s="1"/>
  <c r="AA210" i="7"/>
  <c r="AB210" i="7" s="1"/>
  <c r="AA200" i="7"/>
  <c r="AB200" i="7" s="1"/>
  <c r="AA124" i="7"/>
  <c r="AB124" i="7" s="1"/>
  <c r="AA279" i="7"/>
  <c r="AB279" i="7" s="1"/>
  <c r="AE279" i="7" s="1"/>
  <c r="AA157" i="7"/>
  <c r="AB157" i="7" s="1"/>
  <c r="AA146" i="7"/>
  <c r="AB146" i="7" s="1"/>
  <c r="AA152" i="7"/>
  <c r="AB152" i="7" s="1"/>
  <c r="AA123" i="7"/>
  <c r="AB123" i="7" s="1"/>
  <c r="AA59" i="7"/>
  <c r="AB59" i="7" s="1"/>
  <c r="AA72" i="7"/>
  <c r="AB72" i="7" s="1"/>
  <c r="AA32" i="7"/>
  <c r="AB32" i="7" s="1"/>
  <c r="AA287" i="7"/>
  <c r="AB287" i="7" s="1"/>
  <c r="AE287" i="7" s="1"/>
  <c r="AD56" i="7"/>
  <c r="AE56" i="7" s="1"/>
  <c r="AD59" i="7"/>
  <c r="AE59" i="7" s="1"/>
  <c r="AD143" i="7"/>
  <c r="AE143" i="7" s="1"/>
  <c r="AD31" i="7"/>
  <c r="AE31" i="7" s="1"/>
  <c r="AD153" i="7"/>
  <c r="AE153" i="7" s="1"/>
  <c r="AD205" i="7"/>
  <c r="AE205" i="7" s="1"/>
  <c r="AD250" i="7"/>
  <c r="AD91" i="7"/>
  <c r="AE91" i="7" s="1"/>
  <c r="AA246" i="7"/>
  <c r="AB246" i="7" s="1"/>
  <c r="AE246" i="7" s="1"/>
  <c r="AD183" i="7"/>
  <c r="AE183" i="7" s="1"/>
  <c r="AD158" i="7"/>
  <c r="AE158" i="7" s="1"/>
  <c r="AD36" i="7"/>
  <c r="AE36" i="7" s="1"/>
  <c r="AD136" i="7"/>
  <c r="AE136" i="7" s="1"/>
  <c r="AD30" i="7"/>
  <c r="AE30" i="7" s="1"/>
  <c r="AD201" i="7"/>
  <c r="AE201" i="7" s="1"/>
  <c r="AD67" i="7"/>
  <c r="AE67" i="7" s="1"/>
  <c r="AD144" i="7"/>
  <c r="AE144" i="7" s="1"/>
  <c r="AB286" i="7"/>
  <c r="AE286" i="7"/>
  <c r="AE289" i="7" l="1"/>
  <c r="AE238" i="7"/>
  <c r="AE250" i="7"/>
  <c r="AE276" i="7"/>
  <c r="AE233" i="7"/>
  <c r="AE268" i="7"/>
  <c r="AB268" i="7"/>
  <c r="AE277" i="7"/>
  <c r="AE281" i="7"/>
  <c r="AB265" i="7"/>
  <c r="AE265" i="7" s="1"/>
  <c r="AE264" i="7"/>
  <c r="AE269" i="7"/>
  <c r="AE278" i="7"/>
  <c r="AE273" i="7"/>
  <c r="AE241" i="7"/>
  <c r="AE272" i="7"/>
  <c r="AE259" i="7"/>
  <c r="AE258" i="7"/>
  <c r="AE254" i="7"/>
  <c r="AE25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lalavoci</author>
  </authors>
  <commentList>
    <comment ref="A1404" authorId="0" shapeId="0" xr:uid="{4B68C5CC-EFEB-4C00-8D44-54C7294D1BCB}">
      <text>
        <r>
          <rPr>
            <b/>
            <sz val="9"/>
            <color indexed="81"/>
            <rFont val="Tahoma"/>
            <family val="2"/>
          </rPr>
          <t>lalavoci:</t>
        </r>
        <r>
          <rPr>
            <sz val="9"/>
            <color indexed="81"/>
            <rFont val="Tahoma"/>
            <family val="2"/>
          </rPr>
          <t xml:space="preserve">
No publication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<sst xmlns="http://schemas.openxmlformats.org/spreadsheetml/2006/main" count="4379" uniqueCount="188">
  <si>
    <t>Year</t>
  </si>
  <si>
    <t>Quarter</t>
  </si>
  <si>
    <t>Month</t>
  </si>
  <si>
    <t>Sulphuric Acid Bulk FOB</t>
  </si>
  <si>
    <t>Japan/South Korea Spot</t>
  </si>
  <si>
    <t>USD/t</t>
  </si>
  <si>
    <t>Max</t>
  </si>
  <si>
    <t>Min</t>
  </si>
  <si>
    <t>Avg</t>
  </si>
  <si>
    <t>NW Europe 30 days Spot</t>
  </si>
  <si>
    <t xml:space="preserve"> </t>
  </si>
  <si>
    <t>China Spot</t>
  </si>
  <si>
    <t>Sulphuric Acid Bulk CFR</t>
  </si>
  <si>
    <t>North Africa, Spot</t>
  </si>
  <si>
    <t>FOB Vancouver (spot)</t>
  </si>
  <si>
    <t>FOB Middle East (spot)</t>
  </si>
  <si>
    <t>FOB Baltic Sea (spot)</t>
  </si>
  <si>
    <t>FOB US Gulf (spot)</t>
  </si>
  <si>
    <t>CFR China 
(spot)</t>
  </si>
  <si>
    <t>CFR India 
(spot)</t>
  </si>
  <si>
    <t>CFR Brazil (spot)</t>
  </si>
  <si>
    <t>CFR Indonesia (spot)</t>
  </si>
  <si>
    <t>CFR North Africa (contract)</t>
  </si>
  <si>
    <t>FOB Tampa (contract)</t>
  </si>
  <si>
    <t>CFR BENELUX (contract)</t>
  </si>
  <si>
    <t/>
  </si>
  <si>
    <t>-</t>
  </si>
  <si>
    <t>CFR NW Europe – (€/t)</t>
  </si>
  <si>
    <t>CFR US Gulf</t>
  </si>
  <si>
    <t>FOB NW Europe</t>
  </si>
  <si>
    <t>CFR Brazil</t>
  </si>
  <si>
    <t>CFR India</t>
  </si>
  <si>
    <t>FOB Japan/South Korea (Spot/Contract)</t>
  </si>
  <si>
    <t>FOB Japan/South Korea (Spot)</t>
  </si>
  <si>
    <t>FOB China</t>
  </si>
  <si>
    <t>CFR Chile – contract</t>
  </si>
  <si>
    <t xml:space="preserve">CFR US Gulf </t>
  </si>
  <si>
    <t xml:space="preserve">CFR Mejillones (Chile) Spot </t>
  </si>
  <si>
    <t xml:space="preserve">FOB Japan/South Korea Spot </t>
  </si>
  <si>
    <t xml:space="preserve">FOB West Europe </t>
  </si>
  <si>
    <t xml:space="preserve">FOB China </t>
  </si>
  <si>
    <t>Data compiled October 2025.</t>
  </si>
  <si>
    <t>© 2025 S&amp;P Global.</t>
  </si>
  <si>
    <t>Source: Platts, S&amp;P Global Commodity Insights.</t>
  </si>
  <si>
    <t>Back to Contents</t>
  </si>
  <si>
    <t>NW Europe - US Gulf 17-20,000 mt</t>
  </si>
  <si>
    <t>NW Europe - Brazil 18-20,000 mt</t>
  </si>
  <si>
    <t>NW Europe - North Africa 20-27,000 mt</t>
  </si>
  <si>
    <t>Japan/South Korea - Chile 20-27,000 mt</t>
  </si>
  <si>
    <t>Japan/South Korea - China 10-15,000 mt</t>
  </si>
  <si>
    <t>Japan/South Korea - India 15-20,000 mt</t>
  </si>
  <si>
    <t>NW Europe - Chile 17-20,000mt</t>
  </si>
  <si>
    <t>China - India 15-20,000mt</t>
  </si>
  <si>
    <t>China - SEA 8-20,000mt</t>
  </si>
  <si>
    <t>China - Chile 27-33,000mt</t>
  </si>
  <si>
    <t>quarter</t>
  </si>
  <si>
    <t>month</t>
  </si>
  <si>
    <t>low</t>
  </si>
  <si>
    <t>high</t>
  </si>
  <si>
    <t>ave</t>
  </si>
  <si>
    <t>Sulphur Bulk FOB</t>
  </si>
  <si>
    <t>Middle East Spot</t>
  </si>
  <si>
    <t>Middle East - Morocco 35-40,000 mt 10,000c/5,000x</t>
  </si>
  <si>
    <t>Black Sea - Morocco 25-30,000 mt 8,000c/5,000x</t>
  </si>
  <si>
    <t>year</t>
  </si>
  <si>
    <t>ACS FOB Japan</t>
  </si>
  <si>
    <t>ACS FOB NW Europe</t>
  </si>
  <si>
    <t>ACS FOB China Spot</t>
  </si>
  <si>
    <t>Sulphur Bulk FOB Middle East</t>
  </si>
  <si>
    <t>Fret Japan to Morocco</t>
  </si>
  <si>
    <t>Fret NW EU to Morocco</t>
  </si>
  <si>
    <t>Fret China to Morocco</t>
  </si>
  <si>
    <t>Fret Middle East to Morocco</t>
  </si>
  <si>
    <t>#</t>
  </si>
  <si>
    <t>Formule</t>
  </si>
  <si>
    <t>Logique</t>
  </si>
  <si>
    <t>Hypothèses nécessaires</t>
  </si>
  <si>
    <t>👍 Avantages</t>
  </si>
  <si>
    <t>⚠️ Inconvénients / risques</t>
  </si>
  <si>
    <t>Cas d’usage recommandé</t>
  </si>
  <si>
    <t>IPP-CAPPED</t>
  </si>
  <si>
    <t>IPP = plafond dur</t>
  </si>
  <si>
    <t>IPP robuste et accepté par les deux parties</t>
  </si>
  <si>
    <t>Protection maximale OCP ; discipline économique forte</t>
  </si>
  <si>
    <t>Faible acceptabilité fournisseur ; peu “relationnel”</t>
  </si>
  <si>
    <t>Position d’ouverture ; marché très tendu</t>
  </si>
  <si>
    <t>COLLAR autour de l’IPP</t>
  </si>
  <si>
    <t>Partage de risque</t>
  </si>
  <si>
    <t>Floor crédible fournisseur ; IPP comme cap</t>
  </si>
  <si>
    <t>Équilibrée ; bankable ; robuste long terme</t>
  </si>
  <si>
    <t>Moins protectrice qu’un cap pur</t>
  </si>
  <si>
    <t>Formule cœur recommandée</t>
  </si>
  <si>
    <t>IPP-REFERENCED</t>
  </si>
  <si>
    <t>IPP comme garde-fou implicite</t>
  </si>
  <si>
    <t>IPP suivi en interne ; confiance contractuelle</t>
  </si>
  <si>
    <t>Acceptable fournisseur ; flexible</t>
  </si>
  <si>
    <t>Protection OCP plus faible ; dépend du design</t>
  </si>
  <si>
    <t>Concession tactique</t>
  </si>
  <si>
    <t>Cost-plus hybride indexé</t>
  </si>
  <si>
    <t>Reconnaître l’économie réelle</t>
  </si>
  <si>
    <t>Transparence coûts ; gouvernance solide</t>
  </si>
  <si>
    <t>Crédible entre intégrés ; stabilité 10 ans</t>
  </si>
  <si>
    <t>Complexité ; risque de dérive sans cap IPP</t>
  </si>
  <si>
    <t>Partenariat stratégique</t>
  </si>
  <si>
    <t>IPP-Sharing (scarcity rent)</t>
  </si>
  <si>
    <t>Partage de la rente de rareté</t>
  </si>
  <si>
    <t>IPP reconnu comme coût marginal</t>
  </si>
  <si>
    <t>“Fair” en undersupply ; relationnel</t>
  </si>
  <si>
    <t>OCP accepte de payer au-dessus de l’index</t>
  </si>
  <si>
    <t>Marché structurellement tendu</t>
  </si>
  <si>
    <t>Baseload + Flex volumes</t>
  </si>
  <si>
    <t>Séparer sécurité &amp; optionalité</t>
  </si>
  <si>
    <t>Capacité fournisseur ; flex logistique</t>
  </si>
  <si>
    <t>Sécurise volumes + arbitrage OCP</t>
  </si>
  <si>
    <t>Plus complexe contractuellement</t>
  </si>
  <si>
    <t>Très adapté contrat 10 ans</t>
  </si>
  <si>
    <t>Re-opener structurel</t>
  </si>
  <si>
    <t>Adapter sans renégocier</t>
  </si>
  <si>
    <t>Gouvernance claire ; déclencheurs objectifs</t>
  </si>
  <si>
    <t>Robustesse long terme ; réduit conflits</t>
  </si>
  <si>
    <t>Pas un pricing en soi</t>
  </si>
  <si>
    <t>Indispensable &gt;7–8 ans</t>
  </si>
  <si>
    <t>Engrais as cycle adjuster</t>
  </si>
  <si>
    <t>Partage du cycle aval</t>
  </si>
  <si>
    <t>Indice engrais pertinent (DAP/MAP)</t>
  </si>
  <si>
    <t>Alignement chaîne valeur ; subtil</t>
  </si>
  <si>
    <t>Peut être mal perçu politiquement</t>
  </si>
  <si>
    <t>Complément intelligent</t>
  </si>
  <si>
    <t>Engrais-triggered sharing</t>
  </si>
  <si>
    <t>Upside conditionnel</t>
  </si>
  <si>
    <t>Seuil engrais bien calibré</t>
  </si>
  <si>
    <t>Acceptable en extrême tension</t>
  </si>
  <si>
    <t>Complexité ; usage rare</t>
  </si>
  <si>
    <t>Clause optionnelle</t>
  </si>
  <si>
    <t>Dual index (soufre + engrais)</t>
  </si>
  <si>
    <t>Deux drivers pondérés</t>
  </si>
  <si>
    <t>Poids engrais limité (&lt;30%)</t>
  </si>
  <si>
    <t>Partage élargi du cycle</t>
  </si>
  <si>
    <t>Risque de sur-indexation</t>
  </si>
  <si>
    <t>À manier avec précaution</t>
  </si>
  <si>
    <t>Energy pass-through Maroc (capé)</t>
  </si>
  <si>
    <t>Partage coûts structurels</t>
  </si>
  <si>
    <t>Indice énergie Maroc fiable</t>
  </si>
  <si>
    <t>Légitime ; crédible ; long terme</t>
  </si>
  <si>
    <t>Sensible politiquement</t>
  </si>
  <si>
    <t>Correcteur structurel</t>
  </si>
  <si>
    <t>Energy/carbon as re-opener</t>
  </si>
  <si>
    <t>Sécurité long terme</t>
  </si>
  <si>
    <t>Déclencheurs objectifs</t>
  </si>
  <si>
    <t>Zéro volatilité mensuelle</t>
  </si>
  <si>
    <t>Pas de signal prix immédiat</t>
  </si>
  <si>
    <t>Best practice 10 ans</t>
  </si>
  <si>
    <t>Decarbonization incentive</t>
  </si>
  <si>
    <t>Alignement ESG</t>
  </si>
  <si>
    <t>Mesure intensité carbone</t>
  </si>
  <si>
    <t>Image ESG ; incitatif</t>
  </si>
  <si>
    <t>Mise en œuvre exigeante</t>
  </si>
  <si>
    <t>Option “premium”</t>
  </si>
  <si>
    <t>ACS CFR North Africa Spot</t>
  </si>
  <si>
    <t>North Africa</t>
  </si>
  <si>
    <t>Prix cibles Sulphuric Acid</t>
  </si>
  <si>
    <t>Sulfur ME to CFR Morocco</t>
  </si>
  <si>
    <t>IPP ACS Origine Europe</t>
  </si>
  <si>
    <t>Ipp ACS Origine Chine</t>
  </si>
  <si>
    <t>IPP ACS origine Japon</t>
  </si>
  <si>
    <t>Sulphur Bulk CFR</t>
  </si>
  <si>
    <t>Mediterranean (incl. North Africa) Spot</t>
  </si>
  <si>
    <t>North Africa Half Yearly Contract</t>
  </si>
  <si>
    <t>Mediterranean small lots Spot</t>
  </si>
  <si>
    <t>North Africa Quarterly Contract</t>
  </si>
  <si>
    <t>Sulphur Bulk CFR North Africa</t>
  </si>
  <si>
    <t>used for ACS production cost estimation</t>
  </si>
  <si>
    <t>Freight adjustment (CRU)</t>
  </si>
  <si>
    <t>IPP_Acid = 40% × IPP_NWE
         + 30% × IPP_Japan
         + 30% × IPP_China</t>
  </si>
  <si>
    <t>Gain par rapport à production sur place</t>
  </si>
  <si>
    <t>ACS S based from Sulfur ME</t>
  </si>
  <si>
    <t>Formule 2: Indice Composite basé sur Europe, chine et acid base ME</t>
  </si>
  <si>
    <t>IPP_Acid = min((70% × IPP_NWE + 30% × IPP_China); Acid S Based ME)</t>
  </si>
  <si>
    <t>ACS CFR North Africa</t>
  </si>
  <si>
    <t>Sulfur North Africa to CFR Morocco</t>
  </si>
  <si>
    <t>ACS S based from Sulfur North Africa</t>
  </si>
  <si>
    <t>Formule 1: Market Basket</t>
  </si>
  <si>
    <t>ConvCost=20+0,05×(SFOBME​+Fret)</t>
  </si>
  <si>
    <t>Paramètres</t>
  </si>
  <si>
    <t>Futur</t>
  </si>
  <si>
    <t>Projections annuelles moyennes</t>
  </si>
  <si>
    <t>Scénario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</si>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</sst>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#;\-#,###"/>
    <numFmt numFmtId="165" formatCode="mmm\ yyyy"/>
    <numFmt numFmtId="166" formatCode="_(* #,##0.00_);_(* \(#,##0.00\);_(* &quot;-&quot;??_);_(@_)"/>
    <numFmt numFmtId="167" formatCode="_(* #,##0_);_(* \(#,##0\);_(* &quot;-&quot;??_);_(@_)"/>
    <numFmt numFmtId="168" formatCode="_-* #,##0_-;\-* #,##0_-;_-* &quot;-&quot;??_-;_-@_-"/>
    <numFmt numFmtId="172" formatCode="_-* #,##0.0_-;\-* #,##0.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1"/>
      <name val="Aptos Narrow"/>
      <family val="2"/>
      <scheme val="minor"/>
    </font>
    <font>
      <sz val="8"/>
      <name val="Arial"/>
      <family val="2"/>
    </font>
    <font>
      <b/>
      <sz val="9"/>
      <color theme="0"/>
      <name val="Arial"/>
      <family val="2"/>
    </font>
    <font>
      <b/>
      <sz val="10"/>
      <color rgb="FF000E24"/>
      <name val="Arial"/>
      <family val="2"/>
    </font>
    <font>
      <b/>
      <sz val="9"/>
      <color rgb="FFFFFFFF"/>
      <name val="Arial"/>
      <family val="2"/>
    </font>
    <font>
      <sz val="9"/>
      <color rgb="FF000E24"/>
      <name val="Arial"/>
      <family val="2"/>
    </font>
    <font>
      <b/>
      <sz val="10"/>
      <name val="Arial"/>
      <family val="2"/>
      <charset val="238"/>
    </font>
    <font>
      <sz val="8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0" tint="-4.9989318521683403E-2"/>
      <name val="Aptos Narrow"/>
      <family val="2"/>
      <scheme val="minor"/>
    </font>
    <font>
      <sz val="8"/>
      <color theme="1"/>
      <name val="Arial"/>
      <family val="2"/>
      <charset val="238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u/>
      <sz val="8"/>
      <color theme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1C0B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indexed="23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0" fillId="0" borderId="10" applyNumberFormat="0"/>
    <xf numFmtId="0" fontId="11" fillId="0" borderId="0" applyNumberFormat="0" applyProtection="0">
      <alignment vertical="top"/>
    </xf>
    <xf numFmtId="166" fontId="11" fillId="0" borderId="0" applyFont="0" applyFill="0" applyBorder="0" applyAlignment="0" applyProtection="0"/>
    <xf numFmtId="49" fontId="14" fillId="0" borderId="0" applyNumberFormat="0">
      <alignment horizontal="left" vertical="top"/>
    </xf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7">
    <xf numFmtId="0" fontId="0" fillId="0" borderId="0" xfId="0"/>
    <xf numFmtId="164" fontId="3" fillId="2" borderId="1" xfId="2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1" fontId="3" fillId="2" borderId="1" xfId="2" applyNumberFormat="1" applyFont="1" applyFill="1" applyBorder="1" applyAlignment="1">
      <alignment horizontal="center"/>
    </xf>
    <xf numFmtId="1" fontId="3" fillId="2" borderId="0" xfId="2" applyNumberFormat="1" applyFont="1" applyFill="1" applyAlignment="1">
      <alignment horizontal="center"/>
    </xf>
    <xf numFmtId="1" fontId="3" fillId="2" borderId="8" xfId="2" applyNumberFormat="1" applyFont="1" applyFill="1" applyBorder="1" applyAlignment="1">
      <alignment horizontal="center"/>
    </xf>
    <xf numFmtId="0" fontId="4" fillId="2" borderId="0" xfId="0" applyFont="1" applyFill="1"/>
    <xf numFmtId="0" fontId="4" fillId="2" borderId="4" xfId="0" applyFont="1" applyFill="1" applyBorder="1"/>
    <xf numFmtId="1" fontId="4" fillId="2" borderId="0" xfId="0" applyNumberFormat="1" applyFont="1" applyFill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" fontId="3" fillId="2" borderId="9" xfId="2" applyNumberFormat="1" applyFont="1" applyFill="1" applyBorder="1" applyAlignment="1">
      <alignment horizontal="center"/>
    </xf>
    <xf numFmtId="0" fontId="4" fillId="2" borderId="3" xfId="0" applyFont="1" applyFill="1" applyBorder="1"/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165" fontId="7" fillId="0" borderId="0" xfId="0" applyNumberFormat="1" applyFont="1" applyAlignment="1">
      <alignment horizontal="center"/>
    </xf>
    <xf numFmtId="3" fontId="8" fillId="5" borderId="0" xfId="0" applyNumberFormat="1" applyFont="1" applyFill="1" applyAlignment="1">
      <alignment horizontal="center" wrapText="1"/>
    </xf>
    <xf numFmtId="0" fontId="9" fillId="0" borderId="0" xfId="0" applyFont="1" applyAlignment="1">
      <alignment horizontal="left"/>
    </xf>
    <xf numFmtId="1" fontId="9" fillId="0" borderId="0" xfId="0" applyNumberFormat="1" applyFont="1" applyAlignment="1">
      <alignment horizontal="center"/>
    </xf>
    <xf numFmtId="0" fontId="9" fillId="6" borderId="2" xfId="0" applyFont="1" applyFill="1" applyBorder="1" applyAlignment="1">
      <alignment horizontal="left"/>
    </xf>
    <xf numFmtId="1" fontId="9" fillId="6" borderId="2" xfId="0" applyNumberFormat="1" applyFont="1" applyFill="1" applyBorder="1" applyAlignment="1">
      <alignment horizontal="center"/>
    </xf>
    <xf numFmtId="0" fontId="9" fillId="6" borderId="0" xfId="0" applyFont="1" applyFill="1" applyAlignment="1">
      <alignment horizontal="left"/>
    </xf>
    <xf numFmtId="1" fontId="9" fillId="6" borderId="0" xfId="0" applyNumberFormat="1" applyFont="1" applyFill="1" applyAlignment="1">
      <alignment horizontal="center"/>
    </xf>
    <xf numFmtId="0" fontId="9" fillId="6" borderId="6" xfId="0" applyFont="1" applyFill="1" applyBorder="1" applyAlignment="1">
      <alignment horizontal="left"/>
    </xf>
    <xf numFmtId="1" fontId="9" fillId="6" borderId="6" xfId="0" applyNumberFormat="1" applyFont="1" applyFill="1" applyBorder="1" applyAlignment="1">
      <alignment horizontal="center"/>
    </xf>
    <xf numFmtId="0" fontId="10" fillId="0" borderId="10" xfId="3" applyNumberFormat="1" applyAlignment="1">
      <alignment horizontal="left" wrapText="1"/>
    </xf>
    <xf numFmtId="0" fontId="10" fillId="0" borderId="10" xfId="3" applyAlignment="1">
      <alignment horizontal="center" wrapText="1"/>
    </xf>
    <xf numFmtId="0" fontId="10" fillId="0" borderId="10" xfId="3" applyAlignment="1">
      <alignment wrapText="1"/>
    </xf>
    <xf numFmtId="0" fontId="12" fillId="0" borderId="0" xfId="4" applyFont="1" applyAlignment="1">
      <alignment horizontal="left" vertical="top" wrapText="1"/>
    </xf>
    <xf numFmtId="0" fontId="11" fillId="0" borderId="0" xfId="4" applyAlignment="1">
      <alignment vertical="top" wrapText="1"/>
    </xf>
    <xf numFmtId="0" fontId="11" fillId="0" borderId="0" xfId="4" applyNumberFormat="1" applyAlignment="1">
      <alignment horizontal="left" vertical="top"/>
    </xf>
    <xf numFmtId="1" fontId="11" fillId="0" borderId="0" xfId="4" applyNumberFormat="1" applyAlignment="1">
      <alignment horizontal="center" vertical="top"/>
    </xf>
    <xf numFmtId="167" fontId="0" fillId="0" borderId="0" xfId="5" applyNumberFormat="1" applyFont="1" applyAlignment="1">
      <alignment vertical="top"/>
    </xf>
    <xf numFmtId="0" fontId="11" fillId="0" borderId="0" xfId="4">
      <alignment vertical="top"/>
    </xf>
    <xf numFmtId="167" fontId="13" fillId="0" borderId="0" xfId="5" applyNumberFormat="1" applyFont="1" applyAlignment="1">
      <alignment vertical="top"/>
    </xf>
    <xf numFmtId="1" fontId="11" fillId="0" borderId="0" xfId="4" applyNumberFormat="1">
      <alignment vertical="top"/>
    </xf>
    <xf numFmtId="0" fontId="11" fillId="0" borderId="0" xfId="4" applyNumberFormat="1">
      <alignment vertical="top"/>
    </xf>
    <xf numFmtId="0" fontId="11" fillId="0" borderId="0" xfId="4" applyAlignment="1">
      <alignment horizontal="center" vertical="top"/>
    </xf>
    <xf numFmtId="167" fontId="0" fillId="0" borderId="0" xfId="5" applyNumberFormat="1" applyFont="1" applyAlignment="1">
      <alignment horizontal="center" vertical="top"/>
    </xf>
    <xf numFmtId="0" fontId="14" fillId="2" borderId="0" xfId="6" applyNumberFormat="1" applyFill="1">
      <alignment horizontal="left" vertical="top"/>
    </xf>
    <xf numFmtId="0" fontId="14" fillId="0" borderId="0" xfId="6" applyNumberFormat="1">
      <alignment horizontal="left" vertical="top"/>
    </xf>
    <xf numFmtId="0" fontId="11" fillId="0" borderId="6" xfId="4" applyNumberFormat="1" applyBorder="1">
      <alignment vertical="top"/>
    </xf>
    <xf numFmtId="0" fontId="11" fillId="0" borderId="6" xfId="4" applyBorder="1" applyAlignment="1">
      <alignment horizontal="center" vertical="top"/>
    </xf>
    <xf numFmtId="167" fontId="0" fillId="0" borderId="6" xfId="5" applyNumberFormat="1" applyFont="1" applyBorder="1" applyAlignment="1">
      <alignment horizontal="center" vertical="top"/>
    </xf>
    <xf numFmtId="167" fontId="0" fillId="0" borderId="6" xfId="5" applyNumberFormat="1" applyFont="1" applyBorder="1" applyAlignment="1">
      <alignment vertical="top"/>
    </xf>
    <xf numFmtId="0" fontId="15" fillId="0" borderId="0" xfId="4" applyNumberFormat="1" applyFont="1">
      <alignment vertical="top"/>
    </xf>
    <xf numFmtId="0" fontId="15" fillId="0" borderId="0" xfId="4" applyFont="1" applyAlignment="1">
      <alignment horizontal="center" vertical="top"/>
    </xf>
    <xf numFmtId="0" fontId="15" fillId="0" borderId="0" xfId="4" applyFont="1">
      <alignment vertical="top"/>
    </xf>
    <xf numFmtId="0" fontId="17" fillId="0" borderId="0" xfId="7" applyFont="1" applyAlignment="1" applyProtection="1">
      <alignment vertical="center"/>
    </xf>
    <xf numFmtId="168" fontId="17" fillId="0" borderId="0" xfId="1" applyNumberFormat="1" applyFont="1" applyAlignment="1" applyProtection="1">
      <alignment vertical="center"/>
    </xf>
    <xf numFmtId="14" fontId="3" fillId="0" borderId="0" xfId="2" applyNumberFormat="1" applyFont="1"/>
    <xf numFmtId="168" fontId="3" fillId="0" borderId="0" xfId="1" applyNumberFormat="1" applyFont="1"/>
    <xf numFmtId="164" fontId="3" fillId="0" borderId="0" xfId="2" applyNumberFormat="1" applyFont="1"/>
    <xf numFmtId="164" fontId="3" fillId="0" borderId="4" xfId="2" applyNumberFormat="1" applyFont="1" applyBorder="1"/>
    <xf numFmtId="14" fontId="5" fillId="0" borderId="0" xfId="2" applyNumberFormat="1" applyFont="1"/>
    <xf numFmtId="168" fontId="5" fillId="0" borderId="0" xfId="1" applyNumberFormat="1" applyFont="1"/>
    <xf numFmtId="164" fontId="5" fillId="0" borderId="0" xfId="2" applyNumberFormat="1" applyFont="1"/>
    <xf numFmtId="164" fontId="5" fillId="0" borderId="11" xfId="2" applyNumberFormat="1" applyFont="1" applyBorder="1"/>
    <xf numFmtId="3" fontId="8" fillId="7" borderId="0" xfId="0" applyNumberFormat="1" applyFont="1" applyFill="1" applyAlignment="1">
      <alignment horizontal="center" wrapText="1"/>
    </xf>
    <xf numFmtId="0" fontId="6" fillId="8" borderId="0" xfId="0" applyFont="1" applyFill="1" applyAlignment="1">
      <alignment horizontal="center" vertical="center" wrapText="1"/>
    </xf>
    <xf numFmtId="14" fontId="5" fillId="0" borderId="0" xfId="8" applyNumberFormat="1" applyFont="1"/>
    <xf numFmtId="14" fontId="5" fillId="4" borderId="0" xfId="2" applyNumberFormat="1" applyFont="1" applyFill="1"/>
    <xf numFmtId="1" fontId="3" fillId="2" borderId="3" xfId="2" applyNumberFormat="1" applyFont="1" applyFill="1" applyBorder="1" applyAlignment="1">
      <alignment horizontal="center" vertical="center" wrapText="1"/>
    </xf>
    <xf numFmtId="1" fontId="3" fillId="2" borderId="0" xfId="2" applyNumberFormat="1" applyFont="1" applyFill="1" applyAlignment="1">
      <alignment horizontal="center" vertical="center" wrapText="1"/>
    </xf>
    <xf numFmtId="1" fontId="3" fillId="2" borderId="4" xfId="2" applyNumberFormat="1" applyFont="1" applyFill="1" applyBorder="1" applyAlignment="1">
      <alignment horizontal="center" vertical="center" wrapText="1"/>
    </xf>
    <xf numFmtId="1" fontId="3" fillId="2" borderId="5" xfId="2" applyNumberFormat="1" applyFont="1" applyFill="1" applyBorder="1" applyAlignment="1">
      <alignment horizontal="center" vertical="center" wrapText="1"/>
    </xf>
    <xf numFmtId="1" fontId="3" fillId="2" borderId="6" xfId="2" applyNumberFormat="1" applyFont="1" applyFill="1" applyBorder="1" applyAlignment="1">
      <alignment horizontal="center" vertical="center" wrapText="1"/>
    </xf>
    <xf numFmtId="1" fontId="3" fillId="2" borderId="7" xfId="2" applyNumberFormat="1" applyFont="1" applyFill="1" applyBorder="1" applyAlignment="1">
      <alignment horizontal="center" vertical="center" wrapText="1"/>
    </xf>
    <xf numFmtId="164" fontId="3" fillId="0" borderId="0" xfId="2" applyNumberFormat="1" applyFont="1" applyAlignment="1">
      <alignment horizontal="center" vertical="center" wrapText="1"/>
    </xf>
    <xf numFmtId="164" fontId="3" fillId="0" borderId="4" xfId="2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0" fillId="0" borderId="0" xfId="0" applyFont="1" applyAlignment="1">
      <alignment vertical="center" wrapText="1"/>
    </xf>
    <xf numFmtId="43" fontId="0" fillId="0" borderId="0" xfId="1" applyFont="1"/>
    <xf numFmtId="172" fontId="0" fillId="0" borderId="0" xfId="1" applyNumberFormat="1" applyFont="1"/>
    <xf numFmtId="172" fontId="3" fillId="9" borderId="3" xfId="1" applyNumberFormat="1" applyFont="1" applyFill="1" applyBorder="1" applyAlignment="1">
      <alignment horizontal="center" vertical="center" wrapText="1"/>
    </xf>
    <xf numFmtId="172" fontId="3" fillId="9" borderId="1" xfId="1" applyNumberFormat="1" applyFont="1" applyFill="1" applyBorder="1" applyAlignment="1">
      <alignment horizontal="center"/>
    </xf>
    <xf numFmtId="172" fontId="3" fillId="10" borderId="3" xfId="1" applyNumberFormat="1" applyFont="1" applyFill="1" applyBorder="1" applyAlignment="1">
      <alignment horizontal="center" vertical="center" wrapText="1"/>
    </xf>
    <xf numFmtId="172" fontId="3" fillId="10" borderId="1" xfId="1" applyNumberFormat="1" applyFont="1" applyFill="1" applyBorder="1" applyAlignment="1">
      <alignment horizontal="center"/>
    </xf>
    <xf numFmtId="172" fontId="0" fillId="11" borderId="0" xfId="1" applyNumberFormat="1" applyFont="1" applyFill="1"/>
    <xf numFmtId="172" fontId="3" fillId="11" borderId="0" xfId="1" applyNumberFormat="1" applyFont="1" applyFill="1" applyBorder="1" applyAlignment="1">
      <alignment horizontal="centerContinuous" vertical="center" wrapText="1"/>
    </xf>
    <xf numFmtId="172" fontId="0" fillId="11" borderId="0" xfId="1" applyNumberFormat="1" applyFont="1" applyFill="1" applyAlignment="1">
      <alignment horizontal="centerContinuous"/>
    </xf>
    <xf numFmtId="172" fontId="20" fillId="0" borderId="0" xfId="1" applyNumberFormat="1" applyFont="1"/>
    <xf numFmtId="172" fontId="21" fillId="0" borderId="0" xfId="1" applyNumberFormat="1" applyFont="1"/>
    <xf numFmtId="168" fontId="0" fillId="0" borderId="0" xfId="1" applyNumberFormat="1" applyFont="1" applyAlignment="1">
      <alignment horizontal="center"/>
    </xf>
    <xf numFmtId="168" fontId="20" fillId="0" borderId="0" xfId="1" applyNumberFormat="1" applyFont="1" applyAlignment="1">
      <alignment horizontal="center"/>
    </xf>
    <xf numFmtId="172" fontId="3" fillId="11" borderId="12" xfId="1" applyNumberFormat="1" applyFont="1" applyFill="1" applyBorder="1" applyAlignment="1">
      <alignment horizontal="center" wrapText="1"/>
    </xf>
    <xf numFmtId="168" fontId="20" fillId="12" borderId="0" xfId="1" applyNumberFormat="1" applyFont="1" applyFill="1" applyAlignment="1">
      <alignment horizontal="center" wrapText="1"/>
    </xf>
    <xf numFmtId="43" fontId="3" fillId="12" borderId="0" xfId="1" applyFont="1" applyFill="1" applyBorder="1" applyAlignment="1">
      <alignment horizontal="center" wrapText="1"/>
    </xf>
    <xf numFmtId="168" fontId="20" fillId="0" borderId="0" xfId="1" applyNumberFormat="1" applyFont="1" applyAlignment="1">
      <alignment horizontal="left"/>
    </xf>
    <xf numFmtId="172" fontId="22" fillId="0" borderId="0" xfId="1" applyNumberFormat="1" applyFont="1"/>
    <xf numFmtId="0" fontId="20" fillId="0" borderId="0" xfId="0" applyFont="1"/>
    <xf numFmtId="9" fontId="0" fillId="0" borderId="0" xfId="0" applyNumberFormat="1"/>
  </cellXfs>
  <cellStyles count="9">
    <cellStyle name="Lien hypertexte 2" xfId="7" xr:uid="{2AD6F7FD-8CCE-4FF7-AB4E-4764926AFDE3}"/>
    <cellStyle name="Milliers" xfId="1" builtinId="3"/>
    <cellStyle name="Milliers 3" xfId="5" xr:uid="{E9D9F01B-3E04-4339-B327-EB85DDB43399}"/>
    <cellStyle name="Normal" xfId="0" builtinId="0"/>
    <cellStyle name="Normal 2" xfId="2" xr:uid="{7AB6A2B3-C98A-4A41-A0F9-B8A94775B746}"/>
    <cellStyle name="Normal 2 3" xfId="8" xr:uid="{EC47F3E4-F78A-49DD-8ECB-2D22FB5598E9}"/>
    <cellStyle name="Normal 4" xfId="4" xr:uid="{3DB748D4-0620-4139-ABB5-F3ACF823B90E}"/>
    <cellStyle name="phx-col-head-last" xfId="3" xr:uid="{066C9686-4E34-49E5-8B02-6ADDAE72515E}"/>
    <cellStyle name="phx-source" xfId="6" xr:uid="{F9CA4C24-B4E3-4CE8-B2DB-B5F73F3243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'Simulateur sur Avg'!$E$5</c:f>
              <c:strCache>
                <c:ptCount val="1"/>
                <c:pt idx="0">
                  <c:v> ACS FOB Japan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'Simulateur sur Avg'!$B$6:$B$289</c:f>
              <c:numCache>
                <c:formatCode>General</c:formatCode>
                <c:ptCount val="284"/>
                <c:pt idx="0">
                  <c:v>2002</c:v>
                </c:pt>
                <c:pt idx="1">
                  <c:v>2002</c:v>
                </c:pt>
                <c:pt idx="2">
                  <c:v>2002</c:v>
                </c:pt>
                <c:pt idx="3">
                  <c:v>2002</c:v>
                </c:pt>
                <c:pt idx="4">
                  <c:v>2002</c:v>
                </c:pt>
                <c:pt idx="5">
                  <c:v>2002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2003</c:v>
                </c:pt>
                <c:pt idx="10">
                  <c:v>2003</c:v>
                </c:pt>
                <c:pt idx="11">
                  <c:v>2003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2003</c:v>
                </c:pt>
                <c:pt idx="17">
                  <c:v>2003</c:v>
                </c:pt>
                <c:pt idx="18">
                  <c:v>2003</c:v>
                </c:pt>
                <c:pt idx="19">
                  <c:v>2003</c:v>
                </c:pt>
                <c:pt idx="20">
                  <c:v>2004</c:v>
                </c:pt>
                <c:pt idx="21">
                  <c:v>2004</c:v>
                </c:pt>
                <c:pt idx="22">
                  <c:v>2004</c:v>
                </c:pt>
                <c:pt idx="23">
                  <c:v>2004</c:v>
                </c:pt>
                <c:pt idx="24">
                  <c:v>2004</c:v>
                </c:pt>
                <c:pt idx="25">
                  <c:v>2004</c:v>
                </c:pt>
                <c:pt idx="26">
                  <c:v>2004</c:v>
                </c:pt>
                <c:pt idx="27">
                  <c:v>2004</c:v>
                </c:pt>
                <c:pt idx="28">
                  <c:v>2004</c:v>
                </c:pt>
                <c:pt idx="29">
                  <c:v>2004</c:v>
                </c:pt>
                <c:pt idx="30">
                  <c:v>2004</c:v>
                </c:pt>
                <c:pt idx="31">
                  <c:v>2004</c:v>
                </c:pt>
                <c:pt idx="32">
                  <c:v>2005</c:v>
                </c:pt>
                <c:pt idx="33">
                  <c:v>2005</c:v>
                </c:pt>
                <c:pt idx="34">
                  <c:v>2005</c:v>
                </c:pt>
                <c:pt idx="35">
                  <c:v>2005</c:v>
                </c:pt>
                <c:pt idx="36">
                  <c:v>2005</c:v>
                </c:pt>
                <c:pt idx="37">
                  <c:v>2005</c:v>
                </c:pt>
                <c:pt idx="38">
                  <c:v>2005</c:v>
                </c:pt>
                <c:pt idx="39">
                  <c:v>2005</c:v>
                </c:pt>
                <c:pt idx="40">
                  <c:v>2005</c:v>
                </c:pt>
                <c:pt idx="41">
                  <c:v>2005</c:v>
                </c:pt>
                <c:pt idx="42">
                  <c:v>2005</c:v>
                </c:pt>
                <c:pt idx="43">
                  <c:v>2005</c:v>
                </c:pt>
                <c:pt idx="44">
                  <c:v>2006</c:v>
                </c:pt>
                <c:pt idx="45">
                  <c:v>2006</c:v>
                </c:pt>
                <c:pt idx="46">
                  <c:v>2006</c:v>
                </c:pt>
                <c:pt idx="47">
                  <c:v>2006</c:v>
                </c:pt>
                <c:pt idx="48">
                  <c:v>2006</c:v>
                </c:pt>
                <c:pt idx="49">
                  <c:v>2006</c:v>
                </c:pt>
                <c:pt idx="50">
                  <c:v>2006</c:v>
                </c:pt>
                <c:pt idx="51">
                  <c:v>2006</c:v>
                </c:pt>
                <c:pt idx="52">
                  <c:v>2006</c:v>
                </c:pt>
                <c:pt idx="53">
                  <c:v>2006</c:v>
                </c:pt>
                <c:pt idx="54">
                  <c:v>2006</c:v>
                </c:pt>
                <c:pt idx="55">
                  <c:v>2006</c:v>
                </c:pt>
                <c:pt idx="56">
                  <c:v>2007</c:v>
                </c:pt>
                <c:pt idx="57">
                  <c:v>2007</c:v>
                </c:pt>
                <c:pt idx="58">
                  <c:v>2007</c:v>
                </c:pt>
                <c:pt idx="59">
                  <c:v>2007</c:v>
                </c:pt>
                <c:pt idx="60">
                  <c:v>2007</c:v>
                </c:pt>
                <c:pt idx="61">
                  <c:v>2007</c:v>
                </c:pt>
                <c:pt idx="62">
                  <c:v>2007</c:v>
                </c:pt>
                <c:pt idx="63">
                  <c:v>2007</c:v>
                </c:pt>
                <c:pt idx="64">
                  <c:v>2007</c:v>
                </c:pt>
                <c:pt idx="65">
                  <c:v>2007</c:v>
                </c:pt>
                <c:pt idx="66">
                  <c:v>2007</c:v>
                </c:pt>
                <c:pt idx="67">
                  <c:v>2007</c:v>
                </c:pt>
                <c:pt idx="68">
                  <c:v>2008</c:v>
                </c:pt>
                <c:pt idx="69">
                  <c:v>2008</c:v>
                </c:pt>
                <c:pt idx="70">
                  <c:v>2008</c:v>
                </c:pt>
                <c:pt idx="71">
                  <c:v>2008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2008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2009</c:v>
                </c:pt>
                <c:pt idx="87">
                  <c:v>2009</c:v>
                </c:pt>
                <c:pt idx="88">
                  <c:v>2009</c:v>
                </c:pt>
                <c:pt idx="89">
                  <c:v>2009</c:v>
                </c:pt>
                <c:pt idx="90">
                  <c:v>2009</c:v>
                </c:pt>
                <c:pt idx="91">
                  <c:v>2009</c:v>
                </c:pt>
                <c:pt idx="92">
                  <c:v>2010</c:v>
                </c:pt>
                <c:pt idx="93">
                  <c:v>2010</c:v>
                </c:pt>
                <c:pt idx="94">
                  <c:v>2010</c:v>
                </c:pt>
                <c:pt idx="95">
                  <c:v>2010</c:v>
                </c:pt>
                <c:pt idx="96">
                  <c:v>2010</c:v>
                </c:pt>
                <c:pt idx="97">
                  <c:v>2010</c:v>
                </c:pt>
                <c:pt idx="98">
                  <c:v>2010</c:v>
                </c:pt>
                <c:pt idx="99">
                  <c:v>2010</c:v>
                </c:pt>
                <c:pt idx="100">
                  <c:v>2010</c:v>
                </c:pt>
                <c:pt idx="101">
                  <c:v>2010</c:v>
                </c:pt>
                <c:pt idx="102">
                  <c:v>2010</c:v>
                </c:pt>
                <c:pt idx="103">
                  <c:v>2010</c:v>
                </c:pt>
                <c:pt idx="104">
                  <c:v>2011</c:v>
                </c:pt>
                <c:pt idx="105">
                  <c:v>2011</c:v>
                </c:pt>
                <c:pt idx="106">
                  <c:v>2011</c:v>
                </c:pt>
                <c:pt idx="107">
                  <c:v>2011</c:v>
                </c:pt>
                <c:pt idx="108">
                  <c:v>2011</c:v>
                </c:pt>
                <c:pt idx="109">
                  <c:v>2011</c:v>
                </c:pt>
                <c:pt idx="110">
                  <c:v>2011</c:v>
                </c:pt>
                <c:pt idx="111">
                  <c:v>2011</c:v>
                </c:pt>
                <c:pt idx="112">
                  <c:v>2011</c:v>
                </c:pt>
                <c:pt idx="113">
                  <c:v>2011</c:v>
                </c:pt>
                <c:pt idx="114">
                  <c:v>2011</c:v>
                </c:pt>
                <c:pt idx="115">
                  <c:v>2011</c:v>
                </c:pt>
                <c:pt idx="116">
                  <c:v>2012</c:v>
                </c:pt>
                <c:pt idx="117">
                  <c:v>2012</c:v>
                </c:pt>
                <c:pt idx="118">
                  <c:v>2012</c:v>
                </c:pt>
                <c:pt idx="119">
                  <c:v>2012</c:v>
                </c:pt>
                <c:pt idx="120">
                  <c:v>2012</c:v>
                </c:pt>
                <c:pt idx="121">
                  <c:v>2012</c:v>
                </c:pt>
                <c:pt idx="122">
                  <c:v>2012</c:v>
                </c:pt>
                <c:pt idx="123">
                  <c:v>2012</c:v>
                </c:pt>
                <c:pt idx="124">
                  <c:v>2012</c:v>
                </c:pt>
                <c:pt idx="125">
                  <c:v>2012</c:v>
                </c:pt>
                <c:pt idx="126">
                  <c:v>2012</c:v>
                </c:pt>
                <c:pt idx="127">
                  <c:v>2012</c:v>
                </c:pt>
                <c:pt idx="128">
                  <c:v>2013</c:v>
                </c:pt>
                <c:pt idx="129">
                  <c:v>2013</c:v>
                </c:pt>
                <c:pt idx="130">
                  <c:v>2013</c:v>
                </c:pt>
                <c:pt idx="131">
                  <c:v>2013</c:v>
                </c:pt>
                <c:pt idx="132">
                  <c:v>2013</c:v>
                </c:pt>
                <c:pt idx="133">
                  <c:v>2013</c:v>
                </c:pt>
                <c:pt idx="134">
                  <c:v>2013</c:v>
                </c:pt>
                <c:pt idx="135">
                  <c:v>2013</c:v>
                </c:pt>
                <c:pt idx="136">
                  <c:v>2013</c:v>
                </c:pt>
                <c:pt idx="137">
                  <c:v>2013</c:v>
                </c:pt>
                <c:pt idx="138">
                  <c:v>2013</c:v>
                </c:pt>
                <c:pt idx="139">
                  <c:v>2013</c:v>
                </c:pt>
                <c:pt idx="140">
                  <c:v>2014</c:v>
                </c:pt>
                <c:pt idx="141">
                  <c:v>2014</c:v>
                </c:pt>
                <c:pt idx="142">
                  <c:v>2014</c:v>
                </c:pt>
                <c:pt idx="143">
                  <c:v>2014</c:v>
                </c:pt>
                <c:pt idx="144">
                  <c:v>2014</c:v>
                </c:pt>
                <c:pt idx="145">
                  <c:v>2014</c:v>
                </c:pt>
                <c:pt idx="146">
                  <c:v>2014</c:v>
                </c:pt>
                <c:pt idx="147">
                  <c:v>2014</c:v>
                </c:pt>
                <c:pt idx="148">
                  <c:v>2014</c:v>
                </c:pt>
                <c:pt idx="149">
                  <c:v>2014</c:v>
                </c:pt>
                <c:pt idx="150">
                  <c:v>2014</c:v>
                </c:pt>
                <c:pt idx="151">
                  <c:v>2014</c:v>
                </c:pt>
                <c:pt idx="152">
                  <c:v>2015</c:v>
                </c:pt>
                <c:pt idx="153">
                  <c:v>2015</c:v>
                </c:pt>
                <c:pt idx="154">
                  <c:v>2015</c:v>
                </c:pt>
                <c:pt idx="155">
                  <c:v>2015</c:v>
                </c:pt>
                <c:pt idx="156">
                  <c:v>2015</c:v>
                </c:pt>
                <c:pt idx="157">
                  <c:v>2015</c:v>
                </c:pt>
                <c:pt idx="158">
                  <c:v>2015</c:v>
                </c:pt>
                <c:pt idx="159">
                  <c:v>2015</c:v>
                </c:pt>
                <c:pt idx="160">
                  <c:v>2015</c:v>
                </c:pt>
                <c:pt idx="161">
                  <c:v>2015</c:v>
                </c:pt>
                <c:pt idx="162">
                  <c:v>2015</c:v>
                </c:pt>
                <c:pt idx="163">
                  <c:v>2015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2017</c:v>
                </c:pt>
                <c:pt idx="177">
                  <c:v>2017</c:v>
                </c:pt>
                <c:pt idx="178">
                  <c:v>2017</c:v>
                </c:pt>
                <c:pt idx="179">
                  <c:v>2017</c:v>
                </c:pt>
                <c:pt idx="180">
                  <c:v>2017</c:v>
                </c:pt>
                <c:pt idx="181">
                  <c:v>2017</c:v>
                </c:pt>
                <c:pt idx="182">
                  <c:v>2017</c:v>
                </c:pt>
                <c:pt idx="183">
                  <c:v>2017</c:v>
                </c:pt>
                <c:pt idx="184">
                  <c:v>2017</c:v>
                </c:pt>
                <c:pt idx="185">
                  <c:v>2017</c:v>
                </c:pt>
                <c:pt idx="186">
                  <c:v>2017</c:v>
                </c:pt>
                <c:pt idx="187">
                  <c:v>2017</c:v>
                </c:pt>
                <c:pt idx="188">
                  <c:v>2018</c:v>
                </c:pt>
                <c:pt idx="189">
                  <c:v>2018</c:v>
                </c:pt>
                <c:pt idx="190">
                  <c:v>2018</c:v>
                </c:pt>
                <c:pt idx="191">
                  <c:v>2018</c:v>
                </c:pt>
                <c:pt idx="192">
                  <c:v>2018</c:v>
                </c:pt>
                <c:pt idx="193">
                  <c:v>2018</c:v>
                </c:pt>
                <c:pt idx="194">
                  <c:v>2018</c:v>
                </c:pt>
                <c:pt idx="195">
                  <c:v>2018</c:v>
                </c:pt>
                <c:pt idx="196">
                  <c:v>2018</c:v>
                </c:pt>
                <c:pt idx="197">
                  <c:v>2018</c:v>
                </c:pt>
                <c:pt idx="198">
                  <c:v>2018</c:v>
                </c:pt>
                <c:pt idx="199">
                  <c:v>2018</c:v>
                </c:pt>
                <c:pt idx="200">
                  <c:v>2019</c:v>
                </c:pt>
                <c:pt idx="201">
                  <c:v>2019</c:v>
                </c:pt>
                <c:pt idx="202">
                  <c:v>2019</c:v>
                </c:pt>
                <c:pt idx="203">
                  <c:v>2019</c:v>
                </c:pt>
                <c:pt idx="204">
                  <c:v>2019</c:v>
                </c:pt>
                <c:pt idx="205">
                  <c:v>2019</c:v>
                </c:pt>
                <c:pt idx="206">
                  <c:v>2019</c:v>
                </c:pt>
                <c:pt idx="207">
                  <c:v>2019</c:v>
                </c:pt>
                <c:pt idx="208">
                  <c:v>2019</c:v>
                </c:pt>
                <c:pt idx="209">
                  <c:v>2019</c:v>
                </c:pt>
                <c:pt idx="210">
                  <c:v>2019</c:v>
                </c:pt>
                <c:pt idx="211">
                  <c:v>2019</c:v>
                </c:pt>
                <c:pt idx="212">
                  <c:v>2020</c:v>
                </c:pt>
                <c:pt idx="213">
                  <c:v>2020</c:v>
                </c:pt>
                <c:pt idx="214">
                  <c:v>2020</c:v>
                </c:pt>
                <c:pt idx="215">
                  <c:v>2020</c:v>
                </c:pt>
                <c:pt idx="216">
                  <c:v>2020</c:v>
                </c:pt>
                <c:pt idx="217">
                  <c:v>2020</c:v>
                </c:pt>
                <c:pt idx="218">
                  <c:v>2020</c:v>
                </c:pt>
                <c:pt idx="219">
                  <c:v>2020</c:v>
                </c:pt>
                <c:pt idx="220">
                  <c:v>2020</c:v>
                </c:pt>
                <c:pt idx="221">
                  <c:v>2020</c:v>
                </c:pt>
                <c:pt idx="222">
                  <c:v>2020</c:v>
                </c:pt>
                <c:pt idx="223">
                  <c:v>2020</c:v>
                </c:pt>
                <c:pt idx="224">
                  <c:v>2021</c:v>
                </c:pt>
                <c:pt idx="225">
                  <c:v>2021</c:v>
                </c:pt>
                <c:pt idx="226">
                  <c:v>2021</c:v>
                </c:pt>
                <c:pt idx="227">
                  <c:v>2021</c:v>
                </c:pt>
                <c:pt idx="228">
                  <c:v>2021</c:v>
                </c:pt>
                <c:pt idx="229">
                  <c:v>2021</c:v>
                </c:pt>
                <c:pt idx="230">
                  <c:v>2021</c:v>
                </c:pt>
                <c:pt idx="231">
                  <c:v>2021</c:v>
                </c:pt>
                <c:pt idx="232">
                  <c:v>2021</c:v>
                </c:pt>
                <c:pt idx="233">
                  <c:v>2021</c:v>
                </c:pt>
                <c:pt idx="234">
                  <c:v>2021</c:v>
                </c:pt>
                <c:pt idx="235">
                  <c:v>2021</c:v>
                </c:pt>
                <c:pt idx="236">
                  <c:v>2022</c:v>
                </c:pt>
                <c:pt idx="237">
                  <c:v>2022</c:v>
                </c:pt>
                <c:pt idx="238">
                  <c:v>2022</c:v>
                </c:pt>
                <c:pt idx="239">
                  <c:v>2022</c:v>
                </c:pt>
                <c:pt idx="240">
                  <c:v>2022</c:v>
                </c:pt>
                <c:pt idx="241">
                  <c:v>2022</c:v>
                </c:pt>
                <c:pt idx="242">
                  <c:v>2022</c:v>
                </c:pt>
                <c:pt idx="243">
                  <c:v>2022</c:v>
                </c:pt>
                <c:pt idx="244">
                  <c:v>2022</c:v>
                </c:pt>
                <c:pt idx="245">
                  <c:v>2022</c:v>
                </c:pt>
                <c:pt idx="246">
                  <c:v>2022</c:v>
                </c:pt>
                <c:pt idx="247">
                  <c:v>2022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2023</c:v>
                </c:pt>
                <c:pt idx="253">
                  <c:v>2023</c:v>
                </c:pt>
                <c:pt idx="254">
                  <c:v>2023</c:v>
                </c:pt>
                <c:pt idx="255">
                  <c:v>2023</c:v>
                </c:pt>
                <c:pt idx="256">
                  <c:v>2023</c:v>
                </c:pt>
                <c:pt idx="257">
                  <c:v>2023</c:v>
                </c:pt>
                <c:pt idx="258">
                  <c:v>2023</c:v>
                </c:pt>
                <c:pt idx="259">
                  <c:v>2023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2025</c:v>
                </c:pt>
                <c:pt idx="273">
                  <c:v>2025</c:v>
                </c:pt>
                <c:pt idx="274">
                  <c:v>2025</c:v>
                </c:pt>
                <c:pt idx="275">
                  <c:v>2025</c:v>
                </c:pt>
                <c:pt idx="276">
                  <c:v>2025</c:v>
                </c:pt>
                <c:pt idx="277">
                  <c:v>2025</c:v>
                </c:pt>
                <c:pt idx="278">
                  <c:v>2025</c:v>
                </c:pt>
                <c:pt idx="279">
                  <c:v>2025</c:v>
                </c:pt>
                <c:pt idx="280">
                  <c:v>2025</c:v>
                </c:pt>
                <c:pt idx="281">
                  <c:v>2025</c:v>
                </c:pt>
                <c:pt idx="282">
                  <c:v>2025</c:v>
                </c:pt>
                <c:pt idx="283">
                  <c:v>2025</c:v>
                </c:pt>
              </c:numCache>
            </c:numRef>
          </c:cat>
          <c:val>
            <c:numRef>
              <c:f>'Simulateur sur Avg'!$E$6:$E$289</c:f>
              <c:numCache>
                <c:formatCode>_-* #\ ##0.0_-;\-* #\ ##0.0_-;_-* "-"??_-;_-@_-</c:formatCode>
                <c:ptCount val="2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39</c:v>
                </c:pt>
                <c:pt idx="123">
                  <c:v>43</c:v>
                </c:pt>
                <c:pt idx="124">
                  <c:v>45</c:v>
                </c:pt>
                <c:pt idx="125">
                  <c:v>38.25</c:v>
                </c:pt>
                <c:pt idx="126">
                  <c:v>18</c:v>
                </c:pt>
                <c:pt idx="127">
                  <c:v>10</c:v>
                </c:pt>
                <c:pt idx="128">
                  <c:v>7.2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8.6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6.75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11.5</c:v>
                </c:pt>
                <c:pt idx="149">
                  <c:v>13</c:v>
                </c:pt>
                <c:pt idx="150">
                  <c:v>15</c:v>
                </c:pt>
                <c:pt idx="151">
                  <c:v>12.5</c:v>
                </c:pt>
                <c:pt idx="152">
                  <c:v>10.6</c:v>
                </c:pt>
                <c:pt idx="153">
                  <c:v>16.25</c:v>
                </c:pt>
                <c:pt idx="154">
                  <c:v>19</c:v>
                </c:pt>
                <c:pt idx="155">
                  <c:v>20</c:v>
                </c:pt>
                <c:pt idx="156">
                  <c:v>20.25</c:v>
                </c:pt>
                <c:pt idx="157">
                  <c:v>25</c:v>
                </c:pt>
                <c:pt idx="158">
                  <c:v>20</c:v>
                </c:pt>
                <c:pt idx="159">
                  <c:v>15</c:v>
                </c:pt>
                <c:pt idx="160">
                  <c:v>18</c:v>
                </c:pt>
                <c:pt idx="161">
                  <c:v>15.4</c:v>
                </c:pt>
                <c:pt idx="162">
                  <c:v>8.75</c:v>
                </c:pt>
                <c:pt idx="163">
                  <c:v>5</c:v>
                </c:pt>
                <c:pt idx="164">
                  <c:v>5</c:v>
                </c:pt>
                <c:pt idx="165">
                  <c:v>2.5</c:v>
                </c:pt>
                <c:pt idx="166">
                  <c:v>-3.6</c:v>
                </c:pt>
                <c:pt idx="167">
                  <c:v>-5</c:v>
                </c:pt>
                <c:pt idx="168">
                  <c:v>-5</c:v>
                </c:pt>
                <c:pt idx="169">
                  <c:v>-5</c:v>
                </c:pt>
                <c:pt idx="170">
                  <c:v>-3</c:v>
                </c:pt>
                <c:pt idx="171">
                  <c:v>0</c:v>
                </c:pt>
                <c:pt idx="172">
                  <c:v>1.2</c:v>
                </c:pt>
                <c:pt idx="173">
                  <c:v>1.5</c:v>
                </c:pt>
                <c:pt idx="174">
                  <c:v>0</c:v>
                </c:pt>
                <c:pt idx="175">
                  <c:v>-1.8</c:v>
                </c:pt>
                <c:pt idx="176">
                  <c:v>-3</c:v>
                </c:pt>
                <c:pt idx="177">
                  <c:v>-3</c:v>
                </c:pt>
                <c:pt idx="178">
                  <c:v>-0.6</c:v>
                </c:pt>
                <c:pt idx="179">
                  <c:v>7.25</c:v>
                </c:pt>
                <c:pt idx="180">
                  <c:v>11.75</c:v>
                </c:pt>
                <c:pt idx="181">
                  <c:v>13</c:v>
                </c:pt>
                <c:pt idx="182">
                  <c:v>13.5</c:v>
                </c:pt>
                <c:pt idx="183">
                  <c:v>15</c:v>
                </c:pt>
                <c:pt idx="184">
                  <c:v>15</c:v>
                </c:pt>
                <c:pt idx="185">
                  <c:v>14.5</c:v>
                </c:pt>
                <c:pt idx="186">
                  <c:v>11.8</c:v>
                </c:pt>
                <c:pt idx="187">
                  <c:v>14.333333333333334</c:v>
                </c:pt>
                <c:pt idx="188">
                  <c:v>17.25</c:v>
                </c:pt>
                <c:pt idx="189">
                  <c:v>18.5</c:v>
                </c:pt>
                <c:pt idx="190">
                  <c:v>20</c:v>
                </c:pt>
                <c:pt idx="191">
                  <c:v>20</c:v>
                </c:pt>
                <c:pt idx="192">
                  <c:v>25.6</c:v>
                </c:pt>
                <c:pt idx="193">
                  <c:v>31.5</c:v>
                </c:pt>
                <c:pt idx="194">
                  <c:v>33</c:v>
                </c:pt>
                <c:pt idx="195">
                  <c:v>33</c:v>
                </c:pt>
                <c:pt idx="196">
                  <c:v>34.75</c:v>
                </c:pt>
                <c:pt idx="197">
                  <c:v>43.5</c:v>
                </c:pt>
                <c:pt idx="198">
                  <c:v>48</c:v>
                </c:pt>
                <c:pt idx="199">
                  <c:v>48</c:v>
                </c:pt>
                <c:pt idx="200">
                  <c:v>44.8</c:v>
                </c:pt>
                <c:pt idx="201">
                  <c:v>40</c:v>
                </c:pt>
                <c:pt idx="202">
                  <c:v>37.5</c:v>
                </c:pt>
                <c:pt idx="203">
                  <c:v>32.75</c:v>
                </c:pt>
                <c:pt idx="204">
                  <c:v>27</c:v>
                </c:pt>
                <c:pt idx="205">
                  <c:v>15.5</c:v>
                </c:pt>
                <c:pt idx="206">
                  <c:v>13</c:v>
                </c:pt>
                <c:pt idx="207">
                  <c:v>13</c:v>
                </c:pt>
                <c:pt idx="208">
                  <c:v>9.5</c:v>
                </c:pt>
                <c:pt idx="209">
                  <c:v>9</c:v>
                </c:pt>
                <c:pt idx="210">
                  <c:v>8.25</c:v>
                </c:pt>
                <c:pt idx="211">
                  <c:v>8</c:v>
                </c:pt>
                <c:pt idx="212">
                  <c:v>5.2</c:v>
                </c:pt>
                <c:pt idx="213">
                  <c:v>-2.5</c:v>
                </c:pt>
                <c:pt idx="214">
                  <c:v>-16.5</c:v>
                </c:pt>
                <c:pt idx="215">
                  <c:v>-26.4</c:v>
                </c:pt>
                <c:pt idx="216">
                  <c:v>-18.25</c:v>
                </c:pt>
                <c:pt idx="217">
                  <c:v>-15</c:v>
                </c:pt>
                <c:pt idx="218">
                  <c:v>-15</c:v>
                </c:pt>
                <c:pt idx="219">
                  <c:v>-15</c:v>
                </c:pt>
                <c:pt idx="220">
                  <c:v>-13</c:v>
                </c:pt>
                <c:pt idx="221">
                  <c:v>-10.4</c:v>
                </c:pt>
                <c:pt idx="222">
                  <c:v>-5</c:v>
                </c:pt>
                <c:pt idx="223">
                  <c:v>0</c:v>
                </c:pt>
                <c:pt idx="224">
                  <c:v>17</c:v>
                </c:pt>
                <c:pt idx="225">
                  <c:v>30</c:v>
                </c:pt>
                <c:pt idx="226">
                  <c:v>33.75</c:v>
                </c:pt>
                <c:pt idx="227">
                  <c:v>48.4</c:v>
                </c:pt>
                <c:pt idx="228">
                  <c:v>52</c:v>
                </c:pt>
                <c:pt idx="229">
                  <c:v>60.5</c:v>
                </c:pt>
                <c:pt idx="230">
                  <c:v>74.599999999999994</c:v>
                </c:pt>
                <c:pt idx="231">
                  <c:v>80</c:v>
                </c:pt>
                <c:pt idx="232">
                  <c:v>90</c:v>
                </c:pt>
                <c:pt idx="233">
                  <c:v>105</c:v>
                </c:pt>
                <c:pt idx="234">
                  <c:v>105</c:v>
                </c:pt>
                <c:pt idx="235">
                  <c:v>103.5</c:v>
                </c:pt>
                <c:pt idx="236">
                  <c:v>87.25</c:v>
                </c:pt>
                <c:pt idx="237">
                  <c:v>83.5</c:v>
                </c:pt>
                <c:pt idx="238">
                  <c:v>81.8</c:v>
                </c:pt>
                <c:pt idx="239">
                  <c:v>89</c:v>
                </c:pt>
                <c:pt idx="240">
                  <c:v>95.75</c:v>
                </c:pt>
                <c:pt idx="241">
                  <c:v>96.8</c:v>
                </c:pt>
                <c:pt idx="242">
                  <c:v>91.25</c:v>
                </c:pt>
                <c:pt idx="243">
                  <c:v>61.25</c:v>
                </c:pt>
                <c:pt idx="244">
                  <c:v>32</c:v>
                </c:pt>
                <c:pt idx="245">
                  <c:v>17.5</c:v>
                </c:pt>
                <c:pt idx="246">
                  <c:v>15</c:v>
                </c:pt>
                <c:pt idx="247">
                  <c:v>15</c:v>
                </c:pt>
                <c:pt idx="248">
                  <c:v>10.75</c:v>
                </c:pt>
                <c:pt idx="249">
                  <c:v>6.75</c:v>
                </c:pt>
                <c:pt idx="250">
                  <c:v>-4.8</c:v>
                </c:pt>
                <c:pt idx="251">
                  <c:v>-0.75</c:v>
                </c:pt>
                <c:pt idx="252">
                  <c:v>2.25</c:v>
                </c:pt>
                <c:pt idx="253">
                  <c:v>0</c:v>
                </c:pt>
                <c:pt idx="254">
                  <c:v>-3.75</c:v>
                </c:pt>
                <c:pt idx="255">
                  <c:v>-1</c:v>
                </c:pt>
                <c:pt idx="256">
                  <c:v>12.75</c:v>
                </c:pt>
                <c:pt idx="257">
                  <c:v>18</c:v>
                </c:pt>
                <c:pt idx="258">
                  <c:v>14.4</c:v>
                </c:pt>
                <c:pt idx="259">
                  <c:v>6.666666666666667</c:v>
                </c:pt>
                <c:pt idx="260">
                  <c:v>2.75</c:v>
                </c:pt>
                <c:pt idx="261">
                  <c:v>-2.4</c:v>
                </c:pt>
                <c:pt idx="262">
                  <c:v>0</c:v>
                </c:pt>
                <c:pt idx="263">
                  <c:v>2.5</c:v>
                </c:pt>
                <c:pt idx="264">
                  <c:v>3.4</c:v>
                </c:pt>
                <c:pt idx="265">
                  <c:v>4</c:v>
                </c:pt>
                <c:pt idx="266">
                  <c:v>9</c:v>
                </c:pt>
                <c:pt idx="267">
                  <c:v>17</c:v>
                </c:pt>
                <c:pt idx="268">
                  <c:v>20</c:v>
                </c:pt>
                <c:pt idx="269">
                  <c:v>20.6</c:v>
                </c:pt>
                <c:pt idx="270">
                  <c:v>24.5</c:v>
                </c:pt>
                <c:pt idx="271">
                  <c:v>24.333333333333332</c:v>
                </c:pt>
                <c:pt idx="272">
                  <c:v>29.4</c:v>
                </c:pt>
                <c:pt idx="273">
                  <c:v>33</c:v>
                </c:pt>
                <c:pt idx="274">
                  <c:v>34.5</c:v>
                </c:pt>
                <c:pt idx="275">
                  <c:v>38.25</c:v>
                </c:pt>
                <c:pt idx="276">
                  <c:v>43.8</c:v>
                </c:pt>
                <c:pt idx="277">
                  <c:v>47</c:v>
                </c:pt>
                <c:pt idx="278">
                  <c:v>52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21-470D-AAFA-1477C4782627}"/>
            </c:ext>
          </c:extLst>
        </c:ser>
        <c:ser>
          <c:idx val="4"/>
          <c:order val="1"/>
          <c:tx>
            <c:strRef>
              <c:f>'Simulateur sur Avg'!$F$5</c:f>
              <c:strCache>
                <c:ptCount val="1"/>
                <c:pt idx="0">
                  <c:v> ACS FOB NW Europe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'Simulateur sur Avg'!$B$6:$B$289</c:f>
              <c:numCache>
                <c:formatCode>General</c:formatCode>
                <c:ptCount val="284"/>
                <c:pt idx="0">
                  <c:v>2002</c:v>
                </c:pt>
                <c:pt idx="1">
                  <c:v>2002</c:v>
                </c:pt>
                <c:pt idx="2">
                  <c:v>2002</c:v>
                </c:pt>
                <c:pt idx="3">
                  <c:v>2002</c:v>
                </c:pt>
                <c:pt idx="4">
                  <c:v>2002</c:v>
                </c:pt>
                <c:pt idx="5">
                  <c:v>2002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2003</c:v>
                </c:pt>
                <c:pt idx="10">
                  <c:v>2003</c:v>
                </c:pt>
                <c:pt idx="11">
                  <c:v>2003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2003</c:v>
                </c:pt>
                <c:pt idx="17">
                  <c:v>2003</c:v>
                </c:pt>
                <c:pt idx="18">
                  <c:v>2003</c:v>
                </c:pt>
                <c:pt idx="19">
                  <c:v>2003</c:v>
                </c:pt>
                <c:pt idx="20">
                  <c:v>2004</c:v>
                </c:pt>
                <c:pt idx="21">
                  <c:v>2004</c:v>
                </c:pt>
                <c:pt idx="22">
                  <c:v>2004</c:v>
                </c:pt>
                <c:pt idx="23">
                  <c:v>2004</c:v>
                </c:pt>
                <c:pt idx="24">
                  <c:v>2004</c:v>
                </c:pt>
                <c:pt idx="25">
                  <c:v>2004</c:v>
                </c:pt>
                <c:pt idx="26">
                  <c:v>2004</c:v>
                </c:pt>
                <c:pt idx="27">
                  <c:v>2004</c:v>
                </c:pt>
                <c:pt idx="28">
                  <c:v>2004</c:v>
                </c:pt>
                <c:pt idx="29">
                  <c:v>2004</c:v>
                </c:pt>
                <c:pt idx="30">
                  <c:v>2004</c:v>
                </c:pt>
                <c:pt idx="31">
                  <c:v>2004</c:v>
                </c:pt>
                <c:pt idx="32">
                  <c:v>2005</c:v>
                </c:pt>
                <c:pt idx="33">
                  <c:v>2005</c:v>
                </c:pt>
                <c:pt idx="34">
                  <c:v>2005</c:v>
                </c:pt>
                <c:pt idx="35">
                  <c:v>2005</c:v>
                </c:pt>
                <c:pt idx="36">
                  <c:v>2005</c:v>
                </c:pt>
                <c:pt idx="37">
                  <c:v>2005</c:v>
                </c:pt>
                <c:pt idx="38">
                  <c:v>2005</c:v>
                </c:pt>
                <c:pt idx="39">
                  <c:v>2005</c:v>
                </c:pt>
                <c:pt idx="40">
                  <c:v>2005</c:v>
                </c:pt>
                <c:pt idx="41">
                  <c:v>2005</c:v>
                </c:pt>
                <c:pt idx="42">
                  <c:v>2005</c:v>
                </c:pt>
                <c:pt idx="43">
                  <c:v>2005</c:v>
                </c:pt>
                <c:pt idx="44">
                  <c:v>2006</c:v>
                </c:pt>
                <c:pt idx="45">
                  <c:v>2006</c:v>
                </c:pt>
                <c:pt idx="46">
                  <c:v>2006</c:v>
                </c:pt>
                <c:pt idx="47">
                  <c:v>2006</c:v>
                </c:pt>
                <c:pt idx="48">
                  <c:v>2006</c:v>
                </c:pt>
                <c:pt idx="49">
                  <c:v>2006</c:v>
                </c:pt>
                <c:pt idx="50">
                  <c:v>2006</c:v>
                </c:pt>
                <c:pt idx="51">
                  <c:v>2006</c:v>
                </c:pt>
                <c:pt idx="52">
                  <c:v>2006</c:v>
                </c:pt>
                <c:pt idx="53">
                  <c:v>2006</c:v>
                </c:pt>
                <c:pt idx="54">
                  <c:v>2006</c:v>
                </c:pt>
                <c:pt idx="55">
                  <c:v>2006</c:v>
                </c:pt>
                <c:pt idx="56">
                  <c:v>2007</c:v>
                </c:pt>
                <c:pt idx="57">
                  <c:v>2007</c:v>
                </c:pt>
                <c:pt idx="58">
                  <c:v>2007</c:v>
                </c:pt>
                <c:pt idx="59">
                  <c:v>2007</c:v>
                </c:pt>
                <c:pt idx="60">
                  <c:v>2007</c:v>
                </c:pt>
                <c:pt idx="61">
                  <c:v>2007</c:v>
                </c:pt>
                <c:pt idx="62">
                  <c:v>2007</c:v>
                </c:pt>
                <c:pt idx="63">
                  <c:v>2007</c:v>
                </c:pt>
                <c:pt idx="64">
                  <c:v>2007</c:v>
                </c:pt>
                <c:pt idx="65">
                  <c:v>2007</c:v>
                </c:pt>
                <c:pt idx="66">
                  <c:v>2007</c:v>
                </c:pt>
                <c:pt idx="67">
                  <c:v>2007</c:v>
                </c:pt>
                <c:pt idx="68">
                  <c:v>2008</c:v>
                </c:pt>
                <c:pt idx="69">
                  <c:v>2008</c:v>
                </c:pt>
                <c:pt idx="70">
                  <c:v>2008</c:v>
                </c:pt>
                <c:pt idx="71">
                  <c:v>2008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2008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2009</c:v>
                </c:pt>
                <c:pt idx="87">
                  <c:v>2009</c:v>
                </c:pt>
                <c:pt idx="88">
                  <c:v>2009</c:v>
                </c:pt>
                <c:pt idx="89">
                  <c:v>2009</c:v>
                </c:pt>
                <c:pt idx="90">
                  <c:v>2009</c:v>
                </c:pt>
                <c:pt idx="91">
                  <c:v>2009</c:v>
                </c:pt>
                <c:pt idx="92">
                  <c:v>2010</c:v>
                </c:pt>
                <c:pt idx="93">
                  <c:v>2010</c:v>
                </c:pt>
                <c:pt idx="94">
                  <c:v>2010</c:v>
                </c:pt>
                <c:pt idx="95">
                  <c:v>2010</c:v>
                </c:pt>
                <c:pt idx="96">
                  <c:v>2010</c:v>
                </c:pt>
                <c:pt idx="97">
                  <c:v>2010</c:v>
                </c:pt>
                <c:pt idx="98">
                  <c:v>2010</c:v>
                </c:pt>
                <c:pt idx="99">
                  <c:v>2010</c:v>
                </c:pt>
                <c:pt idx="100">
                  <c:v>2010</c:v>
                </c:pt>
                <c:pt idx="101">
                  <c:v>2010</c:v>
                </c:pt>
                <c:pt idx="102">
                  <c:v>2010</c:v>
                </c:pt>
                <c:pt idx="103">
                  <c:v>2010</c:v>
                </c:pt>
                <c:pt idx="104">
                  <c:v>2011</c:v>
                </c:pt>
                <c:pt idx="105">
                  <c:v>2011</c:v>
                </c:pt>
                <c:pt idx="106">
                  <c:v>2011</c:v>
                </c:pt>
                <c:pt idx="107">
                  <c:v>2011</c:v>
                </c:pt>
                <c:pt idx="108">
                  <c:v>2011</c:v>
                </c:pt>
                <c:pt idx="109">
                  <c:v>2011</c:v>
                </c:pt>
                <c:pt idx="110">
                  <c:v>2011</c:v>
                </c:pt>
                <c:pt idx="111">
                  <c:v>2011</c:v>
                </c:pt>
                <c:pt idx="112">
                  <c:v>2011</c:v>
                </c:pt>
                <c:pt idx="113">
                  <c:v>2011</c:v>
                </c:pt>
                <c:pt idx="114">
                  <c:v>2011</c:v>
                </c:pt>
                <c:pt idx="115">
                  <c:v>2011</c:v>
                </c:pt>
                <c:pt idx="116">
                  <c:v>2012</c:v>
                </c:pt>
                <c:pt idx="117">
                  <c:v>2012</c:v>
                </c:pt>
                <c:pt idx="118">
                  <c:v>2012</c:v>
                </c:pt>
                <c:pt idx="119">
                  <c:v>2012</c:v>
                </c:pt>
                <c:pt idx="120">
                  <c:v>2012</c:v>
                </c:pt>
                <c:pt idx="121">
                  <c:v>2012</c:v>
                </c:pt>
                <c:pt idx="122">
                  <c:v>2012</c:v>
                </c:pt>
                <c:pt idx="123">
                  <c:v>2012</c:v>
                </c:pt>
                <c:pt idx="124">
                  <c:v>2012</c:v>
                </c:pt>
                <c:pt idx="125">
                  <c:v>2012</c:v>
                </c:pt>
                <c:pt idx="126">
                  <c:v>2012</c:v>
                </c:pt>
                <c:pt idx="127">
                  <c:v>2012</c:v>
                </c:pt>
                <c:pt idx="128">
                  <c:v>2013</c:v>
                </c:pt>
                <c:pt idx="129">
                  <c:v>2013</c:v>
                </c:pt>
                <c:pt idx="130">
                  <c:v>2013</c:v>
                </c:pt>
                <c:pt idx="131">
                  <c:v>2013</c:v>
                </c:pt>
                <c:pt idx="132">
                  <c:v>2013</c:v>
                </c:pt>
                <c:pt idx="133">
                  <c:v>2013</c:v>
                </c:pt>
                <c:pt idx="134">
                  <c:v>2013</c:v>
                </c:pt>
                <c:pt idx="135">
                  <c:v>2013</c:v>
                </c:pt>
                <c:pt idx="136">
                  <c:v>2013</c:v>
                </c:pt>
                <c:pt idx="137">
                  <c:v>2013</c:v>
                </c:pt>
                <c:pt idx="138">
                  <c:v>2013</c:v>
                </c:pt>
                <c:pt idx="139">
                  <c:v>2013</c:v>
                </c:pt>
                <c:pt idx="140">
                  <c:v>2014</c:v>
                </c:pt>
                <c:pt idx="141">
                  <c:v>2014</c:v>
                </c:pt>
                <c:pt idx="142">
                  <c:v>2014</c:v>
                </c:pt>
                <c:pt idx="143">
                  <c:v>2014</c:v>
                </c:pt>
                <c:pt idx="144">
                  <c:v>2014</c:v>
                </c:pt>
                <c:pt idx="145">
                  <c:v>2014</c:v>
                </c:pt>
                <c:pt idx="146">
                  <c:v>2014</c:v>
                </c:pt>
                <c:pt idx="147">
                  <c:v>2014</c:v>
                </c:pt>
                <c:pt idx="148">
                  <c:v>2014</c:v>
                </c:pt>
                <c:pt idx="149">
                  <c:v>2014</c:v>
                </c:pt>
                <c:pt idx="150">
                  <c:v>2014</c:v>
                </c:pt>
                <c:pt idx="151">
                  <c:v>2014</c:v>
                </c:pt>
                <c:pt idx="152">
                  <c:v>2015</c:v>
                </c:pt>
                <c:pt idx="153">
                  <c:v>2015</c:v>
                </c:pt>
                <c:pt idx="154">
                  <c:v>2015</c:v>
                </c:pt>
                <c:pt idx="155">
                  <c:v>2015</c:v>
                </c:pt>
                <c:pt idx="156">
                  <c:v>2015</c:v>
                </c:pt>
                <c:pt idx="157">
                  <c:v>2015</c:v>
                </c:pt>
                <c:pt idx="158">
                  <c:v>2015</c:v>
                </c:pt>
                <c:pt idx="159">
                  <c:v>2015</c:v>
                </c:pt>
                <c:pt idx="160">
                  <c:v>2015</c:v>
                </c:pt>
                <c:pt idx="161">
                  <c:v>2015</c:v>
                </c:pt>
                <c:pt idx="162">
                  <c:v>2015</c:v>
                </c:pt>
                <c:pt idx="163">
                  <c:v>2015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2017</c:v>
                </c:pt>
                <c:pt idx="177">
                  <c:v>2017</c:v>
                </c:pt>
                <c:pt idx="178">
                  <c:v>2017</c:v>
                </c:pt>
                <c:pt idx="179">
                  <c:v>2017</c:v>
                </c:pt>
                <c:pt idx="180">
                  <c:v>2017</c:v>
                </c:pt>
                <c:pt idx="181">
                  <c:v>2017</c:v>
                </c:pt>
                <c:pt idx="182">
                  <c:v>2017</c:v>
                </c:pt>
                <c:pt idx="183">
                  <c:v>2017</c:v>
                </c:pt>
                <c:pt idx="184">
                  <c:v>2017</c:v>
                </c:pt>
                <c:pt idx="185">
                  <c:v>2017</c:v>
                </c:pt>
                <c:pt idx="186">
                  <c:v>2017</c:v>
                </c:pt>
                <c:pt idx="187">
                  <c:v>2017</c:v>
                </c:pt>
                <c:pt idx="188">
                  <c:v>2018</c:v>
                </c:pt>
                <c:pt idx="189">
                  <c:v>2018</c:v>
                </c:pt>
                <c:pt idx="190">
                  <c:v>2018</c:v>
                </c:pt>
                <c:pt idx="191">
                  <c:v>2018</c:v>
                </c:pt>
                <c:pt idx="192">
                  <c:v>2018</c:v>
                </c:pt>
                <c:pt idx="193">
                  <c:v>2018</c:v>
                </c:pt>
                <c:pt idx="194">
                  <c:v>2018</c:v>
                </c:pt>
                <c:pt idx="195">
                  <c:v>2018</c:v>
                </c:pt>
                <c:pt idx="196">
                  <c:v>2018</c:v>
                </c:pt>
                <c:pt idx="197">
                  <c:v>2018</c:v>
                </c:pt>
                <c:pt idx="198">
                  <c:v>2018</c:v>
                </c:pt>
                <c:pt idx="199">
                  <c:v>2018</c:v>
                </c:pt>
                <c:pt idx="200">
                  <c:v>2019</c:v>
                </c:pt>
                <c:pt idx="201">
                  <c:v>2019</c:v>
                </c:pt>
                <c:pt idx="202">
                  <c:v>2019</c:v>
                </c:pt>
                <c:pt idx="203">
                  <c:v>2019</c:v>
                </c:pt>
                <c:pt idx="204">
                  <c:v>2019</c:v>
                </c:pt>
                <c:pt idx="205">
                  <c:v>2019</c:v>
                </c:pt>
                <c:pt idx="206">
                  <c:v>2019</c:v>
                </c:pt>
                <c:pt idx="207">
                  <c:v>2019</c:v>
                </c:pt>
                <c:pt idx="208">
                  <c:v>2019</c:v>
                </c:pt>
                <c:pt idx="209">
                  <c:v>2019</c:v>
                </c:pt>
                <c:pt idx="210">
                  <c:v>2019</c:v>
                </c:pt>
                <c:pt idx="211">
                  <c:v>2019</c:v>
                </c:pt>
                <c:pt idx="212">
                  <c:v>2020</c:v>
                </c:pt>
                <c:pt idx="213">
                  <c:v>2020</c:v>
                </c:pt>
                <c:pt idx="214">
                  <c:v>2020</c:v>
                </c:pt>
                <c:pt idx="215">
                  <c:v>2020</c:v>
                </c:pt>
                <c:pt idx="216">
                  <c:v>2020</c:v>
                </c:pt>
                <c:pt idx="217">
                  <c:v>2020</c:v>
                </c:pt>
                <c:pt idx="218">
                  <c:v>2020</c:v>
                </c:pt>
                <c:pt idx="219">
                  <c:v>2020</c:v>
                </c:pt>
                <c:pt idx="220">
                  <c:v>2020</c:v>
                </c:pt>
                <c:pt idx="221">
                  <c:v>2020</c:v>
                </c:pt>
                <c:pt idx="222">
                  <c:v>2020</c:v>
                </c:pt>
                <c:pt idx="223">
                  <c:v>2020</c:v>
                </c:pt>
                <c:pt idx="224">
                  <c:v>2021</c:v>
                </c:pt>
                <c:pt idx="225">
                  <c:v>2021</c:v>
                </c:pt>
                <c:pt idx="226">
                  <c:v>2021</c:v>
                </c:pt>
                <c:pt idx="227">
                  <c:v>2021</c:v>
                </c:pt>
                <c:pt idx="228">
                  <c:v>2021</c:v>
                </c:pt>
                <c:pt idx="229">
                  <c:v>2021</c:v>
                </c:pt>
                <c:pt idx="230">
                  <c:v>2021</c:v>
                </c:pt>
                <c:pt idx="231">
                  <c:v>2021</c:v>
                </c:pt>
                <c:pt idx="232">
                  <c:v>2021</c:v>
                </c:pt>
                <c:pt idx="233">
                  <c:v>2021</c:v>
                </c:pt>
                <c:pt idx="234">
                  <c:v>2021</c:v>
                </c:pt>
                <c:pt idx="235">
                  <c:v>2021</c:v>
                </c:pt>
                <c:pt idx="236">
                  <c:v>2022</c:v>
                </c:pt>
                <c:pt idx="237">
                  <c:v>2022</c:v>
                </c:pt>
                <c:pt idx="238">
                  <c:v>2022</c:v>
                </c:pt>
                <c:pt idx="239">
                  <c:v>2022</c:v>
                </c:pt>
                <c:pt idx="240">
                  <c:v>2022</c:v>
                </c:pt>
                <c:pt idx="241">
                  <c:v>2022</c:v>
                </c:pt>
                <c:pt idx="242">
                  <c:v>2022</c:v>
                </c:pt>
                <c:pt idx="243">
                  <c:v>2022</c:v>
                </c:pt>
                <c:pt idx="244">
                  <c:v>2022</c:v>
                </c:pt>
                <c:pt idx="245">
                  <c:v>2022</c:v>
                </c:pt>
                <c:pt idx="246">
                  <c:v>2022</c:v>
                </c:pt>
                <c:pt idx="247">
                  <c:v>2022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2023</c:v>
                </c:pt>
                <c:pt idx="253">
                  <c:v>2023</c:v>
                </c:pt>
                <c:pt idx="254">
                  <c:v>2023</c:v>
                </c:pt>
                <c:pt idx="255">
                  <c:v>2023</c:v>
                </c:pt>
                <c:pt idx="256">
                  <c:v>2023</c:v>
                </c:pt>
                <c:pt idx="257">
                  <c:v>2023</c:v>
                </c:pt>
                <c:pt idx="258">
                  <c:v>2023</c:v>
                </c:pt>
                <c:pt idx="259">
                  <c:v>2023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2025</c:v>
                </c:pt>
                <c:pt idx="273">
                  <c:v>2025</c:v>
                </c:pt>
                <c:pt idx="274">
                  <c:v>2025</c:v>
                </c:pt>
                <c:pt idx="275">
                  <c:v>2025</c:v>
                </c:pt>
                <c:pt idx="276">
                  <c:v>2025</c:v>
                </c:pt>
                <c:pt idx="277">
                  <c:v>2025</c:v>
                </c:pt>
                <c:pt idx="278">
                  <c:v>2025</c:v>
                </c:pt>
                <c:pt idx="279">
                  <c:v>2025</c:v>
                </c:pt>
                <c:pt idx="280">
                  <c:v>2025</c:v>
                </c:pt>
                <c:pt idx="281">
                  <c:v>2025</c:v>
                </c:pt>
                <c:pt idx="282">
                  <c:v>2025</c:v>
                </c:pt>
                <c:pt idx="283">
                  <c:v>2025</c:v>
                </c:pt>
              </c:numCache>
            </c:numRef>
          </c:cat>
          <c:val>
            <c:numRef>
              <c:f>'Simulateur sur Avg'!$F$6:$F$289</c:f>
              <c:numCache>
                <c:formatCode>_-* #\ ##0.0_-;\-* #\ ##0.0_-;_-* "-"??_-;_-@_-</c:formatCode>
                <c:ptCount val="284"/>
                <c:pt idx="0">
                  <c:v>6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11</c:v>
                </c:pt>
                <c:pt idx="8">
                  <c:v>11.666666666666666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17.5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28</c:v>
                </c:pt>
                <c:pt idx="18">
                  <c:v>28</c:v>
                </c:pt>
                <c:pt idx="19">
                  <c:v>28</c:v>
                </c:pt>
                <c:pt idx="20">
                  <c:v>31.5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35.5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36.5</c:v>
                </c:pt>
                <c:pt idx="33">
                  <c:v>37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36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31.5</c:v>
                </c:pt>
                <c:pt idx="45">
                  <c:v>28</c:v>
                </c:pt>
                <c:pt idx="46">
                  <c:v>28</c:v>
                </c:pt>
                <c:pt idx="47">
                  <c:v>28</c:v>
                </c:pt>
                <c:pt idx="48">
                  <c:v>28</c:v>
                </c:pt>
                <c:pt idx="49">
                  <c:v>28</c:v>
                </c:pt>
                <c:pt idx="50">
                  <c:v>28</c:v>
                </c:pt>
                <c:pt idx="51">
                  <c:v>28</c:v>
                </c:pt>
                <c:pt idx="52">
                  <c:v>28</c:v>
                </c:pt>
                <c:pt idx="53">
                  <c:v>28</c:v>
                </c:pt>
                <c:pt idx="54">
                  <c:v>28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35</c:v>
                </c:pt>
                <c:pt idx="60">
                  <c:v>35</c:v>
                </c:pt>
                <c:pt idx="61">
                  <c:v>37</c:v>
                </c:pt>
                <c:pt idx="62">
                  <c:v>37</c:v>
                </c:pt>
                <c:pt idx="63">
                  <c:v>37.666666666666664</c:v>
                </c:pt>
                <c:pt idx="64">
                  <c:v>38</c:v>
                </c:pt>
                <c:pt idx="65">
                  <c:v>38</c:v>
                </c:pt>
                <c:pt idx="66">
                  <c:v>62</c:v>
                </c:pt>
                <c:pt idx="67">
                  <c:v>82.5</c:v>
                </c:pt>
                <c:pt idx="68">
                  <c:v>103</c:v>
                </c:pt>
                <c:pt idx="69">
                  <c:v>103</c:v>
                </c:pt>
                <c:pt idx="70">
                  <c:v>103</c:v>
                </c:pt>
                <c:pt idx="71">
                  <c:v>103</c:v>
                </c:pt>
                <c:pt idx="72">
                  <c:v>103</c:v>
                </c:pt>
                <c:pt idx="73">
                  <c:v>103</c:v>
                </c:pt>
                <c:pt idx="74">
                  <c:v>103</c:v>
                </c:pt>
                <c:pt idx="75">
                  <c:v>103</c:v>
                </c:pt>
                <c:pt idx="76">
                  <c:v>275</c:v>
                </c:pt>
                <c:pt idx="77">
                  <c:v>271</c:v>
                </c:pt>
                <c:pt idx="78">
                  <c:v>255</c:v>
                </c:pt>
                <c:pt idx="79">
                  <c:v>35</c:v>
                </c:pt>
                <c:pt idx="80">
                  <c:v>35</c:v>
                </c:pt>
                <c:pt idx="81">
                  <c:v>23.75</c:v>
                </c:pt>
                <c:pt idx="82">
                  <c:v>10</c:v>
                </c:pt>
                <c:pt idx="83">
                  <c:v>8</c:v>
                </c:pt>
                <c:pt idx="84">
                  <c:v>8</c:v>
                </c:pt>
                <c:pt idx="85">
                  <c:v>4.75</c:v>
                </c:pt>
                <c:pt idx="86">
                  <c:v>-5</c:v>
                </c:pt>
                <c:pt idx="87">
                  <c:v>-5</c:v>
                </c:pt>
                <c:pt idx="88">
                  <c:v>0</c:v>
                </c:pt>
                <c:pt idx="89">
                  <c:v>-5.2</c:v>
                </c:pt>
                <c:pt idx="90">
                  <c:v>-13</c:v>
                </c:pt>
                <c:pt idx="91">
                  <c:v>-0.6</c:v>
                </c:pt>
                <c:pt idx="92">
                  <c:v>20</c:v>
                </c:pt>
                <c:pt idx="93">
                  <c:v>47.5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51.25</c:v>
                </c:pt>
                <c:pt idx="100">
                  <c:v>55</c:v>
                </c:pt>
                <c:pt idx="101">
                  <c:v>55</c:v>
                </c:pt>
                <c:pt idx="102">
                  <c:v>70</c:v>
                </c:pt>
                <c:pt idx="103">
                  <c:v>75</c:v>
                </c:pt>
                <c:pt idx="104">
                  <c:v>76.25</c:v>
                </c:pt>
                <c:pt idx="105">
                  <c:v>80</c:v>
                </c:pt>
                <c:pt idx="106">
                  <c:v>83</c:v>
                </c:pt>
                <c:pt idx="107">
                  <c:v>95</c:v>
                </c:pt>
                <c:pt idx="108">
                  <c:v>95</c:v>
                </c:pt>
                <c:pt idx="109">
                  <c:v>99</c:v>
                </c:pt>
                <c:pt idx="110">
                  <c:v>101.25</c:v>
                </c:pt>
                <c:pt idx="111">
                  <c:v>105</c:v>
                </c:pt>
                <c:pt idx="112">
                  <c:v>105</c:v>
                </c:pt>
                <c:pt idx="113">
                  <c:v>105</c:v>
                </c:pt>
                <c:pt idx="114">
                  <c:v>105</c:v>
                </c:pt>
                <c:pt idx="115">
                  <c:v>99</c:v>
                </c:pt>
                <c:pt idx="116">
                  <c:v>85</c:v>
                </c:pt>
                <c:pt idx="117">
                  <c:v>55</c:v>
                </c:pt>
                <c:pt idx="118">
                  <c:v>35</c:v>
                </c:pt>
                <c:pt idx="119">
                  <c:v>35</c:v>
                </c:pt>
                <c:pt idx="120">
                  <c:v>37</c:v>
                </c:pt>
                <c:pt idx="121">
                  <c:v>50</c:v>
                </c:pt>
                <c:pt idx="122">
                  <c:v>50</c:v>
                </c:pt>
                <c:pt idx="123">
                  <c:v>51.4</c:v>
                </c:pt>
                <c:pt idx="124">
                  <c:v>53</c:v>
                </c:pt>
                <c:pt idx="125">
                  <c:v>56.75</c:v>
                </c:pt>
                <c:pt idx="126">
                  <c:v>53.4</c:v>
                </c:pt>
                <c:pt idx="127">
                  <c:v>43</c:v>
                </c:pt>
                <c:pt idx="128">
                  <c:v>26.2</c:v>
                </c:pt>
                <c:pt idx="129">
                  <c:v>13.75</c:v>
                </c:pt>
                <c:pt idx="130">
                  <c:v>10</c:v>
                </c:pt>
                <c:pt idx="131">
                  <c:v>10</c:v>
                </c:pt>
                <c:pt idx="132">
                  <c:v>10</c:v>
                </c:pt>
                <c:pt idx="133">
                  <c:v>13.5</c:v>
                </c:pt>
                <c:pt idx="134">
                  <c:v>18</c:v>
                </c:pt>
                <c:pt idx="135">
                  <c:v>18</c:v>
                </c:pt>
                <c:pt idx="136">
                  <c:v>18</c:v>
                </c:pt>
                <c:pt idx="137">
                  <c:v>7.6</c:v>
                </c:pt>
                <c:pt idx="138">
                  <c:v>3.75</c:v>
                </c:pt>
                <c:pt idx="139">
                  <c:v>-3</c:v>
                </c:pt>
                <c:pt idx="140">
                  <c:v>-3</c:v>
                </c:pt>
                <c:pt idx="141">
                  <c:v>-1.5</c:v>
                </c:pt>
                <c:pt idx="142">
                  <c:v>4.25</c:v>
                </c:pt>
                <c:pt idx="143">
                  <c:v>8</c:v>
                </c:pt>
                <c:pt idx="144">
                  <c:v>8</c:v>
                </c:pt>
                <c:pt idx="145">
                  <c:v>11.75</c:v>
                </c:pt>
                <c:pt idx="146">
                  <c:v>13</c:v>
                </c:pt>
                <c:pt idx="147">
                  <c:v>13</c:v>
                </c:pt>
                <c:pt idx="148">
                  <c:v>21.75</c:v>
                </c:pt>
                <c:pt idx="149">
                  <c:v>27</c:v>
                </c:pt>
                <c:pt idx="150">
                  <c:v>33</c:v>
                </c:pt>
                <c:pt idx="151">
                  <c:v>33</c:v>
                </c:pt>
                <c:pt idx="152">
                  <c:v>32.6</c:v>
                </c:pt>
                <c:pt idx="153">
                  <c:v>31</c:v>
                </c:pt>
                <c:pt idx="154">
                  <c:v>31</c:v>
                </c:pt>
                <c:pt idx="155">
                  <c:v>31</c:v>
                </c:pt>
                <c:pt idx="156">
                  <c:v>31</c:v>
                </c:pt>
                <c:pt idx="157">
                  <c:v>31</c:v>
                </c:pt>
                <c:pt idx="158">
                  <c:v>30.2</c:v>
                </c:pt>
                <c:pt idx="159">
                  <c:v>27</c:v>
                </c:pt>
                <c:pt idx="160">
                  <c:v>18.25</c:v>
                </c:pt>
                <c:pt idx="161">
                  <c:v>7.8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2.2000000000000002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8.75</c:v>
                </c:pt>
                <c:pt idx="171">
                  <c:v>12.5</c:v>
                </c:pt>
                <c:pt idx="172">
                  <c:v>14</c:v>
                </c:pt>
                <c:pt idx="173">
                  <c:v>9.5</c:v>
                </c:pt>
                <c:pt idx="174">
                  <c:v>9.5</c:v>
                </c:pt>
                <c:pt idx="175">
                  <c:v>7.6</c:v>
                </c:pt>
                <c:pt idx="176">
                  <c:v>7</c:v>
                </c:pt>
                <c:pt idx="177">
                  <c:v>9.5</c:v>
                </c:pt>
                <c:pt idx="178">
                  <c:v>10</c:v>
                </c:pt>
                <c:pt idx="179">
                  <c:v>13.75</c:v>
                </c:pt>
                <c:pt idx="180">
                  <c:v>17.5</c:v>
                </c:pt>
                <c:pt idx="181">
                  <c:v>20</c:v>
                </c:pt>
                <c:pt idx="182">
                  <c:v>20</c:v>
                </c:pt>
                <c:pt idx="183">
                  <c:v>22.4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32</c:v>
                </c:pt>
                <c:pt idx="189">
                  <c:v>35.75</c:v>
                </c:pt>
                <c:pt idx="190">
                  <c:v>46</c:v>
                </c:pt>
                <c:pt idx="191">
                  <c:v>52.5</c:v>
                </c:pt>
                <c:pt idx="192">
                  <c:v>56</c:v>
                </c:pt>
                <c:pt idx="193">
                  <c:v>60</c:v>
                </c:pt>
                <c:pt idx="194">
                  <c:v>62.5</c:v>
                </c:pt>
                <c:pt idx="195">
                  <c:v>65</c:v>
                </c:pt>
                <c:pt idx="196">
                  <c:v>71.25</c:v>
                </c:pt>
                <c:pt idx="197">
                  <c:v>75</c:v>
                </c:pt>
                <c:pt idx="198">
                  <c:v>75</c:v>
                </c:pt>
                <c:pt idx="199">
                  <c:v>78.333333333333329</c:v>
                </c:pt>
                <c:pt idx="200">
                  <c:v>85</c:v>
                </c:pt>
                <c:pt idx="201">
                  <c:v>89.5</c:v>
                </c:pt>
                <c:pt idx="202">
                  <c:v>88</c:v>
                </c:pt>
                <c:pt idx="203">
                  <c:v>74</c:v>
                </c:pt>
                <c:pt idx="204">
                  <c:v>57.2</c:v>
                </c:pt>
                <c:pt idx="205">
                  <c:v>37.5</c:v>
                </c:pt>
                <c:pt idx="206">
                  <c:v>35</c:v>
                </c:pt>
                <c:pt idx="207">
                  <c:v>30</c:v>
                </c:pt>
                <c:pt idx="208">
                  <c:v>31.25</c:v>
                </c:pt>
                <c:pt idx="209">
                  <c:v>39</c:v>
                </c:pt>
                <c:pt idx="210">
                  <c:v>35</c:v>
                </c:pt>
                <c:pt idx="211">
                  <c:v>35</c:v>
                </c:pt>
                <c:pt idx="212">
                  <c:v>31.4</c:v>
                </c:pt>
                <c:pt idx="213">
                  <c:v>17.75</c:v>
                </c:pt>
                <c:pt idx="214">
                  <c:v>12.5</c:v>
                </c:pt>
                <c:pt idx="215">
                  <c:v>-4.4000000000000004</c:v>
                </c:pt>
                <c:pt idx="216">
                  <c:v>-4</c:v>
                </c:pt>
                <c:pt idx="217">
                  <c:v>1.5</c:v>
                </c:pt>
                <c:pt idx="218">
                  <c:v>5</c:v>
                </c:pt>
                <c:pt idx="219">
                  <c:v>10</c:v>
                </c:pt>
                <c:pt idx="220">
                  <c:v>13.25</c:v>
                </c:pt>
                <c:pt idx="221">
                  <c:v>16.8</c:v>
                </c:pt>
                <c:pt idx="222">
                  <c:v>20</c:v>
                </c:pt>
                <c:pt idx="223">
                  <c:v>23.75</c:v>
                </c:pt>
                <c:pt idx="224">
                  <c:v>32.5</c:v>
                </c:pt>
                <c:pt idx="225">
                  <c:v>56.25</c:v>
                </c:pt>
                <c:pt idx="226">
                  <c:v>84.5</c:v>
                </c:pt>
                <c:pt idx="227">
                  <c:v>97</c:v>
                </c:pt>
                <c:pt idx="228">
                  <c:v>113.75</c:v>
                </c:pt>
                <c:pt idx="229">
                  <c:v>132.5</c:v>
                </c:pt>
                <c:pt idx="230">
                  <c:v>160</c:v>
                </c:pt>
                <c:pt idx="231">
                  <c:v>182.5</c:v>
                </c:pt>
                <c:pt idx="232">
                  <c:v>192</c:v>
                </c:pt>
                <c:pt idx="233">
                  <c:v>200</c:v>
                </c:pt>
                <c:pt idx="234">
                  <c:v>200</c:v>
                </c:pt>
                <c:pt idx="235">
                  <c:v>212.5</c:v>
                </c:pt>
                <c:pt idx="236">
                  <c:v>220</c:v>
                </c:pt>
                <c:pt idx="237">
                  <c:v>220</c:v>
                </c:pt>
                <c:pt idx="238">
                  <c:v>220</c:v>
                </c:pt>
                <c:pt idx="239">
                  <c:v>220</c:v>
                </c:pt>
                <c:pt idx="240">
                  <c:v>220</c:v>
                </c:pt>
                <c:pt idx="241">
                  <c:v>218</c:v>
                </c:pt>
                <c:pt idx="242">
                  <c:v>198.75</c:v>
                </c:pt>
                <c:pt idx="243">
                  <c:v>153.75</c:v>
                </c:pt>
                <c:pt idx="244">
                  <c:v>71.599999999999994</c:v>
                </c:pt>
                <c:pt idx="245">
                  <c:v>48</c:v>
                </c:pt>
                <c:pt idx="246">
                  <c:v>38.5</c:v>
                </c:pt>
                <c:pt idx="247">
                  <c:v>36.5</c:v>
                </c:pt>
                <c:pt idx="248">
                  <c:v>34</c:v>
                </c:pt>
                <c:pt idx="249">
                  <c:v>28</c:v>
                </c:pt>
                <c:pt idx="250">
                  <c:v>11.6</c:v>
                </c:pt>
                <c:pt idx="251">
                  <c:v>10</c:v>
                </c:pt>
                <c:pt idx="252">
                  <c:v>13</c:v>
                </c:pt>
                <c:pt idx="253">
                  <c:v>11.8</c:v>
                </c:pt>
                <c:pt idx="254">
                  <c:v>10</c:v>
                </c:pt>
                <c:pt idx="255">
                  <c:v>16</c:v>
                </c:pt>
                <c:pt idx="256">
                  <c:v>47</c:v>
                </c:pt>
                <c:pt idx="257">
                  <c:v>68.75</c:v>
                </c:pt>
                <c:pt idx="258">
                  <c:v>58</c:v>
                </c:pt>
                <c:pt idx="259">
                  <c:v>49.333333333333336</c:v>
                </c:pt>
                <c:pt idx="260">
                  <c:v>41.5</c:v>
                </c:pt>
                <c:pt idx="261">
                  <c:v>42</c:v>
                </c:pt>
                <c:pt idx="262">
                  <c:v>51</c:v>
                </c:pt>
                <c:pt idx="263">
                  <c:v>60.5</c:v>
                </c:pt>
                <c:pt idx="264">
                  <c:v>72.2</c:v>
                </c:pt>
                <c:pt idx="265">
                  <c:v>75</c:v>
                </c:pt>
                <c:pt idx="266">
                  <c:v>80</c:v>
                </c:pt>
                <c:pt idx="267">
                  <c:v>84</c:v>
                </c:pt>
                <c:pt idx="268">
                  <c:v>85</c:v>
                </c:pt>
                <c:pt idx="269">
                  <c:v>102</c:v>
                </c:pt>
                <c:pt idx="270">
                  <c:v>105</c:v>
                </c:pt>
                <c:pt idx="271">
                  <c:v>105</c:v>
                </c:pt>
                <c:pt idx="272">
                  <c:v>115</c:v>
                </c:pt>
                <c:pt idx="273">
                  <c:v>108.75</c:v>
                </c:pt>
                <c:pt idx="274">
                  <c:v>69.75</c:v>
                </c:pt>
                <c:pt idx="275">
                  <c:v>94.5</c:v>
                </c:pt>
                <c:pt idx="276">
                  <c:v>111.2</c:v>
                </c:pt>
                <c:pt idx="277">
                  <c:v>131.25</c:v>
                </c:pt>
                <c:pt idx="278">
                  <c:v>124</c:v>
                </c:pt>
                <c:pt idx="279">
                  <c:v>116.25</c:v>
                </c:pt>
                <c:pt idx="280">
                  <c:v>79.5</c:v>
                </c:pt>
                <c:pt idx="281">
                  <c:v>80.2</c:v>
                </c:pt>
                <c:pt idx="282">
                  <c:v>97.75</c:v>
                </c:pt>
                <c:pt idx="283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21-470D-AAFA-1477C4782627}"/>
            </c:ext>
          </c:extLst>
        </c:ser>
        <c:ser>
          <c:idx val="5"/>
          <c:order val="2"/>
          <c:tx>
            <c:strRef>
              <c:f>'Simulateur sur Avg'!$G$5</c:f>
              <c:strCache>
                <c:ptCount val="1"/>
                <c:pt idx="0">
                  <c:v> ACS FOB China Spot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'Simulateur sur Avg'!$B$6:$B$289</c:f>
              <c:numCache>
                <c:formatCode>General</c:formatCode>
                <c:ptCount val="284"/>
                <c:pt idx="0">
                  <c:v>2002</c:v>
                </c:pt>
                <c:pt idx="1">
                  <c:v>2002</c:v>
                </c:pt>
                <c:pt idx="2">
                  <c:v>2002</c:v>
                </c:pt>
                <c:pt idx="3">
                  <c:v>2002</c:v>
                </c:pt>
                <c:pt idx="4">
                  <c:v>2002</c:v>
                </c:pt>
                <c:pt idx="5">
                  <c:v>2002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2003</c:v>
                </c:pt>
                <c:pt idx="10">
                  <c:v>2003</c:v>
                </c:pt>
                <c:pt idx="11">
                  <c:v>2003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2003</c:v>
                </c:pt>
                <c:pt idx="17">
                  <c:v>2003</c:v>
                </c:pt>
                <c:pt idx="18">
                  <c:v>2003</c:v>
                </c:pt>
                <c:pt idx="19">
                  <c:v>2003</c:v>
                </c:pt>
                <c:pt idx="20">
                  <c:v>2004</c:v>
                </c:pt>
                <c:pt idx="21">
                  <c:v>2004</c:v>
                </c:pt>
                <c:pt idx="22">
                  <c:v>2004</c:v>
                </c:pt>
                <c:pt idx="23">
                  <c:v>2004</c:v>
                </c:pt>
                <c:pt idx="24">
                  <c:v>2004</c:v>
                </c:pt>
                <c:pt idx="25">
                  <c:v>2004</c:v>
                </c:pt>
                <c:pt idx="26">
                  <c:v>2004</c:v>
                </c:pt>
                <c:pt idx="27">
                  <c:v>2004</c:v>
                </c:pt>
                <c:pt idx="28">
                  <c:v>2004</c:v>
                </c:pt>
                <c:pt idx="29">
                  <c:v>2004</c:v>
                </c:pt>
                <c:pt idx="30">
                  <c:v>2004</c:v>
                </c:pt>
                <c:pt idx="31">
                  <c:v>2004</c:v>
                </c:pt>
                <c:pt idx="32">
                  <c:v>2005</c:v>
                </c:pt>
                <c:pt idx="33">
                  <c:v>2005</c:v>
                </c:pt>
                <c:pt idx="34">
                  <c:v>2005</c:v>
                </c:pt>
                <c:pt idx="35">
                  <c:v>2005</c:v>
                </c:pt>
                <c:pt idx="36">
                  <c:v>2005</c:v>
                </c:pt>
                <c:pt idx="37">
                  <c:v>2005</c:v>
                </c:pt>
                <c:pt idx="38">
                  <c:v>2005</c:v>
                </c:pt>
                <c:pt idx="39">
                  <c:v>2005</c:v>
                </c:pt>
                <c:pt idx="40">
                  <c:v>2005</c:v>
                </c:pt>
                <c:pt idx="41">
                  <c:v>2005</c:v>
                </c:pt>
                <c:pt idx="42">
                  <c:v>2005</c:v>
                </c:pt>
                <c:pt idx="43">
                  <c:v>2005</c:v>
                </c:pt>
                <c:pt idx="44">
                  <c:v>2006</c:v>
                </c:pt>
                <c:pt idx="45">
                  <c:v>2006</c:v>
                </c:pt>
                <c:pt idx="46">
                  <c:v>2006</c:v>
                </c:pt>
                <c:pt idx="47">
                  <c:v>2006</c:v>
                </c:pt>
                <c:pt idx="48">
                  <c:v>2006</c:v>
                </c:pt>
                <c:pt idx="49">
                  <c:v>2006</c:v>
                </c:pt>
                <c:pt idx="50">
                  <c:v>2006</c:v>
                </c:pt>
                <c:pt idx="51">
                  <c:v>2006</c:v>
                </c:pt>
                <c:pt idx="52">
                  <c:v>2006</c:v>
                </c:pt>
                <c:pt idx="53">
                  <c:v>2006</c:v>
                </c:pt>
                <c:pt idx="54">
                  <c:v>2006</c:v>
                </c:pt>
                <c:pt idx="55">
                  <c:v>2006</c:v>
                </c:pt>
                <c:pt idx="56">
                  <c:v>2007</c:v>
                </c:pt>
                <c:pt idx="57">
                  <c:v>2007</c:v>
                </c:pt>
                <c:pt idx="58">
                  <c:v>2007</c:v>
                </c:pt>
                <c:pt idx="59">
                  <c:v>2007</c:v>
                </c:pt>
                <c:pt idx="60">
                  <c:v>2007</c:v>
                </c:pt>
                <c:pt idx="61">
                  <c:v>2007</c:v>
                </c:pt>
                <c:pt idx="62">
                  <c:v>2007</c:v>
                </c:pt>
                <c:pt idx="63">
                  <c:v>2007</c:v>
                </c:pt>
                <c:pt idx="64">
                  <c:v>2007</c:v>
                </c:pt>
                <c:pt idx="65">
                  <c:v>2007</c:v>
                </c:pt>
                <c:pt idx="66">
                  <c:v>2007</c:v>
                </c:pt>
                <c:pt idx="67">
                  <c:v>2007</c:v>
                </c:pt>
                <c:pt idx="68">
                  <c:v>2008</c:v>
                </c:pt>
                <c:pt idx="69">
                  <c:v>2008</c:v>
                </c:pt>
                <c:pt idx="70">
                  <c:v>2008</c:v>
                </c:pt>
                <c:pt idx="71">
                  <c:v>2008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2008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2009</c:v>
                </c:pt>
                <c:pt idx="87">
                  <c:v>2009</c:v>
                </c:pt>
                <c:pt idx="88">
                  <c:v>2009</c:v>
                </c:pt>
                <c:pt idx="89">
                  <c:v>2009</c:v>
                </c:pt>
                <c:pt idx="90">
                  <c:v>2009</c:v>
                </c:pt>
                <c:pt idx="91">
                  <c:v>2009</c:v>
                </c:pt>
                <c:pt idx="92">
                  <c:v>2010</c:v>
                </c:pt>
                <c:pt idx="93">
                  <c:v>2010</c:v>
                </c:pt>
                <c:pt idx="94">
                  <c:v>2010</c:v>
                </c:pt>
                <c:pt idx="95">
                  <c:v>2010</c:v>
                </c:pt>
                <c:pt idx="96">
                  <c:v>2010</c:v>
                </c:pt>
                <c:pt idx="97">
                  <c:v>2010</c:v>
                </c:pt>
                <c:pt idx="98">
                  <c:v>2010</c:v>
                </c:pt>
                <c:pt idx="99">
                  <c:v>2010</c:v>
                </c:pt>
                <c:pt idx="100">
                  <c:v>2010</c:v>
                </c:pt>
                <c:pt idx="101">
                  <c:v>2010</c:v>
                </c:pt>
                <c:pt idx="102">
                  <c:v>2010</c:v>
                </c:pt>
                <c:pt idx="103">
                  <c:v>2010</c:v>
                </c:pt>
                <c:pt idx="104">
                  <c:v>2011</c:v>
                </c:pt>
                <c:pt idx="105">
                  <c:v>2011</c:v>
                </c:pt>
                <c:pt idx="106">
                  <c:v>2011</c:v>
                </c:pt>
                <c:pt idx="107">
                  <c:v>2011</c:v>
                </c:pt>
                <c:pt idx="108">
                  <c:v>2011</c:v>
                </c:pt>
                <c:pt idx="109">
                  <c:v>2011</c:v>
                </c:pt>
                <c:pt idx="110">
                  <c:v>2011</c:v>
                </c:pt>
                <c:pt idx="111">
                  <c:v>2011</c:v>
                </c:pt>
                <c:pt idx="112">
                  <c:v>2011</c:v>
                </c:pt>
                <c:pt idx="113">
                  <c:v>2011</c:v>
                </c:pt>
                <c:pt idx="114">
                  <c:v>2011</c:v>
                </c:pt>
                <c:pt idx="115">
                  <c:v>2011</c:v>
                </c:pt>
                <c:pt idx="116">
                  <c:v>2012</c:v>
                </c:pt>
                <c:pt idx="117">
                  <c:v>2012</c:v>
                </c:pt>
                <c:pt idx="118">
                  <c:v>2012</c:v>
                </c:pt>
                <c:pt idx="119">
                  <c:v>2012</c:v>
                </c:pt>
                <c:pt idx="120">
                  <c:v>2012</c:v>
                </c:pt>
                <c:pt idx="121">
                  <c:v>2012</c:v>
                </c:pt>
                <c:pt idx="122">
                  <c:v>2012</c:v>
                </c:pt>
                <c:pt idx="123">
                  <c:v>2012</c:v>
                </c:pt>
                <c:pt idx="124">
                  <c:v>2012</c:v>
                </c:pt>
                <c:pt idx="125">
                  <c:v>2012</c:v>
                </c:pt>
                <c:pt idx="126">
                  <c:v>2012</c:v>
                </c:pt>
                <c:pt idx="127">
                  <c:v>2012</c:v>
                </c:pt>
                <c:pt idx="128">
                  <c:v>2013</c:v>
                </c:pt>
                <c:pt idx="129">
                  <c:v>2013</c:v>
                </c:pt>
                <c:pt idx="130">
                  <c:v>2013</c:v>
                </c:pt>
                <c:pt idx="131">
                  <c:v>2013</c:v>
                </c:pt>
                <c:pt idx="132">
                  <c:v>2013</c:v>
                </c:pt>
                <c:pt idx="133">
                  <c:v>2013</c:v>
                </c:pt>
                <c:pt idx="134">
                  <c:v>2013</c:v>
                </c:pt>
                <c:pt idx="135">
                  <c:v>2013</c:v>
                </c:pt>
                <c:pt idx="136">
                  <c:v>2013</c:v>
                </c:pt>
                <c:pt idx="137">
                  <c:v>2013</c:v>
                </c:pt>
                <c:pt idx="138">
                  <c:v>2013</c:v>
                </c:pt>
                <c:pt idx="139">
                  <c:v>2013</c:v>
                </c:pt>
                <c:pt idx="140">
                  <c:v>2014</c:v>
                </c:pt>
                <c:pt idx="141">
                  <c:v>2014</c:v>
                </c:pt>
                <c:pt idx="142">
                  <c:v>2014</c:v>
                </c:pt>
                <c:pt idx="143">
                  <c:v>2014</c:v>
                </c:pt>
                <c:pt idx="144">
                  <c:v>2014</c:v>
                </c:pt>
                <c:pt idx="145">
                  <c:v>2014</c:v>
                </c:pt>
                <c:pt idx="146">
                  <c:v>2014</c:v>
                </c:pt>
                <c:pt idx="147">
                  <c:v>2014</c:v>
                </c:pt>
                <c:pt idx="148">
                  <c:v>2014</c:v>
                </c:pt>
                <c:pt idx="149">
                  <c:v>2014</c:v>
                </c:pt>
                <c:pt idx="150">
                  <c:v>2014</c:v>
                </c:pt>
                <c:pt idx="151">
                  <c:v>2014</c:v>
                </c:pt>
                <c:pt idx="152">
                  <c:v>2015</c:v>
                </c:pt>
                <c:pt idx="153">
                  <c:v>2015</c:v>
                </c:pt>
                <c:pt idx="154">
                  <c:v>2015</c:v>
                </c:pt>
                <c:pt idx="155">
                  <c:v>2015</c:v>
                </c:pt>
                <c:pt idx="156">
                  <c:v>2015</c:v>
                </c:pt>
                <c:pt idx="157">
                  <c:v>2015</c:v>
                </c:pt>
                <c:pt idx="158">
                  <c:v>2015</c:v>
                </c:pt>
                <c:pt idx="159">
                  <c:v>2015</c:v>
                </c:pt>
                <c:pt idx="160">
                  <c:v>2015</c:v>
                </c:pt>
                <c:pt idx="161">
                  <c:v>2015</c:v>
                </c:pt>
                <c:pt idx="162">
                  <c:v>2015</c:v>
                </c:pt>
                <c:pt idx="163">
                  <c:v>2015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2017</c:v>
                </c:pt>
                <c:pt idx="177">
                  <c:v>2017</c:v>
                </c:pt>
                <c:pt idx="178">
                  <c:v>2017</c:v>
                </c:pt>
                <c:pt idx="179">
                  <c:v>2017</c:v>
                </c:pt>
                <c:pt idx="180">
                  <c:v>2017</c:v>
                </c:pt>
                <c:pt idx="181">
                  <c:v>2017</c:v>
                </c:pt>
                <c:pt idx="182">
                  <c:v>2017</c:v>
                </c:pt>
                <c:pt idx="183">
                  <c:v>2017</c:v>
                </c:pt>
                <c:pt idx="184">
                  <c:v>2017</c:v>
                </c:pt>
                <c:pt idx="185">
                  <c:v>2017</c:v>
                </c:pt>
                <c:pt idx="186">
                  <c:v>2017</c:v>
                </c:pt>
                <c:pt idx="187">
                  <c:v>2017</c:v>
                </c:pt>
                <c:pt idx="188">
                  <c:v>2018</c:v>
                </c:pt>
                <c:pt idx="189">
                  <c:v>2018</c:v>
                </c:pt>
                <c:pt idx="190">
                  <c:v>2018</c:v>
                </c:pt>
                <c:pt idx="191">
                  <c:v>2018</c:v>
                </c:pt>
                <c:pt idx="192">
                  <c:v>2018</c:v>
                </c:pt>
                <c:pt idx="193">
                  <c:v>2018</c:v>
                </c:pt>
                <c:pt idx="194">
                  <c:v>2018</c:v>
                </c:pt>
                <c:pt idx="195">
                  <c:v>2018</c:v>
                </c:pt>
                <c:pt idx="196">
                  <c:v>2018</c:v>
                </c:pt>
                <c:pt idx="197">
                  <c:v>2018</c:v>
                </c:pt>
                <c:pt idx="198">
                  <c:v>2018</c:v>
                </c:pt>
                <c:pt idx="199">
                  <c:v>2018</c:v>
                </c:pt>
                <c:pt idx="200">
                  <c:v>2019</c:v>
                </c:pt>
                <c:pt idx="201">
                  <c:v>2019</c:v>
                </c:pt>
                <c:pt idx="202">
                  <c:v>2019</c:v>
                </c:pt>
                <c:pt idx="203">
                  <c:v>2019</c:v>
                </c:pt>
                <c:pt idx="204">
                  <c:v>2019</c:v>
                </c:pt>
                <c:pt idx="205">
                  <c:v>2019</c:v>
                </c:pt>
                <c:pt idx="206">
                  <c:v>2019</c:v>
                </c:pt>
                <c:pt idx="207">
                  <c:v>2019</c:v>
                </c:pt>
                <c:pt idx="208">
                  <c:v>2019</c:v>
                </c:pt>
                <c:pt idx="209">
                  <c:v>2019</c:v>
                </c:pt>
                <c:pt idx="210">
                  <c:v>2019</c:v>
                </c:pt>
                <c:pt idx="211">
                  <c:v>2019</c:v>
                </c:pt>
                <c:pt idx="212">
                  <c:v>2020</c:v>
                </c:pt>
                <c:pt idx="213">
                  <c:v>2020</c:v>
                </c:pt>
                <c:pt idx="214">
                  <c:v>2020</c:v>
                </c:pt>
                <c:pt idx="215">
                  <c:v>2020</c:v>
                </c:pt>
                <c:pt idx="216">
                  <c:v>2020</c:v>
                </c:pt>
                <c:pt idx="217">
                  <c:v>2020</c:v>
                </c:pt>
                <c:pt idx="218">
                  <c:v>2020</c:v>
                </c:pt>
                <c:pt idx="219">
                  <c:v>2020</c:v>
                </c:pt>
                <c:pt idx="220">
                  <c:v>2020</c:v>
                </c:pt>
                <c:pt idx="221">
                  <c:v>2020</c:v>
                </c:pt>
                <c:pt idx="222">
                  <c:v>2020</c:v>
                </c:pt>
                <c:pt idx="223">
                  <c:v>2020</c:v>
                </c:pt>
                <c:pt idx="224">
                  <c:v>2021</c:v>
                </c:pt>
                <c:pt idx="225">
                  <c:v>2021</c:v>
                </c:pt>
                <c:pt idx="226">
                  <c:v>2021</c:v>
                </c:pt>
                <c:pt idx="227">
                  <c:v>2021</c:v>
                </c:pt>
                <c:pt idx="228">
                  <c:v>2021</c:v>
                </c:pt>
                <c:pt idx="229">
                  <c:v>2021</c:v>
                </c:pt>
                <c:pt idx="230">
                  <c:v>2021</c:v>
                </c:pt>
                <c:pt idx="231">
                  <c:v>2021</c:v>
                </c:pt>
                <c:pt idx="232">
                  <c:v>2021</c:v>
                </c:pt>
                <c:pt idx="233">
                  <c:v>2021</c:v>
                </c:pt>
                <c:pt idx="234">
                  <c:v>2021</c:v>
                </c:pt>
                <c:pt idx="235">
                  <c:v>2021</c:v>
                </c:pt>
                <c:pt idx="236">
                  <c:v>2022</c:v>
                </c:pt>
                <c:pt idx="237">
                  <c:v>2022</c:v>
                </c:pt>
                <c:pt idx="238">
                  <c:v>2022</c:v>
                </c:pt>
                <c:pt idx="239">
                  <c:v>2022</c:v>
                </c:pt>
                <c:pt idx="240">
                  <c:v>2022</c:v>
                </c:pt>
                <c:pt idx="241">
                  <c:v>2022</c:v>
                </c:pt>
                <c:pt idx="242">
                  <c:v>2022</c:v>
                </c:pt>
                <c:pt idx="243">
                  <c:v>2022</c:v>
                </c:pt>
                <c:pt idx="244">
                  <c:v>2022</c:v>
                </c:pt>
                <c:pt idx="245">
                  <c:v>2022</c:v>
                </c:pt>
                <c:pt idx="246">
                  <c:v>2022</c:v>
                </c:pt>
                <c:pt idx="247">
                  <c:v>2022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2023</c:v>
                </c:pt>
                <c:pt idx="253">
                  <c:v>2023</c:v>
                </c:pt>
                <c:pt idx="254">
                  <c:v>2023</c:v>
                </c:pt>
                <c:pt idx="255">
                  <c:v>2023</c:v>
                </c:pt>
                <c:pt idx="256">
                  <c:v>2023</c:v>
                </c:pt>
                <c:pt idx="257">
                  <c:v>2023</c:v>
                </c:pt>
                <c:pt idx="258">
                  <c:v>2023</c:v>
                </c:pt>
                <c:pt idx="259">
                  <c:v>2023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2025</c:v>
                </c:pt>
                <c:pt idx="273">
                  <c:v>2025</c:v>
                </c:pt>
                <c:pt idx="274">
                  <c:v>2025</c:v>
                </c:pt>
                <c:pt idx="275">
                  <c:v>2025</c:v>
                </c:pt>
                <c:pt idx="276">
                  <c:v>2025</c:v>
                </c:pt>
                <c:pt idx="277">
                  <c:v>2025</c:v>
                </c:pt>
                <c:pt idx="278">
                  <c:v>2025</c:v>
                </c:pt>
                <c:pt idx="279">
                  <c:v>2025</c:v>
                </c:pt>
                <c:pt idx="280">
                  <c:v>2025</c:v>
                </c:pt>
                <c:pt idx="281">
                  <c:v>2025</c:v>
                </c:pt>
                <c:pt idx="282">
                  <c:v>2025</c:v>
                </c:pt>
                <c:pt idx="283">
                  <c:v>2025</c:v>
                </c:pt>
              </c:numCache>
            </c:numRef>
          </c:cat>
          <c:val>
            <c:numRef>
              <c:f>'Simulateur sur Avg'!$G$6:$G$289</c:f>
              <c:numCache>
                <c:formatCode>_-* #\ ##0.0_-;\-* #\ ##0.0_-;_-* "-"??_-;_-@_-</c:formatCode>
                <c:ptCount val="2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87.75</c:v>
                </c:pt>
                <c:pt idx="228">
                  <c:v>95</c:v>
                </c:pt>
                <c:pt idx="229">
                  <c:v>117.5</c:v>
                </c:pt>
                <c:pt idx="230">
                  <c:v>133</c:v>
                </c:pt>
                <c:pt idx="231">
                  <c:v>139</c:v>
                </c:pt>
                <c:pt idx="232">
                  <c:v>163</c:v>
                </c:pt>
                <c:pt idx="233">
                  <c:v>168</c:v>
                </c:pt>
                <c:pt idx="234">
                  <c:v>158.75</c:v>
                </c:pt>
                <c:pt idx="235">
                  <c:v>141.25</c:v>
                </c:pt>
                <c:pt idx="236">
                  <c:v>140</c:v>
                </c:pt>
                <c:pt idx="237">
                  <c:v>135.75</c:v>
                </c:pt>
                <c:pt idx="238">
                  <c:v>129.6</c:v>
                </c:pt>
                <c:pt idx="239">
                  <c:v>137.5</c:v>
                </c:pt>
                <c:pt idx="240">
                  <c:v>146.25</c:v>
                </c:pt>
                <c:pt idx="241">
                  <c:v>143</c:v>
                </c:pt>
                <c:pt idx="242">
                  <c:v>117.5</c:v>
                </c:pt>
                <c:pt idx="243">
                  <c:v>57.5</c:v>
                </c:pt>
                <c:pt idx="244">
                  <c:v>14</c:v>
                </c:pt>
                <c:pt idx="245">
                  <c:v>13.75</c:v>
                </c:pt>
                <c:pt idx="246">
                  <c:v>17.25</c:v>
                </c:pt>
                <c:pt idx="247">
                  <c:v>16.5</c:v>
                </c:pt>
                <c:pt idx="248">
                  <c:v>15</c:v>
                </c:pt>
                <c:pt idx="249">
                  <c:v>7.75</c:v>
                </c:pt>
                <c:pt idx="250">
                  <c:v>0.6</c:v>
                </c:pt>
                <c:pt idx="251">
                  <c:v>3</c:v>
                </c:pt>
                <c:pt idx="252">
                  <c:v>4.5</c:v>
                </c:pt>
                <c:pt idx="253">
                  <c:v>3</c:v>
                </c:pt>
                <c:pt idx="254">
                  <c:v>-3.75</c:v>
                </c:pt>
                <c:pt idx="255">
                  <c:v>7</c:v>
                </c:pt>
                <c:pt idx="256">
                  <c:v>34.5</c:v>
                </c:pt>
                <c:pt idx="257">
                  <c:v>41.75</c:v>
                </c:pt>
                <c:pt idx="258">
                  <c:v>34.4</c:v>
                </c:pt>
                <c:pt idx="259">
                  <c:v>23</c:v>
                </c:pt>
                <c:pt idx="260">
                  <c:v>14.75</c:v>
                </c:pt>
                <c:pt idx="261">
                  <c:v>10.6</c:v>
                </c:pt>
                <c:pt idx="262">
                  <c:v>13</c:v>
                </c:pt>
                <c:pt idx="263">
                  <c:v>24</c:v>
                </c:pt>
                <c:pt idx="264">
                  <c:v>24.4</c:v>
                </c:pt>
                <c:pt idx="265">
                  <c:v>29</c:v>
                </c:pt>
                <c:pt idx="266">
                  <c:v>38.75</c:v>
                </c:pt>
                <c:pt idx="267">
                  <c:v>53</c:v>
                </c:pt>
                <c:pt idx="268">
                  <c:v>50.25</c:v>
                </c:pt>
                <c:pt idx="269">
                  <c:v>51.6</c:v>
                </c:pt>
                <c:pt idx="270">
                  <c:v>54.5</c:v>
                </c:pt>
                <c:pt idx="271">
                  <c:v>51.666666666666664</c:v>
                </c:pt>
                <c:pt idx="272">
                  <c:v>52.4</c:v>
                </c:pt>
                <c:pt idx="273">
                  <c:v>53</c:v>
                </c:pt>
                <c:pt idx="274">
                  <c:v>65.5</c:v>
                </c:pt>
                <c:pt idx="275">
                  <c:v>72.75</c:v>
                </c:pt>
                <c:pt idx="276">
                  <c:v>74.2</c:v>
                </c:pt>
                <c:pt idx="277">
                  <c:v>89.75</c:v>
                </c:pt>
                <c:pt idx="278">
                  <c:v>94.2</c:v>
                </c:pt>
                <c:pt idx="279">
                  <c:v>96</c:v>
                </c:pt>
                <c:pt idx="280">
                  <c:v>76</c:v>
                </c:pt>
                <c:pt idx="281">
                  <c:v>79.2</c:v>
                </c:pt>
                <c:pt idx="282">
                  <c:v>105.75</c:v>
                </c:pt>
                <c:pt idx="283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21-470D-AAFA-1477C4782627}"/>
            </c:ext>
          </c:extLst>
        </c:ser>
        <c:ser>
          <c:idx val="6"/>
          <c:order val="3"/>
          <c:tx>
            <c:strRef>
              <c:f>'Simulateur sur Avg'!$H$5</c:f>
              <c:strCache>
                <c:ptCount val="1"/>
                <c:pt idx="0">
                  <c:v> ACS CFR North Africa Spot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'Simulateur sur Avg'!$B$6:$B$289</c:f>
              <c:numCache>
                <c:formatCode>General</c:formatCode>
                <c:ptCount val="284"/>
                <c:pt idx="0">
                  <c:v>2002</c:v>
                </c:pt>
                <c:pt idx="1">
                  <c:v>2002</c:v>
                </c:pt>
                <c:pt idx="2">
                  <c:v>2002</c:v>
                </c:pt>
                <c:pt idx="3">
                  <c:v>2002</c:v>
                </c:pt>
                <c:pt idx="4">
                  <c:v>2002</c:v>
                </c:pt>
                <c:pt idx="5">
                  <c:v>2002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2003</c:v>
                </c:pt>
                <c:pt idx="10">
                  <c:v>2003</c:v>
                </c:pt>
                <c:pt idx="11">
                  <c:v>2003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2003</c:v>
                </c:pt>
                <c:pt idx="17">
                  <c:v>2003</c:v>
                </c:pt>
                <c:pt idx="18">
                  <c:v>2003</c:v>
                </c:pt>
                <c:pt idx="19">
                  <c:v>2003</c:v>
                </c:pt>
                <c:pt idx="20">
                  <c:v>2004</c:v>
                </c:pt>
                <c:pt idx="21">
                  <c:v>2004</c:v>
                </c:pt>
                <c:pt idx="22">
                  <c:v>2004</c:v>
                </c:pt>
                <c:pt idx="23">
                  <c:v>2004</c:v>
                </c:pt>
                <c:pt idx="24">
                  <c:v>2004</c:v>
                </c:pt>
                <c:pt idx="25">
                  <c:v>2004</c:v>
                </c:pt>
                <c:pt idx="26">
                  <c:v>2004</c:v>
                </c:pt>
                <c:pt idx="27">
                  <c:v>2004</c:v>
                </c:pt>
                <c:pt idx="28">
                  <c:v>2004</c:v>
                </c:pt>
                <c:pt idx="29">
                  <c:v>2004</c:v>
                </c:pt>
                <c:pt idx="30">
                  <c:v>2004</c:v>
                </c:pt>
                <c:pt idx="31">
                  <c:v>2004</c:v>
                </c:pt>
                <c:pt idx="32">
                  <c:v>2005</c:v>
                </c:pt>
                <c:pt idx="33">
                  <c:v>2005</c:v>
                </c:pt>
                <c:pt idx="34">
                  <c:v>2005</c:v>
                </c:pt>
                <c:pt idx="35">
                  <c:v>2005</c:v>
                </c:pt>
                <c:pt idx="36">
                  <c:v>2005</c:v>
                </c:pt>
                <c:pt idx="37">
                  <c:v>2005</c:v>
                </c:pt>
                <c:pt idx="38">
                  <c:v>2005</c:v>
                </c:pt>
                <c:pt idx="39">
                  <c:v>2005</c:v>
                </c:pt>
                <c:pt idx="40">
                  <c:v>2005</c:v>
                </c:pt>
                <c:pt idx="41">
                  <c:v>2005</c:v>
                </c:pt>
                <c:pt idx="42">
                  <c:v>2005</c:v>
                </c:pt>
                <c:pt idx="43">
                  <c:v>2005</c:v>
                </c:pt>
                <c:pt idx="44">
                  <c:v>2006</c:v>
                </c:pt>
                <c:pt idx="45">
                  <c:v>2006</c:v>
                </c:pt>
                <c:pt idx="46">
                  <c:v>2006</c:v>
                </c:pt>
                <c:pt idx="47">
                  <c:v>2006</c:v>
                </c:pt>
                <c:pt idx="48">
                  <c:v>2006</c:v>
                </c:pt>
                <c:pt idx="49">
                  <c:v>2006</c:v>
                </c:pt>
                <c:pt idx="50">
                  <c:v>2006</c:v>
                </c:pt>
                <c:pt idx="51">
                  <c:v>2006</c:v>
                </c:pt>
                <c:pt idx="52">
                  <c:v>2006</c:v>
                </c:pt>
                <c:pt idx="53">
                  <c:v>2006</c:v>
                </c:pt>
                <c:pt idx="54">
                  <c:v>2006</c:v>
                </c:pt>
                <c:pt idx="55">
                  <c:v>2006</c:v>
                </c:pt>
                <c:pt idx="56">
                  <c:v>2007</c:v>
                </c:pt>
                <c:pt idx="57">
                  <c:v>2007</c:v>
                </c:pt>
                <c:pt idx="58">
                  <c:v>2007</c:v>
                </c:pt>
                <c:pt idx="59">
                  <c:v>2007</c:v>
                </c:pt>
                <c:pt idx="60">
                  <c:v>2007</c:v>
                </c:pt>
                <c:pt idx="61">
                  <c:v>2007</c:v>
                </c:pt>
                <c:pt idx="62">
                  <c:v>2007</c:v>
                </c:pt>
                <c:pt idx="63">
                  <c:v>2007</c:v>
                </c:pt>
                <c:pt idx="64">
                  <c:v>2007</c:v>
                </c:pt>
                <c:pt idx="65">
                  <c:v>2007</c:v>
                </c:pt>
                <c:pt idx="66">
                  <c:v>2007</c:v>
                </c:pt>
                <c:pt idx="67">
                  <c:v>2007</c:v>
                </c:pt>
                <c:pt idx="68">
                  <c:v>2008</c:v>
                </c:pt>
                <c:pt idx="69">
                  <c:v>2008</c:v>
                </c:pt>
                <c:pt idx="70">
                  <c:v>2008</c:v>
                </c:pt>
                <c:pt idx="71">
                  <c:v>2008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2008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2009</c:v>
                </c:pt>
                <c:pt idx="87">
                  <c:v>2009</c:v>
                </c:pt>
                <c:pt idx="88">
                  <c:v>2009</c:v>
                </c:pt>
                <c:pt idx="89">
                  <c:v>2009</c:v>
                </c:pt>
                <c:pt idx="90">
                  <c:v>2009</c:v>
                </c:pt>
                <c:pt idx="91">
                  <c:v>2009</c:v>
                </c:pt>
                <c:pt idx="92">
                  <c:v>2010</c:v>
                </c:pt>
                <c:pt idx="93">
                  <c:v>2010</c:v>
                </c:pt>
                <c:pt idx="94">
                  <c:v>2010</c:v>
                </c:pt>
                <c:pt idx="95">
                  <c:v>2010</c:v>
                </c:pt>
                <c:pt idx="96">
                  <c:v>2010</c:v>
                </c:pt>
                <c:pt idx="97">
                  <c:v>2010</c:v>
                </c:pt>
                <c:pt idx="98">
                  <c:v>2010</c:v>
                </c:pt>
                <c:pt idx="99">
                  <c:v>2010</c:v>
                </c:pt>
                <c:pt idx="100">
                  <c:v>2010</c:v>
                </c:pt>
                <c:pt idx="101">
                  <c:v>2010</c:v>
                </c:pt>
                <c:pt idx="102">
                  <c:v>2010</c:v>
                </c:pt>
                <c:pt idx="103">
                  <c:v>2010</c:v>
                </c:pt>
                <c:pt idx="104">
                  <c:v>2011</c:v>
                </c:pt>
                <c:pt idx="105">
                  <c:v>2011</c:v>
                </c:pt>
                <c:pt idx="106">
                  <c:v>2011</c:v>
                </c:pt>
                <c:pt idx="107">
                  <c:v>2011</c:v>
                </c:pt>
                <c:pt idx="108">
                  <c:v>2011</c:v>
                </c:pt>
                <c:pt idx="109">
                  <c:v>2011</c:v>
                </c:pt>
                <c:pt idx="110">
                  <c:v>2011</c:v>
                </c:pt>
                <c:pt idx="111">
                  <c:v>2011</c:v>
                </c:pt>
                <c:pt idx="112">
                  <c:v>2011</c:v>
                </c:pt>
                <c:pt idx="113">
                  <c:v>2011</c:v>
                </c:pt>
                <c:pt idx="114">
                  <c:v>2011</c:v>
                </c:pt>
                <c:pt idx="115">
                  <c:v>2011</c:v>
                </c:pt>
                <c:pt idx="116">
                  <c:v>2012</c:v>
                </c:pt>
                <c:pt idx="117">
                  <c:v>2012</c:v>
                </c:pt>
                <c:pt idx="118">
                  <c:v>2012</c:v>
                </c:pt>
                <c:pt idx="119">
                  <c:v>2012</c:v>
                </c:pt>
                <c:pt idx="120">
                  <c:v>2012</c:v>
                </c:pt>
                <c:pt idx="121">
                  <c:v>2012</c:v>
                </c:pt>
                <c:pt idx="122">
                  <c:v>2012</c:v>
                </c:pt>
                <c:pt idx="123">
                  <c:v>2012</c:v>
                </c:pt>
                <c:pt idx="124">
                  <c:v>2012</c:v>
                </c:pt>
                <c:pt idx="125">
                  <c:v>2012</c:v>
                </c:pt>
                <c:pt idx="126">
                  <c:v>2012</c:v>
                </c:pt>
                <c:pt idx="127">
                  <c:v>2012</c:v>
                </c:pt>
                <c:pt idx="128">
                  <c:v>2013</c:v>
                </c:pt>
                <c:pt idx="129">
                  <c:v>2013</c:v>
                </c:pt>
                <c:pt idx="130">
                  <c:v>2013</c:v>
                </c:pt>
                <c:pt idx="131">
                  <c:v>2013</c:v>
                </c:pt>
                <c:pt idx="132">
                  <c:v>2013</c:v>
                </c:pt>
                <c:pt idx="133">
                  <c:v>2013</c:v>
                </c:pt>
                <c:pt idx="134">
                  <c:v>2013</c:v>
                </c:pt>
                <c:pt idx="135">
                  <c:v>2013</c:v>
                </c:pt>
                <c:pt idx="136">
                  <c:v>2013</c:v>
                </c:pt>
                <c:pt idx="137">
                  <c:v>2013</c:v>
                </c:pt>
                <c:pt idx="138">
                  <c:v>2013</c:v>
                </c:pt>
                <c:pt idx="139">
                  <c:v>2013</c:v>
                </c:pt>
                <c:pt idx="140">
                  <c:v>2014</c:v>
                </c:pt>
                <c:pt idx="141">
                  <c:v>2014</c:v>
                </c:pt>
                <c:pt idx="142">
                  <c:v>2014</c:v>
                </c:pt>
                <c:pt idx="143">
                  <c:v>2014</c:v>
                </c:pt>
                <c:pt idx="144">
                  <c:v>2014</c:v>
                </c:pt>
                <c:pt idx="145">
                  <c:v>2014</c:v>
                </c:pt>
                <c:pt idx="146">
                  <c:v>2014</c:v>
                </c:pt>
                <c:pt idx="147">
                  <c:v>2014</c:v>
                </c:pt>
                <c:pt idx="148">
                  <c:v>2014</c:v>
                </c:pt>
                <c:pt idx="149">
                  <c:v>2014</c:v>
                </c:pt>
                <c:pt idx="150">
                  <c:v>2014</c:v>
                </c:pt>
                <c:pt idx="151">
                  <c:v>2014</c:v>
                </c:pt>
                <c:pt idx="152">
                  <c:v>2015</c:v>
                </c:pt>
                <c:pt idx="153">
                  <c:v>2015</c:v>
                </c:pt>
                <c:pt idx="154">
                  <c:v>2015</c:v>
                </c:pt>
                <c:pt idx="155">
                  <c:v>2015</c:v>
                </c:pt>
                <c:pt idx="156">
                  <c:v>2015</c:v>
                </c:pt>
                <c:pt idx="157">
                  <c:v>2015</c:v>
                </c:pt>
                <c:pt idx="158">
                  <c:v>2015</c:v>
                </c:pt>
                <c:pt idx="159">
                  <c:v>2015</c:v>
                </c:pt>
                <c:pt idx="160">
                  <c:v>2015</c:v>
                </c:pt>
                <c:pt idx="161">
                  <c:v>2015</c:v>
                </c:pt>
                <c:pt idx="162">
                  <c:v>2015</c:v>
                </c:pt>
                <c:pt idx="163">
                  <c:v>2015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2017</c:v>
                </c:pt>
                <c:pt idx="177">
                  <c:v>2017</c:v>
                </c:pt>
                <c:pt idx="178">
                  <c:v>2017</c:v>
                </c:pt>
                <c:pt idx="179">
                  <c:v>2017</c:v>
                </c:pt>
                <c:pt idx="180">
                  <c:v>2017</c:v>
                </c:pt>
                <c:pt idx="181">
                  <c:v>2017</c:v>
                </c:pt>
                <c:pt idx="182">
                  <c:v>2017</c:v>
                </c:pt>
                <c:pt idx="183">
                  <c:v>2017</c:v>
                </c:pt>
                <c:pt idx="184">
                  <c:v>2017</c:v>
                </c:pt>
                <c:pt idx="185">
                  <c:v>2017</c:v>
                </c:pt>
                <c:pt idx="186">
                  <c:v>2017</c:v>
                </c:pt>
                <c:pt idx="187">
                  <c:v>2017</c:v>
                </c:pt>
                <c:pt idx="188">
                  <c:v>2018</c:v>
                </c:pt>
                <c:pt idx="189">
                  <c:v>2018</c:v>
                </c:pt>
                <c:pt idx="190">
                  <c:v>2018</c:v>
                </c:pt>
                <c:pt idx="191">
                  <c:v>2018</c:v>
                </c:pt>
                <c:pt idx="192">
                  <c:v>2018</c:v>
                </c:pt>
                <c:pt idx="193">
                  <c:v>2018</c:v>
                </c:pt>
                <c:pt idx="194">
                  <c:v>2018</c:v>
                </c:pt>
                <c:pt idx="195">
                  <c:v>2018</c:v>
                </c:pt>
                <c:pt idx="196">
                  <c:v>2018</c:v>
                </c:pt>
                <c:pt idx="197">
                  <c:v>2018</c:v>
                </c:pt>
                <c:pt idx="198">
                  <c:v>2018</c:v>
                </c:pt>
                <c:pt idx="199">
                  <c:v>2018</c:v>
                </c:pt>
                <c:pt idx="200">
                  <c:v>2019</c:v>
                </c:pt>
                <c:pt idx="201">
                  <c:v>2019</c:v>
                </c:pt>
                <c:pt idx="202">
                  <c:v>2019</c:v>
                </c:pt>
                <c:pt idx="203">
                  <c:v>2019</c:v>
                </c:pt>
                <c:pt idx="204">
                  <c:v>2019</c:v>
                </c:pt>
                <c:pt idx="205">
                  <c:v>2019</c:v>
                </c:pt>
                <c:pt idx="206">
                  <c:v>2019</c:v>
                </c:pt>
                <c:pt idx="207">
                  <c:v>2019</c:v>
                </c:pt>
                <c:pt idx="208">
                  <c:v>2019</c:v>
                </c:pt>
                <c:pt idx="209">
                  <c:v>2019</c:v>
                </c:pt>
                <c:pt idx="210">
                  <c:v>2019</c:v>
                </c:pt>
                <c:pt idx="211">
                  <c:v>2019</c:v>
                </c:pt>
                <c:pt idx="212">
                  <c:v>2020</c:v>
                </c:pt>
                <c:pt idx="213">
                  <c:v>2020</c:v>
                </c:pt>
                <c:pt idx="214">
                  <c:v>2020</c:v>
                </c:pt>
                <c:pt idx="215">
                  <c:v>2020</c:v>
                </c:pt>
                <c:pt idx="216">
                  <c:v>2020</c:v>
                </c:pt>
                <c:pt idx="217">
                  <c:v>2020</c:v>
                </c:pt>
                <c:pt idx="218">
                  <c:v>2020</c:v>
                </c:pt>
                <c:pt idx="219">
                  <c:v>2020</c:v>
                </c:pt>
                <c:pt idx="220">
                  <c:v>2020</c:v>
                </c:pt>
                <c:pt idx="221">
                  <c:v>2020</c:v>
                </c:pt>
                <c:pt idx="222">
                  <c:v>2020</c:v>
                </c:pt>
                <c:pt idx="223">
                  <c:v>2020</c:v>
                </c:pt>
                <c:pt idx="224">
                  <c:v>2021</c:v>
                </c:pt>
                <c:pt idx="225">
                  <c:v>2021</c:v>
                </c:pt>
                <c:pt idx="226">
                  <c:v>2021</c:v>
                </c:pt>
                <c:pt idx="227">
                  <c:v>2021</c:v>
                </c:pt>
                <c:pt idx="228">
                  <c:v>2021</c:v>
                </c:pt>
                <c:pt idx="229">
                  <c:v>2021</c:v>
                </c:pt>
                <c:pt idx="230">
                  <c:v>2021</c:v>
                </c:pt>
                <c:pt idx="231">
                  <c:v>2021</c:v>
                </c:pt>
                <c:pt idx="232">
                  <c:v>2021</c:v>
                </c:pt>
                <c:pt idx="233">
                  <c:v>2021</c:v>
                </c:pt>
                <c:pt idx="234">
                  <c:v>2021</c:v>
                </c:pt>
                <c:pt idx="235">
                  <c:v>2021</c:v>
                </c:pt>
                <c:pt idx="236">
                  <c:v>2022</c:v>
                </c:pt>
                <c:pt idx="237">
                  <c:v>2022</c:v>
                </c:pt>
                <c:pt idx="238">
                  <c:v>2022</c:v>
                </c:pt>
                <c:pt idx="239">
                  <c:v>2022</c:v>
                </c:pt>
                <c:pt idx="240">
                  <c:v>2022</c:v>
                </c:pt>
                <c:pt idx="241">
                  <c:v>2022</c:v>
                </c:pt>
                <c:pt idx="242">
                  <c:v>2022</c:v>
                </c:pt>
                <c:pt idx="243">
                  <c:v>2022</c:v>
                </c:pt>
                <c:pt idx="244">
                  <c:v>2022</c:v>
                </c:pt>
                <c:pt idx="245">
                  <c:v>2022</c:v>
                </c:pt>
                <c:pt idx="246">
                  <c:v>2022</c:v>
                </c:pt>
                <c:pt idx="247">
                  <c:v>2022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2023</c:v>
                </c:pt>
                <c:pt idx="253">
                  <c:v>2023</c:v>
                </c:pt>
                <c:pt idx="254">
                  <c:v>2023</c:v>
                </c:pt>
                <c:pt idx="255">
                  <c:v>2023</c:v>
                </c:pt>
                <c:pt idx="256">
                  <c:v>2023</c:v>
                </c:pt>
                <c:pt idx="257">
                  <c:v>2023</c:v>
                </c:pt>
                <c:pt idx="258">
                  <c:v>2023</c:v>
                </c:pt>
                <c:pt idx="259">
                  <c:v>2023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2025</c:v>
                </c:pt>
                <c:pt idx="273">
                  <c:v>2025</c:v>
                </c:pt>
                <c:pt idx="274">
                  <c:v>2025</c:v>
                </c:pt>
                <c:pt idx="275">
                  <c:v>2025</c:v>
                </c:pt>
                <c:pt idx="276">
                  <c:v>2025</c:v>
                </c:pt>
                <c:pt idx="277">
                  <c:v>2025</c:v>
                </c:pt>
                <c:pt idx="278">
                  <c:v>2025</c:v>
                </c:pt>
                <c:pt idx="279">
                  <c:v>2025</c:v>
                </c:pt>
                <c:pt idx="280">
                  <c:v>2025</c:v>
                </c:pt>
                <c:pt idx="281">
                  <c:v>2025</c:v>
                </c:pt>
                <c:pt idx="282">
                  <c:v>2025</c:v>
                </c:pt>
                <c:pt idx="283">
                  <c:v>2025</c:v>
                </c:pt>
              </c:numCache>
            </c:numRef>
          </c:cat>
          <c:val>
            <c:numRef>
              <c:f>'Simulateur sur Avg'!$H$3:$H$289</c:f>
              <c:numCache>
                <c:formatCode>_-* #\ ##0.0_-;\-* #\ ##0.0_-;_-* "-"??_-;_-@_-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90</c:v>
                </c:pt>
                <c:pt idx="259">
                  <c:v>90</c:v>
                </c:pt>
                <c:pt idx="260">
                  <c:v>100</c:v>
                </c:pt>
                <c:pt idx="261">
                  <c:v>100</c:v>
                </c:pt>
                <c:pt idx="262">
                  <c:v>95</c:v>
                </c:pt>
                <c:pt idx="263">
                  <c:v>83.5</c:v>
                </c:pt>
                <c:pt idx="264">
                  <c:v>80</c:v>
                </c:pt>
                <c:pt idx="265">
                  <c:v>81.5</c:v>
                </c:pt>
                <c:pt idx="266">
                  <c:v>105</c:v>
                </c:pt>
                <c:pt idx="267">
                  <c:v>120</c:v>
                </c:pt>
                <c:pt idx="268">
                  <c:v>122.5</c:v>
                </c:pt>
                <c:pt idx="269">
                  <c:v>125</c:v>
                </c:pt>
                <c:pt idx="270">
                  <c:v>125</c:v>
                </c:pt>
                <c:pt idx="271">
                  <c:v>127.5</c:v>
                </c:pt>
                <c:pt idx="272">
                  <c:v>138</c:v>
                </c:pt>
                <c:pt idx="273">
                  <c:v>150</c:v>
                </c:pt>
                <c:pt idx="274">
                  <c:v>150</c:v>
                </c:pt>
                <c:pt idx="275">
                  <c:v>150</c:v>
                </c:pt>
                <c:pt idx="276">
                  <c:v>150</c:v>
                </c:pt>
                <c:pt idx="277">
                  <c:v>117.5</c:v>
                </c:pt>
                <c:pt idx="278">
                  <c:v>121.25</c:v>
                </c:pt>
                <c:pt idx="279">
                  <c:v>153</c:v>
                </c:pt>
                <c:pt idx="280">
                  <c:v>160</c:v>
                </c:pt>
                <c:pt idx="281">
                  <c:v>170</c:v>
                </c:pt>
                <c:pt idx="282">
                  <c:v>165</c:v>
                </c:pt>
                <c:pt idx="283">
                  <c:v>130</c:v>
                </c:pt>
                <c:pt idx="284">
                  <c:v>130</c:v>
                </c:pt>
                <c:pt idx="285">
                  <c:v>132.5</c:v>
                </c:pt>
                <c:pt idx="286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21-470D-AAFA-1477C4782627}"/>
            </c:ext>
          </c:extLst>
        </c:ser>
        <c:ser>
          <c:idx val="7"/>
          <c:order val="4"/>
          <c:tx>
            <c:strRef>
              <c:f>'Simulateur sur Avg'!$I$5</c:f>
              <c:strCache>
                <c:ptCount val="1"/>
                <c:pt idx="0">
                  <c:v> Sulphur Bulk FOB Middle East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'Simulateur sur Avg'!$B$6:$B$289</c:f>
              <c:numCache>
                <c:formatCode>General</c:formatCode>
                <c:ptCount val="284"/>
                <c:pt idx="0">
                  <c:v>2002</c:v>
                </c:pt>
                <c:pt idx="1">
                  <c:v>2002</c:v>
                </c:pt>
                <c:pt idx="2">
                  <c:v>2002</c:v>
                </c:pt>
                <c:pt idx="3">
                  <c:v>2002</c:v>
                </c:pt>
                <c:pt idx="4">
                  <c:v>2002</c:v>
                </c:pt>
                <c:pt idx="5">
                  <c:v>2002</c:v>
                </c:pt>
                <c:pt idx="6">
                  <c:v>2002</c:v>
                </c:pt>
                <c:pt idx="7">
                  <c:v>2002</c:v>
                </c:pt>
                <c:pt idx="8">
                  <c:v>2003</c:v>
                </c:pt>
                <c:pt idx="9">
                  <c:v>2003</c:v>
                </c:pt>
                <c:pt idx="10">
                  <c:v>2003</c:v>
                </c:pt>
                <c:pt idx="11">
                  <c:v>2003</c:v>
                </c:pt>
                <c:pt idx="12">
                  <c:v>2003</c:v>
                </c:pt>
                <c:pt idx="13">
                  <c:v>2003</c:v>
                </c:pt>
                <c:pt idx="14">
                  <c:v>2003</c:v>
                </c:pt>
                <c:pt idx="15">
                  <c:v>2003</c:v>
                </c:pt>
                <c:pt idx="16">
                  <c:v>2003</c:v>
                </c:pt>
                <c:pt idx="17">
                  <c:v>2003</c:v>
                </c:pt>
                <c:pt idx="18">
                  <c:v>2003</c:v>
                </c:pt>
                <c:pt idx="19">
                  <c:v>2003</c:v>
                </c:pt>
                <c:pt idx="20">
                  <c:v>2004</c:v>
                </c:pt>
                <c:pt idx="21">
                  <c:v>2004</c:v>
                </c:pt>
                <c:pt idx="22">
                  <c:v>2004</c:v>
                </c:pt>
                <c:pt idx="23">
                  <c:v>2004</c:v>
                </c:pt>
                <c:pt idx="24">
                  <c:v>2004</c:v>
                </c:pt>
                <c:pt idx="25">
                  <c:v>2004</c:v>
                </c:pt>
                <c:pt idx="26">
                  <c:v>2004</c:v>
                </c:pt>
                <c:pt idx="27">
                  <c:v>2004</c:v>
                </c:pt>
                <c:pt idx="28">
                  <c:v>2004</c:v>
                </c:pt>
                <c:pt idx="29">
                  <c:v>2004</c:v>
                </c:pt>
                <c:pt idx="30">
                  <c:v>2004</c:v>
                </c:pt>
                <c:pt idx="31">
                  <c:v>2004</c:v>
                </c:pt>
                <c:pt idx="32">
                  <c:v>2005</c:v>
                </c:pt>
                <c:pt idx="33">
                  <c:v>2005</c:v>
                </c:pt>
                <c:pt idx="34">
                  <c:v>2005</c:v>
                </c:pt>
                <c:pt idx="35">
                  <c:v>2005</c:v>
                </c:pt>
                <c:pt idx="36">
                  <c:v>2005</c:v>
                </c:pt>
                <c:pt idx="37">
                  <c:v>2005</c:v>
                </c:pt>
                <c:pt idx="38">
                  <c:v>2005</c:v>
                </c:pt>
                <c:pt idx="39">
                  <c:v>2005</c:v>
                </c:pt>
                <c:pt idx="40">
                  <c:v>2005</c:v>
                </c:pt>
                <c:pt idx="41">
                  <c:v>2005</c:v>
                </c:pt>
                <c:pt idx="42">
                  <c:v>2005</c:v>
                </c:pt>
                <c:pt idx="43">
                  <c:v>2005</c:v>
                </c:pt>
                <c:pt idx="44">
                  <c:v>2006</c:v>
                </c:pt>
                <c:pt idx="45">
                  <c:v>2006</c:v>
                </c:pt>
                <c:pt idx="46">
                  <c:v>2006</c:v>
                </c:pt>
                <c:pt idx="47">
                  <c:v>2006</c:v>
                </c:pt>
                <c:pt idx="48">
                  <c:v>2006</c:v>
                </c:pt>
                <c:pt idx="49">
                  <c:v>2006</c:v>
                </c:pt>
                <c:pt idx="50">
                  <c:v>2006</c:v>
                </c:pt>
                <c:pt idx="51">
                  <c:v>2006</c:v>
                </c:pt>
                <c:pt idx="52">
                  <c:v>2006</c:v>
                </c:pt>
                <c:pt idx="53">
                  <c:v>2006</c:v>
                </c:pt>
                <c:pt idx="54">
                  <c:v>2006</c:v>
                </c:pt>
                <c:pt idx="55">
                  <c:v>2006</c:v>
                </c:pt>
                <c:pt idx="56">
                  <c:v>2007</c:v>
                </c:pt>
                <c:pt idx="57">
                  <c:v>2007</c:v>
                </c:pt>
                <c:pt idx="58">
                  <c:v>2007</c:v>
                </c:pt>
                <c:pt idx="59">
                  <c:v>2007</c:v>
                </c:pt>
                <c:pt idx="60">
                  <c:v>2007</c:v>
                </c:pt>
                <c:pt idx="61">
                  <c:v>2007</c:v>
                </c:pt>
                <c:pt idx="62">
                  <c:v>2007</c:v>
                </c:pt>
                <c:pt idx="63">
                  <c:v>2007</c:v>
                </c:pt>
                <c:pt idx="64">
                  <c:v>2007</c:v>
                </c:pt>
                <c:pt idx="65">
                  <c:v>2007</c:v>
                </c:pt>
                <c:pt idx="66">
                  <c:v>2007</c:v>
                </c:pt>
                <c:pt idx="67">
                  <c:v>2007</c:v>
                </c:pt>
                <c:pt idx="68">
                  <c:v>2008</c:v>
                </c:pt>
                <c:pt idx="69">
                  <c:v>2008</c:v>
                </c:pt>
                <c:pt idx="70">
                  <c:v>2008</c:v>
                </c:pt>
                <c:pt idx="71">
                  <c:v>2008</c:v>
                </c:pt>
                <c:pt idx="72">
                  <c:v>2008</c:v>
                </c:pt>
                <c:pt idx="73">
                  <c:v>2008</c:v>
                </c:pt>
                <c:pt idx="74">
                  <c:v>2008</c:v>
                </c:pt>
                <c:pt idx="75">
                  <c:v>2008</c:v>
                </c:pt>
                <c:pt idx="76">
                  <c:v>2008</c:v>
                </c:pt>
                <c:pt idx="77">
                  <c:v>2008</c:v>
                </c:pt>
                <c:pt idx="78">
                  <c:v>2008</c:v>
                </c:pt>
                <c:pt idx="79">
                  <c:v>2008</c:v>
                </c:pt>
                <c:pt idx="80">
                  <c:v>2009</c:v>
                </c:pt>
                <c:pt idx="81">
                  <c:v>2009</c:v>
                </c:pt>
                <c:pt idx="82">
                  <c:v>2009</c:v>
                </c:pt>
                <c:pt idx="83">
                  <c:v>2009</c:v>
                </c:pt>
                <c:pt idx="84">
                  <c:v>2009</c:v>
                </c:pt>
                <c:pt idx="85">
                  <c:v>2009</c:v>
                </c:pt>
                <c:pt idx="86">
                  <c:v>2009</c:v>
                </c:pt>
                <c:pt idx="87">
                  <c:v>2009</c:v>
                </c:pt>
                <c:pt idx="88">
                  <c:v>2009</c:v>
                </c:pt>
                <c:pt idx="89">
                  <c:v>2009</c:v>
                </c:pt>
                <c:pt idx="90">
                  <c:v>2009</c:v>
                </c:pt>
                <c:pt idx="91">
                  <c:v>2009</c:v>
                </c:pt>
                <c:pt idx="92">
                  <c:v>2010</c:v>
                </c:pt>
                <c:pt idx="93">
                  <c:v>2010</c:v>
                </c:pt>
                <c:pt idx="94">
                  <c:v>2010</c:v>
                </c:pt>
                <c:pt idx="95">
                  <c:v>2010</c:v>
                </c:pt>
                <c:pt idx="96">
                  <c:v>2010</c:v>
                </c:pt>
                <c:pt idx="97">
                  <c:v>2010</c:v>
                </c:pt>
                <c:pt idx="98">
                  <c:v>2010</c:v>
                </c:pt>
                <c:pt idx="99">
                  <c:v>2010</c:v>
                </c:pt>
                <c:pt idx="100">
                  <c:v>2010</c:v>
                </c:pt>
                <c:pt idx="101">
                  <c:v>2010</c:v>
                </c:pt>
                <c:pt idx="102">
                  <c:v>2010</c:v>
                </c:pt>
                <c:pt idx="103">
                  <c:v>2010</c:v>
                </c:pt>
                <c:pt idx="104">
                  <c:v>2011</c:v>
                </c:pt>
                <c:pt idx="105">
                  <c:v>2011</c:v>
                </c:pt>
                <c:pt idx="106">
                  <c:v>2011</c:v>
                </c:pt>
                <c:pt idx="107">
                  <c:v>2011</c:v>
                </c:pt>
                <c:pt idx="108">
                  <c:v>2011</c:v>
                </c:pt>
                <c:pt idx="109">
                  <c:v>2011</c:v>
                </c:pt>
                <c:pt idx="110">
                  <c:v>2011</c:v>
                </c:pt>
                <c:pt idx="111">
                  <c:v>2011</c:v>
                </c:pt>
                <c:pt idx="112">
                  <c:v>2011</c:v>
                </c:pt>
                <c:pt idx="113">
                  <c:v>2011</c:v>
                </c:pt>
                <c:pt idx="114">
                  <c:v>2011</c:v>
                </c:pt>
                <c:pt idx="115">
                  <c:v>2011</c:v>
                </c:pt>
                <c:pt idx="116">
                  <c:v>2012</c:v>
                </c:pt>
                <c:pt idx="117">
                  <c:v>2012</c:v>
                </c:pt>
                <c:pt idx="118">
                  <c:v>2012</c:v>
                </c:pt>
                <c:pt idx="119">
                  <c:v>2012</c:v>
                </c:pt>
                <c:pt idx="120">
                  <c:v>2012</c:v>
                </c:pt>
                <c:pt idx="121">
                  <c:v>2012</c:v>
                </c:pt>
                <c:pt idx="122">
                  <c:v>2012</c:v>
                </c:pt>
                <c:pt idx="123">
                  <c:v>2012</c:v>
                </c:pt>
                <c:pt idx="124">
                  <c:v>2012</c:v>
                </c:pt>
                <c:pt idx="125">
                  <c:v>2012</c:v>
                </c:pt>
                <c:pt idx="126">
                  <c:v>2012</c:v>
                </c:pt>
                <c:pt idx="127">
                  <c:v>2012</c:v>
                </c:pt>
                <c:pt idx="128">
                  <c:v>2013</c:v>
                </c:pt>
                <c:pt idx="129">
                  <c:v>2013</c:v>
                </c:pt>
                <c:pt idx="130">
                  <c:v>2013</c:v>
                </c:pt>
                <c:pt idx="131">
                  <c:v>2013</c:v>
                </c:pt>
                <c:pt idx="132">
                  <c:v>2013</c:v>
                </c:pt>
                <c:pt idx="133">
                  <c:v>2013</c:v>
                </c:pt>
                <c:pt idx="134">
                  <c:v>2013</c:v>
                </c:pt>
                <c:pt idx="135">
                  <c:v>2013</c:v>
                </c:pt>
                <c:pt idx="136">
                  <c:v>2013</c:v>
                </c:pt>
                <c:pt idx="137">
                  <c:v>2013</c:v>
                </c:pt>
                <c:pt idx="138">
                  <c:v>2013</c:v>
                </c:pt>
                <c:pt idx="139">
                  <c:v>2013</c:v>
                </c:pt>
                <c:pt idx="140">
                  <c:v>2014</c:v>
                </c:pt>
                <c:pt idx="141">
                  <c:v>2014</c:v>
                </c:pt>
                <c:pt idx="142">
                  <c:v>2014</c:v>
                </c:pt>
                <c:pt idx="143">
                  <c:v>2014</c:v>
                </c:pt>
                <c:pt idx="144">
                  <c:v>2014</c:v>
                </c:pt>
                <c:pt idx="145">
                  <c:v>2014</c:v>
                </c:pt>
                <c:pt idx="146">
                  <c:v>2014</c:v>
                </c:pt>
                <c:pt idx="147">
                  <c:v>2014</c:v>
                </c:pt>
                <c:pt idx="148">
                  <c:v>2014</c:v>
                </c:pt>
                <c:pt idx="149">
                  <c:v>2014</c:v>
                </c:pt>
                <c:pt idx="150">
                  <c:v>2014</c:v>
                </c:pt>
                <c:pt idx="151">
                  <c:v>2014</c:v>
                </c:pt>
                <c:pt idx="152">
                  <c:v>2015</c:v>
                </c:pt>
                <c:pt idx="153">
                  <c:v>2015</c:v>
                </c:pt>
                <c:pt idx="154">
                  <c:v>2015</c:v>
                </c:pt>
                <c:pt idx="155">
                  <c:v>2015</c:v>
                </c:pt>
                <c:pt idx="156">
                  <c:v>2015</c:v>
                </c:pt>
                <c:pt idx="157">
                  <c:v>2015</c:v>
                </c:pt>
                <c:pt idx="158">
                  <c:v>2015</c:v>
                </c:pt>
                <c:pt idx="159">
                  <c:v>2015</c:v>
                </c:pt>
                <c:pt idx="160">
                  <c:v>2015</c:v>
                </c:pt>
                <c:pt idx="161">
                  <c:v>2015</c:v>
                </c:pt>
                <c:pt idx="162">
                  <c:v>2015</c:v>
                </c:pt>
                <c:pt idx="163">
                  <c:v>2015</c:v>
                </c:pt>
                <c:pt idx="164">
                  <c:v>2016</c:v>
                </c:pt>
                <c:pt idx="165">
                  <c:v>2016</c:v>
                </c:pt>
                <c:pt idx="166">
                  <c:v>2016</c:v>
                </c:pt>
                <c:pt idx="167">
                  <c:v>2016</c:v>
                </c:pt>
                <c:pt idx="168">
                  <c:v>2016</c:v>
                </c:pt>
                <c:pt idx="169">
                  <c:v>2016</c:v>
                </c:pt>
                <c:pt idx="170">
                  <c:v>2016</c:v>
                </c:pt>
                <c:pt idx="171">
                  <c:v>2016</c:v>
                </c:pt>
                <c:pt idx="172">
                  <c:v>2016</c:v>
                </c:pt>
                <c:pt idx="173">
                  <c:v>2016</c:v>
                </c:pt>
                <c:pt idx="174">
                  <c:v>2016</c:v>
                </c:pt>
                <c:pt idx="175">
                  <c:v>2016</c:v>
                </c:pt>
                <c:pt idx="176">
                  <c:v>2017</c:v>
                </c:pt>
                <c:pt idx="177">
                  <c:v>2017</c:v>
                </c:pt>
                <c:pt idx="178">
                  <c:v>2017</c:v>
                </c:pt>
                <c:pt idx="179">
                  <c:v>2017</c:v>
                </c:pt>
                <c:pt idx="180">
                  <c:v>2017</c:v>
                </c:pt>
                <c:pt idx="181">
                  <c:v>2017</c:v>
                </c:pt>
                <c:pt idx="182">
                  <c:v>2017</c:v>
                </c:pt>
                <c:pt idx="183">
                  <c:v>2017</c:v>
                </c:pt>
                <c:pt idx="184">
                  <c:v>2017</c:v>
                </c:pt>
                <c:pt idx="185">
                  <c:v>2017</c:v>
                </c:pt>
                <c:pt idx="186">
                  <c:v>2017</c:v>
                </c:pt>
                <c:pt idx="187">
                  <c:v>2017</c:v>
                </c:pt>
                <c:pt idx="188">
                  <c:v>2018</c:v>
                </c:pt>
                <c:pt idx="189">
                  <c:v>2018</c:v>
                </c:pt>
                <c:pt idx="190">
                  <c:v>2018</c:v>
                </c:pt>
                <c:pt idx="191">
                  <c:v>2018</c:v>
                </c:pt>
                <c:pt idx="192">
                  <c:v>2018</c:v>
                </c:pt>
                <c:pt idx="193">
                  <c:v>2018</c:v>
                </c:pt>
                <c:pt idx="194">
                  <c:v>2018</c:v>
                </c:pt>
                <c:pt idx="195">
                  <c:v>2018</c:v>
                </c:pt>
                <c:pt idx="196">
                  <c:v>2018</c:v>
                </c:pt>
                <c:pt idx="197">
                  <c:v>2018</c:v>
                </c:pt>
                <c:pt idx="198">
                  <c:v>2018</c:v>
                </c:pt>
                <c:pt idx="199">
                  <c:v>2018</c:v>
                </c:pt>
                <c:pt idx="200">
                  <c:v>2019</c:v>
                </c:pt>
                <c:pt idx="201">
                  <c:v>2019</c:v>
                </c:pt>
                <c:pt idx="202">
                  <c:v>2019</c:v>
                </c:pt>
                <c:pt idx="203">
                  <c:v>2019</c:v>
                </c:pt>
                <c:pt idx="204">
                  <c:v>2019</c:v>
                </c:pt>
                <c:pt idx="205">
                  <c:v>2019</c:v>
                </c:pt>
                <c:pt idx="206">
                  <c:v>2019</c:v>
                </c:pt>
                <c:pt idx="207">
                  <c:v>2019</c:v>
                </c:pt>
                <c:pt idx="208">
                  <c:v>2019</c:v>
                </c:pt>
                <c:pt idx="209">
                  <c:v>2019</c:v>
                </c:pt>
                <c:pt idx="210">
                  <c:v>2019</c:v>
                </c:pt>
                <c:pt idx="211">
                  <c:v>2019</c:v>
                </c:pt>
                <c:pt idx="212">
                  <c:v>2020</c:v>
                </c:pt>
                <c:pt idx="213">
                  <c:v>2020</c:v>
                </c:pt>
                <c:pt idx="214">
                  <c:v>2020</c:v>
                </c:pt>
                <c:pt idx="215">
                  <c:v>2020</c:v>
                </c:pt>
                <c:pt idx="216">
                  <c:v>2020</c:v>
                </c:pt>
                <c:pt idx="217">
                  <c:v>2020</c:v>
                </c:pt>
                <c:pt idx="218">
                  <c:v>2020</c:v>
                </c:pt>
                <c:pt idx="219">
                  <c:v>2020</c:v>
                </c:pt>
                <c:pt idx="220">
                  <c:v>2020</c:v>
                </c:pt>
                <c:pt idx="221">
                  <c:v>2020</c:v>
                </c:pt>
                <c:pt idx="222">
                  <c:v>2020</c:v>
                </c:pt>
                <c:pt idx="223">
                  <c:v>2020</c:v>
                </c:pt>
                <c:pt idx="224">
                  <c:v>2021</c:v>
                </c:pt>
                <c:pt idx="225">
                  <c:v>2021</c:v>
                </c:pt>
                <c:pt idx="226">
                  <c:v>2021</c:v>
                </c:pt>
                <c:pt idx="227">
                  <c:v>2021</c:v>
                </c:pt>
                <c:pt idx="228">
                  <c:v>2021</c:v>
                </c:pt>
                <c:pt idx="229">
                  <c:v>2021</c:v>
                </c:pt>
                <c:pt idx="230">
                  <c:v>2021</c:v>
                </c:pt>
                <c:pt idx="231">
                  <c:v>2021</c:v>
                </c:pt>
                <c:pt idx="232">
                  <c:v>2021</c:v>
                </c:pt>
                <c:pt idx="233">
                  <c:v>2021</c:v>
                </c:pt>
                <c:pt idx="234">
                  <c:v>2021</c:v>
                </c:pt>
                <c:pt idx="235">
                  <c:v>2021</c:v>
                </c:pt>
                <c:pt idx="236">
                  <c:v>2022</c:v>
                </c:pt>
                <c:pt idx="237">
                  <c:v>2022</c:v>
                </c:pt>
                <c:pt idx="238">
                  <c:v>2022</c:v>
                </c:pt>
                <c:pt idx="239">
                  <c:v>2022</c:v>
                </c:pt>
                <c:pt idx="240">
                  <c:v>2022</c:v>
                </c:pt>
                <c:pt idx="241">
                  <c:v>2022</c:v>
                </c:pt>
                <c:pt idx="242">
                  <c:v>2022</c:v>
                </c:pt>
                <c:pt idx="243">
                  <c:v>2022</c:v>
                </c:pt>
                <c:pt idx="244">
                  <c:v>2022</c:v>
                </c:pt>
                <c:pt idx="245">
                  <c:v>2022</c:v>
                </c:pt>
                <c:pt idx="246">
                  <c:v>2022</c:v>
                </c:pt>
                <c:pt idx="247">
                  <c:v>2022</c:v>
                </c:pt>
                <c:pt idx="248">
                  <c:v>2023</c:v>
                </c:pt>
                <c:pt idx="249">
                  <c:v>2023</c:v>
                </c:pt>
                <c:pt idx="250">
                  <c:v>2023</c:v>
                </c:pt>
                <c:pt idx="251">
                  <c:v>2023</c:v>
                </c:pt>
                <c:pt idx="252">
                  <c:v>2023</c:v>
                </c:pt>
                <c:pt idx="253">
                  <c:v>2023</c:v>
                </c:pt>
                <c:pt idx="254">
                  <c:v>2023</c:v>
                </c:pt>
                <c:pt idx="255">
                  <c:v>2023</c:v>
                </c:pt>
                <c:pt idx="256">
                  <c:v>2023</c:v>
                </c:pt>
                <c:pt idx="257">
                  <c:v>2023</c:v>
                </c:pt>
                <c:pt idx="258">
                  <c:v>2023</c:v>
                </c:pt>
                <c:pt idx="259">
                  <c:v>2023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2025</c:v>
                </c:pt>
                <c:pt idx="273">
                  <c:v>2025</c:v>
                </c:pt>
                <c:pt idx="274">
                  <c:v>2025</c:v>
                </c:pt>
                <c:pt idx="275">
                  <c:v>2025</c:v>
                </c:pt>
                <c:pt idx="276">
                  <c:v>2025</c:v>
                </c:pt>
                <c:pt idx="277">
                  <c:v>2025</c:v>
                </c:pt>
                <c:pt idx="278">
                  <c:v>2025</c:v>
                </c:pt>
                <c:pt idx="279">
                  <c:v>2025</c:v>
                </c:pt>
                <c:pt idx="280">
                  <c:v>2025</c:v>
                </c:pt>
                <c:pt idx="281">
                  <c:v>2025</c:v>
                </c:pt>
                <c:pt idx="282">
                  <c:v>2025</c:v>
                </c:pt>
                <c:pt idx="283">
                  <c:v>2025</c:v>
                </c:pt>
              </c:numCache>
            </c:numRef>
          </c:cat>
          <c:val>
            <c:numRef>
              <c:f>'Simulateur sur Avg'!$I$3:$I$289</c:f>
              <c:numCache>
                <c:formatCode>_-* #\ ##0.0_-;\-* #\ ##0.0_-;_-* "-"??_-;_-@_-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63</c:v>
                </c:pt>
                <c:pt idx="17">
                  <c:v>59</c:v>
                </c:pt>
                <c:pt idx="18">
                  <c:v>58</c:v>
                </c:pt>
                <c:pt idx="19">
                  <c:v>61.5</c:v>
                </c:pt>
                <c:pt idx="20">
                  <c:v>63</c:v>
                </c:pt>
                <c:pt idx="21">
                  <c:v>68</c:v>
                </c:pt>
                <c:pt idx="22">
                  <c:v>72</c:v>
                </c:pt>
                <c:pt idx="23">
                  <c:v>74</c:v>
                </c:pt>
                <c:pt idx="24">
                  <c:v>66</c:v>
                </c:pt>
                <c:pt idx="25">
                  <c:v>64.333333333333329</c:v>
                </c:pt>
                <c:pt idx="26">
                  <c:v>61.333333333333336</c:v>
                </c:pt>
                <c:pt idx="27">
                  <c:v>65</c:v>
                </c:pt>
                <c:pt idx="28">
                  <c:v>65.5</c:v>
                </c:pt>
                <c:pt idx="29">
                  <c:v>66.5</c:v>
                </c:pt>
                <c:pt idx="30">
                  <c:v>72</c:v>
                </c:pt>
                <c:pt idx="31">
                  <c:v>71</c:v>
                </c:pt>
                <c:pt idx="32">
                  <c:v>72</c:v>
                </c:pt>
                <c:pt idx="33">
                  <c:v>65</c:v>
                </c:pt>
                <c:pt idx="34">
                  <c:v>64.5</c:v>
                </c:pt>
                <c:pt idx="35">
                  <c:v>62.5</c:v>
                </c:pt>
                <c:pt idx="36">
                  <c:v>66</c:v>
                </c:pt>
                <c:pt idx="37">
                  <c:v>68</c:v>
                </c:pt>
                <c:pt idx="38">
                  <c:v>70</c:v>
                </c:pt>
                <c:pt idx="39">
                  <c:v>73</c:v>
                </c:pt>
                <c:pt idx="40">
                  <c:v>77</c:v>
                </c:pt>
                <c:pt idx="41">
                  <c:v>77.5</c:v>
                </c:pt>
                <c:pt idx="42">
                  <c:v>77.5</c:v>
                </c:pt>
                <c:pt idx="43">
                  <c:v>83.333333333333329</c:v>
                </c:pt>
                <c:pt idx="44">
                  <c:v>81</c:v>
                </c:pt>
                <c:pt idx="45">
                  <c:v>76</c:v>
                </c:pt>
                <c:pt idx="46">
                  <c:v>74</c:v>
                </c:pt>
                <c:pt idx="47">
                  <c:v>66</c:v>
                </c:pt>
                <c:pt idx="48">
                  <c:v>66.5</c:v>
                </c:pt>
                <c:pt idx="49">
                  <c:v>64.5</c:v>
                </c:pt>
                <c:pt idx="50">
                  <c:v>62.5</c:v>
                </c:pt>
                <c:pt idx="51">
                  <c:v>62</c:v>
                </c:pt>
                <c:pt idx="52">
                  <c:v>58</c:v>
                </c:pt>
                <c:pt idx="53">
                  <c:v>54.5</c:v>
                </c:pt>
                <c:pt idx="54">
                  <c:v>52.333333333333336</c:v>
                </c:pt>
                <c:pt idx="55">
                  <c:v>51.5</c:v>
                </c:pt>
                <c:pt idx="56">
                  <c:v>48</c:v>
                </c:pt>
                <c:pt idx="57">
                  <c:v>49</c:v>
                </c:pt>
                <c:pt idx="58">
                  <c:v>51</c:v>
                </c:pt>
                <c:pt idx="59">
                  <c:v>53</c:v>
                </c:pt>
                <c:pt idx="60">
                  <c:v>58.5</c:v>
                </c:pt>
                <c:pt idx="61">
                  <c:v>68.5</c:v>
                </c:pt>
                <c:pt idx="62">
                  <c:v>89</c:v>
                </c:pt>
                <c:pt idx="63">
                  <c:v>103</c:v>
                </c:pt>
                <c:pt idx="64">
                  <c:v>121.5</c:v>
                </c:pt>
                <c:pt idx="65">
                  <c:v>167</c:v>
                </c:pt>
                <c:pt idx="66">
                  <c:v>189</c:v>
                </c:pt>
                <c:pt idx="67">
                  <c:v>205.5</c:v>
                </c:pt>
                <c:pt idx="68">
                  <c:v>222</c:v>
                </c:pt>
                <c:pt idx="69">
                  <c:v>276</c:v>
                </c:pt>
                <c:pt idx="70">
                  <c:v>423</c:v>
                </c:pt>
                <c:pt idx="71">
                  <c:v>515.5</c:v>
                </c:pt>
                <c:pt idx="72">
                  <c:v>620</c:v>
                </c:pt>
                <c:pt idx="73">
                  <c:v>646</c:v>
                </c:pt>
                <c:pt idx="74">
                  <c:v>658</c:v>
                </c:pt>
                <c:pt idx="75">
                  <c:v>716.5</c:v>
                </c:pt>
                <c:pt idx="76">
                  <c:v>806</c:v>
                </c:pt>
                <c:pt idx="77">
                  <c:v>787.66666666666663</c:v>
                </c:pt>
                <c:pt idx="78">
                  <c:v>755</c:v>
                </c:pt>
                <c:pt idx="79">
                  <c:v>444.33333333333331</c:v>
                </c:pt>
                <c:pt idx="80">
                  <c:v>160.6</c:v>
                </c:pt>
                <c:pt idx="81">
                  <c:v>47.75</c:v>
                </c:pt>
                <c:pt idx="82">
                  <c:v>53.666666666666664</c:v>
                </c:pt>
                <c:pt idx="83">
                  <c:v>45.8</c:v>
                </c:pt>
                <c:pt idx="84">
                  <c:v>49.5</c:v>
                </c:pt>
                <c:pt idx="85">
                  <c:v>48.25</c:v>
                </c:pt>
                <c:pt idx="86">
                  <c:v>52.2</c:v>
                </c:pt>
                <c:pt idx="87">
                  <c:v>45</c:v>
                </c:pt>
                <c:pt idx="88">
                  <c:v>41.75</c:v>
                </c:pt>
                <c:pt idx="89">
                  <c:v>33</c:v>
                </c:pt>
                <c:pt idx="90">
                  <c:v>34.75</c:v>
                </c:pt>
                <c:pt idx="91">
                  <c:v>40</c:v>
                </c:pt>
                <c:pt idx="92">
                  <c:v>44.6</c:v>
                </c:pt>
                <c:pt idx="93">
                  <c:v>55.75</c:v>
                </c:pt>
                <c:pt idx="94">
                  <c:v>68.2</c:v>
                </c:pt>
                <c:pt idx="95">
                  <c:v>122.75</c:v>
                </c:pt>
                <c:pt idx="96">
                  <c:v>167</c:v>
                </c:pt>
                <c:pt idx="97">
                  <c:v>181</c:v>
                </c:pt>
                <c:pt idx="98">
                  <c:v>178.6</c:v>
                </c:pt>
                <c:pt idx="99">
                  <c:v>121.5</c:v>
                </c:pt>
                <c:pt idx="100">
                  <c:v>80.75</c:v>
                </c:pt>
                <c:pt idx="101">
                  <c:v>66.599999999999994</c:v>
                </c:pt>
                <c:pt idx="102">
                  <c:v>123</c:v>
                </c:pt>
                <c:pt idx="103">
                  <c:v>148.4</c:v>
                </c:pt>
                <c:pt idx="104">
                  <c:v>165.25</c:v>
                </c:pt>
                <c:pt idx="105">
                  <c:v>172.5</c:v>
                </c:pt>
                <c:pt idx="106">
                  <c:v>159</c:v>
                </c:pt>
                <c:pt idx="107">
                  <c:v>156.25</c:v>
                </c:pt>
                <c:pt idx="108">
                  <c:v>184.75</c:v>
                </c:pt>
                <c:pt idx="109">
                  <c:v>196.8</c:v>
                </c:pt>
                <c:pt idx="110">
                  <c:v>200.25</c:v>
                </c:pt>
                <c:pt idx="111">
                  <c:v>212</c:v>
                </c:pt>
                <c:pt idx="112">
                  <c:v>220</c:v>
                </c:pt>
                <c:pt idx="113">
                  <c:v>199.5</c:v>
                </c:pt>
                <c:pt idx="114">
                  <c:v>202.5</c:v>
                </c:pt>
                <c:pt idx="115">
                  <c:v>215</c:v>
                </c:pt>
                <c:pt idx="116">
                  <c:v>215.75</c:v>
                </c:pt>
                <c:pt idx="117">
                  <c:v>204.75</c:v>
                </c:pt>
                <c:pt idx="118">
                  <c:v>190.8</c:v>
                </c:pt>
                <c:pt idx="119">
                  <c:v>174.25</c:v>
                </c:pt>
                <c:pt idx="120">
                  <c:v>168.5</c:v>
                </c:pt>
                <c:pt idx="121">
                  <c:v>186</c:v>
                </c:pt>
                <c:pt idx="122">
                  <c:v>191.5</c:v>
                </c:pt>
                <c:pt idx="123">
                  <c:v>200</c:v>
                </c:pt>
                <c:pt idx="124">
                  <c:v>187.5</c:v>
                </c:pt>
                <c:pt idx="125">
                  <c:v>176.25</c:v>
                </c:pt>
                <c:pt idx="126">
                  <c:v>177.6</c:v>
                </c:pt>
                <c:pt idx="127">
                  <c:v>186.5</c:v>
                </c:pt>
                <c:pt idx="128">
                  <c:v>170.75</c:v>
                </c:pt>
                <c:pt idx="129">
                  <c:v>154.19999999999999</c:v>
                </c:pt>
                <c:pt idx="130">
                  <c:v>146.5</c:v>
                </c:pt>
                <c:pt idx="131">
                  <c:v>145.19999999999999</c:v>
                </c:pt>
                <c:pt idx="132">
                  <c:v>149</c:v>
                </c:pt>
                <c:pt idx="133">
                  <c:v>150</c:v>
                </c:pt>
                <c:pt idx="134">
                  <c:v>151</c:v>
                </c:pt>
                <c:pt idx="135">
                  <c:v>140.6</c:v>
                </c:pt>
                <c:pt idx="136">
                  <c:v>112.25</c:v>
                </c:pt>
                <c:pt idx="137">
                  <c:v>67.5</c:v>
                </c:pt>
                <c:pt idx="138">
                  <c:v>64</c:v>
                </c:pt>
                <c:pt idx="139">
                  <c:v>68</c:v>
                </c:pt>
                <c:pt idx="140">
                  <c:v>66.599999999999994</c:v>
                </c:pt>
                <c:pt idx="141">
                  <c:v>90.25</c:v>
                </c:pt>
                <c:pt idx="142">
                  <c:v>118.25</c:v>
                </c:pt>
                <c:pt idx="143">
                  <c:v>144.19999999999999</c:v>
                </c:pt>
                <c:pt idx="144">
                  <c:v>186</c:v>
                </c:pt>
                <c:pt idx="145">
                  <c:v>183.5</c:v>
                </c:pt>
                <c:pt idx="146">
                  <c:v>139.5</c:v>
                </c:pt>
                <c:pt idx="147">
                  <c:v>134.4</c:v>
                </c:pt>
                <c:pt idx="148">
                  <c:v>154</c:v>
                </c:pt>
                <c:pt idx="149">
                  <c:v>164.6</c:v>
                </c:pt>
                <c:pt idx="150">
                  <c:v>164</c:v>
                </c:pt>
                <c:pt idx="151">
                  <c:v>154</c:v>
                </c:pt>
                <c:pt idx="152">
                  <c:v>142.6</c:v>
                </c:pt>
                <c:pt idx="153">
                  <c:v>129.5</c:v>
                </c:pt>
                <c:pt idx="154">
                  <c:v>151</c:v>
                </c:pt>
                <c:pt idx="155">
                  <c:v>169.8</c:v>
                </c:pt>
                <c:pt idx="156">
                  <c:v>176.5</c:v>
                </c:pt>
                <c:pt idx="157">
                  <c:v>168.25</c:v>
                </c:pt>
                <c:pt idx="158">
                  <c:v>149.4</c:v>
                </c:pt>
                <c:pt idx="159">
                  <c:v>140.75</c:v>
                </c:pt>
                <c:pt idx="160">
                  <c:v>143</c:v>
                </c:pt>
                <c:pt idx="161">
                  <c:v>150.4</c:v>
                </c:pt>
                <c:pt idx="162">
                  <c:v>153</c:v>
                </c:pt>
                <c:pt idx="163">
                  <c:v>133.5</c:v>
                </c:pt>
                <c:pt idx="164">
                  <c:v>113.8</c:v>
                </c:pt>
                <c:pt idx="165">
                  <c:v>126.5</c:v>
                </c:pt>
                <c:pt idx="166">
                  <c:v>132</c:v>
                </c:pt>
                <c:pt idx="167">
                  <c:v>118.75</c:v>
                </c:pt>
                <c:pt idx="168">
                  <c:v>96</c:v>
                </c:pt>
                <c:pt idx="169">
                  <c:v>85</c:v>
                </c:pt>
                <c:pt idx="170">
                  <c:v>83</c:v>
                </c:pt>
                <c:pt idx="171">
                  <c:v>83</c:v>
                </c:pt>
                <c:pt idx="172">
                  <c:v>81.8</c:v>
                </c:pt>
                <c:pt idx="173">
                  <c:v>74.5</c:v>
                </c:pt>
                <c:pt idx="174">
                  <c:v>69.25</c:v>
                </c:pt>
                <c:pt idx="175">
                  <c:v>77</c:v>
                </c:pt>
                <c:pt idx="176">
                  <c:v>78.5</c:v>
                </c:pt>
                <c:pt idx="177">
                  <c:v>84.75</c:v>
                </c:pt>
                <c:pt idx="178">
                  <c:v>91</c:v>
                </c:pt>
                <c:pt idx="179">
                  <c:v>89.5</c:v>
                </c:pt>
                <c:pt idx="180">
                  <c:v>88</c:v>
                </c:pt>
                <c:pt idx="181">
                  <c:v>87.4</c:v>
                </c:pt>
                <c:pt idx="182">
                  <c:v>80.5</c:v>
                </c:pt>
                <c:pt idx="183">
                  <c:v>75.5</c:v>
                </c:pt>
                <c:pt idx="184">
                  <c:v>80</c:v>
                </c:pt>
                <c:pt idx="185">
                  <c:v>88.25</c:v>
                </c:pt>
                <c:pt idx="186">
                  <c:v>103.8</c:v>
                </c:pt>
                <c:pt idx="187">
                  <c:v>109.5</c:v>
                </c:pt>
                <c:pt idx="188">
                  <c:v>137.25</c:v>
                </c:pt>
                <c:pt idx="189">
                  <c:v>191.8</c:v>
                </c:pt>
                <c:pt idx="190">
                  <c:v>163.33333333333334</c:v>
                </c:pt>
                <c:pt idx="191">
                  <c:v>133</c:v>
                </c:pt>
                <c:pt idx="192">
                  <c:v>121.5</c:v>
                </c:pt>
                <c:pt idx="193">
                  <c:v>125</c:v>
                </c:pt>
                <c:pt idx="194">
                  <c:v>115</c:v>
                </c:pt>
                <c:pt idx="195">
                  <c:v>126.6</c:v>
                </c:pt>
                <c:pt idx="196">
                  <c:v>133</c:v>
                </c:pt>
                <c:pt idx="197">
                  <c:v>134.25</c:v>
                </c:pt>
                <c:pt idx="198">
                  <c:v>140.4</c:v>
                </c:pt>
                <c:pt idx="199">
                  <c:v>157.75</c:v>
                </c:pt>
                <c:pt idx="200">
                  <c:v>170.25</c:v>
                </c:pt>
                <c:pt idx="201">
                  <c:v>157</c:v>
                </c:pt>
                <c:pt idx="202">
                  <c:v>127.66666666666667</c:v>
                </c:pt>
                <c:pt idx="203">
                  <c:v>113.2</c:v>
                </c:pt>
                <c:pt idx="204">
                  <c:v>103</c:v>
                </c:pt>
                <c:pt idx="205">
                  <c:v>102.75</c:v>
                </c:pt>
                <c:pt idx="206">
                  <c:v>103</c:v>
                </c:pt>
                <c:pt idx="207">
                  <c:v>103</c:v>
                </c:pt>
                <c:pt idx="208">
                  <c:v>102.5</c:v>
                </c:pt>
                <c:pt idx="209">
                  <c:v>95.25</c:v>
                </c:pt>
                <c:pt idx="210">
                  <c:v>73</c:v>
                </c:pt>
                <c:pt idx="211">
                  <c:v>56</c:v>
                </c:pt>
                <c:pt idx="212">
                  <c:v>47.2</c:v>
                </c:pt>
                <c:pt idx="213">
                  <c:v>43</c:v>
                </c:pt>
                <c:pt idx="214">
                  <c:v>40.666666666666664</c:v>
                </c:pt>
                <c:pt idx="215">
                  <c:v>40.200000000000003</c:v>
                </c:pt>
                <c:pt idx="216">
                  <c:v>42</c:v>
                </c:pt>
                <c:pt idx="217">
                  <c:v>53</c:v>
                </c:pt>
                <c:pt idx="218">
                  <c:v>58.6</c:v>
                </c:pt>
                <c:pt idx="219">
                  <c:v>53</c:v>
                </c:pt>
                <c:pt idx="220">
                  <c:v>59.5</c:v>
                </c:pt>
                <c:pt idx="221">
                  <c:v>57.4</c:v>
                </c:pt>
                <c:pt idx="222">
                  <c:v>52.75</c:v>
                </c:pt>
                <c:pt idx="223">
                  <c:v>63</c:v>
                </c:pt>
                <c:pt idx="224">
                  <c:v>70.8</c:v>
                </c:pt>
                <c:pt idx="225">
                  <c:v>77.25</c:v>
                </c:pt>
                <c:pt idx="226">
                  <c:v>91.25</c:v>
                </c:pt>
                <c:pt idx="227">
                  <c:v>110.25</c:v>
                </c:pt>
                <c:pt idx="228">
                  <c:v>152</c:v>
                </c:pt>
                <c:pt idx="229">
                  <c:v>188.25</c:v>
                </c:pt>
                <c:pt idx="230">
                  <c:v>185</c:v>
                </c:pt>
                <c:pt idx="231">
                  <c:v>185</c:v>
                </c:pt>
                <c:pt idx="232">
                  <c:v>186</c:v>
                </c:pt>
                <c:pt idx="233">
                  <c:v>175.2</c:v>
                </c:pt>
                <c:pt idx="234">
                  <c:v>169.75</c:v>
                </c:pt>
                <c:pt idx="235">
                  <c:v>181.6</c:v>
                </c:pt>
                <c:pt idx="236">
                  <c:v>207.5</c:v>
                </c:pt>
                <c:pt idx="237">
                  <c:v>245</c:v>
                </c:pt>
                <c:pt idx="238">
                  <c:v>273.25</c:v>
                </c:pt>
                <c:pt idx="239">
                  <c:v>303.75</c:v>
                </c:pt>
                <c:pt idx="240">
                  <c:v>313.75</c:v>
                </c:pt>
                <c:pt idx="241">
                  <c:v>393</c:v>
                </c:pt>
                <c:pt idx="242">
                  <c:v>453.75</c:v>
                </c:pt>
                <c:pt idx="243">
                  <c:v>469.75</c:v>
                </c:pt>
                <c:pt idx="244">
                  <c:v>463.8</c:v>
                </c:pt>
                <c:pt idx="245">
                  <c:v>260</c:v>
                </c:pt>
                <c:pt idx="246">
                  <c:v>78.5</c:v>
                </c:pt>
                <c:pt idx="247">
                  <c:v>95.8</c:v>
                </c:pt>
                <c:pt idx="248">
                  <c:v>118.75</c:v>
                </c:pt>
                <c:pt idx="249">
                  <c:v>168.75</c:v>
                </c:pt>
                <c:pt idx="250">
                  <c:v>177.75</c:v>
                </c:pt>
                <c:pt idx="251">
                  <c:v>141.25</c:v>
                </c:pt>
                <c:pt idx="252">
                  <c:v>128.25</c:v>
                </c:pt>
                <c:pt idx="253">
                  <c:v>125.6</c:v>
                </c:pt>
                <c:pt idx="254">
                  <c:v>96.5</c:v>
                </c:pt>
                <c:pt idx="255">
                  <c:v>85</c:v>
                </c:pt>
                <c:pt idx="256">
                  <c:v>73.8</c:v>
                </c:pt>
                <c:pt idx="257">
                  <c:v>69.5</c:v>
                </c:pt>
                <c:pt idx="258">
                  <c:v>91.6</c:v>
                </c:pt>
                <c:pt idx="259">
                  <c:v>107.25</c:v>
                </c:pt>
                <c:pt idx="260">
                  <c:v>107.75</c:v>
                </c:pt>
                <c:pt idx="261">
                  <c:v>92.8</c:v>
                </c:pt>
                <c:pt idx="262">
                  <c:v>79.666666666666671</c:v>
                </c:pt>
                <c:pt idx="263">
                  <c:v>72.75</c:v>
                </c:pt>
                <c:pt idx="264">
                  <c:v>71</c:v>
                </c:pt>
                <c:pt idx="265">
                  <c:v>81</c:v>
                </c:pt>
                <c:pt idx="266">
                  <c:v>86.25</c:v>
                </c:pt>
                <c:pt idx="267">
                  <c:v>83.2</c:v>
                </c:pt>
                <c:pt idx="268">
                  <c:v>79</c:v>
                </c:pt>
                <c:pt idx="269">
                  <c:v>89.25</c:v>
                </c:pt>
                <c:pt idx="270">
                  <c:v>116.8</c:v>
                </c:pt>
                <c:pt idx="271">
                  <c:v>127</c:v>
                </c:pt>
                <c:pt idx="272">
                  <c:v>132.4</c:v>
                </c:pt>
                <c:pt idx="273">
                  <c:v>147</c:v>
                </c:pt>
                <c:pt idx="274">
                  <c:v>165.33333333333334</c:v>
                </c:pt>
                <c:pt idx="275">
                  <c:v>165</c:v>
                </c:pt>
                <c:pt idx="276">
                  <c:v>183</c:v>
                </c:pt>
                <c:pt idx="277">
                  <c:v>256.5</c:v>
                </c:pt>
                <c:pt idx="278">
                  <c:v>280</c:v>
                </c:pt>
                <c:pt idx="279">
                  <c:v>295</c:v>
                </c:pt>
                <c:pt idx="280">
                  <c:v>276.25</c:v>
                </c:pt>
                <c:pt idx="281">
                  <c:v>260</c:v>
                </c:pt>
                <c:pt idx="282">
                  <c:v>274.75</c:v>
                </c:pt>
                <c:pt idx="283">
                  <c:v>307.75</c:v>
                </c:pt>
                <c:pt idx="284">
                  <c:v>359.8</c:v>
                </c:pt>
                <c:pt idx="285">
                  <c:v>452</c:v>
                </c:pt>
                <c:pt idx="286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21-470D-AAFA-1477C4782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1599552"/>
        <c:axId val="1161596672"/>
      </c:lineChart>
      <c:catAx>
        <c:axId val="116159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1596672"/>
        <c:crosses val="autoZero"/>
        <c:auto val="1"/>
        <c:lblAlgn val="ctr"/>
        <c:lblOffset val="100"/>
        <c:noMultiLvlLbl val="0"/>
      </c:catAx>
      <c:valAx>
        <c:axId val="116159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6159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Indice de</a:t>
            </a:r>
            <a:r>
              <a:rPr lang="fr-FR" b="1" baseline="0"/>
              <a:t> parité prix</a:t>
            </a:r>
            <a:endParaRPr lang="fr-F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'Simulateur sur Avg'!$S$5</c:f>
              <c:strCache>
                <c:ptCount val="1"/>
                <c:pt idx="0">
                  <c:v> IPP ACS Origine Europe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'Simulateur sur Avg'!$B$6:$B$289</c15:sqref>
                  </c15:fullRef>
                </c:ext>
              </c:extLst>
              <c:f>'Simulateur sur Avg'!$B$98:$B$289</c:f>
              <c:numCache>
                <c:formatCode>General</c:formatCode>
                <c:ptCount val="192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2010</c:v>
                </c:pt>
                <c:pt idx="10">
                  <c:v>2010</c:v>
                </c:pt>
                <c:pt idx="11">
                  <c:v>2010</c:v>
                </c:pt>
                <c:pt idx="12">
                  <c:v>2011</c:v>
                </c:pt>
                <c:pt idx="13">
                  <c:v>2011</c:v>
                </c:pt>
                <c:pt idx="14">
                  <c:v>2011</c:v>
                </c:pt>
                <c:pt idx="15">
                  <c:v>2011</c:v>
                </c:pt>
                <c:pt idx="16">
                  <c:v>2011</c:v>
                </c:pt>
                <c:pt idx="17">
                  <c:v>2011</c:v>
                </c:pt>
                <c:pt idx="18">
                  <c:v>2011</c:v>
                </c:pt>
                <c:pt idx="19">
                  <c:v>2011</c:v>
                </c:pt>
                <c:pt idx="20">
                  <c:v>2011</c:v>
                </c:pt>
                <c:pt idx="21">
                  <c:v>2011</c:v>
                </c:pt>
                <c:pt idx="22">
                  <c:v>2011</c:v>
                </c:pt>
                <c:pt idx="23">
                  <c:v>2011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2012</c:v>
                </c:pt>
                <c:pt idx="30">
                  <c:v>2012</c:v>
                </c:pt>
                <c:pt idx="31">
                  <c:v>2012</c:v>
                </c:pt>
                <c:pt idx="32">
                  <c:v>2012</c:v>
                </c:pt>
                <c:pt idx="33">
                  <c:v>2012</c:v>
                </c:pt>
                <c:pt idx="34">
                  <c:v>2012</c:v>
                </c:pt>
                <c:pt idx="35">
                  <c:v>2012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2013</c:v>
                </c:pt>
                <c:pt idx="41">
                  <c:v>2013</c:v>
                </c:pt>
                <c:pt idx="42">
                  <c:v>2013</c:v>
                </c:pt>
                <c:pt idx="43">
                  <c:v>2013</c:v>
                </c:pt>
                <c:pt idx="44">
                  <c:v>2013</c:v>
                </c:pt>
                <c:pt idx="45">
                  <c:v>2013</c:v>
                </c:pt>
                <c:pt idx="46">
                  <c:v>2013</c:v>
                </c:pt>
                <c:pt idx="47">
                  <c:v>2013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2015</c:v>
                </c:pt>
                <c:pt idx="65">
                  <c:v>2015</c:v>
                </c:pt>
                <c:pt idx="66">
                  <c:v>2015</c:v>
                </c:pt>
                <c:pt idx="67">
                  <c:v>2015</c:v>
                </c:pt>
                <c:pt idx="68">
                  <c:v>2015</c:v>
                </c:pt>
                <c:pt idx="69">
                  <c:v>2015</c:v>
                </c:pt>
                <c:pt idx="70">
                  <c:v>2015</c:v>
                </c:pt>
                <c:pt idx="71">
                  <c:v>2015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2016</c:v>
                </c:pt>
                <c:pt idx="83">
                  <c:v>2016</c:v>
                </c:pt>
                <c:pt idx="84">
                  <c:v>2017</c:v>
                </c:pt>
                <c:pt idx="85">
                  <c:v>2017</c:v>
                </c:pt>
                <c:pt idx="86">
                  <c:v>2017</c:v>
                </c:pt>
                <c:pt idx="87">
                  <c:v>2017</c:v>
                </c:pt>
                <c:pt idx="88">
                  <c:v>2017</c:v>
                </c:pt>
                <c:pt idx="89">
                  <c:v>2017</c:v>
                </c:pt>
                <c:pt idx="90">
                  <c:v>2017</c:v>
                </c:pt>
                <c:pt idx="91">
                  <c:v>2017</c:v>
                </c:pt>
                <c:pt idx="92">
                  <c:v>2017</c:v>
                </c:pt>
                <c:pt idx="93">
                  <c:v>2017</c:v>
                </c:pt>
                <c:pt idx="94">
                  <c:v>2017</c:v>
                </c:pt>
                <c:pt idx="95">
                  <c:v>2017</c:v>
                </c:pt>
                <c:pt idx="96">
                  <c:v>2018</c:v>
                </c:pt>
                <c:pt idx="97">
                  <c:v>2018</c:v>
                </c:pt>
                <c:pt idx="98">
                  <c:v>2018</c:v>
                </c:pt>
                <c:pt idx="99">
                  <c:v>2018</c:v>
                </c:pt>
                <c:pt idx="100">
                  <c:v>2018</c:v>
                </c:pt>
                <c:pt idx="101">
                  <c:v>2018</c:v>
                </c:pt>
                <c:pt idx="102">
                  <c:v>2018</c:v>
                </c:pt>
                <c:pt idx="103">
                  <c:v>2018</c:v>
                </c:pt>
                <c:pt idx="104">
                  <c:v>2018</c:v>
                </c:pt>
                <c:pt idx="105">
                  <c:v>2018</c:v>
                </c:pt>
                <c:pt idx="106">
                  <c:v>2018</c:v>
                </c:pt>
                <c:pt idx="107">
                  <c:v>2018</c:v>
                </c:pt>
                <c:pt idx="108">
                  <c:v>2019</c:v>
                </c:pt>
                <c:pt idx="109">
                  <c:v>2019</c:v>
                </c:pt>
                <c:pt idx="110">
                  <c:v>2019</c:v>
                </c:pt>
                <c:pt idx="111">
                  <c:v>2019</c:v>
                </c:pt>
                <c:pt idx="112">
                  <c:v>2019</c:v>
                </c:pt>
                <c:pt idx="113">
                  <c:v>2019</c:v>
                </c:pt>
                <c:pt idx="114">
                  <c:v>2019</c:v>
                </c:pt>
                <c:pt idx="115">
                  <c:v>2019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2020</c:v>
                </c:pt>
                <c:pt idx="125">
                  <c:v>2020</c:v>
                </c:pt>
                <c:pt idx="126">
                  <c:v>2020</c:v>
                </c:pt>
                <c:pt idx="127">
                  <c:v>2020</c:v>
                </c:pt>
                <c:pt idx="128">
                  <c:v>2020</c:v>
                </c:pt>
                <c:pt idx="129">
                  <c:v>2020</c:v>
                </c:pt>
                <c:pt idx="130">
                  <c:v>2020</c:v>
                </c:pt>
                <c:pt idx="131">
                  <c:v>2020</c:v>
                </c:pt>
                <c:pt idx="132">
                  <c:v>2021</c:v>
                </c:pt>
                <c:pt idx="133">
                  <c:v>2021</c:v>
                </c:pt>
                <c:pt idx="134">
                  <c:v>2021</c:v>
                </c:pt>
                <c:pt idx="135">
                  <c:v>2021</c:v>
                </c:pt>
                <c:pt idx="136">
                  <c:v>2021</c:v>
                </c:pt>
                <c:pt idx="137">
                  <c:v>2021</c:v>
                </c:pt>
                <c:pt idx="138">
                  <c:v>2021</c:v>
                </c:pt>
                <c:pt idx="139">
                  <c:v>2021</c:v>
                </c:pt>
                <c:pt idx="140">
                  <c:v>2021</c:v>
                </c:pt>
                <c:pt idx="141">
                  <c:v>2021</c:v>
                </c:pt>
                <c:pt idx="142">
                  <c:v>2021</c:v>
                </c:pt>
                <c:pt idx="143">
                  <c:v>2021</c:v>
                </c:pt>
                <c:pt idx="144">
                  <c:v>2022</c:v>
                </c:pt>
                <c:pt idx="145">
                  <c:v>2022</c:v>
                </c:pt>
                <c:pt idx="146">
                  <c:v>2022</c:v>
                </c:pt>
                <c:pt idx="147">
                  <c:v>2022</c:v>
                </c:pt>
                <c:pt idx="148">
                  <c:v>2022</c:v>
                </c:pt>
                <c:pt idx="149">
                  <c:v>2022</c:v>
                </c:pt>
                <c:pt idx="150">
                  <c:v>2022</c:v>
                </c:pt>
                <c:pt idx="151">
                  <c:v>2022</c:v>
                </c:pt>
                <c:pt idx="152">
                  <c:v>2022</c:v>
                </c:pt>
                <c:pt idx="153">
                  <c:v>2022</c:v>
                </c:pt>
                <c:pt idx="154">
                  <c:v>2022</c:v>
                </c:pt>
                <c:pt idx="155">
                  <c:v>2022</c:v>
                </c:pt>
                <c:pt idx="156">
                  <c:v>2023</c:v>
                </c:pt>
                <c:pt idx="157">
                  <c:v>2023</c:v>
                </c:pt>
                <c:pt idx="158">
                  <c:v>2023</c:v>
                </c:pt>
                <c:pt idx="159">
                  <c:v>2023</c:v>
                </c:pt>
                <c:pt idx="160">
                  <c:v>2023</c:v>
                </c:pt>
                <c:pt idx="161">
                  <c:v>2023</c:v>
                </c:pt>
                <c:pt idx="162">
                  <c:v>2023</c:v>
                </c:pt>
                <c:pt idx="163">
                  <c:v>2023</c:v>
                </c:pt>
                <c:pt idx="164">
                  <c:v>2023</c:v>
                </c:pt>
                <c:pt idx="165">
                  <c:v>2023</c:v>
                </c:pt>
                <c:pt idx="166">
                  <c:v>2023</c:v>
                </c:pt>
                <c:pt idx="167">
                  <c:v>2023</c:v>
                </c:pt>
                <c:pt idx="168">
                  <c:v>2024</c:v>
                </c:pt>
                <c:pt idx="169">
                  <c:v>2024</c:v>
                </c:pt>
                <c:pt idx="170">
                  <c:v>2024</c:v>
                </c:pt>
                <c:pt idx="171">
                  <c:v>2024</c:v>
                </c:pt>
                <c:pt idx="172">
                  <c:v>2024</c:v>
                </c:pt>
                <c:pt idx="173">
                  <c:v>2024</c:v>
                </c:pt>
                <c:pt idx="174">
                  <c:v>2024</c:v>
                </c:pt>
                <c:pt idx="175">
                  <c:v>2024</c:v>
                </c:pt>
                <c:pt idx="176">
                  <c:v>2024</c:v>
                </c:pt>
                <c:pt idx="177">
                  <c:v>2024</c:v>
                </c:pt>
                <c:pt idx="178">
                  <c:v>2024</c:v>
                </c:pt>
                <c:pt idx="179">
                  <c:v>2024</c:v>
                </c:pt>
                <c:pt idx="180">
                  <c:v>2025</c:v>
                </c:pt>
                <c:pt idx="181">
                  <c:v>2025</c:v>
                </c:pt>
                <c:pt idx="182">
                  <c:v>2025</c:v>
                </c:pt>
                <c:pt idx="183">
                  <c:v>2025</c:v>
                </c:pt>
                <c:pt idx="184">
                  <c:v>2025</c:v>
                </c:pt>
                <c:pt idx="185">
                  <c:v>2025</c:v>
                </c:pt>
                <c:pt idx="186">
                  <c:v>2025</c:v>
                </c:pt>
                <c:pt idx="187">
                  <c:v>2025</c:v>
                </c:pt>
                <c:pt idx="188">
                  <c:v>2025</c:v>
                </c:pt>
                <c:pt idx="189">
                  <c:v>2025</c:v>
                </c:pt>
                <c:pt idx="190">
                  <c:v>2025</c:v>
                </c:pt>
                <c:pt idx="191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'Simulateur sur Avg'!$S$6:$S$289</c15:sqref>
                  </c15:fullRef>
                </c:ext>
              </c:extLst>
              <c:f>'Simulateur sur Avg'!$S$98:$S$289</c:f>
              <c:numCache>
                <c:formatCode>_-* #\ ##0.0_-;\-* #\ ##0.0_-;_-* "-"??_-;_-@_-</c:formatCode>
                <c:ptCount val="192"/>
                <c:pt idx="0">
                  <c:v>43.573122529644266</c:v>
                </c:pt>
                <c:pt idx="1">
                  <c:v>71.073122529644266</c:v>
                </c:pt>
                <c:pt idx="2">
                  <c:v>73.573122529644266</c:v>
                </c:pt>
                <c:pt idx="3">
                  <c:v>73.573122529644266</c:v>
                </c:pt>
                <c:pt idx="4">
                  <c:v>73.573122529644266</c:v>
                </c:pt>
                <c:pt idx="5">
                  <c:v>73.573122529644266</c:v>
                </c:pt>
                <c:pt idx="6">
                  <c:v>73.573122529644266</c:v>
                </c:pt>
                <c:pt idx="7">
                  <c:v>74.823122529644266</c:v>
                </c:pt>
                <c:pt idx="8">
                  <c:v>78.573122529644266</c:v>
                </c:pt>
                <c:pt idx="9">
                  <c:v>78.573122529644266</c:v>
                </c:pt>
                <c:pt idx="10">
                  <c:v>93.573122529644266</c:v>
                </c:pt>
                <c:pt idx="11">
                  <c:v>98.573122529644266</c:v>
                </c:pt>
                <c:pt idx="12">
                  <c:v>99.823122529644266</c:v>
                </c:pt>
                <c:pt idx="13">
                  <c:v>103.57312252964427</c:v>
                </c:pt>
                <c:pt idx="14">
                  <c:v>106.57312252964427</c:v>
                </c:pt>
                <c:pt idx="15">
                  <c:v>118.57312252964427</c:v>
                </c:pt>
                <c:pt idx="16">
                  <c:v>118.57312252964427</c:v>
                </c:pt>
                <c:pt idx="17">
                  <c:v>122.57312252964427</c:v>
                </c:pt>
                <c:pt idx="18">
                  <c:v>124.82312252964427</c:v>
                </c:pt>
                <c:pt idx="19">
                  <c:v>128.57312252964428</c:v>
                </c:pt>
                <c:pt idx="20">
                  <c:v>128.57312252964428</c:v>
                </c:pt>
                <c:pt idx="21">
                  <c:v>128.57312252964428</c:v>
                </c:pt>
                <c:pt idx="22">
                  <c:v>128.57312252964428</c:v>
                </c:pt>
                <c:pt idx="23">
                  <c:v>122.57312252964427</c:v>
                </c:pt>
                <c:pt idx="24">
                  <c:v>108.57312252964427</c:v>
                </c:pt>
                <c:pt idx="25">
                  <c:v>78.573122529644266</c:v>
                </c:pt>
                <c:pt idx="26">
                  <c:v>58.573122529644266</c:v>
                </c:pt>
                <c:pt idx="27">
                  <c:v>58.573122529644266</c:v>
                </c:pt>
                <c:pt idx="28">
                  <c:v>60.573122529644266</c:v>
                </c:pt>
                <c:pt idx="29">
                  <c:v>73.573122529644266</c:v>
                </c:pt>
                <c:pt idx="30">
                  <c:v>73.573122529644266</c:v>
                </c:pt>
                <c:pt idx="31">
                  <c:v>74.973122529644272</c:v>
                </c:pt>
                <c:pt idx="32">
                  <c:v>76.573122529644266</c:v>
                </c:pt>
                <c:pt idx="33">
                  <c:v>80.323122529644266</c:v>
                </c:pt>
                <c:pt idx="34">
                  <c:v>76.973122529644272</c:v>
                </c:pt>
                <c:pt idx="35">
                  <c:v>66.573122529644266</c:v>
                </c:pt>
                <c:pt idx="36">
                  <c:v>49.773122529644269</c:v>
                </c:pt>
                <c:pt idx="37">
                  <c:v>37.323122529644266</c:v>
                </c:pt>
                <c:pt idx="38">
                  <c:v>33.573122529644266</c:v>
                </c:pt>
                <c:pt idx="39">
                  <c:v>33.573122529644266</c:v>
                </c:pt>
                <c:pt idx="40">
                  <c:v>33.573122529644266</c:v>
                </c:pt>
                <c:pt idx="41">
                  <c:v>37.073122529644266</c:v>
                </c:pt>
                <c:pt idx="42">
                  <c:v>41.573122529644266</c:v>
                </c:pt>
                <c:pt idx="43">
                  <c:v>41.573122529644266</c:v>
                </c:pt>
                <c:pt idx="44">
                  <c:v>41.573122529644266</c:v>
                </c:pt>
                <c:pt idx="45">
                  <c:v>31.173122529644267</c:v>
                </c:pt>
                <c:pt idx="46">
                  <c:v>27.323122529644269</c:v>
                </c:pt>
                <c:pt idx="47">
                  <c:v>20.573122529644269</c:v>
                </c:pt>
                <c:pt idx="48">
                  <c:v>20.573122529644269</c:v>
                </c:pt>
                <c:pt idx="49">
                  <c:v>22.073122529644269</c:v>
                </c:pt>
                <c:pt idx="50">
                  <c:v>27.823122529644269</c:v>
                </c:pt>
                <c:pt idx="51">
                  <c:v>31.573122529644269</c:v>
                </c:pt>
                <c:pt idx="52">
                  <c:v>31.573122529644269</c:v>
                </c:pt>
                <c:pt idx="53">
                  <c:v>35.323122529644266</c:v>
                </c:pt>
                <c:pt idx="54">
                  <c:v>36.573122529644266</c:v>
                </c:pt>
                <c:pt idx="55">
                  <c:v>36.573122529644266</c:v>
                </c:pt>
                <c:pt idx="56">
                  <c:v>45.323122529644266</c:v>
                </c:pt>
                <c:pt idx="57">
                  <c:v>50.573122529644266</c:v>
                </c:pt>
                <c:pt idx="58">
                  <c:v>56.573122529644266</c:v>
                </c:pt>
                <c:pt idx="59">
                  <c:v>56.573122529644266</c:v>
                </c:pt>
                <c:pt idx="60">
                  <c:v>56.173122529644274</c:v>
                </c:pt>
                <c:pt idx="61">
                  <c:v>54.573122529644266</c:v>
                </c:pt>
                <c:pt idx="62">
                  <c:v>54.573122529644266</c:v>
                </c:pt>
                <c:pt idx="63">
                  <c:v>54.573122529644266</c:v>
                </c:pt>
                <c:pt idx="64">
                  <c:v>54.573122529644266</c:v>
                </c:pt>
                <c:pt idx="65">
                  <c:v>54.573122529644266</c:v>
                </c:pt>
                <c:pt idx="66">
                  <c:v>53.773122529644269</c:v>
                </c:pt>
                <c:pt idx="67">
                  <c:v>50.573122529644266</c:v>
                </c:pt>
                <c:pt idx="68">
                  <c:v>41.823122529644266</c:v>
                </c:pt>
                <c:pt idx="69">
                  <c:v>31.37312252964427</c:v>
                </c:pt>
                <c:pt idx="70">
                  <c:v>28.573122529644269</c:v>
                </c:pt>
                <c:pt idx="71">
                  <c:v>28.573122529644269</c:v>
                </c:pt>
                <c:pt idx="72">
                  <c:v>28.573122529644269</c:v>
                </c:pt>
                <c:pt idx="73">
                  <c:v>28.573122529644269</c:v>
                </c:pt>
                <c:pt idx="74">
                  <c:v>18.2</c:v>
                </c:pt>
                <c:pt idx="75">
                  <c:v>21</c:v>
                </c:pt>
                <c:pt idx="76">
                  <c:v>21</c:v>
                </c:pt>
                <c:pt idx="77">
                  <c:v>21</c:v>
                </c:pt>
                <c:pt idx="78">
                  <c:v>24.75</c:v>
                </c:pt>
                <c:pt idx="79">
                  <c:v>27.166666666666664</c:v>
                </c:pt>
                <c:pt idx="80">
                  <c:v>28.666666666666664</c:v>
                </c:pt>
                <c:pt idx="81">
                  <c:v>22.833333333333336</c:v>
                </c:pt>
                <c:pt idx="82">
                  <c:v>22.833333333333336</c:v>
                </c:pt>
                <c:pt idx="83">
                  <c:v>20.933333333333334</c:v>
                </c:pt>
                <c:pt idx="84">
                  <c:v>20.333333333333336</c:v>
                </c:pt>
                <c:pt idx="85">
                  <c:v>22.833333333333336</c:v>
                </c:pt>
                <c:pt idx="86">
                  <c:v>23.333333333333336</c:v>
                </c:pt>
                <c:pt idx="87">
                  <c:v>27.083333333333336</c:v>
                </c:pt>
                <c:pt idx="88">
                  <c:v>30.833333333333336</c:v>
                </c:pt>
                <c:pt idx="89">
                  <c:v>33.333333333333336</c:v>
                </c:pt>
                <c:pt idx="90">
                  <c:v>33.333333333333336</c:v>
                </c:pt>
                <c:pt idx="91">
                  <c:v>35.733333333333334</c:v>
                </c:pt>
                <c:pt idx="92">
                  <c:v>38.333333333333336</c:v>
                </c:pt>
                <c:pt idx="93">
                  <c:v>38.333333333333336</c:v>
                </c:pt>
                <c:pt idx="94">
                  <c:v>38.333333333333336</c:v>
                </c:pt>
                <c:pt idx="95">
                  <c:v>38.333333333333336</c:v>
                </c:pt>
                <c:pt idx="96">
                  <c:v>45.333333333333336</c:v>
                </c:pt>
                <c:pt idx="97">
                  <c:v>49.083333333333336</c:v>
                </c:pt>
                <c:pt idx="98">
                  <c:v>59.333333333333336</c:v>
                </c:pt>
                <c:pt idx="99">
                  <c:v>65.833333333333329</c:v>
                </c:pt>
                <c:pt idx="100">
                  <c:v>69.333333333333329</c:v>
                </c:pt>
                <c:pt idx="101">
                  <c:v>73.333333333333329</c:v>
                </c:pt>
                <c:pt idx="102">
                  <c:v>75.833333333333329</c:v>
                </c:pt>
                <c:pt idx="103">
                  <c:v>78.333333333333329</c:v>
                </c:pt>
                <c:pt idx="104">
                  <c:v>84.583333333333329</c:v>
                </c:pt>
                <c:pt idx="105">
                  <c:v>88.333333333333329</c:v>
                </c:pt>
                <c:pt idx="106">
                  <c:v>88.333333333333329</c:v>
                </c:pt>
                <c:pt idx="107">
                  <c:v>91.666666666666657</c:v>
                </c:pt>
                <c:pt idx="108">
                  <c:v>98.333333333333329</c:v>
                </c:pt>
                <c:pt idx="109">
                  <c:v>102.83333333333333</c:v>
                </c:pt>
                <c:pt idx="110">
                  <c:v>101.33333333333333</c:v>
                </c:pt>
                <c:pt idx="111">
                  <c:v>87.333333333333329</c:v>
                </c:pt>
                <c:pt idx="112">
                  <c:v>70.533333333333331</c:v>
                </c:pt>
                <c:pt idx="113">
                  <c:v>50.833333333333336</c:v>
                </c:pt>
                <c:pt idx="114">
                  <c:v>48.333333333333336</c:v>
                </c:pt>
                <c:pt idx="115">
                  <c:v>43.333333333333336</c:v>
                </c:pt>
                <c:pt idx="116">
                  <c:v>44.583333333333336</c:v>
                </c:pt>
                <c:pt idx="117">
                  <c:v>52.333333333333336</c:v>
                </c:pt>
                <c:pt idx="118">
                  <c:v>49.5</c:v>
                </c:pt>
                <c:pt idx="119">
                  <c:v>49.666666666666664</c:v>
                </c:pt>
                <c:pt idx="120">
                  <c:v>47.133333333333333</c:v>
                </c:pt>
                <c:pt idx="121">
                  <c:v>33.75</c:v>
                </c:pt>
                <c:pt idx="122">
                  <c:v>27.5</c:v>
                </c:pt>
                <c:pt idx="123">
                  <c:v>10.8</c:v>
                </c:pt>
                <c:pt idx="124">
                  <c:v>11.333333333333334</c:v>
                </c:pt>
                <c:pt idx="125">
                  <c:v>15.166666666666666</c:v>
                </c:pt>
                <c:pt idx="126">
                  <c:v>17</c:v>
                </c:pt>
                <c:pt idx="127">
                  <c:v>22</c:v>
                </c:pt>
                <c:pt idx="128">
                  <c:v>25.25</c:v>
                </c:pt>
                <c:pt idx="129">
                  <c:v>28.8</c:v>
                </c:pt>
                <c:pt idx="130">
                  <c:v>32</c:v>
                </c:pt>
                <c:pt idx="131">
                  <c:v>33.35</c:v>
                </c:pt>
                <c:pt idx="132">
                  <c:v>44.5</c:v>
                </c:pt>
                <c:pt idx="133">
                  <c:v>68.25</c:v>
                </c:pt>
                <c:pt idx="134">
                  <c:v>96.5</c:v>
                </c:pt>
                <c:pt idx="135">
                  <c:v>108.46666666666667</c:v>
                </c:pt>
                <c:pt idx="136">
                  <c:v>124.41666666666667</c:v>
                </c:pt>
                <c:pt idx="137">
                  <c:v>143.16666666666666</c:v>
                </c:pt>
                <c:pt idx="138">
                  <c:v>170.66666666666666</c:v>
                </c:pt>
                <c:pt idx="139">
                  <c:v>192.5</c:v>
                </c:pt>
                <c:pt idx="140">
                  <c:v>201.33333333333334</c:v>
                </c:pt>
                <c:pt idx="141">
                  <c:v>210.33333333333334</c:v>
                </c:pt>
                <c:pt idx="142">
                  <c:v>211.33333333333334</c:v>
                </c:pt>
                <c:pt idx="143">
                  <c:v>222.9</c:v>
                </c:pt>
                <c:pt idx="144">
                  <c:v>233.33333333333334</c:v>
                </c:pt>
                <c:pt idx="145">
                  <c:v>234</c:v>
                </c:pt>
                <c:pt idx="146">
                  <c:v>236</c:v>
                </c:pt>
                <c:pt idx="147">
                  <c:v>236.66666666666666</c:v>
                </c:pt>
                <c:pt idx="148">
                  <c:v>236.66666666666666</c:v>
                </c:pt>
                <c:pt idx="149">
                  <c:v>236.53333333333333</c:v>
                </c:pt>
                <c:pt idx="150">
                  <c:v>220.08333333333334</c:v>
                </c:pt>
                <c:pt idx="151">
                  <c:v>175.75</c:v>
                </c:pt>
                <c:pt idx="152">
                  <c:v>93.6</c:v>
                </c:pt>
                <c:pt idx="153">
                  <c:v>70.833333333333329</c:v>
                </c:pt>
                <c:pt idx="154">
                  <c:v>63</c:v>
                </c:pt>
                <c:pt idx="155">
                  <c:v>57.033333333333331</c:v>
                </c:pt>
                <c:pt idx="156">
                  <c:v>60</c:v>
                </c:pt>
                <c:pt idx="157">
                  <c:v>54.333333333333329</c:v>
                </c:pt>
                <c:pt idx="158">
                  <c:v>36.4</c:v>
                </c:pt>
                <c:pt idx="159">
                  <c:v>34</c:v>
                </c:pt>
                <c:pt idx="160">
                  <c:v>37</c:v>
                </c:pt>
                <c:pt idx="161">
                  <c:v>34.466666666666669</c:v>
                </c:pt>
                <c:pt idx="162">
                  <c:v>31.333333333333332</c:v>
                </c:pt>
                <c:pt idx="163">
                  <c:v>33.866666666666667</c:v>
                </c:pt>
                <c:pt idx="164">
                  <c:v>65</c:v>
                </c:pt>
                <c:pt idx="165">
                  <c:v>88.916666666666671</c:v>
                </c:pt>
                <c:pt idx="166">
                  <c:v>79.333333333333329</c:v>
                </c:pt>
                <c:pt idx="167">
                  <c:v>65.333333333333343</c:v>
                </c:pt>
                <c:pt idx="168">
                  <c:v>62.833333333333329</c:v>
                </c:pt>
                <c:pt idx="169">
                  <c:v>64.400000000000006</c:v>
                </c:pt>
                <c:pt idx="170">
                  <c:v>73.666666666666671</c:v>
                </c:pt>
                <c:pt idx="171">
                  <c:v>81.833333333333329</c:v>
                </c:pt>
                <c:pt idx="172">
                  <c:v>93.533333333333331</c:v>
                </c:pt>
                <c:pt idx="173">
                  <c:v>96.333333333333329</c:v>
                </c:pt>
                <c:pt idx="174">
                  <c:v>100</c:v>
                </c:pt>
                <c:pt idx="175">
                  <c:v>104</c:v>
                </c:pt>
                <c:pt idx="176">
                  <c:v>103.66666666666667</c:v>
                </c:pt>
                <c:pt idx="177">
                  <c:v>120.66666666666667</c:v>
                </c:pt>
                <c:pt idx="178">
                  <c:v>123.33333333333333</c:v>
                </c:pt>
                <c:pt idx="179">
                  <c:v>118</c:v>
                </c:pt>
                <c:pt idx="180">
                  <c:v>132.33333333333334</c:v>
                </c:pt>
                <c:pt idx="181">
                  <c:v>125.41666666666667</c:v>
                </c:pt>
                <c:pt idx="182">
                  <c:v>85.75</c:v>
                </c:pt>
                <c:pt idx="183">
                  <c:v>110.5</c:v>
                </c:pt>
                <c:pt idx="184">
                  <c:v>127.2</c:v>
                </c:pt>
                <c:pt idx="185">
                  <c:v>146.25</c:v>
                </c:pt>
                <c:pt idx="186">
                  <c:v>138.66666666666666</c:v>
                </c:pt>
                <c:pt idx="187">
                  <c:v>130.91666666666666</c:v>
                </c:pt>
                <c:pt idx="188">
                  <c:v>94.166666666666671</c:v>
                </c:pt>
                <c:pt idx="189">
                  <c:v>93.8</c:v>
                </c:pt>
                <c:pt idx="190">
                  <c:v>112.41666666666667</c:v>
                </c:pt>
                <c:pt idx="191">
                  <c:v>120.66666666666667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9-478F-9F74-EB49216BF40D}"/>
            </c:ext>
          </c:extLst>
        </c:ser>
        <c:ser>
          <c:idx val="1"/>
          <c:order val="1"/>
          <c:tx>
            <c:strRef>
              <c:f>'Simulateur sur Avg'!$T$5</c:f>
              <c:strCache>
                <c:ptCount val="1"/>
                <c:pt idx="0">
                  <c:v> IPP ACS origine Japon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'Simulateur sur Avg'!$B$6:$B$289</c15:sqref>
                  </c15:fullRef>
                </c:ext>
              </c:extLst>
              <c:f>'Simulateur sur Avg'!$B$98:$B$289</c:f>
              <c:numCache>
                <c:formatCode>General</c:formatCode>
                <c:ptCount val="192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2010</c:v>
                </c:pt>
                <c:pt idx="10">
                  <c:v>2010</c:v>
                </c:pt>
                <c:pt idx="11">
                  <c:v>2010</c:v>
                </c:pt>
                <c:pt idx="12">
                  <c:v>2011</c:v>
                </c:pt>
                <c:pt idx="13">
                  <c:v>2011</c:v>
                </c:pt>
                <c:pt idx="14">
                  <c:v>2011</c:v>
                </c:pt>
                <c:pt idx="15">
                  <c:v>2011</c:v>
                </c:pt>
                <c:pt idx="16">
                  <c:v>2011</c:v>
                </c:pt>
                <c:pt idx="17">
                  <c:v>2011</c:v>
                </c:pt>
                <c:pt idx="18">
                  <c:v>2011</c:v>
                </c:pt>
                <c:pt idx="19">
                  <c:v>2011</c:v>
                </c:pt>
                <c:pt idx="20">
                  <c:v>2011</c:v>
                </c:pt>
                <c:pt idx="21">
                  <c:v>2011</c:v>
                </c:pt>
                <c:pt idx="22">
                  <c:v>2011</c:v>
                </c:pt>
                <c:pt idx="23">
                  <c:v>2011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2012</c:v>
                </c:pt>
                <c:pt idx="30">
                  <c:v>2012</c:v>
                </c:pt>
                <c:pt idx="31">
                  <c:v>2012</c:v>
                </c:pt>
                <c:pt idx="32">
                  <c:v>2012</c:v>
                </c:pt>
                <c:pt idx="33">
                  <c:v>2012</c:v>
                </c:pt>
                <c:pt idx="34">
                  <c:v>2012</c:v>
                </c:pt>
                <c:pt idx="35">
                  <c:v>2012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2013</c:v>
                </c:pt>
                <c:pt idx="41">
                  <c:v>2013</c:v>
                </c:pt>
                <c:pt idx="42">
                  <c:v>2013</c:v>
                </c:pt>
                <c:pt idx="43">
                  <c:v>2013</c:v>
                </c:pt>
                <c:pt idx="44">
                  <c:v>2013</c:v>
                </c:pt>
                <c:pt idx="45">
                  <c:v>2013</c:v>
                </c:pt>
                <c:pt idx="46">
                  <c:v>2013</c:v>
                </c:pt>
                <c:pt idx="47">
                  <c:v>2013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2015</c:v>
                </c:pt>
                <c:pt idx="65">
                  <c:v>2015</c:v>
                </c:pt>
                <c:pt idx="66">
                  <c:v>2015</c:v>
                </c:pt>
                <c:pt idx="67">
                  <c:v>2015</c:v>
                </c:pt>
                <c:pt idx="68">
                  <c:v>2015</c:v>
                </c:pt>
                <c:pt idx="69">
                  <c:v>2015</c:v>
                </c:pt>
                <c:pt idx="70">
                  <c:v>2015</c:v>
                </c:pt>
                <c:pt idx="71">
                  <c:v>2015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2016</c:v>
                </c:pt>
                <c:pt idx="83">
                  <c:v>2016</c:v>
                </c:pt>
                <c:pt idx="84">
                  <c:v>2017</c:v>
                </c:pt>
                <c:pt idx="85">
                  <c:v>2017</c:v>
                </c:pt>
                <c:pt idx="86">
                  <c:v>2017</c:v>
                </c:pt>
                <c:pt idx="87">
                  <c:v>2017</c:v>
                </c:pt>
                <c:pt idx="88">
                  <c:v>2017</c:v>
                </c:pt>
                <c:pt idx="89">
                  <c:v>2017</c:v>
                </c:pt>
                <c:pt idx="90">
                  <c:v>2017</c:v>
                </c:pt>
                <c:pt idx="91">
                  <c:v>2017</c:v>
                </c:pt>
                <c:pt idx="92">
                  <c:v>2017</c:v>
                </c:pt>
                <c:pt idx="93">
                  <c:v>2017</c:v>
                </c:pt>
                <c:pt idx="94">
                  <c:v>2017</c:v>
                </c:pt>
                <c:pt idx="95">
                  <c:v>2017</c:v>
                </c:pt>
                <c:pt idx="96">
                  <c:v>2018</c:v>
                </c:pt>
                <c:pt idx="97">
                  <c:v>2018</c:v>
                </c:pt>
                <c:pt idx="98">
                  <c:v>2018</c:v>
                </c:pt>
                <c:pt idx="99">
                  <c:v>2018</c:v>
                </c:pt>
                <c:pt idx="100">
                  <c:v>2018</c:v>
                </c:pt>
                <c:pt idx="101">
                  <c:v>2018</c:v>
                </c:pt>
                <c:pt idx="102">
                  <c:v>2018</c:v>
                </c:pt>
                <c:pt idx="103">
                  <c:v>2018</c:v>
                </c:pt>
                <c:pt idx="104">
                  <c:v>2018</c:v>
                </c:pt>
                <c:pt idx="105">
                  <c:v>2018</c:v>
                </c:pt>
                <c:pt idx="106">
                  <c:v>2018</c:v>
                </c:pt>
                <c:pt idx="107">
                  <c:v>2018</c:v>
                </c:pt>
                <c:pt idx="108">
                  <c:v>2019</c:v>
                </c:pt>
                <c:pt idx="109">
                  <c:v>2019</c:v>
                </c:pt>
                <c:pt idx="110">
                  <c:v>2019</c:v>
                </c:pt>
                <c:pt idx="111">
                  <c:v>2019</c:v>
                </c:pt>
                <c:pt idx="112">
                  <c:v>2019</c:v>
                </c:pt>
                <c:pt idx="113">
                  <c:v>2019</c:v>
                </c:pt>
                <c:pt idx="114">
                  <c:v>2019</c:v>
                </c:pt>
                <c:pt idx="115">
                  <c:v>2019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2020</c:v>
                </c:pt>
                <c:pt idx="125">
                  <c:v>2020</c:v>
                </c:pt>
                <c:pt idx="126">
                  <c:v>2020</c:v>
                </c:pt>
                <c:pt idx="127">
                  <c:v>2020</c:v>
                </c:pt>
                <c:pt idx="128">
                  <c:v>2020</c:v>
                </c:pt>
                <c:pt idx="129">
                  <c:v>2020</c:v>
                </c:pt>
                <c:pt idx="130">
                  <c:v>2020</c:v>
                </c:pt>
                <c:pt idx="131">
                  <c:v>2020</c:v>
                </c:pt>
                <c:pt idx="132">
                  <c:v>2021</c:v>
                </c:pt>
                <c:pt idx="133">
                  <c:v>2021</c:v>
                </c:pt>
                <c:pt idx="134">
                  <c:v>2021</c:v>
                </c:pt>
                <c:pt idx="135">
                  <c:v>2021</c:v>
                </c:pt>
                <c:pt idx="136">
                  <c:v>2021</c:v>
                </c:pt>
                <c:pt idx="137">
                  <c:v>2021</c:v>
                </c:pt>
                <c:pt idx="138">
                  <c:v>2021</c:v>
                </c:pt>
                <c:pt idx="139">
                  <c:v>2021</c:v>
                </c:pt>
                <c:pt idx="140">
                  <c:v>2021</c:v>
                </c:pt>
                <c:pt idx="141">
                  <c:v>2021</c:v>
                </c:pt>
                <c:pt idx="142">
                  <c:v>2021</c:v>
                </c:pt>
                <c:pt idx="143">
                  <c:v>2021</c:v>
                </c:pt>
                <c:pt idx="144">
                  <c:v>2022</c:v>
                </c:pt>
                <c:pt idx="145">
                  <c:v>2022</c:v>
                </c:pt>
                <c:pt idx="146">
                  <c:v>2022</c:v>
                </c:pt>
                <c:pt idx="147">
                  <c:v>2022</c:v>
                </c:pt>
                <c:pt idx="148">
                  <c:v>2022</c:v>
                </c:pt>
                <c:pt idx="149">
                  <c:v>2022</c:v>
                </c:pt>
                <c:pt idx="150">
                  <c:v>2022</c:v>
                </c:pt>
                <c:pt idx="151">
                  <c:v>2022</c:v>
                </c:pt>
                <c:pt idx="152">
                  <c:v>2022</c:v>
                </c:pt>
                <c:pt idx="153">
                  <c:v>2022</c:v>
                </c:pt>
                <c:pt idx="154">
                  <c:v>2022</c:v>
                </c:pt>
                <c:pt idx="155">
                  <c:v>2022</c:v>
                </c:pt>
                <c:pt idx="156">
                  <c:v>2023</c:v>
                </c:pt>
                <c:pt idx="157">
                  <c:v>2023</c:v>
                </c:pt>
                <c:pt idx="158">
                  <c:v>2023</c:v>
                </c:pt>
                <c:pt idx="159">
                  <c:v>2023</c:v>
                </c:pt>
                <c:pt idx="160">
                  <c:v>2023</c:v>
                </c:pt>
                <c:pt idx="161">
                  <c:v>2023</c:v>
                </c:pt>
                <c:pt idx="162">
                  <c:v>2023</c:v>
                </c:pt>
                <c:pt idx="163">
                  <c:v>2023</c:v>
                </c:pt>
                <c:pt idx="164">
                  <c:v>2023</c:v>
                </c:pt>
                <c:pt idx="165">
                  <c:v>2023</c:v>
                </c:pt>
                <c:pt idx="166">
                  <c:v>2023</c:v>
                </c:pt>
                <c:pt idx="167">
                  <c:v>2023</c:v>
                </c:pt>
                <c:pt idx="168">
                  <c:v>2024</c:v>
                </c:pt>
                <c:pt idx="169">
                  <c:v>2024</c:v>
                </c:pt>
                <c:pt idx="170">
                  <c:v>2024</c:v>
                </c:pt>
                <c:pt idx="171">
                  <c:v>2024</c:v>
                </c:pt>
                <c:pt idx="172">
                  <c:v>2024</c:v>
                </c:pt>
                <c:pt idx="173">
                  <c:v>2024</c:v>
                </c:pt>
                <c:pt idx="174">
                  <c:v>2024</c:v>
                </c:pt>
                <c:pt idx="175">
                  <c:v>2024</c:v>
                </c:pt>
                <c:pt idx="176">
                  <c:v>2024</c:v>
                </c:pt>
                <c:pt idx="177">
                  <c:v>2024</c:v>
                </c:pt>
                <c:pt idx="178">
                  <c:v>2024</c:v>
                </c:pt>
                <c:pt idx="179">
                  <c:v>2024</c:v>
                </c:pt>
                <c:pt idx="180">
                  <c:v>2025</c:v>
                </c:pt>
                <c:pt idx="181">
                  <c:v>2025</c:v>
                </c:pt>
                <c:pt idx="182">
                  <c:v>2025</c:v>
                </c:pt>
                <c:pt idx="183">
                  <c:v>2025</c:v>
                </c:pt>
                <c:pt idx="184">
                  <c:v>2025</c:v>
                </c:pt>
                <c:pt idx="185">
                  <c:v>2025</c:v>
                </c:pt>
                <c:pt idx="186">
                  <c:v>2025</c:v>
                </c:pt>
                <c:pt idx="187">
                  <c:v>2025</c:v>
                </c:pt>
                <c:pt idx="188">
                  <c:v>2025</c:v>
                </c:pt>
                <c:pt idx="189">
                  <c:v>2025</c:v>
                </c:pt>
                <c:pt idx="190">
                  <c:v>2025</c:v>
                </c:pt>
                <c:pt idx="191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'Simulateur sur Avg'!$T$6:$T$289</c15:sqref>
                  </c15:fullRef>
                </c:ext>
              </c:extLst>
              <c:f>'Simulateur sur Avg'!$T$98:$T$289</c:f>
              <c:numCache>
                <c:formatCode>_-* #\ ##0.0_-;\-* #\ ##0.0_-;_-* "-"??_-;_-@_-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93.110671936758905</c:v>
                </c:pt>
                <c:pt idx="31">
                  <c:v>97.110671936758905</c:v>
                </c:pt>
                <c:pt idx="32">
                  <c:v>99.110671936758905</c:v>
                </c:pt>
                <c:pt idx="33">
                  <c:v>92.360671936758905</c:v>
                </c:pt>
                <c:pt idx="34">
                  <c:v>72.110671936758905</c:v>
                </c:pt>
                <c:pt idx="35">
                  <c:v>64.110671936758905</c:v>
                </c:pt>
                <c:pt idx="36">
                  <c:v>61.310671936758901</c:v>
                </c:pt>
                <c:pt idx="37">
                  <c:v>57.110671936758898</c:v>
                </c:pt>
                <c:pt idx="38">
                  <c:v>57.110671936758898</c:v>
                </c:pt>
                <c:pt idx="39">
                  <c:v>57.110671936758898</c:v>
                </c:pt>
                <c:pt idx="40">
                  <c:v>62.710671936758899</c:v>
                </c:pt>
                <c:pt idx="41">
                  <c:v>57.110671936758898</c:v>
                </c:pt>
                <c:pt idx="42">
                  <c:v>57.110671936758898</c:v>
                </c:pt>
                <c:pt idx="43">
                  <c:v>57.110671936758898</c:v>
                </c:pt>
                <c:pt idx="44">
                  <c:v>57.110671936758898</c:v>
                </c:pt>
                <c:pt idx="45">
                  <c:v>57.110671936758898</c:v>
                </c:pt>
                <c:pt idx="46">
                  <c:v>57.110671936758898</c:v>
                </c:pt>
                <c:pt idx="47">
                  <c:v>57.110671936758898</c:v>
                </c:pt>
                <c:pt idx="48">
                  <c:v>57.110671936758898</c:v>
                </c:pt>
                <c:pt idx="49">
                  <c:v>60.860671936758898</c:v>
                </c:pt>
                <c:pt idx="50">
                  <c:v>62.110671936758898</c:v>
                </c:pt>
                <c:pt idx="51">
                  <c:v>62.110671936758898</c:v>
                </c:pt>
                <c:pt idx="52">
                  <c:v>62.110671936758898</c:v>
                </c:pt>
                <c:pt idx="53">
                  <c:v>62.110671936758898</c:v>
                </c:pt>
                <c:pt idx="54">
                  <c:v>62.110671936758898</c:v>
                </c:pt>
                <c:pt idx="55">
                  <c:v>62.110671936758898</c:v>
                </c:pt>
                <c:pt idx="56">
                  <c:v>65.610671936758905</c:v>
                </c:pt>
                <c:pt idx="57">
                  <c:v>67.110671936758905</c:v>
                </c:pt>
                <c:pt idx="58">
                  <c:v>69.110671936758905</c:v>
                </c:pt>
                <c:pt idx="59">
                  <c:v>66.610671936758905</c:v>
                </c:pt>
                <c:pt idx="60">
                  <c:v>64.710671936758899</c:v>
                </c:pt>
                <c:pt idx="61">
                  <c:v>70.360671936758905</c:v>
                </c:pt>
                <c:pt idx="62">
                  <c:v>73.110671936758905</c:v>
                </c:pt>
                <c:pt idx="63">
                  <c:v>74.110671936758905</c:v>
                </c:pt>
                <c:pt idx="64">
                  <c:v>74.360671936758905</c:v>
                </c:pt>
                <c:pt idx="65">
                  <c:v>79.110671936758905</c:v>
                </c:pt>
                <c:pt idx="66">
                  <c:v>74.110671936758905</c:v>
                </c:pt>
                <c:pt idx="67">
                  <c:v>69.110671936758905</c:v>
                </c:pt>
                <c:pt idx="68">
                  <c:v>72.110671936758905</c:v>
                </c:pt>
                <c:pt idx="69">
                  <c:v>69.510671936758897</c:v>
                </c:pt>
                <c:pt idx="70">
                  <c:v>62.860671936758898</c:v>
                </c:pt>
                <c:pt idx="71">
                  <c:v>59.110671936758898</c:v>
                </c:pt>
                <c:pt idx="72">
                  <c:v>59.110671936758898</c:v>
                </c:pt>
                <c:pt idx="73">
                  <c:v>56.610671936758898</c:v>
                </c:pt>
                <c:pt idx="74">
                  <c:v>32.4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33</c:v>
                </c:pt>
                <c:pt idx="79">
                  <c:v>32</c:v>
                </c:pt>
                <c:pt idx="80">
                  <c:v>33.200000000000003</c:v>
                </c:pt>
                <c:pt idx="81">
                  <c:v>33.5</c:v>
                </c:pt>
                <c:pt idx="82">
                  <c:v>32</c:v>
                </c:pt>
                <c:pt idx="83">
                  <c:v>30.2</c:v>
                </c:pt>
                <c:pt idx="84">
                  <c:v>29</c:v>
                </c:pt>
                <c:pt idx="85">
                  <c:v>29</c:v>
                </c:pt>
                <c:pt idx="86">
                  <c:v>31.4</c:v>
                </c:pt>
                <c:pt idx="87">
                  <c:v>39.25</c:v>
                </c:pt>
                <c:pt idx="88">
                  <c:v>43.75</c:v>
                </c:pt>
                <c:pt idx="89">
                  <c:v>45</c:v>
                </c:pt>
                <c:pt idx="90">
                  <c:v>45.5</c:v>
                </c:pt>
                <c:pt idx="91">
                  <c:v>47</c:v>
                </c:pt>
                <c:pt idx="92">
                  <c:v>47</c:v>
                </c:pt>
                <c:pt idx="93">
                  <c:v>46.5</c:v>
                </c:pt>
                <c:pt idx="94">
                  <c:v>43.8</c:v>
                </c:pt>
                <c:pt idx="95">
                  <c:v>46.333333333333336</c:v>
                </c:pt>
                <c:pt idx="96">
                  <c:v>49.25</c:v>
                </c:pt>
                <c:pt idx="97">
                  <c:v>50.5</c:v>
                </c:pt>
                <c:pt idx="98">
                  <c:v>52</c:v>
                </c:pt>
                <c:pt idx="99">
                  <c:v>52</c:v>
                </c:pt>
                <c:pt idx="100">
                  <c:v>57.6</c:v>
                </c:pt>
                <c:pt idx="101">
                  <c:v>63.5</c:v>
                </c:pt>
                <c:pt idx="102">
                  <c:v>65</c:v>
                </c:pt>
                <c:pt idx="103">
                  <c:v>65</c:v>
                </c:pt>
                <c:pt idx="104">
                  <c:v>66.75</c:v>
                </c:pt>
                <c:pt idx="105">
                  <c:v>75.5</c:v>
                </c:pt>
                <c:pt idx="106">
                  <c:v>80</c:v>
                </c:pt>
                <c:pt idx="107">
                  <c:v>84</c:v>
                </c:pt>
                <c:pt idx="108">
                  <c:v>82.133333333333326</c:v>
                </c:pt>
                <c:pt idx="109">
                  <c:v>77.333333333333343</c:v>
                </c:pt>
                <c:pt idx="110">
                  <c:v>74.833333333333343</c:v>
                </c:pt>
                <c:pt idx="111">
                  <c:v>70.083333333333343</c:v>
                </c:pt>
                <c:pt idx="112">
                  <c:v>64.333333333333343</c:v>
                </c:pt>
                <c:pt idx="113">
                  <c:v>52.833333333333336</c:v>
                </c:pt>
                <c:pt idx="114">
                  <c:v>50.333333333333336</c:v>
                </c:pt>
                <c:pt idx="115">
                  <c:v>50.333333333333336</c:v>
                </c:pt>
                <c:pt idx="116">
                  <c:v>46.833333333333336</c:v>
                </c:pt>
                <c:pt idx="117">
                  <c:v>53.533333333333331</c:v>
                </c:pt>
                <c:pt idx="118">
                  <c:v>53.583333333333336</c:v>
                </c:pt>
                <c:pt idx="119">
                  <c:v>54</c:v>
                </c:pt>
                <c:pt idx="120">
                  <c:v>52.266666666666666</c:v>
                </c:pt>
                <c:pt idx="121">
                  <c:v>43</c:v>
                </c:pt>
                <c:pt idx="122">
                  <c:v>25.5</c:v>
                </c:pt>
                <c:pt idx="123">
                  <c:v>14.266666666666666</c:v>
                </c:pt>
                <c:pt idx="124">
                  <c:v>23.416666666666664</c:v>
                </c:pt>
                <c:pt idx="125">
                  <c:v>25</c:v>
                </c:pt>
                <c:pt idx="126">
                  <c:v>24.6</c:v>
                </c:pt>
                <c:pt idx="127">
                  <c:v>24</c:v>
                </c:pt>
                <c:pt idx="128">
                  <c:v>23.666666666666664</c:v>
                </c:pt>
                <c:pt idx="129">
                  <c:v>26.533333333333331</c:v>
                </c:pt>
                <c:pt idx="130">
                  <c:v>32.666666666666664</c:v>
                </c:pt>
                <c:pt idx="131">
                  <c:v>30.133333333333336</c:v>
                </c:pt>
                <c:pt idx="132">
                  <c:v>54</c:v>
                </c:pt>
                <c:pt idx="133">
                  <c:v>67.166666666666657</c:v>
                </c:pt>
                <c:pt idx="134">
                  <c:v>72.083333333333343</c:v>
                </c:pt>
                <c:pt idx="135">
                  <c:v>90.266666666666666</c:v>
                </c:pt>
                <c:pt idx="136">
                  <c:v>97.166666666666657</c:v>
                </c:pt>
                <c:pt idx="137">
                  <c:v>105.83333333333334</c:v>
                </c:pt>
                <c:pt idx="138">
                  <c:v>121.53333333333333</c:v>
                </c:pt>
                <c:pt idx="139">
                  <c:v>133.33333333333334</c:v>
                </c:pt>
                <c:pt idx="140">
                  <c:v>144.66666666666666</c:v>
                </c:pt>
                <c:pt idx="141">
                  <c:v>159.66666666666666</c:v>
                </c:pt>
                <c:pt idx="142">
                  <c:v>161.66666666666666</c:v>
                </c:pt>
                <c:pt idx="143">
                  <c:v>153.63333333333333</c:v>
                </c:pt>
                <c:pt idx="144">
                  <c:v>150.58333333333334</c:v>
                </c:pt>
                <c:pt idx="145">
                  <c:v>146.16666666666666</c:v>
                </c:pt>
                <c:pt idx="146">
                  <c:v>148.46666666666667</c:v>
                </c:pt>
                <c:pt idx="147">
                  <c:v>159.66666666666669</c:v>
                </c:pt>
                <c:pt idx="148">
                  <c:v>171.75</c:v>
                </c:pt>
                <c:pt idx="149">
                  <c:v>176</c:v>
                </c:pt>
                <c:pt idx="150">
                  <c:v>178.58333333333331</c:v>
                </c:pt>
                <c:pt idx="151">
                  <c:v>149.25</c:v>
                </c:pt>
                <c:pt idx="152">
                  <c:v>121.06666666666666</c:v>
                </c:pt>
                <c:pt idx="153">
                  <c:v>108</c:v>
                </c:pt>
                <c:pt idx="154">
                  <c:v>106.66666666666667</c:v>
                </c:pt>
                <c:pt idx="155">
                  <c:v>88.333333333333329</c:v>
                </c:pt>
                <c:pt idx="156">
                  <c:v>100.41666666666667</c:v>
                </c:pt>
                <c:pt idx="157">
                  <c:v>93.083333333333329</c:v>
                </c:pt>
                <c:pt idx="158">
                  <c:v>78.933333333333337</c:v>
                </c:pt>
                <c:pt idx="159">
                  <c:v>78.25</c:v>
                </c:pt>
                <c:pt idx="160">
                  <c:v>77.583333333333329</c:v>
                </c:pt>
                <c:pt idx="161">
                  <c:v>70.666666666666671</c:v>
                </c:pt>
                <c:pt idx="162">
                  <c:v>67.916666666666671</c:v>
                </c:pt>
                <c:pt idx="163">
                  <c:v>71</c:v>
                </c:pt>
                <c:pt idx="164">
                  <c:v>80.75</c:v>
                </c:pt>
                <c:pt idx="165">
                  <c:v>87.666666666666671</c:v>
                </c:pt>
                <c:pt idx="166">
                  <c:v>85.333333333333343</c:v>
                </c:pt>
                <c:pt idx="167">
                  <c:v>63.333333333333329</c:v>
                </c:pt>
                <c:pt idx="168">
                  <c:v>85.416666666666671</c:v>
                </c:pt>
                <c:pt idx="169">
                  <c:v>81.333333333333329</c:v>
                </c:pt>
                <c:pt idx="170">
                  <c:v>84</c:v>
                </c:pt>
                <c:pt idx="171">
                  <c:v>87.833333333333329</c:v>
                </c:pt>
                <c:pt idx="172">
                  <c:v>89.533333333333331</c:v>
                </c:pt>
                <c:pt idx="173">
                  <c:v>90.666666666666671</c:v>
                </c:pt>
                <c:pt idx="174">
                  <c:v>95.666666666666671</c:v>
                </c:pt>
                <c:pt idx="175">
                  <c:v>103.13333333333333</c:v>
                </c:pt>
                <c:pt idx="176">
                  <c:v>106</c:v>
                </c:pt>
                <c:pt idx="177">
                  <c:v>107.93333333333334</c:v>
                </c:pt>
                <c:pt idx="178">
                  <c:v>114</c:v>
                </c:pt>
                <c:pt idx="179">
                  <c:v>91.833333333333329</c:v>
                </c:pt>
                <c:pt idx="180">
                  <c:v>118.06666666666666</c:v>
                </c:pt>
                <c:pt idx="181">
                  <c:v>114</c:v>
                </c:pt>
                <c:pt idx="182">
                  <c:v>109.83333333333333</c:v>
                </c:pt>
                <c:pt idx="183">
                  <c:v>112.58333333333333</c:v>
                </c:pt>
                <c:pt idx="184">
                  <c:v>117.13333333333333</c:v>
                </c:pt>
                <c:pt idx="185">
                  <c:v>116.16666666666667</c:v>
                </c:pt>
                <c:pt idx="186">
                  <c:v>119.60000000000001</c:v>
                </c:pt>
                <c:pt idx="187">
                  <c:v>119.87770897832816</c:v>
                </c:pt>
                <c:pt idx="188">
                  <c:v>104.44943240454074</c:v>
                </c:pt>
                <c:pt idx="189">
                  <c:v>106.91795665634672</c:v>
                </c:pt>
                <c:pt idx="190">
                  <c:v>127.39899380804951</c:v>
                </c:pt>
                <c:pt idx="191">
                  <c:v>132.99174406604743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E9-478F-9F74-EB49216BF40D}"/>
            </c:ext>
          </c:extLst>
        </c:ser>
        <c:ser>
          <c:idx val="2"/>
          <c:order val="2"/>
          <c:tx>
            <c:strRef>
              <c:f>'Simulateur sur Avg'!$T$5</c:f>
              <c:strCache>
                <c:ptCount val="1"/>
                <c:pt idx="0">
                  <c:v> IPP ACS origine Japon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'Simulateur sur Avg'!$B$6:$B$289</c15:sqref>
                  </c15:fullRef>
                </c:ext>
              </c:extLst>
              <c:f>'Simulateur sur Avg'!$B$98:$B$289</c:f>
              <c:numCache>
                <c:formatCode>General</c:formatCode>
                <c:ptCount val="192"/>
                <c:pt idx="0">
                  <c:v>2010</c:v>
                </c:pt>
                <c:pt idx="1">
                  <c:v>2010</c:v>
                </c:pt>
                <c:pt idx="2">
                  <c:v>2010</c:v>
                </c:pt>
                <c:pt idx="3">
                  <c:v>2010</c:v>
                </c:pt>
                <c:pt idx="4">
                  <c:v>2010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2010</c:v>
                </c:pt>
                <c:pt idx="10">
                  <c:v>2010</c:v>
                </c:pt>
                <c:pt idx="11">
                  <c:v>2010</c:v>
                </c:pt>
                <c:pt idx="12">
                  <c:v>2011</c:v>
                </c:pt>
                <c:pt idx="13">
                  <c:v>2011</c:v>
                </c:pt>
                <c:pt idx="14">
                  <c:v>2011</c:v>
                </c:pt>
                <c:pt idx="15">
                  <c:v>2011</c:v>
                </c:pt>
                <c:pt idx="16">
                  <c:v>2011</c:v>
                </c:pt>
                <c:pt idx="17">
                  <c:v>2011</c:v>
                </c:pt>
                <c:pt idx="18">
                  <c:v>2011</c:v>
                </c:pt>
                <c:pt idx="19">
                  <c:v>2011</c:v>
                </c:pt>
                <c:pt idx="20">
                  <c:v>2011</c:v>
                </c:pt>
                <c:pt idx="21">
                  <c:v>2011</c:v>
                </c:pt>
                <c:pt idx="22">
                  <c:v>2011</c:v>
                </c:pt>
                <c:pt idx="23">
                  <c:v>2011</c:v>
                </c:pt>
                <c:pt idx="24">
                  <c:v>2012</c:v>
                </c:pt>
                <c:pt idx="25">
                  <c:v>2012</c:v>
                </c:pt>
                <c:pt idx="26">
                  <c:v>2012</c:v>
                </c:pt>
                <c:pt idx="27">
                  <c:v>2012</c:v>
                </c:pt>
                <c:pt idx="28">
                  <c:v>2012</c:v>
                </c:pt>
                <c:pt idx="29">
                  <c:v>2012</c:v>
                </c:pt>
                <c:pt idx="30">
                  <c:v>2012</c:v>
                </c:pt>
                <c:pt idx="31">
                  <c:v>2012</c:v>
                </c:pt>
                <c:pt idx="32">
                  <c:v>2012</c:v>
                </c:pt>
                <c:pt idx="33">
                  <c:v>2012</c:v>
                </c:pt>
                <c:pt idx="34">
                  <c:v>2012</c:v>
                </c:pt>
                <c:pt idx="35">
                  <c:v>2012</c:v>
                </c:pt>
                <c:pt idx="36">
                  <c:v>2013</c:v>
                </c:pt>
                <c:pt idx="37">
                  <c:v>2013</c:v>
                </c:pt>
                <c:pt idx="38">
                  <c:v>2013</c:v>
                </c:pt>
                <c:pt idx="39">
                  <c:v>2013</c:v>
                </c:pt>
                <c:pt idx="40">
                  <c:v>2013</c:v>
                </c:pt>
                <c:pt idx="41">
                  <c:v>2013</c:v>
                </c:pt>
                <c:pt idx="42">
                  <c:v>2013</c:v>
                </c:pt>
                <c:pt idx="43">
                  <c:v>2013</c:v>
                </c:pt>
                <c:pt idx="44">
                  <c:v>2013</c:v>
                </c:pt>
                <c:pt idx="45">
                  <c:v>2013</c:v>
                </c:pt>
                <c:pt idx="46">
                  <c:v>2013</c:v>
                </c:pt>
                <c:pt idx="47">
                  <c:v>2013</c:v>
                </c:pt>
                <c:pt idx="48">
                  <c:v>2014</c:v>
                </c:pt>
                <c:pt idx="49">
                  <c:v>2014</c:v>
                </c:pt>
                <c:pt idx="50">
                  <c:v>2014</c:v>
                </c:pt>
                <c:pt idx="51">
                  <c:v>2014</c:v>
                </c:pt>
                <c:pt idx="52">
                  <c:v>2014</c:v>
                </c:pt>
                <c:pt idx="53">
                  <c:v>2014</c:v>
                </c:pt>
                <c:pt idx="54">
                  <c:v>2014</c:v>
                </c:pt>
                <c:pt idx="55">
                  <c:v>2014</c:v>
                </c:pt>
                <c:pt idx="56">
                  <c:v>2014</c:v>
                </c:pt>
                <c:pt idx="57">
                  <c:v>2014</c:v>
                </c:pt>
                <c:pt idx="58">
                  <c:v>2014</c:v>
                </c:pt>
                <c:pt idx="59">
                  <c:v>2014</c:v>
                </c:pt>
                <c:pt idx="60">
                  <c:v>2015</c:v>
                </c:pt>
                <c:pt idx="61">
                  <c:v>2015</c:v>
                </c:pt>
                <c:pt idx="62">
                  <c:v>2015</c:v>
                </c:pt>
                <c:pt idx="63">
                  <c:v>2015</c:v>
                </c:pt>
                <c:pt idx="64">
                  <c:v>2015</c:v>
                </c:pt>
                <c:pt idx="65">
                  <c:v>2015</c:v>
                </c:pt>
                <c:pt idx="66">
                  <c:v>2015</c:v>
                </c:pt>
                <c:pt idx="67">
                  <c:v>2015</c:v>
                </c:pt>
                <c:pt idx="68">
                  <c:v>2015</c:v>
                </c:pt>
                <c:pt idx="69">
                  <c:v>2015</c:v>
                </c:pt>
                <c:pt idx="70">
                  <c:v>2015</c:v>
                </c:pt>
                <c:pt idx="71">
                  <c:v>2015</c:v>
                </c:pt>
                <c:pt idx="72">
                  <c:v>2016</c:v>
                </c:pt>
                <c:pt idx="73">
                  <c:v>2016</c:v>
                </c:pt>
                <c:pt idx="74">
                  <c:v>2016</c:v>
                </c:pt>
                <c:pt idx="75">
                  <c:v>2016</c:v>
                </c:pt>
                <c:pt idx="76">
                  <c:v>2016</c:v>
                </c:pt>
                <c:pt idx="77">
                  <c:v>2016</c:v>
                </c:pt>
                <c:pt idx="78">
                  <c:v>2016</c:v>
                </c:pt>
                <c:pt idx="79">
                  <c:v>2016</c:v>
                </c:pt>
                <c:pt idx="80">
                  <c:v>2016</c:v>
                </c:pt>
                <c:pt idx="81">
                  <c:v>2016</c:v>
                </c:pt>
                <c:pt idx="82">
                  <c:v>2016</c:v>
                </c:pt>
                <c:pt idx="83">
                  <c:v>2016</c:v>
                </c:pt>
                <c:pt idx="84">
                  <c:v>2017</c:v>
                </c:pt>
                <c:pt idx="85">
                  <c:v>2017</c:v>
                </c:pt>
                <c:pt idx="86">
                  <c:v>2017</c:v>
                </c:pt>
                <c:pt idx="87">
                  <c:v>2017</c:v>
                </c:pt>
                <c:pt idx="88">
                  <c:v>2017</c:v>
                </c:pt>
                <c:pt idx="89">
                  <c:v>2017</c:v>
                </c:pt>
                <c:pt idx="90">
                  <c:v>2017</c:v>
                </c:pt>
                <c:pt idx="91">
                  <c:v>2017</c:v>
                </c:pt>
                <c:pt idx="92">
                  <c:v>2017</c:v>
                </c:pt>
                <c:pt idx="93">
                  <c:v>2017</c:v>
                </c:pt>
                <c:pt idx="94">
                  <c:v>2017</c:v>
                </c:pt>
                <c:pt idx="95">
                  <c:v>2017</c:v>
                </c:pt>
                <c:pt idx="96">
                  <c:v>2018</c:v>
                </c:pt>
                <c:pt idx="97">
                  <c:v>2018</c:v>
                </c:pt>
                <c:pt idx="98">
                  <c:v>2018</c:v>
                </c:pt>
                <c:pt idx="99">
                  <c:v>2018</c:v>
                </c:pt>
                <c:pt idx="100">
                  <c:v>2018</c:v>
                </c:pt>
                <c:pt idx="101">
                  <c:v>2018</c:v>
                </c:pt>
                <c:pt idx="102">
                  <c:v>2018</c:v>
                </c:pt>
                <c:pt idx="103">
                  <c:v>2018</c:v>
                </c:pt>
                <c:pt idx="104">
                  <c:v>2018</c:v>
                </c:pt>
                <c:pt idx="105">
                  <c:v>2018</c:v>
                </c:pt>
                <c:pt idx="106">
                  <c:v>2018</c:v>
                </c:pt>
                <c:pt idx="107">
                  <c:v>2018</c:v>
                </c:pt>
                <c:pt idx="108">
                  <c:v>2019</c:v>
                </c:pt>
                <c:pt idx="109">
                  <c:v>2019</c:v>
                </c:pt>
                <c:pt idx="110">
                  <c:v>2019</c:v>
                </c:pt>
                <c:pt idx="111">
                  <c:v>2019</c:v>
                </c:pt>
                <c:pt idx="112">
                  <c:v>2019</c:v>
                </c:pt>
                <c:pt idx="113">
                  <c:v>2019</c:v>
                </c:pt>
                <c:pt idx="114">
                  <c:v>2019</c:v>
                </c:pt>
                <c:pt idx="115">
                  <c:v>2019</c:v>
                </c:pt>
                <c:pt idx="116">
                  <c:v>2019</c:v>
                </c:pt>
                <c:pt idx="117">
                  <c:v>2019</c:v>
                </c:pt>
                <c:pt idx="118">
                  <c:v>2019</c:v>
                </c:pt>
                <c:pt idx="119">
                  <c:v>2019</c:v>
                </c:pt>
                <c:pt idx="120">
                  <c:v>2020</c:v>
                </c:pt>
                <c:pt idx="121">
                  <c:v>2020</c:v>
                </c:pt>
                <c:pt idx="122">
                  <c:v>2020</c:v>
                </c:pt>
                <c:pt idx="123">
                  <c:v>2020</c:v>
                </c:pt>
                <c:pt idx="124">
                  <c:v>2020</c:v>
                </c:pt>
                <c:pt idx="125">
                  <c:v>2020</c:v>
                </c:pt>
                <c:pt idx="126">
                  <c:v>2020</c:v>
                </c:pt>
                <c:pt idx="127">
                  <c:v>2020</c:v>
                </c:pt>
                <c:pt idx="128">
                  <c:v>2020</c:v>
                </c:pt>
                <c:pt idx="129">
                  <c:v>2020</c:v>
                </c:pt>
                <c:pt idx="130">
                  <c:v>2020</c:v>
                </c:pt>
                <c:pt idx="131">
                  <c:v>2020</c:v>
                </c:pt>
                <c:pt idx="132">
                  <c:v>2021</c:v>
                </c:pt>
                <c:pt idx="133">
                  <c:v>2021</c:v>
                </c:pt>
                <c:pt idx="134">
                  <c:v>2021</c:v>
                </c:pt>
                <c:pt idx="135">
                  <c:v>2021</c:v>
                </c:pt>
                <c:pt idx="136">
                  <c:v>2021</c:v>
                </c:pt>
                <c:pt idx="137">
                  <c:v>2021</c:v>
                </c:pt>
                <c:pt idx="138">
                  <c:v>2021</c:v>
                </c:pt>
                <c:pt idx="139">
                  <c:v>2021</c:v>
                </c:pt>
                <c:pt idx="140">
                  <c:v>2021</c:v>
                </c:pt>
                <c:pt idx="141">
                  <c:v>2021</c:v>
                </c:pt>
                <c:pt idx="142">
                  <c:v>2021</c:v>
                </c:pt>
                <c:pt idx="143">
                  <c:v>2021</c:v>
                </c:pt>
                <c:pt idx="144">
                  <c:v>2022</c:v>
                </c:pt>
                <c:pt idx="145">
                  <c:v>2022</c:v>
                </c:pt>
                <c:pt idx="146">
                  <c:v>2022</c:v>
                </c:pt>
                <c:pt idx="147">
                  <c:v>2022</c:v>
                </c:pt>
                <c:pt idx="148">
                  <c:v>2022</c:v>
                </c:pt>
                <c:pt idx="149">
                  <c:v>2022</c:v>
                </c:pt>
                <c:pt idx="150">
                  <c:v>2022</c:v>
                </c:pt>
                <c:pt idx="151">
                  <c:v>2022</c:v>
                </c:pt>
                <c:pt idx="152">
                  <c:v>2022</c:v>
                </c:pt>
                <c:pt idx="153">
                  <c:v>2022</c:v>
                </c:pt>
                <c:pt idx="154">
                  <c:v>2022</c:v>
                </c:pt>
                <c:pt idx="155">
                  <c:v>2022</c:v>
                </c:pt>
                <c:pt idx="156">
                  <c:v>2023</c:v>
                </c:pt>
                <c:pt idx="157">
                  <c:v>2023</c:v>
                </c:pt>
                <c:pt idx="158">
                  <c:v>2023</c:v>
                </c:pt>
                <c:pt idx="159">
                  <c:v>2023</c:v>
                </c:pt>
                <c:pt idx="160">
                  <c:v>2023</c:v>
                </c:pt>
                <c:pt idx="161">
                  <c:v>2023</c:v>
                </c:pt>
                <c:pt idx="162">
                  <c:v>2023</c:v>
                </c:pt>
                <c:pt idx="163">
                  <c:v>2023</c:v>
                </c:pt>
                <c:pt idx="164">
                  <c:v>2023</c:v>
                </c:pt>
                <c:pt idx="165">
                  <c:v>2023</c:v>
                </c:pt>
                <c:pt idx="166">
                  <c:v>2023</c:v>
                </c:pt>
                <c:pt idx="167">
                  <c:v>2023</c:v>
                </c:pt>
                <c:pt idx="168">
                  <c:v>2024</c:v>
                </c:pt>
                <c:pt idx="169">
                  <c:v>2024</c:v>
                </c:pt>
                <c:pt idx="170">
                  <c:v>2024</c:v>
                </c:pt>
                <c:pt idx="171">
                  <c:v>2024</c:v>
                </c:pt>
                <c:pt idx="172">
                  <c:v>2024</c:v>
                </c:pt>
                <c:pt idx="173">
                  <c:v>2024</c:v>
                </c:pt>
                <c:pt idx="174">
                  <c:v>2024</c:v>
                </c:pt>
                <c:pt idx="175">
                  <c:v>2024</c:v>
                </c:pt>
                <c:pt idx="176">
                  <c:v>2024</c:v>
                </c:pt>
                <c:pt idx="177">
                  <c:v>2024</c:v>
                </c:pt>
                <c:pt idx="178">
                  <c:v>2024</c:v>
                </c:pt>
                <c:pt idx="179">
                  <c:v>2024</c:v>
                </c:pt>
                <c:pt idx="180">
                  <c:v>2025</c:v>
                </c:pt>
                <c:pt idx="181">
                  <c:v>2025</c:v>
                </c:pt>
                <c:pt idx="182">
                  <c:v>2025</c:v>
                </c:pt>
                <c:pt idx="183">
                  <c:v>2025</c:v>
                </c:pt>
                <c:pt idx="184">
                  <c:v>2025</c:v>
                </c:pt>
                <c:pt idx="185">
                  <c:v>2025</c:v>
                </c:pt>
                <c:pt idx="186">
                  <c:v>2025</c:v>
                </c:pt>
                <c:pt idx="187">
                  <c:v>2025</c:v>
                </c:pt>
                <c:pt idx="188">
                  <c:v>2025</c:v>
                </c:pt>
                <c:pt idx="189">
                  <c:v>2025</c:v>
                </c:pt>
                <c:pt idx="190">
                  <c:v>2025</c:v>
                </c:pt>
                <c:pt idx="191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'Simulateur sur Avg'!$U$6:$U$289</c15:sqref>
                  </c15:fullRef>
                </c:ext>
              </c:extLst>
              <c:f>'Simulateur sur Avg'!$U$98:$U$289</c:f>
              <c:numCache>
                <c:formatCode>_-* #\ ##0.0_-;\-* #\ ##0.0_-;_-* "-"??_-;_-@_-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125.43</c:v>
                </c:pt>
                <c:pt idx="136">
                  <c:v>135.65</c:v>
                </c:pt>
                <c:pt idx="137">
                  <c:v>158.30000000000001</c:v>
                </c:pt>
                <c:pt idx="138">
                  <c:v>175.24</c:v>
                </c:pt>
                <c:pt idx="139">
                  <c:v>187</c:v>
                </c:pt>
                <c:pt idx="140">
                  <c:v>212.2</c:v>
                </c:pt>
                <c:pt idx="141">
                  <c:v>217.2</c:v>
                </c:pt>
                <c:pt idx="142">
                  <c:v>209.75</c:v>
                </c:pt>
                <c:pt idx="143">
                  <c:v>186.37</c:v>
                </c:pt>
                <c:pt idx="144">
                  <c:v>197</c:v>
                </c:pt>
                <c:pt idx="145">
                  <c:v>192.15</c:v>
                </c:pt>
                <c:pt idx="146">
                  <c:v>189.6</c:v>
                </c:pt>
                <c:pt idx="147">
                  <c:v>201.10000000000002</c:v>
                </c:pt>
                <c:pt idx="148">
                  <c:v>214.65</c:v>
                </c:pt>
                <c:pt idx="149">
                  <c:v>214.28</c:v>
                </c:pt>
                <c:pt idx="150">
                  <c:v>196.1</c:v>
                </c:pt>
                <c:pt idx="151">
                  <c:v>136.69999999999999</c:v>
                </c:pt>
                <c:pt idx="152">
                  <c:v>94.16</c:v>
                </c:pt>
                <c:pt idx="153">
                  <c:v>95.2</c:v>
                </c:pt>
                <c:pt idx="154">
                  <c:v>99.75</c:v>
                </c:pt>
                <c:pt idx="155">
                  <c:v>82.5</c:v>
                </c:pt>
                <c:pt idx="156">
                  <c:v>95.7</c:v>
                </c:pt>
                <c:pt idx="157">
                  <c:v>85.45</c:v>
                </c:pt>
                <c:pt idx="158">
                  <c:v>75.959999999999994</c:v>
                </c:pt>
                <c:pt idx="159">
                  <c:v>74.100000000000009</c:v>
                </c:pt>
                <c:pt idx="160">
                  <c:v>72.3</c:v>
                </c:pt>
                <c:pt idx="161">
                  <c:v>66.600000000000009</c:v>
                </c:pt>
                <c:pt idx="162">
                  <c:v>60.75</c:v>
                </c:pt>
                <c:pt idx="163">
                  <c:v>71.8</c:v>
                </c:pt>
                <c:pt idx="164">
                  <c:v>95.7</c:v>
                </c:pt>
                <c:pt idx="165">
                  <c:v>104.45</c:v>
                </c:pt>
                <c:pt idx="166">
                  <c:v>98.240000000000009</c:v>
                </c:pt>
                <c:pt idx="167">
                  <c:v>74</c:v>
                </c:pt>
                <c:pt idx="168">
                  <c:v>89.15</c:v>
                </c:pt>
                <c:pt idx="169">
                  <c:v>85.96</c:v>
                </c:pt>
                <c:pt idx="170">
                  <c:v>88.600000000000009</c:v>
                </c:pt>
                <c:pt idx="171">
                  <c:v>100.8</c:v>
                </c:pt>
                <c:pt idx="172">
                  <c:v>101.91999999999999</c:v>
                </c:pt>
                <c:pt idx="173">
                  <c:v>107</c:v>
                </c:pt>
                <c:pt idx="174">
                  <c:v>116.75</c:v>
                </c:pt>
                <c:pt idx="175">
                  <c:v>130.51999999999998</c:v>
                </c:pt>
                <c:pt idx="176">
                  <c:v>127.65</c:v>
                </c:pt>
                <c:pt idx="177">
                  <c:v>130.19999999999999</c:v>
                </c:pt>
                <c:pt idx="178">
                  <c:v>135.05000000000001</c:v>
                </c:pt>
                <c:pt idx="179">
                  <c:v>112.41666666666666</c:v>
                </c:pt>
                <c:pt idx="180">
                  <c:v>132.20000000000002</c:v>
                </c:pt>
                <c:pt idx="181">
                  <c:v>125.9</c:v>
                </c:pt>
                <c:pt idx="182">
                  <c:v>133.30000000000001</c:v>
                </c:pt>
                <c:pt idx="183">
                  <c:v>139.64999999999998</c:v>
                </c:pt>
                <c:pt idx="184">
                  <c:v>140.19999999999999</c:v>
                </c:pt>
                <c:pt idx="185">
                  <c:v>152</c:v>
                </c:pt>
                <c:pt idx="186">
                  <c:v>155.04000000000002</c:v>
                </c:pt>
                <c:pt idx="187">
                  <c:v>155.4</c:v>
                </c:pt>
                <c:pt idx="188">
                  <c:v>135.4</c:v>
                </c:pt>
                <c:pt idx="189">
                  <c:v>138.6</c:v>
                </c:pt>
                <c:pt idx="190">
                  <c:v>165.15</c:v>
                </c:pt>
                <c:pt idx="191">
                  <c:v>172.4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E9-478F-9F74-EB49216BF40D}"/>
            </c:ext>
          </c:extLst>
        </c:ser>
        <c:ser>
          <c:idx val="3"/>
          <c:order val="3"/>
          <c:tx>
            <c:strRef>
              <c:f>'Simulateur sur Avg'!$AA$5</c:f>
              <c:strCache>
                <c:ptCount val="1"/>
                <c:pt idx="0">
                  <c:v> IPP_Acid = 40% × IPP_NWE
         + 30% × IPP_Japan
         + 30% × IPP_China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192"/>
              <c:pt idx="0">
                <c:v>2010</c:v>
              </c:pt>
              <c:pt idx="1">
                <c:v>2010</c:v>
              </c:pt>
              <c:pt idx="2">
                <c:v>2010</c:v>
              </c:pt>
              <c:pt idx="3">
                <c:v>2010</c:v>
              </c:pt>
              <c:pt idx="4">
                <c:v>2010</c:v>
              </c:pt>
              <c:pt idx="5">
                <c:v>2010</c:v>
              </c:pt>
              <c:pt idx="6">
                <c:v>2010</c:v>
              </c:pt>
              <c:pt idx="7">
                <c:v>2010</c:v>
              </c:pt>
              <c:pt idx="8">
                <c:v>2010</c:v>
              </c:pt>
              <c:pt idx="9">
                <c:v>2010</c:v>
              </c:pt>
              <c:pt idx="10">
                <c:v>2010</c:v>
              </c:pt>
              <c:pt idx="11">
                <c:v>2010</c:v>
              </c:pt>
              <c:pt idx="12">
                <c:v>2011</c:v>
              </c:pt>
              <c:pt idx="13">
                <c:v>2011</c:v>
              </c:pt>
              <c:pt idx="14">
                <c:v>2011</c:v>
              </c:pt>
              <c:pt idx="15">
                <c:v>2011</c:v>
              </c:pt>
              <c:pt idx="16">
                <c:v>2011</c:v>
              </c:pt>
              <c:pt idx="17">
                <c:v>2011</c:v>
              </c:pt>
              <c:pt idx="18">
                <c:v>2011</c:v>
              </c:pt>
              <c:pt idx="19">
                <c:v>2011</c:v>
              </c:pt>
              <c:pt idx="20">
                <c:v>2011</c:v>
              </c:pt>
              <c:pt idx="21">
                <c:v>2011</c:v>
              </c:pt>
              <c:pt idx="22">
                <c:v>2011</c:v>
              </c:pt>
              <c:pt idx="23">
                <c:v>2011</c:v>
              </c:pt>
              <c:pt idx="24">
                <c:v>2012</c:v>
              </c:pt>
              <c:pt idx="25">
                <c:v>2012</c:v>
              </c:pt>
              <c:pt idx="26">
                <c:v>2012</c:v>
              </c:pt>
              <c:pt idx="27">
                <c:v>2012</c:v>
              </c:pt>
              <c:pt idx="28">
                <c:v>2012</c:v>
              </c:pt>
              <c:pt idx="29">
                <c:v>2012</c:v>
              </c:pt>
              <c:pt idx="30">
                <c:v>2012</c:v>
              </c:pt>
              <c:pt idx="31">
                <c:v>2012</c:v>
              </c:pt>
              <c:pt idx="32">
                <c:v>2012</c:v>
              </c:pt>
              <c:pt idx="33">
                <c:v>2012</c:v>
              </c:pt>
              <c:pt idx="34">
                <c:v>2012</c:v>
              </c:pt>
              <c:pt idx="35">
                <c:v>2012</c:v>
              </c:pt>
              <c:pt idx="36">
                <c:v>2013</c:v>
              </c:pt>
              <c:pt idx="37">
                <c:v>2013</c:v>
              </c:pt>
              <c:pt idx="38">
                <c:v>2013</c:v>
              </c:pt>
              <c:pt idx="39">
                <c:v>2013</c:v>
              </c:pt>
              <c:pt idx="40">
                <c:v>2013</c:v>
              </c:pt>
              <c:pt idx="41">
                <c:v>2013</c:v>
              </c:pt>
              <c:pt idx="42">
                <c:v>2013</c:v>
              </c:pt>
              <c:pt idx="43">
                <c:v>2013</c:v>
              </c:pt>
              <c:pt idx="44">
                <c:v>2013</c:v>
              </c:pt>
              <c:pt idx="45">
                <c:v>2013</c:v>
              </c:pt>
              <c:pt idx="46">
                <c:v>2013</c:v>
              </c:pt>
              <c:pt idx="47">
                <c:v>2013</c:v>
              </c:pt>
              <c:pt idx="48">
                <c:v>2014</c:v>
              </c:pt>
              <c:pt idx="49">
                <c:v>2014</c:v>
              </c:pt>
              <c:pt idx="50">
                <c:v>2014</c:v>
              </c:pt>
              <c:pt idx="51">
                <c:v>2014</c:v>
              </c:pt>
              <c:pt idx="52">
                <c:v>2014</c:v>
              </c:pt>
              <c:pt idx="53">
                <c:v>2014</c:v>
              </c:pt>
              <c:pt idx="54">
                <c:v>2014</c:v>
              </c:pt>
              <c:pt idx="55">
                <c:v>2014</c:v>
              </c:pt>
              <c:pt idx="56">
                <c:v>2014</c:v>
              </c:pt>
              <c:pt idx="57">
                <c:v>2014</c:v>
              </c:pt>
              <c:pt idx="58">
                <c:v>2014</c:v>
              </c:pt>
              <c:pt idx="59">
                <c:v>2014</c:v>
              </c:pt>
              <c:pt idx="60">
                <c:v>2015</c:v>
              </c:pt>
              <c:pt idx="61">
                <c:v>2015</c:v>
              </c:pt>
              <c:pt idx="62">
                <c:v>2015</c:v>
              </c:pt>
              <c:pt idx="63">
                <c:v>2015</c:v>
              </c:pt>
              <c:pt idx="64">
                <c:v>2015</c:v>
              </c:pt>
              <c:pt idx="65">
                <c:v>2015</c:v>
              </c:pt>
              <c:pt idx="66">
                <c:v>2015</c:v>
              </c:pt>
              <c:pt idx="67">
                <c:v>2015</c:v>
              </c:pt>
              <c:pt idx="68">
                <c:v>2015</c:v>
              </c:pt>
              <c:pt idx="69">
                <c:v>2015</c:v>
              </c:pt>
              <c:pt idx="70">
                <c:v>2015</c:v>
              </c:pt>
              <c:pt idx="71">
                <c:v>2015</c:v>
              </c:pt>
              <c:pt idx="72">
                <c:v>2016</c:v>
              </c:pt>
              <c:pt idx="73">
                <c:v>2016</c:v>
              </c:pt>
              <c:pt idx="74">
                <c:v>2016</c:v>
              </c:pt>
              <c:pt idx="75">
                <c:v>2016</c:v>
              </c:pt>
              <c:pt idx="76">
                <c:v>2016</c:v>
              </c:pt>
              <c:pt idx="77">
                <c:v>2016</c:v>
              </c:pt>
              <c:pt idx="78">
                <c:v>2016</c:v>
              </c:pt>
              <c:pt idx="79">
                <c:v>2016</c:v>
              </c:pt>
              <c:pt idx="80">
                <c:v>2016</c:v>
              </c:pt>
              <c:pt idx="81">
                <c:v>2016</c:v>
              </c:pt>
              <c:pt idx="82">
                <c:v>2016</c:v>
              </c:pt>
              <c:pt idx="83">
                <c:v>2016</c:v>
              </c:pt>
              <c:pt idx="84">
                <c:v>2017</c:v>
              </c:pt>
              <c:pt idx="85">
                <c:v>2017</c:v>
              </c:pt>
              <c:pt idx="86">
                <c:v>2017</c:v>
              </c:pt>
              <c:pt idx="87">
                <c:v>2017</c:v>
              </c:pt>
              <c:pt idx="88">
                <c:v>2017</c:v>
              </c:pt>
              <c:pt idx="89">
                <c:v>2017</c:v>
              </c:pt>
              <c:pt idx="90">
                <c:v>2017</c:v>
              </c:pt>
              <c:pt idx="91">
                <c:v>2017</c:v>
              </c:pt>
              <c:pt idx="92">
                <c:v>2017</c:v>
              </c:pt>
              <c:pt idx="93">
                <c:v>2017</c:v>
              </c:pt>
              <c:pt idx="94">
                <c:v>2017</c:v>
              </c:pt>
              <c:pt idx="95">
                <c:v>2017</c:v>
              </c:pt>
              <c:pt idx="96">
                <c:v>2018</c:v>
              </c:pt>
              <c:pt idx="97">
                <c:v>2018</c:v>
              </c:pt>
              <c:pt idx="98">
                <c:v>2018</c:v>
              </c:pt>
              <c:pt idx="99">
                <c:v>2018</c:v>
              </c:pt>
              <c:pt idx="100">
                <c:v>2018</c:v>
              </c:pt>
              <c:pt idx="101">
                <c:v>2018</c:v>
              </c:pt>
              <c:pt idx="102">
                <c:v>2018</c:v>
              </c:pt>
              <c:pt idx="103">
                <c:v>2018</c:v>
              </c:pt>
              <c:pt idx="104">
                <c:v>2018</c:v>
              </c:pt>
              <c:pt idx="105">
                <c:v>2018</c:v>
              </c:pt>
              <c:pt idx="106">
                <c:v>2018</c:v>
              </c:pt>
              <c:pt idx="107">
                <c:v>2018</c:v>
              </c:pt>
              <c:pt idx="108">
                <c:v>2019</c:v>
              </c:pt>
              <c:pt idx="109">
                <c:v>2019</c:v>
              </c:pt>
              <c:pt idx="110">
                <c:v>2019</c:v>
              </c:pt>
              <c:pt idx="111">
                <c:v>2019</c:v>
              </c:pt>
              <c:pt idx="112">
                <c:v>2019</c:v>
              </c:pt>
              <c:pt idx="113">
                <c:v>2019</c:v>
              </c:pt>
              <c:pt idx="114">
                <c:v>2019</c:v>
              </c:pt>
              <c:pt idx="115">
                <c:v>2019</c:v>
              </c:pt>
              <c:pt idx="116">
                <c:v>2019</c:v>
              </c:pt>
              <c:pt idx="117">
                <c:v>2019</c:v>
              </c:pt>
              <c:pt idx="118">
                <c:v>2019</c:v>
              </c:pt>
              <c:pt idx="119">
                <c:v>2019</c:v>
              </c:pt>
              <c:pt idx="120">
                <c:v>2020</c:v>
              </c:pt>
              <c:pt idx="121">
                <c:v>2020</c:v>
              </c:pt>
              <c:pt idx="122">
                <c:v>2020</c:v>
              </c:pt>
              <c:pt idx="123">
                <c:v>2020</c:v>
              </c:pt>
              <c:pt idx="124">
                <c:v>2020</c:v>
              </c:pt>
              <c:pt idx="125">
                <c:v>2020</c:v>
              </c:pt>
              <c:pt idx="126">
                <c:v>2020</c:v>
              </c:pt>
              <c:pt idx="127">
                <c:v>2020</c:v>
              </c:pt>
              <c:pt idx="128">
                <c:v>2020</c:v>
              </c:pt>
              <c:pt idx="129">
                <c:v>2020</c:v>
              </c:pt>
              <c:pt idx="130">
                <c:v>2020</c:v>
              </c:pt>
              <c:pt idx="131">
                <c:v>2020</c:v>
              </c:pt>
              <c:pt idx="132">
                <c:v>2021</c:v>
              </c:pt>
              <c:pt idx="133">
                <c:v>2021</c:v>
              </c:pt>
              <c:pt idx="134">
                <c:v>2021</c:v>
              </c:pt>
              <c:pt idx="135">
                <c:v>2021</c:v>
              </c:pt>
              <c:pt idx="136">
                <c:v>2021</c:v>
              </c:pt>
              <c:pt idx="137">
                <c:v>2021</c:v>
              </c:pt>
              <c:pt idx="138">
                <c:v>2021</c:v>
              </c:pt>
              <c:pt idx="139">
                <c:v>2021</c:v>
              </c:pt>
              <c:pt idx="140">
                <c:v>2021</c:v>
              </c:pt>
              <c:pt idx="141">
                <c:v>2021</c:v>
              </c:pt>
              <c:pt idx="142">
                <c:v>2021</c:v>
              </c:pt>
              <c:pt idx="143">
                <c:v>2021</c:v>
              </c:pt>
              <c:pt idx="144">
                <c:v>2022</c:v>
              </c:pt>
              <c:pt idx="145">
                <c:v>2022</c:v>
              </c:pt>
              <c:pt idx="146">
                <c:v>2022</c:v>
              </c:pt>
              <c:pt idx="147">
                <c:v>2022</c:v>
              </c:pt>
              <c:pt idx="148">
                <c:v>2022</c:v>
              </c:pt>
              <c:pt idx="149">
                <c:v>2022</c:v>
              </c:pt>
              <c:pt idx="150">
                <c:v>2022</c:v>
              </c:pt>
              <c:pt idx="151">
                <c:v>2022</c:v>
              </c:pt>
              <c:pt idx="152">
                <c:v>2022</c:v>
              </c:pt>
              <c:pt idx="153">
                <c:v>2022</c:v>
              </c:pt>
              <c:pt idx="154">
                <c:v>2022</c:v>
              </c:pt>
              <c:pt idx="155">
                <c:v>2022</c:v>
              </c:pt>
              <c:pt idx="156">
                <c:v>2023</c:v>
              </c:pt>
              <c:pt idx="157">
                <c:v>2023</c:v>
              </c:pt>
              <c:pt idx="158">
                <c:v>2023</c:v>
              </c:pt>
              <c:pt idx="159">
                <c:v>2023</c:v>
              </c:pt>
              <c:pt idx="160">
                <c:v>2023</c:v>
              </c:pt>
              <c:pt idx="161">
                <c:v>2023</c:v>
              </c:pt>
              <c:pt idx="162">
                <c:v>2023</c:v>
              </c:pt>
              <c:pt idx="163">
                <c:v>2023</c:v>
              </c:pt>
              <c:pt idx="164">
                <c:v>2023</c:v>
              </c:pt>
              <c:pt idx="165">
                <c:v>2023</c:v>
              </c:pt>
              <c:pt idx="166">
                <c:v>2023</c:v>
              </c:pt>
              <c:pt idx="167">
                <c:v>2023</c:v>
              </c:pt>
              <c:pt idx="168">
                <c:v>2024</c:v>
              </c:pt>
              <c:pt idx="169">
                <c:v>2024</c:v>
              </c:pt>
              <c:pt idx="170">
                <c:v>2024</c:v>
              </c:pt>
              <c:pt idx="171">
                <c:v>2024</c:v>
              </c:pt>
              <c:pt idx="172">
                <c:v>2024</c:v>
              </c:pt>
              <c:pt idx="173">
                <c:v>2024</c:v>
              </c:pt>
              <c:pt idx="174">
                <c:v>2024</c:v>
              </c:pt>
              <c:pt idx="175">
                <c:v>2024</c:v>
              </c:pt>
              <c:pt idx="176">
                <c:v>2024</c:v>
              </c:pt>
              <c:pt idx="177">
                <c:v>2024</c:v>
              </c:pt>
              <c:pt idx="178">
                <c:v>2024</c:v>
              </c:pt>
              <c:pt idx="179">
                <c:v>2024</c:v>
              </c:pt>
              <c:pt idx="180">
                <c:v>2025</c:v>
              </c:pt>
              <c:pt idx="181">
                <c:v>2025</c:v>
              </c:pt>
              <c:pt idx="182">
                <c:v>2025</c:v>
              </c:pt>
              <c:pt idx="183">
                <c:v>2025</c:v>
              </c:pt>
              <c:pt idx="184">
                <c:v>2025</c:v>
              </c:pt>
              <c:pt idx="185">
                <c:v>2025</c:v>
              </c:pt>
              <c:pt idx="186">
                <c:v>2025</c:v>
              </c:pt>
              <c:pt idx="187">
                <c:v>2025</c:v>
              </c:pt>
              <c:pt idx="188">
                <c:v>2025</c:v>
              </c:pt>
              <c:pt idx="189">
                <c:v>2025</c:v>
              </c:pt>
              <c:pt idx="190">
                <c:v>2025</c:v>
              </c:pt>
              <c:pt idx="191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'Simulateur sur Avg'!$AA$6:$AA$289</c15:sqref>
                  </c15:fullRef>
                </c:ext>
              </c:extLst>
              <c:f>'Simulateur sur Avg'!$AA$98:$AA$289</c:f>
              <c:numCache>
                <c:formatCode>_-* #\ ##0_-;\-* #\ ##0_-;_-* "-"??_-;_-@_-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108.09566666666666</c:v>
                </c:pt>
                <c:pt idx="136">
                  <c:v>119.61166666666668</c:v>
                </c:pt>
                <c:pt idx="137">
                  <c:v>136.50666666666666</c:v>
                </c:pt>
                <c:pt idx="138">
                  <c:v>157.29866666666666</c:v>
                </c:pt>
                <c:pt idx="139">
                  <c:v>173.1</c:v>
                </c:pt>
                <c:pt idx="140">
                  <c:v>187.59333333333333</c:v>
                </c:pt>
                <c:pt idx="141">
                  <c:v>197.19333333333333</c:v>
                </c:pt>
                <c:pt idx="142">
                  <c:v>195.95833333333331</c:v>
                </c:pt>
                <c:pt idx="143">
                  <c:v>191.161</c:v>
                </c:pt>
                <c:pt idx="144">
                  <c:v>197.60833333333335</c:v>
                </c:pt>
                <c:pt idx="145">
                  <c:v>195.09499999999997</c:v>
                </c:pt>
                <c:pt idx="146">
                  <c:v>195.82</c:v>
                </c:pt>
                <c:pt idx="147">
                  <c:v>202.89666666666668</c:v>
                </c:pt>
                <c:pt idx="148">
                  <c:v>210.58666666666664</c:v>
                </c:pt>
                <c:pt idx="149">
                  <c:v>211.69733333333335</c:v>
                </c:pt>
                <c:pt idx="150">
                  <c:v>200.43833333333333</c:v>
                </c:pt>
                <c:pt idx="151">
                  <c:v>156.08499999999998</c:v>
                </c:pt>
                <c:pt idx="152">
                  <c:v>102.00799999999998</c:v>
                </c:pt>
                <c:pt idx="153">
                  <c:v>89.293333333333337</c:v>
                </c:pt>
                <c:pt idx="154">
                  <c:v>87.125</c:v>
                </c:pt>
                <c:pt idx="155">
                  <c:v>74.063333333333333</c:v>
                </c:pt>
                <c:pt idx="156">
                  <c:v>82.835000000000008</c:v>
                </c:pt>
                <c:pt idx="157">
                  <c:v>75.293333333333337</c:v>
                </c:pt>
                <c:pt idx="158">
                  <c:v>61.027999999999999</c:v>
                </c:pt>
                <c:pt idx="159">
                  <c:v>59.305000000000007</c:v>
                </c:pt>
                <c:pt idx="160">
                  <c:v>59.765000000000001</c:v>
                </c:pt>
                <c:pt idx="161">
                  <c:v>54.966666666666669</c:v>
                </c:pt>
                <c:pt idx="162">
                  <c:v>51.133333333333326</c:v>
                </c:pt>
                <c:pt idx="163">
                  <c:v>78.84</c:v>
                </c:pt>
                <c:pt idx="164">
                  <c:v>88.935000000000002</c:v>
                </c:pt>
                <c:pt idx="165">
                  <c:v>97.634999999999991</c:v>
                </c:pt>
                <c:pt idx="166">
                  <c:v>95.072000000000003</c:v>
                </c:pt>
                <c:pt idx="167">
                  <c:v>79.2</c:v>
                </c:pt>
                <c:pt idx="168">
                  <c:v>85.77</c:v>
                </c:pt>
                <c:pt idx="169">
                  <c:v>82.187999999999988</c:v>
                </c:pt>
                <c:pt idx="170">
                  <c:v>84.38</c:v>
                </c:pt>
                <c:pt idx="171">
                  <c:v>98.589999999999989</c:v>
                </c:pt>
                <c:pt idx="172">
                  <c:v>105.43599999999999</c:v>
                </c:pt>
                <c:pt idx="173">
                  <c:v>108.30000000000001</c:v>
                </c:pt>
                <c:pt idx="174">
                  <c:v>113.72499999999999</c:v>
                </c:pt>
                <c:pt idx="175">
                  <c:v>120.09599999999999</c:v>
                </c:pt>
                <c:pt idx="176">
                  <c:v>121.095</c:v>
                </c:pt>
                <c:pt idx="177">
                  <c:v>126.64000000000001</c:v>
                </c:pt>
                <c:pt idx="178">
                  <c:v>134.71499999999997</c:v>
                </c:pt>
                <c:pt idx="179">
                  <c:v>121.27499999999999</c:v>
                </c:pt>
                <c:pt idx="180">
                  <c:v>135.07999999999998</c:v>
                </c:pt>
                <c:pt idx="181">
                  <c:v>131.97</c:v>
                </c:pt>
                <c:pt idx="182">
                  <c:v>119.94</c:v>
                </c:pt>
                <c:pt idx="183">
                  <c:v>124.16999999999999</c:v>
                </c:pt>
                <c:pt idx="184">
                  <c:v>138.4</c:v>
                </c:pt>
                <c:pt idx="185">
                  <c:v>144.44999999999999</c:v>
                </c:pt>
                <c:pt idx="186">
                  <c:v>150.392</c:v>
                </c:pt>
                <c:pt idx="187">
                  <c:v>148.58331269349844</c:v>
                </c:pt>
                <c:pt idx="188">
                  <c:v>123.95482972136222</c:v>
                </c:pt>
                <c:pt idx="189">
                  <c:v>125.65538699690401</c:v>
                </c:pt>
                <c:pt idx="190">
                  <c:v>140.76469814241483</c:v>
                </c:pt>
                <c:pt idx="191">
                  <c:v>146.01752321981422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E9-478F-9F74-EB49216BF40D}"/>
            </c:ext>
          </c:extLst>
        </c:ser>
        <c:ser>
          <c:idx val="4"/>
          <c:order val="4"/>
          <c:tx>
            <c:strRef>
              <c:f>'Simulateur sur Avg'!$X$5</c:f>
              <c:strCache>
                <c:ptCount val="1"/>
                <c:pt idx="0">
                  <c:v> ACS S based from Sulfur ME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192"/>
              <c:pt idx="0">
                <c:v>2010</c:v>
              </c:pt>
              <c:pt idx="1">
                <c:v>2010</c:v>
              </c:pt>
              <c:pt idx="2">
                <c:v>2010</c:v>
              </c:pt>
              <c:pt idx="3">
                <c:v>2010</c:v>
              </c:pt>
              <c:pt idx="4">
                <c:v>2010</c:v>
              </c:pt>
              <c:pt idx="5">
                <c:v>2010</c:v>
              </c:pt>
              <c:pt idx="6">
                <c:v>2010</c:v>
              </c:pt>
              <c:pt idx="7">
                <c:v>2010</c:v>
              </c:pt>
              <c:pt idx="8">
                <c:v>2010</c:v>
              </c:pt>
              <c:pt idx="9">
                <c:v>2010</c:v>
              </c:pt>
              <c:pt idx="10">
                <c:v>2010</c:v>
              </c:pt>
              <c:pt idx="11">
                <c:v>2010</c:v>
              </c:pt>
              <c:pt idx="12">
                <c:v>2011</c:v>
              </c:pt>
              <c:pt idx="13">
                <c:v>2011</c:v>
              </c:pt>
              <c:pt idx="14">
                <c:v>2011</c:v>
              </c:pt>
              <c:pt idx="15">
                <c:v>2011</c:v>
              </c:pt>
              <c:pt idx="16">
                <c:v>2011</c:v>
              </c:pt>
              <c:pt idx="17">
                <c:v>2011</c:v>
              </c:pt>
              <c:pt idx="18">
                <c:v>2011</c:v>
              </c:pt>
              <c:pt idx="19">
                <c:v>2011</c:v>
              </c:pt>
              <c:pt idx="20">
                <c:v>2011</c:v>
              </c:pt>
              <c:pt idx="21">
                <c:v>2011</c:v>
              </c:pt>
              <c:pt idx="22">
                <c:v>2011</c:v>
              </c:pt>
              <c:pt idx="23">
                <c:v>2011</c:v>
              </c:pt>
              <c:pt idx="24">
                <c:v>2012</c:v>
              </c:pt>
              <c:pt idx="25">
                <c:v>2012</c:v>
              </c:pt>
              <c:pt idx="26">
                <c:v>2012</c:v>
              </c:pt>
              <c:pt idx="27">
                <c:v>2012</c:v>
              </c:pt>
              <c:pt idx="28">
                <c:v>2012</c:v>
              </c:pt>
              <c:pt idx="29">
                <c:v>2012</c:v>
              </c:pt>
              <c:pt idx="30">
                <c:v>2012</c:v>
              </c:pt>
              <c:pt idx="31">
                <c:v>2012</c:v>
              </c:pt>
              <c:pt idx="32">
                <c:v>2012</c:v>
              </c:pt>
              <c:pt idx="33">
                <c:v>2012</c:v>
              </c:pt>
              <c:pt idx="34">
                <c:v>2012</c:v>
              </c:pt>
              <c:pt idx="35">
                <c:v>2012</c:v>
              </c:pt>
              <c:pt idx="36">
                <c:v>2013</c:v>
              </c:pt>
              <c:pt idx="37">
                <c:v>2013</c:v>
              </c:pt>
              <c:pt idx="38">
                <c:v>2013</c:v>
              </c:pt>
              <c:pt idx="39">
                <c:v>2013</c:v>
              </c:pt>
              <c:pt idx="40">
                <c:v>2013</c:v>
              </c:pt>
              <c:pt idx="41">
                <c:v>2013</c:v>
              </c:pt>
              <c:pt idx="42">
                <c:v>2013</c:v>
              </c:pt>
              <c:pt idx="43">
                <c:v>2013</c:v>
              </c:pt>
              <c:pt idx="44">
                <c:v>2013</c:v>
              </c:pt>
              <c:pt idx="45">
                <c:v>2013</c:v>
              </c:pt>
              <c:pt idx="46">
                <c:v>2013</c:v>
              </c:pt>
              <c:pt idx="47">
                <c:v>2013</c:v>
              </c:pt>
              <c:pt idx="48">
                <c:v>2014</c:v>
              </c:pt>
              <c:pt idx="49">
                <c:v>2014</c:v>
              </c:pt>
              <c:pt idx="50">
                <c:v>2014</c:v>
              </c:pt>
              <c:pt idx="51">
                <c:v>2014</c:v>
              </c:pt>
              <c:pt idx="52">
                <c:v>2014</c:v>
              </c:pt>
              <c:pt idx="53">
                <c:v>2014</c:v>
              </c:pt>
              <c:pt idx="54">
                <c:v>2014</c:v>
              </c:pt>
              <c:pt idx="55">
                <c:v>2014</c:v>
              </c:pt>
              <c:pt idx="56">
                <c:v>2014</c:v>
              </c:pt>
              <c:pt idx="57">
                <c:v>2014</c:v>
              </c:pt>
              <c:pt idx="58">
                <c:v>2014</c:v>
              </c:pt>
              <c:pt idx="59">
                <c:v>2014</c:v>
              </c:pt>
              <c:pt idx="60">
                <c:v>2015</c:v>
              </c:pt>
              <c:pt idx="61">
                <c:v>2015</c:v>
              </c:pt>
              <c:pt idx="62">
                <c:v>2015</c:v>
              </c:pt>
              <c:pt idx="63">
                <c:v>2015</c:v>
              </c:pt>
              <c:pt idx="64">
                <c:v>2015</c:v>
              </c:pt>
              <c:pt idx="65">
                <c:v>2015</c:v>
              </c:pt>
              <c:pt idx="66">
                <c:v>2015</c:v>
              </c:pt>
              <c:pt idx="67">
                <c:v>2015</c:v>
              </c:pt>
              <c:pt idx="68">
                <c:v>2015</c:v>
              </c:pt>
              <c:pt idx="69">
                <c:v>2015</c:v>
              </c:pt>
              <c:pt idx="70">
                <c:v>2015</c:v>
              </c:pt>
              <c:pt idx="71">
                <c:v>2015</c:v>
              </c:pt>
              <c:pt idx="72">
                <c:v>2016</c:v>
              </c:pt>
              <c:pt idx="73">
                <c:v>2016</c:v>
              </c:pt>
              <c:pt idx="74">
                <c:v>2016</c:v>
              </c:pt>
              <c:pt idx="75">
                <c:v>2016</c:v>
              </c:pt>
              <c:pt idx="76">
                <c:v>2016</c:v>
              </c:pt>
              <c:pt idx="77">
                <c:v>2016</c:v>
              </c:pt>
              <c:pt idx="78">
                <c:v>2016</c:v>
              </c:pt>
              <c:pt idx="79">
                <c:v>2016</c:v>
              </c:pt>
              <c:pt idx="80">
                <c:v>2016</c:v>
              </c:pt>
              <c:pt idx="81">
                <c:v>2016</c:v>
              </c:pt>
              <c:pt idx="82">
                <c:v>2016</c:v>
              </c:pt>
              <c:pt idx="83">
                <c:v>2016</c:v>
              </c:pt>
              <c:pt idx="84">
                <c:v>2017</c:v>
              </c:pt>
              <c:pt idx="85">
                <c:v>2017</c:v>
              </c:pt>
              <c:pt idx="86">
                <c:v>2017</c:v>
              </c:pt>
              <c:pt idx="87">
                <c:v>2017</c:v>
              </c:pt>
              <c:pt idx="88">
                <c:v>2017</c:v>
              </c:pt>
              <c:pt idx="89">
                <c:v>2017</c:v>
              </c:pt>
              <c:pt idx="90">
                <c:v>2017</c:v>
              </c:pt>
              <c:pt idx="91">
                <c:v>2017</c:v>
              </c:pt>
              <c:pt idx="92">
                <c:v>2017</c:v>
              </c:pt>
              <c:pt idx="93">
                <c:v>2017</c:v>
              </c:pt>
              <c:pt idx="94">
                <c:v>2017</c:v>
              </c:pt>
              <c:pt idx="95">
                <c:v>2017</c:v>
              </c:pt>
              <c:pt idx="96">
                <c:v>2018</c:v>
              </c:pt>
              <c:pt idx="97">
                <c:v>2018</c:v>
              </c:pt>
              <c:pt idx="98">
                <c:v>2018</c:v>
              </c:pt>
              <c:pt idx="99">
                <c:v>2018</c:v>
              </c:pt>
              <c:pt idx="100">
                <c:v>2018</c:v>
              </c:pt>
              <c:pt idx="101">
                <c:v>2018</c:v>
              </c:pt>
              <c:pt idx="102">
                <c:v>2018</c:v>
              </c:pt>
              <c:pt idx="103">
                <c:v>2018</c:v>
              </c:pt>
              <c:pt idx="104">
                <c:v>2018</c:v>
              </c:pt>
              <c:pt idx="105">
                <c:v>2018</c:v>
              </c:pt>
              <c:pt idx="106">
                <c:v>2018</c:v>
              </c:pt>
              <c:pt idx="107">
                <c:v>2018</c:v>
              </c:pt>
              <c:pt idx="108">
                <c:v>2019</c:v>
              </c:pt>
              <c:pt idx="109">
                <c:v>2019</c:v>
              </c:pt>
              <c:pt idx="110">
                <c:v>2019</c:v>
              </c:pt>
              <c:pt idx="111">
                <c:v>2019</c:v>
              </c:pt>
              <c:pt idx="112">
                <c:v>2019</c:v>
              </c:pt>
              <c:pt idx="113">
                <c:v>2019</c:v>
              </c:pt>
              <c:pt idx="114">
                <c:v>2019</c:v>
              </c:pt>
              <c:pt idx="115">
                <c:v>2019</c:v>
              </c:pt>
              <c:pt idx="116">
                <c:v>2019</c:v>
              </c:pt>
              <c:pt idx="117">
                <c:v>2019</c:v>
              </c:pt>
              <c:pt idx="118">
                <c:v>2019</c:v>
              </c:pt>
              <c:pt idx="119">
                <c:v>2019</c:v>
              </c:pt>
              <c:pt idx="120">
                <c:v>2020</c:v>
              </c:pt>
              <c:pt idx="121">
                <c:v>2020</c:v>
              </c:pt>
              <c:pt idx="122">
                <c:v>2020</c:v>
              </c:pt>
              <c:pt idx="123">
                <c:v>2020</c:v>
              </c:pt>
              <c:pt idx="124">
                <c:v>2020</c:v>
              </c:pt>
              <c:pt idx="125">
                <c:v>2020</c:v>
              </c:pt>
              <c:pt idx="126">
                <c:v>2020</c:v>
              </c:pt>
              <c:pt idx="127">
                <c:v>2020</c:v>
              </c:pt>
              <c:pt idx="128">
                <c:v>2020</c:v>
              </c:pt>
              <c:pt idx="129">
                <c:v>2020</c:v>
              </c:pt>
              <c:pt idx="130">
                <c:v>2020</c:v>
              </c:pt>
              <c:pt idx="131">
                <c:v>2020</c:v>
              </c:pt>
              <c:pt idx="132">
                <c:v>2021</c:v>
              </c:pt>
              <c:pt idx="133">
                <c:v>2021</c:v>
              </c:pt>
              <c:pt idx="134">
                <c:v>2021</c:v>
              </c:pt>
              <c:pt idx="135">
                <c:v>2021</c:v>
              </c:pt>
              <c:pt idx="136">
                <c:v>2021</c:v>
              </c:pt>
              <c:pt idx="137">
                <c:v>2021</c:v>
              </c:pt>
              <c:pt idx="138">
                <c:v>2021</c:v>
              </c:pt>
              <c:pt idx="139">
                <c:v>2021</c:v>
              </c:pt>
              <c:pt idx="140">
                <c:v>2021</c:v>
              </c:pt>
              <c:pt idx="141">
                <c:v>2021</c:v>
              </c:pt>
              <c:pt idx="142">
                <c:v>2021</c:v>
              </c:pt>
              <c:pt idx="143">
                <c:v>2021</c:v>
              </c:pt>
              <c:pt idx="144">
                <c:v>2022</c:v>
              </c:pt>
              <c:pt idx="145">
                <c:v>2022</c:v>
              </c:pt>
              <c:pt idx="146">
                <c:v>2022</c:v>
              </c:pt>
              <c:pt idx="147">
                <c:v>2022</c:v>
              </c:pt>
              <c:pt idx="148">
                <c:v>2022</c:v>
              </c:pt>
              <c:pt idx="149">
                <c:v>2022</c:v>
              </c:pt>
              <c:pt idx="150">
                <c:v>2022</c:v>
              </c:pt>
              <c:pt idx="151">
                <c:v>2022</c:v>
              </c:pt>
              <c:pt idx="152">
                <c:v>2022</c:v>
              </c:pt>
              <c:pt idx="153">
                <c:v>2022</c:v>
              </c:pt>
              <c:pt idx="154">
                <c:v>2022</c:v>
              </c:pt>
              <c:pt idx="155">
                <c:v>2022</c:v>
              </c:pt>
              <c:pt idx="156">
                <c:v>2023</c:v>
              </c:pt>
              <c:pt idx="157">
                <c:v>2023</c:v>
              </c:pt>
              <c:pt idx="158">
                <c:v>2023</c:v>
              </c:pt>
              <c:pt idx="159">
                <c:v>2023</c:v>
              </c:pt>
              <c:pt idx="160">
                <c:v>2023</c:v>
              </c:pt>
              <c:pt idx="161">
                <c:v>2023</c:v>
              </c:pt>
              <c:pt idx="162">
                <c:v>2023</c:v>
              </c:pt>
              <c:pt idx="163">
                <c:v>2023</c:v>
              </c:pt>
              <c:pt idx="164">
                <c:v>2023</c:v>
              </c:pt>
              <c:pt idx="165">
                <c:v>2023</c:v>
              </c:pt>
              <c:pt idx="166">
                <c:v>2023</c:v>
              </c:pt>
              <c:pt idx="167">
                <c:v>2023</c:v>
              </c:pt>
              <c:pt idx="168">
                <c:v>2024</c:v>
              </c:pt>
              <c:pt idx="169">
                <c:v>2024</c:v>
              </c:pt>
              <c:pt idx="170">
                <c:v>2024</c:v>
              </c:pt>
              <c:pt idx="171">
                <c:v>2024</c:v>
              </c:pt>
              <c:pt idx="172">
                <c:v>2024</c:v>
              </c:pt>
              <c:pt idx="173">
                <c:v>2024</c:v>
              </c:pt>
              <c:pt idx="174">
                <c:v>2024</c:v>
              </c:pt>
              <c:pt idx="175">
                <c:v>2024</c:v>
              </c:pt>
              <c:pt idx="176">
                <c:v>2024</c:v>
              </c:pt>
              <c:pt idx="177">
                <c:v>2024</c:v>
              </c:pt>
              <c:pt idx="178">
                <c:v>2024</c:v>
              </c:pt>
              <c:pt idx="179">
                <c:v>2024</c:v>
              </c:pt>
              <c:pt idx="180">
                <c:v>2025</c:v>
              </c:pt>
              <c:pt idx="181">
                <c:v>2025</c:v>
              </c:pt>
              <c:pt idx="182">
                <c:v>2025</c:v>
              </c:pt>
              <c:pt idx="183">
                <c:v>2025</c:v>
              </c:pt>
              <c:pt idx="184">
                <c:v>2025</c:v>
              </c:pt>
              <c:pt idx="185">
                <c:v>2025</c:v>
              </c:pt>
              <c:pt idx="186">
                <c:v>2025</c:v>
              </c:pt>
              <c:pt idx="187">
                <c:v>2025</c:v>
              </c:pt>
              <c:pt idx="188">
                <c:v>2025</c:v>
              </c:pt>
              <c:pt idx="189">
                <c:v>2025</c:v>
              </c:pt>
              <c:pt idx="190">
                <c:v>2025</c:v>
              </c:pt>
              <c:pt idx="191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'Simulateur sur Avg'!$X$6:$X$289</c15:sqref>
                  </c15:fullRef>
                </c:ext>
              </c:extLst>
              <c:f>'Simulateur sur Avg'!$X$98:$X$289</c:f>
              <c:numCache>
                <c:formatCode>_-* #\ ##0.0_-;\-* #\ ##0.0_-;_-* "-"??_-;_-@_-</c:formatCode>
                <c:ptCount val="192"/>
                <c:pt idx="0">
                  <c:v>68.490000000000009</c:v>
                </c:pt>
                <c:pt idx="1">
                  <c:v>82.432500000000005</c:v>
                </c:pt>
                <c:pt idx="2">
                  <c:v>88.702500000000001</c:v>
                </c:pt>
                <c:pt idx="3">
                  <c:v>87.432000000000002</c:v>
                </c:pt>
                <c:pt idx="4">
                  <c:v>68.819999999999993</c:v>
                </c:pt>
                <c:pt idx="5">
                  <c:v>53.557500000000005</c:v>
                </c:pt>
                <c:pt idx="6">
                  <c:v>48.03</c:v>
                </c:pt>
                <c:pt idx="7">
                  <c:v>67.912499999999994</c:v>
                </c:pt>
                <c:pt idx="8">
                  <c:v>76.740000000000009</c:v>
                </c:pt>
                <c:pt idx="9">
                  <c:v>81.855000000000004</c:v>
                </c:pt>
                <c:pt idx="10">
                  <c:v>83.752499999999998</c:v>
                </c:pt>
                <c:pt idx="11">
                  <c:v>79.38</c:v>
                </c:pt>
                <c:pt idx="12">
                  <c:v>78.307500000000005</c:v>
                </c:pt>
                <c:pt idx="13">
                  <c:v>87.795000000000002</c:v>
                </c:pt>
                <c:pt idx="14">
                  <c:v>92.58</c:v>
                </c:pt>
                <c:pt idx="15">
                  <c:v>94.642499999999998</c:v>
                </c:pt>
                <c:pt idx="16">
                  <c:v>98.767499999999998</c:v>
                </c:pt>
                <c:pt idx="17">
                  <c:v>101.49000000000001</c:v>
                </c:pt>
                <c:pt idx="18">
                  <c:v>94.064999999999998</c:v>
                </c:pt>
                <c:pt idx="19">
                  <c:v>94.642499999999998</c:v>
                </c:pt>
                <c:pt idx="20">
                  <c:v>98.850000000000009</c:v>
                </c:pt>
                <c:pt idx="21">
                  <c:v>98.685000000000002</c:v>
                </c:pt>
                <c:pt idx="22">
                  <c:v>94.89</c:v>
                </c:pt>
                <c:pt idx="23">
                  <c:v>90.072000000000003</c:v>
                </c:pt>
                <c:pt idx="24">
                  <c:v>84</c:v>
                </c:pt>
                <c:pt idx="25">
                  <c:v>81.607500000000002</c:v>
                </c:pt>
                <c:pt idx="26">
                  <c:v>88.355999999999995</c:v>
                </c:pt>
                <c:pt idx="27">
                  <c:v>90.600000000000009</c:v>
                </c:pt>
                <c:pt idx="28">
                  <c:v>93.438000000000002</c:v>
                </c:pt>
                <c:pt idx="29">
                  <c:v>88.62</c:v>
                </c:pt>
                <c:pt idx="30">
                  <c:v>84.742500000000007</c:v>
                </c:pt>
                <c:pt idx="31">
                  <c:v>85.320000000000007</c:v>
                </c:pt>
                <c:pt idx="32">
                  <c:v>88.20750000000001</c:v>
                </c:pt>
                <c:pt idx="33">
                  <c:v>82.927500000000009</c:v>
                </c:pt>
                <c:pt idx="34">
                  <c:v>77.135999999999996</c:v>
                </c:pt>
                <c:pt idx="35">
                  <c:v>74.925000000000011</c:v>
                </c:pt>
                <c:pt idx="36">
                  <c:v>74.825999999999993</c:v>
                </c:pt>
                <c:pt idx="37">
                  <c:v>76.162499999999994</c:v>
                </c:pt>
                <c:pt idx="38">
                  <c:v>76.740000000000009</c:v>
                </c:pt>
                <c:pt idx="39">
                  <c:v>77.152500000000003</c:v>
                </c:pt>
                <c:pt idx="40">
                  <c:v>73.44</c:v>
                </c:pt>
                <c:pt idx="41">
                  <c:v>63.787500000000001</c:v>
                </c:pt>
                <c:pt idx="42">
                  <c:v>49.02</c:v>
                </c:pt>
                <c:pt idx="43">
                  <c:v>47.7</c:v>
                </c:pt>
                <c:pt idx="44">
                  <c:v>49.35</c:v>
                </c:pt>
                <c:pt idx="45">
                  <c:v>49.085999999999999</c:v>
                </c:pt>
                <c:pt idx="46">
                  <c:v>57.435000000000002</c:v>
                </c:pt>
                <c:pt idx="47">
                  <c:v>67.17</c:v>
                </c:pt>
                <c:pt idx="48">
                  <c:v>75.48599999999999</c:v>
                </c:pt>
                <c:pt idx="49">
                  <c:v>89.445000000000007</c:v>
                </c:pt>
                <c:pt idx="50">
                  <c:v>88.95</c:v>
                </c:pt>
                <c:pt idx="51">
                  <c:v>74.017500000000013</c:v>
                </c:pt>
                <c:pt idx="52">
                  <c:v>72.25200000000001</c:v>
                </c:pt>
                <c:pt idx="53">
                  <c:v>78.802500000000009</c:v>
                </c:pt>
                <c:pt idx="54">
                  <c:v>81.492000000000004</c:v>
                </c:pt>
                <c:pt idx="55">
                  <c:v>81.112500000000011</c:v>
                </c:pt>
                <c:pt idx="56">
                  <c:v>77.73</c:v>
                </c:pt>
                <c:pt idx="57">
                  <c:v>73.11</c:v>
                </c:pt>
                <c:pt idx="58">
                  <c:v>68.819999999999993</c:v>
                </c:pt>
                <c:pt idx="59">
                  <c:v>74.099999999999994</c:v>
                </c:pt>
                <c:pt idx="60">
                  <c:v>81.294000000000011</c:v>
                </c:pt>
                <c:pt idx="61">
                  <c:v>83.587500000000006</c:v>
                </c:pt>
                <c:pt idx="62">
                  <c:v>80.782499999999999</c:v>
                </c:pt>
                <c:pt idx="63">
                  <c:v>74.628</c:v>
                </c:pt>
                <c:pt idx="64">
                  <c:v>72.037499999999994</c:v>
                </c:pt>
                <c:pt idx="65">
                  <c:v>72.944999999999993</c:v>
                </c:pt>
                <c:pt idx="66">
                  <c:v>75.354000000000013</c:v>
                </c:pt>
                <c:pt idx="67">
                  <c:v>75.502499999999998</c:v>
                </c:pt>
                <c:pt idx="68">
                  <c:v>68.984999999999999</c:v>
                </c:pt>
                <c:pt idx="69">
                  <c:v>62.616</c:v>
                </c:pt>
                <c:pt idx="70">
                  <c:v>65.932500000000005</c:v>
                </c:pt>
                <c:pt idx="71">
                  <c:v>65.915999999999997</c:v>
                </c:pt>
                <c:pt idx="72">
                  <c:v>61.477499999999999</c:v>
                </c:pt>
                <c:pt idx="73">
                  <c:v>53.722500000000004</c:v>
                </c:pt>
                <c:pt idx="74">
                  <c:v>51.066000000000003</c:v>
                </c:pt>
                <c:pt idx="75">
                  <c:v>50.422499999999999</c:v>
                </c:pt>
                <c:pt idx="76">
                  <c:v>50.835000000000001</c:v>
                </c:pt>
                <c:pt idx="77">
                  <c:v>49.944000000000003</c:v>
                </c:pt>
                <c:pt idx="78">
                  <c:v>47.534999999999997</c:v>
                </c:pt>
                <c:pt idx="79">
                  <c:v>45.555</c:v>
                </c:pt>
                <c:pt idx="80">
                  <c:v>48.69</c:v>
                </c:pt>
                <c:pt idx="81">
                  <c:v>49.35</c:v>
                </c:pt>
                <c:pt idx="82">
                  <c:v>51.7425</c:v>
                </c:pt>
                <c:pt idx="83">
                  <c:v>54.234000000000002</c:v>
                </c:pt>
                <c:pt idx="84">
                  <c:v>54.135000000000005</c:v>
                </c:pt>
                <c:pt idx="85">
                  <c:v>53.392499999999998</c:v>
                </c:pt>
                <c:pt idx="86">
                  <c:v>53.508000000000003</c:v>
                </c:pt>
                <c:pt idx="87">
                  <c:v>51.412500000000001</c:v>
                </c:pt>
                <c:pt idx="88">
                  <c:v>49.762500000000003</c:v>
                </c:pt>
                <c:pt idx="89">
                  <c:v>51</c:v>
                </c:pt>
                <c:pt idx="90">
                  <c:v>53.722500000000004</c:v>
                </c:pt>
                <c:pt idx="91">
                  <c:v>58.853999999999999</c:v>
                </c:pt>
                <c:pt idx="92">
                  <c:v>61.230000000000004</c:v>
                </c:pt>
                <c:pt idx="93">
                  <c:v>70.800000000000011</c:v>
                </c:pt>
                <c:pt idx="94">
                  <c:v>88.686000000000007</c:v>
                </c:pt>
                <c:pt idx="95">
                  <c:v>79.325000000000003</c:v>
                </c:pt>
                <c:pt idx="96">
                  <c:v>69.397500000000008</c:v>
                </c:pt>
                <c:pt idx="97">
                  <c:v>65.4375</c:v>
                </c:pt>
                <c:pt idx="98">
                  <c:v>66.972000000000008</c:v>
                </c:pt>
                <c:pt idx="99">
                  <c:v>63.21</c:v>
                </c:pt>
                <c:pt idx="100">
                  <c:v>66.906000000000006</c:v>
                </c:pt>
                <c:pt idx="101">
                  <c:v>68.819999999999993</c:v>
                </c:pt>
                <c:pt idx="102">
                  <c:v>69.64500000000001</c:v>
                </c:pt>
                <c:pt idx="103">
                  <c:v>71.789999999999992</c:v>
                </c:pt>
                <c:pt idx="104">
                  <c:v>77.482500000000002</c:v>
                </c:pt>
                <c:pt idx="105">
                  <c:v>82.185000000000002</c:v>
                </c:pt>
                <c:pt idx="106">
                  <c:v>77.334000000000003</c:v>
                </c:pt>
                <c:pt idx="107">
                  <c:v>67.06</c:v>
                </c:pt>
                <c:pt idx="108">
                  <c:v>61.955999999999996</c:v>
                </c:pt>
                <c:pt idx="109">
                  <c:v>57.435000000000002</c:v>
                </c:pt>
                <c:pt idx="110">
                  <c:v>57.517500000000005</c:v>
                </c:pt>
                <c:pt idx="111">
                  <c:v>57.93</c:v>
                </c:pt>
                <c:pt idx="112">
                  <c:v>57.732000000000006</c:v>
                </c:pt>
                <c:pt idx="113">
                  <c:v>57.847500000000004</c:v>
                </c:pt>
                <c:pt idx="114">
                  <c:v>55.95</c:v>
                </c:pt>
                <c:pt idx="115">
                  <c:v>49.085999999999999</c:v>
                </c:pt>
                <c:pt idx="116">
                  <c:v>43.822500000000005</c:v>
                </c:pt>
                <c:pt idx="117">
                  <c:v>40.44</c:v>
                </c:pt>
                <c:pt idx="118">
                  <c:v>38.707499999999996</c:v>
                </c:pt>
                <c:pt idx="119">
                  <c:v>39.092500000000001</c:v>
                </c:pt>
                <c:pt idx="120">
                  <c:v>38.262</c:v>
                </c:pt>
                <c:pt idx="121">
                  <c:v>37.552500000000002</c:v>
                </c:pt>
                <c:pt idx="122">
                  <c:v>41.265000000000001</c:v>
                </c:pt>
                <c:pt idx="123">
                  <c:v>42.287999999999997</c:v>
                </c:pt>
                <c:pt idx="124">
                  <c:v>40.522500000000001</c:v>
                </c:pt>
                <c:pt idx="125">
                  <c:v>43.822500000000005</c:v>
                </c:pt>
                <c:pt idx="126">
                  <c:v>43.277999999999999</c:v>
                </c:pt>
                <c:pt idx="127">
                  <c:v>41.594999999999999</c:v>
                </c:pt>
                <c:pt idx="128">
                  <c:v>44.730000000000004</c:v>
                </c:pt>
                <c:pt idx="129">
                  <c:v>47.304000000000002</c:v>
                </c:pt>
                <c:pt idx="130">
                  <c:v>49.68</c:v>
                </c:pt>
                <c:pt idx="131">
                  <c:v>52.930500000000002</c:v>
                </c:pt>
                <c:pt idx="132">
                  <c:v>61.807500000000005</c:v>
                </c:pt>
                <c:pt idx="133">
                  <c:v>77.317499999999995</c:v>
                </c:pt>
                <c:pt idx="134">
                  <c:v>91.342500000000001</c:v>
                </c:pt>
                <c:pt idx="135">
                  <c:v>91.325999999999993</c:v>
                </c:pt>
                <c:pt idx="136">
                  <c:v>92.91</c:v>
                </c:pt>
                <c:pt idx="137">
                  <c:v>94.807500000000005</c:v>
                </c:pt>
                <c:pt idx="138">
                  <c:v>93.834000000000003</c:v>
                </c:pt>
                <c:pt idx="139">
                  <c:v>93.240000000000009</c:v>
                </c:pt>
                <c:pt idx="140">
                  <c:v>96.671999999999997</c:v>
                </c:pt>
                <c:pt idx="141">
                  <c:v>103.8</c:v>
                </c:pt>
                <c:pt idx="142">
                  <c:v>111.6375</c:v>
                </c:pt>
                <c:pt idx="143">
                  <c:v>119.3925</c:v>
                </c:pt>
                <c:pt idx="144">
                  <c:v>130.2825</c:v>
                </c:pt>
                <c:pt idx="145">
                  <c:v>136.22250000000003</c:v>
                </c:pt>
                <c:pt idx="146">
                  <c:v>169.99800000000002</c:v>
                </c:pt>
                <c:pt idx="147">
                  <c:v>187.45500000000001</c:v>
                </c:pt>
                <c:pt idx="148">
                  <c:v>193.39500000000001</c:v>
                </c:pt>
                <c:pt idx="149">
                  <c:v>191.71199999999999</c:v>
                </c:pt>
                <c:pt idx="150">
                  <c:v>121.0425</c:v>
                </c:pt>
                <c:pt idx="151">
                  <c:v>58.177500000000002</c:v>
                </c:pt>
                <c:pt idx="152">
                  <c:v>62.814000000000007</c:v>
                </c:pt>
                <c:pt idx="153">
                  <c:v>69.974999999999994</c:v>
                </c:pt>
                <c:pt idx="154">
                  <c:v>84.33</c:v>
                </c:pt>
                <c:pt idx="155">
                  <c:v>84.247500000000002</c:v>
                </c:pt>
                <c:pt idx="156">
                  <c:v>73.852499999999992</c:v>
                </c:pt>
                <c:pt idx="157">
                  <c:v>70.057500000000005</c:v>
                </c:pt>
                <c:pt idx="158">
                  <c:v>71.328000000000003</c:v>
                </c:pt>
                <c:pt idx="159">
                  <c:v>60.405000000000001</c:v>
                </c:pt>
                <c:pt idx="160">
                  <c:v>56.115000000000002</c:v>
                </c:pt>
                <c:pt idx="161">
                  <c:v>51.33</c:v>
                </c:pt>
                <c:pt idx="162">
                  <c:v>49.432500000000005</c:v>
                </c:pt>
                <c:pt idx="163">
                  <c:v>57.731999999999999</c:v>
                </c:pt>
                <c:pt idx="164">
                  <c:v>63.870000000000005</c:v>
                </c:pt>
                <c:pt idx="165">
                  <c:v>63.457500000000003</c:v>
                </c:pt>
                <c:pt idx="166">
                  <c:v>58.326000000000001</c:v>
                </c:pt>
                <c:pt idx="167">
                  <c:v>51.962500000000006</c:v>
                </c:pt>
                <c:pt idx="168">
                  <c:v>53.887500000000003</c:v>
                </c:pt>
                <c:pt idx="169">
                  <c:v>54.366</c:v>
                </c:pt>
                <c:pt idx="170">
                  <c:v>57.682500000000005</c:v>
                </c:pt>
                <c:pt idx="171">
                  <c:v>59.332500000000003</c:v>
                </c:pt>
                <c:pt idx="172">
                  <c:v>58.986000000000004</c:v>
                </c:pt>
                <c:pt idx="173">
                  <c:v>58.012500000000003</c:v>
                </c:pt>
                <c:pt idx="174">
                  <c:v>60.57</c:v>
                </c:pt>
                <c:pt idx="175">
                  <c:v>69.216000000000008</c:v>
                </c:pt>
                <c:pt idx="176">
                  <c:v>72.284999999999997</c:v>
                </c:pt>
                <c:pt idx="177">
                  <c:v>74.298000000000002</c:v>
                </c:pt>
                <c:pt idx="178">
                  <c:v>78.39</c:v>
                </c:pt>
                <c:pt idx="179">
                  <c:v>81.305000000000007</c:v>
                </c:pt>
                <c:pt idx="180">
                  <c:v>83.274000000000001</c:v>
                </c:pt>
                <c:pt idx="181">
                  <c:v>88.62</c:v>
                </c:pt>
                <c:pt idx="182">
                  <c:v>113.28750000000001</c:v>
                </c:pt>
                <c:pt idx="183">
                  <c:v>120.96000000000001</c:v>
                </c:pt>
                <c:pt idx="184">
                  <c:v>125.84400000000001</c:v>
                </c:pt>
                <c:pt idx="185">
                  <c:v>119.31</c:v>
                </c:pt>
                <c:pt idx="186">
                  <c:v>115.35000000000001</c:v>
                </c:pt>
                <c:pt idx="187">
                  <c:v>120.465</c:v>
                </c:pt>
                <c:pt idx="188">
                  <c:v>131.27250000000001</c:v>
                </c:pt>
                <c:pt idx="189">
                  <c:v>146.964</c:v>
                </c:pt>
                <c:pt idx="190">
                  <c:v>177.72</c:v>
                </c:pt>
                <c:pt idx="191">
                  <c:v>196.09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9E9-478F-9F74-EB49216BF40D}"/>
            </c:ext>
          </c:extLst>
        </c:ser>
        <c:ser>
          <c:idx val="5"/>
          <c:order val="5"/>
          <c:tx>
            <c:strRef>
              <c:f>'Simulateur sur Avg'!$Y$5</c:f>
              <c:strCache>
                <c:ptCount val="1"/>
                <c:pt idx="0">
                  <c:v> ACS S based from Sulfur North Africa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192"/>
              <c:pt idx="0">
                <c:v>2010</c:v>
              </c:pt>
              <c:pt idx="1">
                <c:v>2010</c:v>
              </c:pt>
              <c:pt idx="2">
                <c:v>2010</c:v>
              </c:pt>
              <c:pt idx="3">
                <c:v>2010</c:v>
              </c:pt>
              <c:pt idx="4">
                <c:v>2010</c:v>
              </c:pt>
              <c:pt idx="5">
                <c:v>2010</c:v>
              </c:pt>
              <c:pt idx="6">
                <c:v>2010</c:v>
              </c:pt>
              <c:pt idx="7">
                <c:v>2010</c:v>
              </c:pt>
              <c:pt idx="8">
                <c:v>2010</c:v>
              </c:pt>
              <c:pt idx="9">
                <c:v>2010</c:v>
              </c:pt>
              <c:pt idx="10">
                <c:v>2010</c:v>
              </c:pt>
              <c:pt idx="11">
                <c:v>2010</c:v>
              </c:pt>
              <c:pt idx="12">
                <c:v>2011</c:v>
              </c:pt>
              <c:pt idx="13">
                <c:v>2011</c:v>
              </c:pt>
              <c:pt idx="14">
                <c:v>2011</c:v>
              </c:pt>
              <c:pt idx="15">
                <c:v>2011</c:v>
              </c:pt>
              <c:pt idx="16">
                <c:v>2011</c:v>
              </c:pt>
              <c:pt idx="17">
                <c:v>2011</c:v>
              </c:pt>
              <c:pt idx="18">
                <c:v>2011</c:v>
              </c:pt>
              <c:pt idx="19">
                <c:v>2011</c:v>
              </c:pt>
              <c:pt idx="20">
                <c:v>2011</c:v>
              </c:pt>
              <c:pt idx="21">
                <c:v>2011</c:v>
              </c:pt>
              <c:pt idx="22">
                <c:v>2011</c:v>
              </c:pt>
              <c:pt idx="23">
                <c:v>2011</c:v>
              </c:pt>
              <c:pt idx="24">
                <c:v>2012</c:v>
              </c:pt>
              <c:pt idx="25">
                <c:v>2012</c:v>
              </c:pt>
              <c:pt idx="26">
                <c:v>2012</c:v>
              </c:pt>
              <c:pt idx="27">
                <c:v>2012</c:v>
              </c:pt>
              <c:pt idx="28">
                <c:v>2012</c:v>
              </c:pt>
              <c:pt idx="29">
                <c:v>2012</c:v>
              </c:pt>
              <c:pt idx="30">
                <c:v>2012</c:v>
              </c:pt>
              <c:pt idx="31">
                <c:v>2012</c:v>
              </c:pt>
              <c:pt idx="32">
                <c:v>2012</c:v>
              </c:pt>
              <c:pt idx="33">
                <c:v>2012</c:v>
              </c:pt>
              <c:pt idx="34">
                <c:v>2012</c:v>
              </c:pt>
              <c:pt idx="35">
                <c:v>2012</c:v>
              </c:pt>
              <c:pt idx="36">
                <c:v>2013</c:v>
              </c:pt>
              <c:pt idx="37">
                <c:v>2013</c:v>
              </c:pt>
              <c:pt idx="38">
                <c:v>2013</c:v>
              </c:pt>
              <c:pt idx="39">
                <c:v>2013</c:v>
              </c:pt>
              <c:pt idx="40">
                <c:v>2013</c:v>
              </c:pt>
              <c:pt idx="41">
                <c:v>2013</c:v>
              </c:pt>
              <c:pt idx="42">
                <c:v>2013</c:v>
              </c:pt>
              <c:pt idx="43">
                <c:v>2013</c:v>
              </c:pt>
              <c:pt idx="44">
                <c:v>2013</c:v>
              </c:pt>
              <c:pt idx="45">
                <c:v>2013</c:v>
              </c:pt>
              <c:pt idx="46">
                <c:v>2013</c:v>
              </c:pt>
              <c:pt idx="47">
                <c:v>2013</c:v>
              </c:pt>
              <c:pt idx="48">
                <c:v>2014</c:v>
              </c:pt>
              <c:pt idx="49">
                <c:v>2014</c:v>
              </c:pt>
              <c:pt idx="50">
                <c:v>2014</c:v>
              </c:pt>
              <c:pt idx="51">
                <c:v>2014</c:v>
              </c:pt>
              <c:pt idx="52">
                <c:v>2014</c:v>
              </c:pt>
              <c:pt idx="53">
                <c:v>2014</c:v>
              </c:pt>
              <c:pt idx="54">
                <c:v>2014</c:v>
              </c:pt>
              <c:pt idx="55">
                <c:v>2014</c:v>
              </c:pt>
              <c:pt idx="56">
                <c:v>2014</c:v>
              </c:pt>
              <c:pt idx="57">
                <c:v>2014</c:v>
              </c:pt>
              <c:pt idx="58">
                <c:v>2014</c:v>
              </c:pt>
              <c:pt idx="59">
                <c:v>2014</c:v>
              </c:pt>
              <c:pt idx="60">
                <c:v>2015</c:v>
              </c:pt>
              <c:pt idx="61">
                <c:v>2015</c:v>
              </c:pt>
              <c:pt idx="62">
                <c:v>2015</c:v>
              </c:pt>
              <c:pt idx="63">
                <c:v>2015</c:v>
              </c:pt>
              <c:pt idx="64">
                <c:v>2015</c:v>
              </c:pt>
              <c:pt idx="65">
                <c:v>2015</c:v>
              </c:pt>
              <c:pt idx="66">
                <c:v>2015</c:v>
              </c:pt>
              <c:pt idx="67">
                <c:v>2015</c:v>
              </c:pt>
              <c:pt idx="68">
                <c:v>2015</c:v>
              </c:pt>
              <c:pt idx="69">
                <c:v>2015</c:v>
              </c:pt>
              <c:pt idx="70">
                <c:v>2015</c:v>
              </c:pt>
              <c:pt idx="71">
                <c:v>2015</c:v>
              </c:pt>
              <c:pt idx="72">
                <c:v>2016</c:v>
              </c:pt>
              <c:pt idx="73">
                <c:v>2016</c:v>
              </c:pt>
              <c:pt idx="74">
                <c:v>2016</c:v>
              </c:pt>
              <c:pt idx="75">
                <c:v>2016</c:v>
              </c:pt>
              <c:pt idx="76">
                <c:v>2016</c:v>
              </c:pt>
              <c:pt idx="77">
                <c:v>2016</c:v>
              </c:pt>
              <c:pt idx="78">
                <c:v>2016</c:v>
              </c:pt>
              <c:pt idx="79">
                <c:v>2016</c:v>
              </c:pt>
              <c:pt idx="80">
                <c:v>2016</c:v>
              </c:pt>
              <c:pt idx="81">
                <c:v>2016</c:v>
              </c:pt>
              <c:pt idx="82">
                <c:v>2016</c:v>
              </c:pt>
              <c:pt idx="83">
                <c:v>2016</c:v>
              </c:pt>
              <c:pt idx="84">
                <c:v>2017</c:v>
              </c:pt>
              <c:pt idx="85">
                <c:v>2017</c:v>
              </c:pt>
              <c:pt idx="86">
                <c:v>2017</c:v>
              </c:pt>
              <c:pt idx="87">
                <c:v>2017</c:v>
              </c:pt>
              <c:pt idx="88">
                <c:v>2017</c:v>
              </c:pt>
              <c:pt idx="89">
                <c:v>2017</c:v>
              </c:pt>
              <c:pt idx="90">
                <c:v>2017</c:v>
              </c:pt>
              <c:pt idx="91">
                <c:v>2017</c:v>
              </c:pt>
              <c:pt idx="92">
                <c:v>2017</c:v>
              </c:pt>
              <c:pt idx="93">
                <c:v>2017</c:v>
              </c:pt>
              <c:pt idx="94">
                <c:v>2017</c:v>
              </c:pt>
              <c:pt idx="95">
                <c:v>2017</c:v>
              </c:pt>
              <c:pt idx="96">
                <c:v>2018</c:v>
              </c:pt>
              <c:pt idx="97">
                <c:v>2018</c:v>
              </c:pt>
              <c:pt idx="98">
                <c:v>2018</c:v>
              </c:pt>
              <c:pt idx="99">
                <c:v>2018</c:v>
              </c:pt>
              <c:pt idx="100">
                <c:v>2018</c:v>
              </c:pt>
              <c:pt idx="101">
                <c:v>2018</c:v>
              </c:pt>
              <c:pt idx="102">
                <c:v>2018</c:v>
              </c:pt>
              <c:pt idx="103">
                <c:v>2018</c:v>
              </c:pt>
              <c:pt idx="104">
                <c:v>2018</c:v>
              </c:pt>
              <c:pt idx="105">
                <c:v>2018</c:v>
              </c:pt>
              <c:pt idx="106">
                <c:v>2018</c:v>
              </c:pt>
              <c:pt idx="107">
                <c:v>2018</c:v>
              </c:pt>
              <c:pt idx="108">
                <c:v>2019</c:v>
              </c:pt>
              <c:pt idx="109">
                <c:v>2019</c:v>
              </c:pt>
              <c:pt idx="110">
                <c:v>2019</c:v>
              </c:pt>
              <c:pt idx="111">
                <c:v>2019</c:v>
              </c:pt>
              <c:pt idx="112">
                <c:v>2019</c:v>
              </c:pt>
              <c:pt idx="113">
                <c:v>2019</c:v>
              </c:pt>
              <c:pt idx="114">
                <c:v>2019</c:v>
              </c:pt>
              <c:pt idx="115">
                <c:v>2019</c:v>
              </c:pt>
              <c:pt idx="116">
                <c:v>2019</c:v>
              </c:pt>
              <c:pt idx="117">
                <c:v>2019</c:v>
              </c:pt>
              <c:pt idx="118">
                <c:v>2019</c:v>
              </c:pt>
              <c:pt idx="119">
                <c:v>2019</c:v>
              </c:pt>
              <c:pt idx="120">
                <c:v>2020</c:v>
              </c:pt>
              <c:pt idx="121">
                <c:v>2020</c:v>
              </c:pt>
              <c:pt idx="122">
                <c:v>2020</c:v>
              </c:pt>
              <c:pt idx="123">
                <c:v>2020</c:v>
              </c:pt>
              <c:pt idx="124">
                <c:v>2020</c:v>
              </c:pt>
              <c:pt idx="125">
                <c:v>2020</c:v>
              </c:pt>
              <c:pt idx="126">
                <c:v>2020</c:v>
              </c:pt>
              <c:pt idx="127">
                <c:v>2020</c:v>
              </c:pt>
              <c:pt idx="128">
                <c:v>2020</c:v>
              </c:pt>
              <c:pt idx="129">
                <c:v>2020</c:v>
              </c:pt>
              <c:pt idx="130">
                <c:v>2020</c:v>
              </c:pt>
              <c:pt idx="131">
                <c:v>2020</c:v>
              </c:pt>
              <c:pt idx="132">
                <c:v>2021</c:v>
              </c:pt>
              <c:pt idx="133">
                <c:v>2021</c:v>
              </c:pt>
              <c:pt idx="134">
                <c:v>2021</c:v>
              </c:pt>
              <c:pt idx="135">
                <c:v>2021</c:v>
              </c:pt>
              <c:pt idx="136">
                <c:v>2021</c:v>
              </c:pt>
              <c:pt idx="137">
                <c:v>2021</c:v>
              </c:pt>
              <c:pt idx="138">
                <c:v>2021</c:v>
              </c:pt>
              <c:pt idx="139">
                <c:v>2021</c:v>
              </c:pt>
              <c:pt idx="140">
                <c:v>2021</c:v>
              </c:pt>
              <c:pt idx="141">
                <c:v>2021</c:v>
              </c:pt>
              <c:pt idx="142">
                <c:v>2021</c:v>
              </c:pt>
              <c:pt idx="143">
                <c:v>2021</c:v>
              </c:pt>
              <c:pt idx="144">
                <c:v>2022</c:v>
              </c:pt>
              <c:pt idx="145">
                <c:v>2022</c:v>
              </c:pt>
              <c:pt idx="146">
                <c:v>2022</c:v>
              </c:pt>
              <c:pt idx="147">
                <c:v>2022</c:v>
              </c:pt>
              <c:pt idx="148">
                <c:v>2022</c:v>
              </c:pt>
              <c:pt idx="149">
                <c:v>2022</c:v>
              </c:pt>
              <c:pt idx="150">
                <c:v>2022</c:v>
              </c:pt>
              <c:pt idx="151">
                <c:v>2022</c:v>
              </c:pt>
              <c:pt idx="152">
                <c:v>2022</c:v>
              </c:pt>
              <c:pt idx="153">
                <c:v>2022</c:v>
              </c:pt>
              <c:pt idx="154">
                <c:v>2022</c:v>
              </c:pt>
              <c:pt idx="155">
                <c:v>2022</c:v>
              </c:pt>
              <c:pt idx="156">
                <c:v>2023</c:v>
              </c:pt>
              <c:pt idx="157">
                <c:v>2023</c:v>
              </c:pt>
              <c:pt idx="158">
                <c:v>2023</c:v>
              </c:pt>
              <c:pt idx="159">
                <c:v>2023</c:v>
              </c:pt>
              <c:pt idx="160">
                <c:v>2023</c:v>
              </c:pt>
              <c:pt idx="161">
                <c:v>2023</c:v>
              </c:pt>
              <c:pt idx="162">
                <c:v>2023</c:v>
              </c:pt>
              <c:pt idx="163">
                <c:v>2023</c:v>
              </c:pt>
              <c:pt idx="164">
                <c:v>2023</c:v>
              </c:pt>
              <c:pt idx="165">
                <c:v>2023</c:v>
              </c:pt>
              <c:pt idx="166">
                <c:v>2023</c:v>
              </c:pt>
              <c:pt idx="167">
                <c:v>2023</c:v>
              </c:pt>
              <c:pt idx="168">
                <c:v>2024</c:v>
              </c:pt>
              <c:pt idx="169">
                <c:v>2024</c:v>
              </c:pt>
              <c:pt idx="170">
                <c:v>2024</c:v>
              </c:pt>
              <c:pt idx="171">
                <c:v>2024</c:v>
              </c:pt>
              <c:pt idx="172">
                <c:v>2024</c:v>
              </c:pt>
              <c:pt idx="173">
                <c:v>2024</c:v>
              </c:pt>
              <c:pt idx="174">
                <c:v>2024</c:v>
              </c:pt>
              <c:pt idx="175">
                <c:v>2024</c:v>
              </c:pt>
              <c:pt idx="176">
                <c:v>2024</c:v>
              </c:pt>
              <c:pt idx="177">
                <c:v>2024</c:v>
              </c:pt>
              <c:pt idx="178">
                <c:v>2024</c:v>
              </c:pt>
              <c:pt idx="179">
                <c:v>2024</c:v>
              </c:pt>
              <c:pt idx="180">
                <c:v>2025</c:v>
              </c:pt>
              <c:pt idx="181">
                <c:v>2025</c:v>
              </c:pt>
              <c:pt idx="182">
                <c:v>2025</c:v>
              </c:pt>
              <c:pt idx="183">
                <c:v>2025</c:v>
              </c:pt>
              <c:pt idx="184">
                <c:v>2025</c:v>
              </c:pt>
              <c:pt idx="185">
                <c:v>2025</c:v>
              </c:pt>
              <c:pt idx="186">
                <c:v>2025</c:v>
              </c:pt>
              <c:pt idx="187">
                <c:v>2025</c:v>
              </c:pt>
              <c:pt idx="188">
                <c:v>2025</c:v>
              </c:pt>
              <c:pt idx="189">
                <c:v>2025</c:v>
              </c:pt>
              <c:pt idx="190">
                <c:v>2025</c:v>
              </c:pt>
              <c:pt idx="191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'Simulateur sur Avg'!$Y$6:$Y$289</c15:sqref>
                  </c15:fullRef>
                </c:ext>
              </c:extLst>
              <c:f>'Simulateur sur Avg'!$Y$98:$Y$289</c:f>
              <c:numCache>
                <c:formatCode>_-* #\ ##0.0_-;\-* #\ ##0.0_-;_-* "-"??_-;_-@_-</c:formatCode>
                <c:ptCount val="192"/>
                <c:pt idx="0">
                  <c:v>45.678750000000001</c:v>
                </c:pt>
                <c:pt idx="1">
                  <c:v>46.916250000000005</c:v>
                </c:pt>
                <c:pt idx="2">
                  <c:v>46.71</c:v>
                </c:pt>
                <c:pt idx="3">
                  <c:v>46.71</c:v>
                </c:pt>
                <c:pt idx="4">
                  <c:v>46.916250000000005</c:v>
                </c:pt>
                <c:pt idx="5">
                  <c:v>47.534999999999997</c:v>
                </c:pt>
                <c:pt idx="6">
                  <c:v>47.733000000000004</c:v>
                </c:pt>
                <c:pt idx="7">
                  <c:v>47.741250000000001</c:v>
                </c:pt>
                <c:pt idx="8">
                  <c:v>48.36</c:v>
                </c:pt>
                <c:pt idx="9">
                  <c:v>48.36</c:v>
                </c:pt>
                <c:pt idx="10">
                  <c:v>54.190000000000005</c:v>
                </c:pt>
                <c:pt idx="11">
                  <c:v>54.190000000000005</c:v>
                </c:pt>
                <c:pt idx="12">
                  <c:v>68.297499999999999</c:v>
                </c:pt>
                <c:pt idx="13">
                  <c:v>74.319999999999993</c:v>
                </c:pt>
                <c:pt idx="14">
                  <c:v>82.185000000000002</c:v>
                </c:pt>
                <c:pt idx="15">
                  <c:v>87.63000000000001</c:v>
                </c:pt>
                <c:pt idx="16">
                  <c:v>89.445000000000007</c:v>
                </c:pt>
                <c:pt idx="17">
                  <c:v>89.445000000000007</c:v>
                </c:pt>
                <c:pt idx="18">
                  <c:v>89.445000000000007</c:v>
                </c:pt>
                <c:pt idx="19">
                  <c:v>91.30125000000001</c:v>
                </c:pt>
                <c:pt idx="20">
                  <c:v>91.92</c:v>
                </c:pt>
                <c:pt idx="21">
                  <c:v>103.55250000000001</c:v>
                </c:pt>
                <c:pt idx="22">
                  <c:v>104.79</c:v>
                </c:pt>
                <c:pt idx="23">
                  <c:v>104.79</c:v>
                </c:pt>
                <c:pt idx="24">
                  <c:v>106.44</c:v>
                </c:pt>
                <c:pt idx="25">
                  <c:v>100.4175</c:v>
                </c:pt>
                <c:pt idx="26">
                  <c:v>76.575000000000003</c:v>
                </c:pt>
                <c:pt idx="27">
                  <c:v>82.556250000000006</c:v>
                </c:pt>
                <c:pt idx="28">
                  <c:v>94.89</c:v>
                </c:pt>
                <c:pt idx="29">
                  <c:v>96.416250000000005</c:v>
                </c:pt>
                <c:pt idx="30">
                  <c:v>93.611249999999998</c:v>
                </c:pt>
                <c:pt idx="31">
                  <c:v>87.795000000000002</c:v>
                </c:pt>
                <c:pt idx="32">
                  <c:v>87.795000000000002</c:v>
                </c:pt>
                <c:pt idx="33">
                  <c:v>87.795000000000002</c:v>
                </c:pt>
                <c:pt idx="34">
                  <c:v>85.155000000000001</c:v>
                </c:pt>
                <c:pt idx="35">
                  <c:v>81.525000000000006</c:v>
                </c:pt>
                <c:pt idx="36">
                  <c:v>77.532000000000011</c:v>
                </c:pt>
                <c:pt idx="37">
                  <c:v>74.925000000000011</c:v>
                </c:pt>
                <c:pt idx="38">
                  <c:v>74.925000000000011</c:v>
                </c:pt>
                <c:pt idx="39">
                  <c:v>74.925000000000011</c:v>
                </c:pt>
                <c:pt idx="40">
                  <c:v>73.935000000000002</c:v>
                </c:pt>
                <c:pt idx="41">
                  <c:v>72.45</c:v>
                </c:pt>
                <c:pt idx="42">
                  <c:v>65.313749999999999</c:v>
                </c:pt>
                <c:pt idx="43">
                  <c:v>56.115000000000002</c:v>
                </c:pt>
                <c:pt idx="44">
                  <c:v>56.115000000000002</c:v>
                </c:pt>
                <c:pt idx="45">
                  <c:v>55.158000000000001</c:v>
                </c:pt>
                <c:pt idx="46">
                  <c:v>51.33</c:v>
                </c:pt>
                <c:pt idx="47">
                  <c:v>55.29</c:v>
                </c:pt>
                <c:pt idx="48">
                  <c:v>56.61</c:v>
                </c:pt>
                <c:pt idx="49">
                  <c:v>56.61</c:v>
                </c:pt>
                <c:pt idx="50">
                  <c:v>61.065000000000005</c:v>
                </c:pt>
                <c:pt idx="51">
                  <c:v>68.490000000000009</c:v>
                </c:pt>
                <c:pt idx="52">
                  <c:v>67.302000000000007</c:v>
                </c:pt>
                <c:pt idx="53">
                  <c:v>68.490000000000009</c:v>
                </c:pt>
                <c:pt idx="54">
                  <c:v>68.490000000000009</c:v>
                </c:pt>
                <c:pt idx="55">
                  <c:v>68.490000000000009</c:v>
                </c:pt>
                <c:pt idx="56">
                  <c:v>68.490000000000009</c:v>
                </c:pt>
                <c:pt idx="57">
                  <c:v>68.490000000000009</c:v>
                </c:pt>
                <c:pt idx="58">
                  <c:v>68.490000000000009</c:v>
                </c:pt>
                <c:pt idx="59">
                  <c:v>68.490000000000009</c:v>
                </c:pt>
                <c:pt idx="60">
                  <c:v>68.490000000000009</c:v>
                </c:pt>
                <c:pt idx="61">
                  <c:v>73.44</c:v>
                </c:pt>
                <c:pt idx="62">
                  <c:v>73.44</c:v>
                </c:pt>
                <c:pt idx="63">
                  <c:v>73.44</c:v>
                </c:pt>
                <c:pt idx="64">
                  <c:v>73.44</c:v>
                </c:pt>
                <c:pt idx="65">
                  <c:v>71.13</c:v>
                </c:pt>
                <c:pt idx="66">
                  <c:v>71.13</c:v>
                </c:pt>
                <c:pt idx="67">
                  <c:v>70.965000000000003</c:v>
                </c:pt>
                <c:pt idx="68">
                  <c:v>70.965000000000003</c:v>
                </c:pt>
                <c:pt idx="69">
                  <c:v>70.965000000000003</c:v>
                </c:pt>
                <c:pt idx="70">
                  <c:v>65.602499999999992</c:v>
                </c:pt>
                <c:pt idx="71">
                  <c:v>60.24</c:v>
                </c:pt>
                <c:pt idx="72">
                  <c:v>60.24</c:v>
                </c:pt>
                <c:pt idx="73">
                  <c:v>59.497500000000002</c:v>
                </c:pt>
                <c:pt idx="74">
                  <c:v>59.25</c:v>
                </c:pt>
                <c:pt idx="75">
                  <c:v>54.300000000000004</c:v>
                </c:pt>
                <c:pt idx="76">
                  <c:v>49.35</c:v>
                </c:pt>
                <c:pt idx="77">
                  <c:v>49.35</c:v>
                </c:pt>
                <c:pt idx="78">
                  <c:v>49.35</c:v>
                </c:pt>
                <c:pt idx="79">
                  <c:v>48.855000000000004</c:v>
                </c:pt>
                <c:pt idx="80">
                  <c:v>48.69</c:v>
                </c:pt>
                <c:pt idx="81">
                  <c:v>48.69</c:v>
                </c:pt>
                <c:pt idx="82">
                  <c:v>48.69</c:v>
                </c:pt>
                <c:pt idx="83">
                  <c:v>48.69</c:v>
                </c:pt>
                <c:pt idx="84">
                  <c:v>49.762500000000003</c:v>
                </c:pt>
                <c:pt idx="85">
                  <c:v>50.34</c:v>
                </c:pt>
                <c:pt idx="86">
                  <c:v>50.34</c:v>
                </c:pt>
                <c:pt idx="87">
                  <c:v>50.34</c:v>
                </c:pt>
                <c:pt idx="88">
                  <c:v>50.34</c:v>
                </c:pt>
                <c:pt idx="89">
                  <c:v>50.34</c:v>
                </c:pt>
                <c:pt idx="90">
                  <c:v>50.34</c:v>
                </c:pt>
                <c:pt idx="91">
                  <c:v>52.65</c:v>
                </c:pt>
                <c:pt idx="92">
                  <c:v>52.65</c:v>
                </c:pt>
                <c:pt idx="93">
                  <c:v>54.63</c:v>
                </c:pt>
                <c:pt idx="94">
                  <c:v>60.57</c:v>
                </c:pt>
                <c:pt idx="95">
                  <c:v>60.57</c:v>
                </c:pt>
                <c:pt idx="96">
                  <c:v>62.962499999999999</c:v>
                </c:pt>
                <c:pt idx="97">
                  <c:v>70.14</c:v>
                </c:pt>
                <c:pt idx="98">
                  <c:v>70.14</c:v>
                </c:pt>
                <c:pt idx="99">
                  <c:v>68.737500000000011</c:v>
                </c:pt>
                <c:pt idx="100">
                  <c:v>64.53</c:v>
                </c:pt>
                <c:pt idx="101">
                  <c:v>64.53</c:v>
                </c:pt>
                <c:pt idx="102">
                  <c:v>68.242500000000007</c:v>
                </c:pt>
                <c:pt idx="103">
                  <c:v>69.48</c:v>
                </c:pt>
                <c:pt idx="104">
                  <c:v>69.48</c:v>
                </c:pt>
                <c:pt idx="105">
                  <c:v>77.069999999999993</c:v>
                </c:pt>
                <c:pt idx="106">
                  <c:v>77.069999999999993</c:v>
                </c:pt>
                <c:pt idx="107">
                  <c:v>77.069999999999993</c:v>
                </c:pt>
                <c:pt idx="108">
                  <c:v>71.394000000000005</c:v>
                </c:pt>
                <c:pt idx="109">
                  <c:v>62.88</c:v>
                </c:pt>
                <c:pt idx="110">
                  <c:v>62.88</c:v>
                </c:pt>
                <c:pt idx="111">
                  <c:v>58.425000000000004</c:v>
                </c:pt>
                <c:pt idx="112">
                  <c:v>53.97</c:v>
                </c:pt>
                <c:pt idx="113">
                  <c:v>53.97</c:v>
                </c:pt>
                <c:pt idx="114">
                  <c:v>53.97</c:v>
                </c:pt>
                <c:pt idx="115">
                  <c:v>53.97</c:v>
                </c:pt>
                <c:pt idx="116">
                  <c:v>53.97</c:v>
                </c:pt>
                <c:pt idx="117">
                  <c:v>48.03</c:v>
                </c:pt>
                <c:pt idx="118">
                  <c:v>44.07</c:v>
                </c:pt>
                <c:pt idx="119">
                  <c:v>44.07</c:v>
                </c:pt>
                <c:pt idx="120">
                  <c:v>42.287999999999997</c:v>
                </c:pt>
                <c:pt idx="121">
                  <c:v>41.1</c:v>
                </c:pt>
                <c:pt idx="122">
                  <c:v>41.1</c:v>
                </c:pt>
                <c:pt idx="123">
                  <c:v>43.673999999999999</c:v>
                </c:pt>
                <c:pt idx="124">
                  <c:v>45.39</c:v>
                </c:pt>
                <c:pt idx="125">
                  <c:v>45.39</c:v>
                </c:pt>
                <c:pt idx="126">
                  <c:v>45.39</c:v>
                </c:pt>
                <c:pt idx="127">
                  <c:v>45.39</c:v>
                </c:pt>
                <c:pt idx="128">
                  <c:v>45.39</c:v>
                </c:pt>
                <c:pt idx="129">
                  <c:v>46.578000000000003</c:v>
                </c:pt>
                <c:pt idx="130">
                  <c:v>47.370000000000005</c:v>
                </c:pt>
                <c:pt idx="131">
                  <c:v>47.370000000000005</c:v>
                </c:pt>
                <c:pt idx="132">
                  <c:v>51.825000000000003</c:v>
                </c:pt>
                <c:pt idx="133">
                  <c:v>53.31</c:v>
                </c:pt>
                <c:pt idx="134">
                  <c:v>53.31</c:v>
                </c:pt>
                <c:pt idx="135">
                  <c:v>68.754000000000005</c:v>
                </c:pt>
                <c:pt idx="136">
                  <c:v>91.92</c:v>
                </c:pt>
                <c:pt idx="137">
                  <c:v>91.92</c:v>
                </c:pt>
                <c:pt idx="138">
                  <c:v>91.92</c:v>
                </c:pt>
                <c:pt idx="139">
                  <c:v>90.93</c:v>
                </c:pt>
                <c:pt idx="140">
                  <c:v>90.93</c:v>
                </c:pt>
                <c:pt idx="141">
                  <c:v>93.9</c:v>
                </c:pt>
                <c:pt idx="142">
                  <c:v>94.89</c:v>
                </c:pt>
                <c:pt idx="143">
                  <c:v>94.89</c:v>
                </c:pt>
                <c:pt idx="144">
                  <c:v>116.67</c:v>
                </c:pt>
                <c:pt idx="145">
                  <c:v>123.93</c:v>
                </c:pt>
                <c:pt idx="146">
                  <c:v>123.93</c:v>
                </c:pt>
                <c:pt idx="147">
                  <c:v>163.20000000000002</c:v>
                </c:pt>
                <c:pt idx="148">
                  <c:v>163.20000000000002</c:v>
                </c:pt>
                <c:pt idx="149">
                  <c:v>163.20000000000002</c:v>
                </c:pt>
                <c:pt idx="150">
                  <c:v>163.9425</c:v>
                </c:pt>
                <c:pt idx="151">
                  <c:v>99.097500000000011</c:v>
                </c:pt>
                <c:pt idx="152">
                  <c:v>77.400000000000006</c:v>
                </c:pt>
                <c:pt idx="153">
                  <c:v>65.767500000000013</c:v>
                </c:pt>
                <c:pt idx="154">
                  <c:v>61.89</c:v>
                </c:pt>
                <c:pt idx="155">
                  <c:v>61.89</c:v>
                </c:pt>
                <c:pt idx="156">
                  <c:v>73.77000000000001</c:v>
                </c:pt>
                <c:pt idx="157">
                  <c:v>77.73</c:v>
                </c:pt>
                <c:pt idx="158">
                  <c:v>77.73</c:v>
                </c:pt>
                <c:pt idx="159">
                  <c:v>71.789999999999992</c:v>
                </c:pt>
                <c:pt idx="160">
                  <c:v>65.849999999999994</c:v>
                </c:pt>
                <c:pt idx="161">
                  <c:v>65.849999999999994</c:v>
                </c:pt>
                <c:pt idx="162">
                  <c:v>53.97</c:v>
                </c:pt>
                <c:pt idx="163">
                  <c:v>50.01</c:v>
                </c:pt>
                <c:pt idx="164">
                  <c:v>50.01</c:v>
                </c:pt>
                <c:pt idx="165">
                  <c:v>56.28</c:v>
                </c:pt>
                <c:pt idx="166">
                  <c:v>62.550000000000004</c:v>
                </c:pt>
                <c:pt idx="167">
                  <c:v>62.550000000000004</c:v>
                </c:pt>
                <c:pt idx="168">
                  <c:v>59.25</c:v>
                </c:pt>
                <c:pt idx="169">
                  <c:v>55.95</c:v>
                </c:pt>
                <c:pt idx="170">
                  <c:v>55.95</c:v>
                </c:pt>
                <c:pt idx="171">
                  <c:v>57.6</c:v>
                </c:pt>
                <c:pt idx="172">
                  <c:v>57.6</c:v>
                </c:pt>
                <c:pt idx="173">
                  <c:v>57.6</c:v>
                </c:pt>
                <c:pt idx="174">
                  <c:v>57.435000000000002</c:v>
                </c:pt>
                <c:pt idx="175">
                  <c:v>57.27</c:v>
                </c:pt>
                <c:pt idx="176">
                  <c:v>57.27</c:v>
                </c:pt>
                <c:pt idx="177">
                  <c:v>57.27</c:v>
                </c:pt>
                <c:pt idx="178">
                  <c:v>67.5</c:v>
                </c:pt>
                <c:pt idx="179">
                  <c:v>67.5</c:v>
                </c:pt>
                <c:pt idx="180">
                  <c:v>74.430000000000007</c:v>
                </c:pt>
                <c:pt idx="181">
                  <c:v>79.050000000000011</c:v>
                </c:pt>
                <c:pt idx="182">
                  <c:v>79.050000000000011</c:v>
                </c:pt>
                <c:pt idx="183">
                  <c:v>106.44</c:v>
                </c:pt>
                <c:pt idx="184">
                  <c:v>106.44</c:v>
                </c:pt>
                <c:pt idx="185">
                  <c:v>106.44</c:v>
                </c:pt>
                <c:pt idx="186">
                  <c:v>109.08</c:v>
                </c:pt>
                <c:pt idx="187">
                  <c:v>113.04</c:v>
                </c:pt>
                <c:pt idx="188">
                  <c:v>113.04</c:v>
                </c:pt>
                <c:pt idx="189">
                  <c:v>124.12800000000001</c:v>
                </c:pt>
                <c:pt idx="190">
                  <c:v>126.9</c:v>
                </c:pt>
                <c:pt idx="191">
                  <c:v>126.9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E9-478F-9F74-EB49216BF40D}"/>
            </c:ext>
          </c:extLst>
        </c:ser>
        <c:ser>
          <c:idx val="6"/>
          <c:order val="6"/>
          <c:tx>
            <c:strRef>
              <c:f>'Simulateur sur Avg'!$AD$5</c:f>
              <c:strCache>
                <c:ptCount val="1"/>
                <c:pt idx="0">
                  <c:v> IPP_Acid = min((70% × IPP_NWE + 30% × IPP_China); Acid S Based ME)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Lit>
              <c:ptCount val="192"/>
              <c:pt idx="0">
                <c:v>2010</c:v>
              </c:pt>
              <c:pt idx="1">
                <c:v>2010</c:v>
              </c:pt>
              <c:pt idx="2">
                <c:v>2010</c:v>
              </c:pt>
              <c:pt idx="3">
                <c:v>2010</c:v>
              </c:pt>
              <c:pt idx="4">
                <c:v>2010</c:v>
              </c:pt>
              <c:pt idx="5">
                <c:v>2010</c:v>
              </c:pt>
              <c:pt idx="6">
                <c:v>2010</c:v>
              </c:pt>
              <c:pt idx="7">
                <c:v>2010</c:v>
              </c:pt>
              <c:pt idx="8">
                <c:v>2010</c:v>
              </c:pt>
              <c:pt idx="9">
                <c:v>2010</c:v>
              </c:pt>
              <c:pt idx="10">
                <c:v>2010</c:v>
              </c:pt>
              <c:pt idx="11">
                <c:v>2010</c:v>
              </c:pt>
              <c:pt idx="12">
                <c:v>2011</c:v>
              </c:pt>
              <c:pt idx="13">
                <c:v>2011</c:v>
              </c:pt>
              <c:pt idx="14">
                <c:v>2011</c:v>
              </c:pt>
              <c:pt idx="15">
                <c:v>2011</c:v>
              </c:pt>
              <c:pt idx="16">
                <c:v>2011</c:v>
              </c:pt>
              <c:pt idx="17">
                <c:v>2011</c:v>
              </c:pt>
              <c:pt idx="18">
                <c:v>2011</c:v>
              </c:pt>
              <c:pt idx="19">
                <c:v>2011</c:v>
              </c:pt>
              <c:pt idx="20">
                <c:v>2011</c:v>
              </c:pt>
              <c:pt idx="21">
                <c:v>2011</c:v>
              </c:pt>
              <c:pt idx="22">
                <c:v>2011</c:v>
              </c:pt>
              <c:pt idx="23">
                <c:v>2011</c:v>
              </c:pt>
              <c:pt idx="24">
                <c:v>2012</c:v>
              </c:pt>
              <c:pt idx="25">
                <c:v>2012</c:v>
              </c:pt>
              <c:pt idx="26">
                <c:v>2012</c:v>
              </c:pt>
              <c:pt idx="27">
                <c:v>2012</c:v>
              </c:pt>
              <c:pt idx="28">
                <c:v>2012</c:v>
              </c:pt>
              <c:pt idx="29">
                <c:v>2012</c:v>
              </c:pt>
              <c:pt idx="30">
                <c:v>2012</c:v>
              </c:pt>
              <c:pt idx="31">
                <c:v>2012</c:v>
              </c:pt>
              <c:pt idx="32">
                <c:v>2012</c:v>
              </c:pt>
              <c:pt idx="33">
                <c:v>2012</c:v>
              </c:pt>
              <c:pt idx="34">
                <c:v>2012</c:v>
              </c:pt>
              <c:pt idx="35">
                <c:v>2012</c:v>
              </c:pt>
              <c:pt idx="36">
                <c:v>2013</c:v>
              </c:pt>
              <c:pt idx="37">
                <c:v>2013</c:v>
              </c:pt>
              <c:pt idx="38">
                <c:v>2013</c:v>
              </c:pt>
              <c:pt idx="39">
                <c:v>2013</c:v>
              </c:pt>
              <c:pt idx="40">
                <c:v>2013</c:v>
              </c:pt>
              <c:pt idx="41">
                <c:v>2013</c:v>
              </c:pt>
              <c:pt idx="42">
                <c:v>2013</c:v>
              </c:pt>
              <c:pt idx="43">
                <c:v>2013</c:v>
              </c:pt>
              <c:pt idx="44">
                <c:v>2013</c:v>
              </c:pt>
              <c:pt idx="45">
                <c:v>2013</c:v>
              </c:pt>
              <c:pt idx="46">
                <c:v>2013</c:v>
              </c:pt>
              <c:pt idx="47">
                <c:v>2013</c:v>
              </c:pt>
              <c:pt idx="48">
                <c:v>2014</c:v>
              </c:pt>
              <c:pt idx="49">
                <c:v>2014</c:v>
              </c:pt>
              <c:pt idx="50">
                <c:v>2014</c:v>
              </c:pt>
              <c:pt idx="51">
                <c:v>2014</c:v>
              </c:pt>
              <c:pt idx="52">
                <c:v>2014</c:v>
              </c:pt>
              <c:pt idx="53">
                <c:v>2014</c:v>
              </c:pt>
              <c:pt idx="54">
                <c:v>2014</c:v>
              </c:pt>
              <c:pt idx="55">
                <c:v>2014</c:v>
              </c:pt>
              <c:pt idx="56">
                <c:v>2014</c:v>
              </c:pt>
              <c:pt idx="57">
                <c:v>2014</c:v>
              </c:pt>
              <c:pt idx="58">
                <c:v>2014</c:v>
              </c:pt>
              <c:pt idx="59">
                <c:v>2014</c:v>
              </c:pt>
              <c:pt idx="60">
                <c:v>2015</c:v>
              </c:pt>
              <c:pt idx="61">
                <c:v>2015</c:v>
              </c:pt>
              <c:pt idx="62">
                <c:v>2015</c:v>
              </c:pt>
              <c:pt idx="63">
                <c:v>2015</c:v>
              </c:pt>
              <c:pt idx="64">
                <c:v>2015</c:v>
              </c:pt>
              <c:pt idx="65">
                <c:v>2015</c:v>
              </c:pt>
              <c:pt idx="66">
                <c:v>2015</c:v>
              </c:pt>
              <c:pt idx="67">
                <c:v>2015</c:v>
              </c:pt>
              <c:pt idx="68">
                <c:v>2015</c:v>
              </c:pt>
              <c:pt idx="69">
                <c:v>2015</c:v>
              </c:pt>
              <c:pt idx="70">
                <c:v>2015</c:v>
              </c:pt>
              <c:pt idx="71">
                <c:v>2015</c:v>
              </c:pt>
              <c:pt idx="72">
                <c:v>2016</c:v>
              </c:pt>
              <c:pt idx="73">
                <c:v>2016</c:v>
              </c:pt>
              <c:pt idx="74">
                <c:v>2016</c:v>
              </c:pt>
              <c:pt idx="75">
                <c:v>2016</c:v>
              </c:pt>
              <c:pt idx="76">
                <c:v>2016</c:v>
              </c:pt>
              <c:pt idx="77">
                <c:v>2016</c:v>
              </c:pt>
              <c:pt idx="78">
                <c:v>2016</c:v>
              </c:pt>
              <c:pt idx="79">
                <c:v>2016</c:v>
              </c:pt>
              <c:pt idx="80">
                <c:v>2016</c:v>
              </c:pt>
              <c:pt idx="81">
                <c:v>2016</c:v>
              </c:pt>
              <c:pt idx="82">
                <c:v>2016</c:v>
              </c:pt>
              <c:pt idx="83">
                <c:v>2016</c:v>
              </c:pt>
              <c:pt idx="84">
                <c:v>2017</c:v>
              </c:pt>
              <c:pt idx="85">
                <c:v>2017</c:v>
              </c:pt>
              <c:pt idx="86">
                <c:v>2017</c:v>
              </c:pt>
              <c:pt idx="87">
                <c:v>2017</c:v>
              </c:pt>
              <c:pt idx="88">
                <c:v>2017</c:v>
              </c:pt>
              <c:pt idx="89">
                <c:v>2017</c:v>
              </c:pt>
              <c:pt idx="90">
                <c:v>2017</c:v>
              </c:pt>
              <c:pt idx="91">
                <c:v>2017</c:v>
              </c:pt>
              <c:pt idx="92">
                <c:v>2017</c:v>
              </c:pt>
              <c:pt idx="93">
                <c:v>2017</c:v>
              </c:pt>
              <c:pt idx="94">
                <c:v>2017</c:v>
              </c:pt>
              <c:pt idx="95">
                <c:v>2017</c:v>
              </c:pt>
              <c:pt idx="96">
                <c:v>2018</c:v>
              </c:pt>
              <c:pt idx="97">
                <c:v>2018</c:v>
              </c:pt>
              <c:pt idx="98">
                <c:v>2018</c:v>
              </c:pt>
              <c:pt idx="99">
                <c:v>2018</c:v>
              </c:pt>
              <c:pt idx="100">
                <c:v>2018</c:v>
              </c:pt>
              <c:pt idx="101">
                <c:v>2018</c:v>
              </c:pt>
              <c:pt idx="102">
                <c:v>2018</c:v>
              </c:pt>
              <c:pt idx="103">
                <c:v>2018</c:v>
              </c:pt>
              <c:pt idx="104">
                <c:v>2018</c:v>
              </c:pt>
              <c:pt idx="105">
                <c:v>2018</c:v>
              </c:pt>
              <c:pt idx="106">
                <c:v>2018</c:v>
              </c:pt>
              <c:pt idx="107">
                <c:v>2018</c:v>
              </c:pt>
              <c:pt idx="108">
                <c:v>2019</c:v>
              </c:pt>
              <c:pt idx="109">
                <c:v>2019</c:v>
              </c:pt>
              <c:pt idx="110">
                <c:v>2019</c:v>
              </c:pt>
              <c:pt idx="111">
                <c:v>2019</c:v>
              </c:pt>
              <c:pt idx="112">
                <c:v>2019</c:v>
              </c:pt>
              <c:pt idx="113">
                <c:v>2019</c:v>
              </c:pt>
              <c:pt idx="114">
                <c:v>2019</c:v>
              </c:pt>
              <c:pt idx="115">
                <c:v>2019</c:v>
              </c:pt>
              <c:pt idx="116">
                <c:v>2019</c:v>
              </c:pt>
              <c:pt idx="117">
                <c:v>2019</c:v>
              </c:pt>
              <c:pt idx="118">
                <c:v>2019</c:v>
              </c:pt>
              <c:pt idx="119">
                <c:v>2019</c:v>
              </c:pt>
              <c:pt idx="120">
                <c:v>2020</c:v>
              </c:pt>
              <c:pt idx="121">
                <c:v>2020</c:v>
              </c:pt>
              <c:pt idx="122">
                <c:v>2020</c:v>
              </c:pt>
              <c:pt idx="123">
                <c:v>2020</c:v>
              </c:pt>
              <c:pt idx="124">
                <c:v>2020</c:v>
              </c:pt>
              <c:pt idx="125">
                <c:v>2020</c:v>
              </c:pt>
              <c:pt idx="126">
                <c:v>2020</c:v>
              </c:pt>
              <c:pt idx="127">
                <c:v>2020</c:v>
              </c:pt>
              <c:pt idx="128">
                <c:v>2020</c:v>
              </c:pt>
              <c:pt idx="129">
                <c:v>2020</c:v>
              </c:pt>
              <c:pt idx="130">
                <c:v>2020</c:v>
              </c:pt>
              <c:pt idx="131">
                <c:v>2020</c:v>
              </c:pt>
              <c:pt idx="132">
                <c:v>2021</c:v>
              </c:pt>
              <c:pt idx="133">
                <c:v>2021</c:v>
              </c:pt>
              <c:pt idx="134">
                <c:v>2021</c:v>
              </c:pt>
              <c:pt idx="135">
                <c:v>2021</c:v>
              </c:pt>
              <c:pt idx="136">
                <c:v>2021</c:v>
              </c:pt>
              <c:pt idx="137">
                <c:v>2021</c:v>
              </c:pt>
              <c:pt idx="138">
                <c:v>2021</c:v>
              </c:pt>
              <c:pt idx="139">
                <c:v>2021</c:v>
              </c:pt>
              <c:pt idx="140">
                <c:v>2021</c:v>
              </c:pt>
              <c:pt idx="141">
                <c:v>2021</c:v>
              </c:pt>
              <c:pt idx="142">
                <c:v>2021</c:v>
              </c:pt>
              <c:pt idx="143">
                <c:v>2021</c:v>
              </c:pt>
              <c:pt idx="144">
                <c:v>2022</c:v>
              </c:pt>
              <c:pt idx="145">
                <c:v>2022</c:v>
              </c:pt>
              <c:pt idx="146">
                <c:v>2022</c:v>
              </c:pt>
              <c:pt idx="147">
                <c:v>2022</c:v>
              </c:pt>
              <c:pt idx="148">
                <c:v>2022</c:v>
              </c:pt>
              <c:pt idx="149">
                <c:v>2022</c:v>
              </c:pt>
              <c:pt idx="150">
                <c:v>2022</c:v>
              </c:pt>
              <c:pt idx="151">
                <c:v>2022</c:v>
              </c:pt>
              <c:pt idx="152">
                <c:v>2022</c:v>
              </c:pt>
              <c:pt idx="153">
                <c:v>2022</c:v>
              </c:pt>
              <c:pt idx="154">
                <c:v>2022</c:v>
              </c:pt>
              <c:pt idx="155">
                <c:v>2022</c:v>
              </c:pt>
              <c:pt idx="156">
                <c:v>2023</c:v>
              </c:pt>
              <c:pt idx="157">
                <c:v>2023</c:v>
              </c:pt>
              <c:pt idx="158">
                <c:v>2023</c:v>
              </c:pt>
              <c:pt idx="159">
                <c:v>2023</c:v>
              </c:pt>
              <c:pt idx="160">
                <c:v>2023</c:v>
              </c:pt>
              <c:pt idx="161">
                <c:v>2023</c:v>
              </c:pt>
              <c:pt idx="162">
                <c:v>2023</c:v>
              </c:pt>
              <c:pt idx="163">
                <c:v>2023</c:v>
              </c:pt>
              <c:pt idx="164">
                <c:v>2023</c:v>
              </c:pt>
              <c:pt idx="165">
                <c:v>2023</c:v>
              </c:pt>
              <c:pt idx="166">
                <c:v>2023</c:v>
              </c:pt>
              <c:pt idx="167">
                <c:v>2023</c:v>
              </c:pt>
              <c:pt idx="168">
                <c:v>2024</c:v>
              </c:pt>
              <c:pt idx="169">
                <c:v>2024</c:v>
              </c:pt>
              <c:pt idx="170">
                <c:v>2024</c:v>
              </c:pt>
              <c:pt idx="171">
                <c:v>2024</c:v>
              </c:pt>
              <c:pt idx="172">
                <c:v>2024</c:v>
              </c:pt>
              <c:pt idx="173">
                <c:v>2024</c:v>
              </c:pt>
              <c:pt idx="174">
                <c:v>2024</c:v>
              </c:pt>
              <c:pt idx="175">
                <c:v>2024</c:v>
              </c:pt>
              <c:pt idx="176">
                <c:v>2024</c:v>
              </c:pt>
              <c:pt idx="177">
                <c:v>2024</c:v>
              </c:pt>
              <c:pt idx="178">
                <c:v>2024</c:v>
              </c:pt>
              <c:pt idx="179">
                <c:v>2024</c:v>
              </c:pt>
              <c:pt idx="180">
                <c:v>2025</c:v>
              </c:pt>
              <c:pt idx="181">
                <c:v>2025</c:v>
              </c:pt>
              <c:pt idx="182">
                <c:v>2025</c:v>
              </c:pt>
              <c:pt idx="183">
                <c:v>2025</c:v>
              </c:pt>
              <c:pt idx="184">
                <c:v>2025</c:v>
              </c:pt>
              <c:pt idx="185">
                <c:v>2025</c:v>
              </c:pt>
              <c:pt idx="186">
                <c:v>2025</c:v>
              </c:pt>
              <c:pt idx="187">
                <c:v>2025</c:v>
              </c:pt>
              <c:pt idx="188">
                <c:v>2025</c:v>
              </c:pt>
              <c:pt idx="189">
                <c:v>2025</c:v>
              </c:pt>
              <c:pt idx="190">
                <c:v>2025</c:v>
              </c:pt>
              <c:pt idx="191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'Simulateur sur Avg'!$AD$6:$AD$289</c15:sqref>
                  </c15:fullRef>
                </c:ext>
              </c:extLst>
              <c:f>'Simulateur sur Avg'!$AD$98:$AD$289</c:f>
              <c:numCache>
                <c:formatCode>_-* #.##0_-;\-* #.##0_-;_-* "-"??_-;_-@_-</c:formatCode>
                <c:ptCount val="19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68.754000000000005</c:v>
                </c:pt>
                <c:pt idx="136">
                  <c:v>91.92</c:v>
                </c:pt>
                <c:pt idx="137">
                  <c:v>91.92</c:v>
                </c:pt>
                <c:pt idx="138">
                  <c:v>91.92</c:v>
                </c:pt>
                <c:pt idx="139">
                  <c:v>90.93</c:v>
                </c:pt>
                <c:pt idx="140">
                  <c:v>90.93</c:v>
                </c:pt>
                <c:pt idx="141">
                  <c:v>93.9</c:v>
                </c:pt>
                <c:pt idx="142">
                  <c:v>94.89</c:v>
                </c:pt>
                <c:pt idx="143">
                  <c:v>94.89</c:v>
                </c:pt>
                <c:pt idx="144">
                  <c:v>116.67</c:v>
                </c:pt>
                <c:pt idx="145">
                  <c:v>123.93</c:v>
                </c:pt>
                <c:pt idx="146">
                  <c:v>123.93</c:v>
                </c:pt>
                <c:pt idx="147">
                  <c:v>163.20000000000002</c:v>
                </c:pt>
                <c:pt idx="148">
                  <c:v>163.20000000000002</c:v>
                </c:pt>
                <c:pt idx="149">
                  <c:v>163.20000000000002</c:v>
                </c:pt>
                <c:pt idx="150">
                  <c:v>163.9425</c:v>
                </c:pt>
                <c:pt idx="151">
                  <c:v>99.097500000000011</c:v>
                </c:pt>
                <c:pt idx="152">
                  <c:v>77.400000000000006</c:v>
                </c:pt>
                <c:pt idx="153">
                  <c:v>65.767500000000013</c:v>
                </c:pt>
                <c:pt idx="154">
                  <c:v>61.89</c:v>
                </c:pt>
                <c:pt idx="155">
                  <c:v>61.89</c:v>
                </c:pt>
                <c:pt idx="156">
                  <c:v>70.710000000000008</c:v>
                </c:pt>
                <c:pt idx="157">
                  <c:v>63.668333333333322</c:v>
                </c:pt>
                <c:pt idx="158">
                  <c:v>48.267999999999994</c:v>
                </c:pt>
                <c:pt idx="159">
                  <c:v>46.03</c:v>
                </c:pt>
                <c:pt idx="160">
                  <c:v>47.589999999999996</c:v>
                </c:pt>
                <c:pt idx="161">
                  <c:v>44.106666666666669</c:v>
                </c:pt>
                <c:pt idx="162">
                  <c:v>40.158333333333331</c:v>
                </c:pt>
                <c:pt idx="163">
                  <c:v>50.01</c:v>
                </c:pt>
                <c:pt idx="164">
                  <c:v>50.01</c:v>
                </c:pt>
                <c:pt idx="165">
                  <c:v>56.28</c:v>
                </c:pt>
                <c:pt idx="166">
                  <c:v>62.550000000000004</c:v>
                </c:pt>
                <c:pt idx="167">
                  <c:v>62.550000000000004</c:v>
                </c:pt>
                <c:pt idx="168">
                  <c:v>59.25</c:v>
                </c:pt>
                <c:pt idx="169">
                  <c:v>55.95</c:v>
                </c:pt>
                <c:pt idx="170">
                  <c:v>55.95</c:v>
                </c:pt>
                <c:pt idx="171">
                  <c:v>57.6</c:v>
                </c:pt>
                <c:pt idx="172">
                  <c:v>57.6</c:v>
                </c:pt>
                <c:pt idx="173">
                  <c:v>57.6</c:v>
                </c:pt>
                <c:pt idx="174">
                  <c:v>57.435000000000002</c:v>
                </c:pt>
                <c:pt idx="175">
                  <c:v>57.27</c:v>
                </c:pt>
                <c:pt idx="176">
                  <c:v>57.27</c:v>
                </c:pt>
                <c:pt idx="177">
                  <c:v>57.27</c:v>
                </c:pt>
                <c:pt idx="178">
                  <c:v>67.5</c:v>
                </c:pt>
                <c:pt idx="179">
                  <c:v>67.5</c:v>
                </c:pt>
                <c:pt idx="180">
                  <c:v>74.430000000000007</c:v>
                </c:pt>
                <c:pt idx="181">
                  <c:v>79.050000000000011</c:v>
                </c:pt>
                <c:pt idx="182">
                  <c:v>79.050000000000011</c:v>
                </c:pt>
                <c:pt idx="183">
                  <c:v>106.44</c:v>
                </c:pt>
                <c:pt idx="184">
                  <c:v>106.44</c:v>
                </c:pt>
                <c:pt idx="185">
                  <c:v>106.44</c:v>
                </c:pt>
                <c:pt idx="186">
                  <c:v>109.08</c:v>
                </c:pt>
                <c:pt idx="187">
                  <c:v>113.04</c:v>
                </c:pt>
                <c:pt idx="188">
                  <c:v>113.04</c:v>
                </c:pt>
                <c:pt idx="189">
                  <c:v>124.12800000000001</c:v>
                </c:pt>
                <c:pt idx="190">
                  <c:v>126.9</c:v>
                </c:pt>
                <c:pt idx="191">
                  <c:v>126.9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9E9-478F-9F74-EB49216BF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394512"/>
        <c:axId val="1411394992"/>
      </c:lineChart>
      <c:catAx>
        <c:axId val="141139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394992"/>
        <c:crosses val="autoZero"/>
        <c:auto val="1"/>
        <c:lblAlgn val="ctr"/>
        <c:lblOffset val="100"/>
        <c:noMultiLvlLbl val="0"/>
      </c:catAx>
      <c:valAx>
        <c:axId val="14113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_-;\-* #\ ##0.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39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solidFill>
            <a:srgbClr val="FFC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0</xdr:row>
      <xdr:rowOff>142876</xdr:rowOff>
    </xdr:from>
    <xdr:to>
      <xdr:col>19</xdr:col>
      <xdr:colOff>114300</xdr:colOff>
      <xdr:row>16</xdr:row>
      <xdr:rowOff>28576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1CEB4D-71DE-4E85-914E-D319D8F8D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234949</xdr:colOff>
      <xdr:row>16</xdr:row>
      <xdr:rowOff>161926</xdr:rowOff>
    </xdr:from>
    <xdr:to>
      <xdr:col>20</xdr:col>
      <xdr:colOff>485774</xdr:colOff>
      <xdr:row>31</xdr:row>
      <xdr:rowOff>133350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C284B58-9DCE-4F06-8568-4A957D662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FE2F-1183-4261-8A8B-D04462F3658F}">
  <dimension ref="B1:AE302"/>
  <sheetViews>
    <sheetView showGridLines="0" workbookViewId="0">
      <pane xSplit="4" ySplit="5" topLeftCell="P6" activePane="bottomRight" state="frozen"/>
      <selection pane="topRight" activeCell="E1" sqref="E1"/>
      <selection pane="bottomLeft" activeCell="A6" sqref="A6"/>
      <selection pane="bottomRight" activeCell="B3" sqref="B3:P3"/>
    </sheetView>
  </sheetViews>
  <sheetFormatPr baseColWidth="10" defaultRowHeight="14.5" x14ac:dyDescent="0.35"/>
  <cols>
    <col min="1" max="1" width="2.7265625" customWidth="1"/>
    <col min="5" max="5" width="18.81640625" style="78" bestFit="1" customWidth="1"/>
    <col min="6" max="6" width="18.90625" style="78" bestFit="1" customWidth="1"/>
    <col min="7" max="7" width="18.81640625" style="78" bestFit="1" customWidth="1"/>
    <col min="8" max="8" width="20.7265625" style="78" bestFit="1" customWidth="1"/>
    <col min="9" max="9" width="21.90625" style="78" bestFit="1" customWidth="1"/>
    <col min="10" max="10" width="21.90625" style="78" customWidth="1"/>
    <col min="11" max="11" width="2.453125" style="78" customWidth="1"/>
    <col min="12" max="12" width="18.81640625" style="78" bestFit="1" customWidth="1"/>
    <col min="13" max="13" width="19.36328125" style="78" bestFit="1" customWidth="1"/>
    <col min="14" max="14" width="18.81640625" style="78" bestFit="1" customWidth="1"/>
    <col min="15" max="15" width="22.08984375" style="78" bestFit="1" customWidth="1"/>
    <col min="16" max="16" width="22.08984375" style="78" customWidth="1"/>
    <col min="17" max="17" width="2.453125" customWidth="1"/>
    <col min="18" max="18" width="13.08984375" style="78" bestFit="1" customWidth="1"/>
    <col min="19" max="19" width="18.54296875" style="78" bestFit="1" customWidth="1"/>
    <col min="20" max="21" width="17.54296875" style="78" bestFit="1" customWidth="1"/>
    <col min="22" max="22" width="20.453125" style="78" bestFit="1" customWidth="1"/>
    <col min="23" max="23" width="18" style="78" customWidth="1"/>
    <col min="24" max="25" width="14.54296875" style="78" customWidth="1"/>
    <col min="26" max="26" width="3" customWidth="1"/>
    <col min="27" max="27" width="27.36328125" style="88" bestFit="1" customWidth="1"/>
    <col min="28" max="28" width="10.90625" style="77"/>
    <col min="29" max="29" width="2.54296875" customWidth="1"/>
    <col min="30" max="30" width="27.36328125" style="88" bestFit="1" customWidth="1"/>
    <col min="31" max="31" width="10.90625" style="77"/>
  </cols>
  <sheetData>
    <row r="1" spans="2:31" x14ac:dyDescent="0.35">
      <c r="AA1" t="s">
        <v>182</v>
      </c>
    </row>
    <row r="2" spans="2:31" x14ac:dyDescent="0.35">
      <c r="J2" s="87" t="s">
        <v>171</v>
      </c>
    </row>
    <row r="3" spans="2:31" ht="14.5" customHeight="1" x14ac:dyDescent="0.35">
      <c r="E3" s="79" t="s">
        <v>3</v>
      </c>
      <c r="F3" s="79" t="s">
        <v>3</v>
      </c>
      <c r="G3" s="79" t="s">
        <v>3</v>
      </c>
      <c r="H3" s="79" t="s">
        <v>12</v>
      </c>
      <c r="I3" s="79" t="s">
        <v>60</v>
      </c>
      <c r="J3" s="79" t="s">
        <v>165</v>
      </c>
      <c r="L3" s="81" t="s">
        <v>3</v>
      </c>
      <c r="M3" s="81" t="s">
        <v>3</v>
      </c>
      <c r="N3" s="81" t="s">
        <v>3</v>
      </c>
      <c r="O3" s="81" t="s">
        <v>60</v>
      </c>
      <c r="P3" s="81" t="s">
        <v>165</v>
      </c>
      <c r="R3" s="83"/>
      <c r="S3" s="83"/>
      <c r="T3" s="83"/>
      <c r="U3" s="83"/>
      <c r="V3" s="83"/>
      <c r="W3" s="83"/>
      <c r="X3" s="83"/>
      <c r="Y3" s="83"/>
    </row>
    <row r="4" spans="2:31" ht="14.5" customHeight="1" x14ac:dyDescent="0.35">
      <c r="E4" s="79" t="s">
        <v>4</v>
      </c>
      <c r="F4" s="79" t="s">
        <v>9</v>
      </c>
      <c r="G4" s="79" t="s">
        <v>11</v>
      </c>
      <c r="H4" s="79" t="s">
        <v>13</v>
      </c>
      <c r="I4" s="79" t="s">
        <v>61</v>
      </c>
      <c r="J4" s="79" t="s">
        <v>159</v>
      </c>
      <c r="L4" s="81" t="s">
        <v>4</v>
      </c>
      <c r="M4" s="81" t="s">
        <v>9</v>
      </c>
      <c r="N4" s="81" t="s">
        <v>11</v>
      </c>
      <c r="O4" s="81" t="s">
        <v>61</v>
      </c>
      <c r="P4" s="81" t="s">
        <v>159</v>
      </c>
      <c r="R4" s="84" t="s">
        <v>160</v>
      </c>
      <c r="S4" s="85"/>
      <c r="T4" s="85"/>
      <c r="U4" s="85"/>
      <c r="V4" s="85"/>
      <c r="W4" s="85"/>
      <c r="X4" s="85"/>
      <c r="Y4" s="85"/>
      <c r="AA4" s="89" t="s">
        <v>181</v>
      </c>
      <c r="AD4" s="93" t="s">
        <v>176</v>
      </c>
    </row>
    <row r="5" spans="2:31" ht="44" thickBot="1" x14ac:dyDescent="0.4">
      <c r="B5" s="1" t="s">
        <v>0</v>
      </c>
      <c r="C5" s="1" t="s">
        <v>1</v>
      </c>
      <c r="D5" s="1" t="s">
        <v>2</v>
      </c>
      <c r="E5" s="80" t="s">
        <v>65</v>
      </c>
      <c r="F5" s="80" t="s">
        <v>66</v>
      </c>
      <c r="G5" s="80" t="s">
        <v>67</v>
      </c>
      <c r="H5" s="80" t="s">
        <v>158</v>
      </c>
      <c r="I5" s="80" t="s">
        <v>68</v>
      </c>
      <c r="J5" s="80" t="s">
        <v>170</v>
      </c>
      <c r="L5" s="82" t="s">
        <v>69</v>
      </c>
      <c r="M5" s="82" t="s">
        <v>70</v>
      </c>
      <c r="N5" s="82" t="s">
        <v>71</v>
      </c>
      <c r="O5" s="82" t="s">
        <v>72</v>
      </c>
      <c r="P5" s="82" t="s">
        <v>172</v>
      </c>
      <c r="R5" s="90" t="s">
        <v>178</v>
      </c>
      <c r="S5" s="90" t="s">
        <v>162</v>
      </c>
      <c r="T5" s="90" t="s">
        <v>164</v>
      </c>
      <c r="U5" s="90" t="s">
        <v>163</v>
      </c>
      <c r="V5" s="90" t="s">
        <v>161</v>
      </c>
      <c r="W5" s="90" t="s">
        <v>179</v>
      </c>
      <c r="X5" s="90" t="s">
        <v>175</v>
      </c>
      <c r="Y5" s="90" t="s">
        <v>180</v>
      </c>
      <c r="AA5" s="91" t="s">
        <v>173</v>
      </c>
      <c r="AB5" s="92" t="s">
        <v>174</v>
      </c>
      <c r="AD5" s="91" t="s">
        <v>177</v>
      </c>
      <c r="AE5" s="92" t="s">
        <v>174</v>
      </c>
    </row>
    <row r="6" spans="2:31" x14ac:dyDescent="0.35">
      <c r="B6" s="2">
        <v>2002</v>
      </c>
      <c r="C6" s="2">
        <v>2</v>
      </c>
      <c r="D6" s="2">
        <v>5</v>
      </c>
      <c r="E6" s="78" t="str">
        <f>'CRU historical'!F5</f>
        <v xml:space="preserve"> </v>
      </c>
      <c r="F6" s="78">
        <f>'CRU historical'!I5</f>
        <v>6</v>
      </c>
      <c r="G6" s="78" t="str">
        <f>'CRU historical'!L5</f>
        <v xml:space="preserve"> </v>
      </c>
      <c r="H6" s="78" t="str">
        <f>'CRU historical'!O5</f>
        <v xml:space="preserve"> </v>
      </c>
      <c r="I6" s="78" t="str">
        <f>'CRU historical'!R5</f>
        <v xml:space="preserve"> </v>
      </c>
      <c r="J6" s="78">
        <f>AVERAGE('CRU historical'!U5, 'CRU historical'!X5, 'CRU historical'!AA5, 'CRU historical'!AD5)</f>
        <v>33</v>
      </c>
      <c r="L6" s="78" cm="1">
        <f t="array" ref="L6">IFERROR(SUMPRODUCT(('Sulphuric Acid freights'!$B$3:$B$513=B6)*('Sulphuric Acid freights'!$D$3:$D$513=D6)*('Sulphuric Acid freights'!$P$3:$P$513))/SUMPRODUCT(('Sulphuric Acid freights'!$B$3:$B$513=B6)*('Sulphuric Acid freights'!$D$3:$D$513=D6)*1), AVERAGE('Sulphuric Acid freights'!$P$3:$P$513))*2/3</f>
        <v>54.110671936758898</v>
      </c>
      <c r="M6" s="78" cm="1">
        <f t="array" ref="M6">IFERROR(SUMPRODUCT(('Sulphuric Acid freights'!$B$3:$B$513=B6)*('Sulphuric Acid freights'!$D$3:$D$513=D6)*('Sulphuric Acid freights'!$M$3:$M$513))/SUMPRODUCT(('Sulphuric Acid freights'!$B$3:$B$513=B6)*('Sulphuric Acid freights'!$D$3:$D$513=D6)*1)*2/3, AVERAGE('Sulphuric Acid freights'!$M$3:$M$513))</f>
        <v>23.573122529644269</v>
      </c>
      <c r="N6" s="78">
        <f>IFERROR(L6*0.9, "")</f>
        <v>48.699604743083007</v>
      </c>
      <c r="O6" s="78" cm="1">
        <f t="array" ref="O6">IF(SUMPRODUCT(('Sulphur freight'!$B$3:$B$1976=B6)*('Sulphur freight'!$D$3:$D$1976=D6)*('Sulphur freight'!$G$3:$G$1976))/SUMPRODUCT(('Sulphur freight'!$B$3:$B$1976=B6)*('Sulphur freight'!$D$3:$D$1976=D6)*1)=0, AVERAGE('Sulphur freight'!$G$3:$G$1976),SUMPRODUCT(('Sulphur freight'!$B$3:$B$1976=B6)*('Sulphur freight'!$D$3:$D$1976=D6)*('Sulphur freight'!$G$3:$G$1976))/SUMPRODUCT(('Sulphur freight'!$B$3:$B$1976=B6)*('Sulphur freight'!$D$3:$D$1976=D6)*1))</f>
        <v>29.165429480381761</v>
      </c>
      <c r="P6" s="78">
        <v>20</v>
      </c>
      <c r="R6" s="78" t="str">
        <f>H6</f>
        <v xml:space="preserve"> </v>
      </c>
      <c r="S6" s="78">
        <f>IF(F6=0, "", F6+M6)</f>
        <v>29.573122529644269</v>
      </c>
      <c r="T6" s="78" t="str">
        <f t="shared" ref="T6:T69" si="0">IFERROR( E6+L6, "")</f>
        <v/>
      </c>
      <c r="U6" s="78" t="str">
        <f>IFERROR( G6+N6, "")</f>
        <v/>
      </c>
      <c r="V6" s="78" t="str">
        <f>IFERROR(I6+O6, "")</f>
        <v/>
      </c>
      <c r="W6" s="78">
        <f>J6+P6</f>
        <v>53</v>
      </c>
      <c r="X6" s="78" t="str">
        <f>IFERROR((I6+O6)*0.33+18, "")</f>
        <v/>
      </c>
      <c r="Y6" s="78">
        <f>IF(J6=0,0,(J6+P6)*0.33+18)</f>
        <v>35.49</v>
      </c>
      <c r="AA6" s="88" t="str">
        <f>IF(OR(S6="", T6="", U6=""), "", MAX(R6,S6)*40%+T6*30%+U6*30%)</f>
        <v/>
      </c>
      <c r="AB6" s="77" t="str">
        <f t="shared" ref="AB6:AB69" si="1">IF(AA6="", "", MAX(X6, Y6)-AA6)</f>
        <v/>
      </c>
      <c r="AD6" s="88" t="str">
        <f>IFERROR(MIN((MAX(R6,S6)*70%+U6*30%), Y6), "")</f>
        <v/>
      </c>
      <c r="AE6" s="77" t="str">
        <f t="shared" ref="AE6:AE69" si="2">IF(AD6="", "", MAX(AA6, AB6)-AD6)</f>
        <v/>
      </c>
    </row>
    <row r="7" spans="2:31" x14ac:dyDescent="0.35">
      <c r="B7" s="2">
        <v>2002</v>
      </c>
      <c r="C7" s="2">
        <v>2</v>
      </c>
      <c r="D7" s="2">
        <v>6</v>
      </c>
      <c r="E7" s="78" t="str">
        <f>'CRU historical'!F6</f>
        <v xml:space="preserve"> </v>
      </c>
      <c r="F7" s="78">
        <f>'CRU historical'!I6</f>
        <v>6</v>
      </c>
      <c r="G7" s="78" t="str">
        <f>'CRU historical'!L6</f>
        <v xml:space="preserve"> </v>
      </c>
      <c r="H7" s="78" t="str">
        <f>'CRU historical'!O6</f>
        <v xml:space="preserve"> </v>
      </c>
      <c r="I7" s="78" t="str">
        <f>'CRU historical'!R6</f>
        <v xml:space="preserve"> </v>
      </c>
      <c r="J7" s="78">
        <f>AVERAGE('CRU historical'!U6, 'CRU historical'!X6, 'CRU historical'!AA6, 'CRU historical'!AD6)</f>
        <v>33</v>
      </c>
      <c r="L7" s="78" cm="1">
        <f t="array" ref="L7">IFERROR(SUMPRODUCT(('Sulphuric Acid freights'!$B$3:$B$513=B7)*('Sulphuric Acid freights'!$D$3:$D$513=D7)*('Sulphuric Acid freights'!$P$3:$P$513))/SUMPRODUCT(('Sulphuric Acid freights'!$B$3:$B$513=B7)*('Sulphuric Acid freights'!$D$3:$D$513=D7)*1), AVERAGE('Sulphuric Acid freights'!$P$3:$P$513))*2/3</f>
        <v>54.110671936758898</v>
      </c>
      <c r="M7" s="78" cm="1">
        <f t="array" ref="M7">IFERROR(SUMPRODUCT(('Sulphuric Acid freights'!$B$3:$B$513=B7)*('Sulphuric Acid freights'!$D$3:$D$513=D7)*('Sulphuric Acid freights'!$M$3:$M$513))/SUMPRODUCT(('Sulphuric Acid freights'!$B$3:$B$513=B7)*('Sulphuric Acid freights'!$D$3:$D$513=D7)*1)*2/3, AVERAGE('Sulphuric Acid freights'!$M$3:$M$513))</f>
        <v>23.573122529644269</v>
      </c>
      <c r="N7" s="78">
        <f t="shared" ref="N7:N70" si="3">IFERROR(L7*0.9, "")</f>
        <v>48.699604743083007</v>
      </c>
      <c r="O7" s="78" cm="1">
        <f t="array" ref="O7">IF(SUMPRODUCT(('Sulphur freight'!$B$3:$B$1976=B7)*('Sulphur freight'!$D$3:$D$1976=D7)*('Sulphur freight'!$G$3:$G$1976))/SUMPRODUCT(('Sulphur freight'!$B$3:$B$1976=B7)*('Sulphur freight'!$D$3:$D$1976=D7)*1)=0, AVERAGE('Sulphur freight'!$G$3:$G$1976),SUMPRODUCT(('Sulphur freight'!$B$3:$B$1976=B7)*('Sulphur freight'!$D$3:$D$1976=D7)*('Sulphur freight'!$G$3:$G$1976))/SUMPRODUCT(('Sulphur freight'!$B$3:$B$1976=B7)*('Sulphur freight'!$D$3:$D$1976=D7)*1))</f>
        <v>29.165429480381761</v>
      </c>
      <c r="P7" s="78">
        <v>20</v>
      </c>
      <c r="R7" s="78" t="str">
        <f t="shared" ref="R7:R70" si="4">H7</f>
        <v xml:space="preserve"> </v>
      </c>
      <c r="S7" s="78">
        <f t="shared" ref="S7:S70" si="5">IF(F7=0, "", F7+M7)</f>
        <v>29.573122529644269</v>
      </c>
      <c r="T7" s="78" t="str">
        <f t="shared" si="0"/>
        <v/>
      </c>
      <c r="U7" s="78" t="str">
        <f t="shared" ref="U7:U70" si="6">IFERROR( G7+N7, "")</f>
        <v/>
      </c>
      <c r="V7" s="78" t="str">
        <f>IFERROR(I7+O7, "")</f>
        <v/>
      </c>
      <c r="W7" s="78">
        <f t="shared" ref="W7:W70" si="7">J7+P7</f>
        <v>53</v>
      </c>
      <c r="X7" s="78" t="str">
        <f t="shared" ref="X7:X70" si="8">IFERROR((I7+O7)*0.33+18, "")</f>
        <v/>
      </c>
      <c r="Y7" s="78">
        <f t="shared" ref="Y7:Y70" si="9">IF(J7=0,0,(J7+P7)*0.33+18)</f>
        <v>35.49</v>
      </c>
      <c r="AA7" s="88" t="str">
        <f t="shared" ref="AA7:AA70" si="10">IF(OR(S7="", T7="", U7=""), "", MAX(R7,S7)*40%+T7*30%+U7*30%)</f>
        <v/>
      </c>
      <c r="AB7" s="77" t="str">
        <f t="shared" si="1"/>
        <v/>
      </c>
      <c r="AD7" s="88" t="str">
        <f t="shared" ref="AD7:AD70" si="11">IFERROR(MIN((MAX(R7,S7)*70%+U7*30%), Y7), "")</f>
        <v/>
      </c>
      <c r="AE7" s="77" t="str">
        <f t="shared" si="2"/>
        <v/>
      </c>
    </row>
    <row r="8" spans="2:31" x14ac:dyDescent="0.35">
      <c r="B8" s="2">
        <v>2002</v>
      </c>
      <c r="C8" s="2">
        <v>3</v>
      </c>
      <c r="D8" s="2">
        <v>7</v>
      </c>
      <c r="E8" s="78" t="str">
        <f>'CRU historical'!F7</f>
        <v xml:space="preserve"> </v>
      </c>
      <c r="F8" s="78">
        <f>'CRU historical'!I7</f>
        <v>8</v>
      </c>
      <c r="G8" s="78" t="str">
        <f>'CRU historical'!L7</f>
        <v xml:space="preserve"> </v>
      </c>
      <c r="H8" s="78" t="str">
        <f>'CRU historical'!O7</f>
        <v xml:space="preserve"> </v>
      </c>
      <c r="I8" s="78" t="str">
        <f>'CRU historical'!R7</f>
        <v xml:space="preserve"> </v>
      </c>
      <c r="J8" s="78">
        <f>AVERAGE('CRU historical'!U7, 'CRU historical'!X7, 'CRU historical'!AA7, 'CRU historical'!AD7)</f>
        <v>39</v>
      </c>
      <c r="L8" s="78" cm="1">
        <f t="array" ref="L8">IFERROR(SUMPRODUCT(('Sulphuric Acid freights'!$B$3:$B$513=B8)*('Sulphuric Acid freights'!$D$3:$D$513=D8)*('Sulphuric Acid freights'!$P$3:$P$513))/SUMPRODUCT(('Sulphuric Acid freights'!$B$3:$B$513=B8)*('Sulphuric Acid freights'!$D$3:$D$513=D8)*1), AVERAGE('Sulphuric Acid freights'!$P$3:$P$513))*2/3</f>
        <v>54.110671936758898</v>
      </c>
      <c r="M8" s="78" cm="1">
        <f t="array" ref="M8">IFERROR(SUMPRODUCT(('Sulphuric Acid freights'!$B$3:$B$513=B8)*('Sulphuric Acid freights'!$D$3:$D$513=D8)*('Sulphuric Acid freights'!$M$3:$M$513))/SUMPRODUCT(('Sulphuric Acid freights'!$B$3:$B$513=B8)*('Sulphuric Acid freights'!$D$3:$D$513=D8)*1)*2/3, AVERAGE('Sulphuric Acid freights'!$M$3:$M$513))</f>
        <v>23.573122529644269</v>
      </c>
      <c r="N8" s="78">
        <f t="shared" si="3"/>
        <v>48.699604743083007</v>
      </c>
      <c r="O8" s="78" cm="1">
        <f t="array" ref="O8">IF(SUMPRODUCT(('Sulphur freight'!$B$3:$B$1976=B8)*('Sulphur freight'!$D$3:$D$1976=D8)*('Sulphur freight'!$G$3:$G$1976))/SUMPRODUCT(('Sulphur freight'!$B$3:$B$1976=B8)*('Sulphur freight'!$D$3:$D$1976=D8)*1)=0, AVERAGE('Sulphur freight'!$G$3:$G$1976),SUMPRODUCT(('Sulphur freight'!$B$3:$B$1976=B8)*('Sulphur freight'!$D$3:$D$1976=D8)*('Sulphur freight'!$G$3:$G$1976))/SUMPRODUCT(('Sulphur freight'!$B$3:$B$1976=B8)*('Sulphur freight'!$D$3:$D$1976=D8)*1))</f>
        <v>29.165429480381761</v>
      </c>
      <c r="P8" s="78">
        <v>20</v>
      </c>
      <c r="R8" s="78" t="str">
        <f t="shared" si="4"/>
        <v xml:space="preserve"> </v>
      </c>
      <c r="S8" s="78">
        <f t="shared" si="5"/>
        <v>31.573122529644269</v>
      </c>
      <c r="T8" s="78" t="str">
        <f t="shared" si="0"/>
        <v/>
      </c>
      <c r="U8" s="78" t="str">
        <f t="shared" si="6"/>
        <v/>
      </c>
      <c r="V8" s="78" t="str">
        <f>IFERROR(I8+O8, "")</f>
        <v/>
      </c>
      <c r="W8" s="78">
        <f t="shared" si="7"/>
        <v>59</v>
      </c>
      <c r="X8" s="78" t="str">
        <f t="shared" si="8"/>
        <v/>
      </c>
      <c r="Y8" s="78">
        <f t="shared" si="9"/>
        <v>37.47</v>
      </c>
      <c r="AA8" s="88" t="str">
        <f t="shared" si="10"/>
        <v/>
      </c>
      <c r="AB8" s="77" t="str">
        <f t="shared" si="1"/>
        <v/>
      </c>
      <c r="AD8" s="88" t="str">
        <f t="shared" si="11"/>
        <v/>
      </c>
      <c r="AE8" s="77" t="str">
        <f t="shared" si="2"/>
        <v/>
      </c>
    </row>
    <row r="9" spans="2:31" x14ac:dyDescent="0.35">
      <c r="B9" s="2">
        <v>2002</v>
      </c>
      <c r="C9" s="2">
        <v>3</v>
      </c>
      <c r="D9" s="2">
        <v>8</v>
      </c>
      <c r="E9" s="78" t="str">
        <f>'CRU historical'!F8</f>
        <v xml:space="preserve"> </v>
      </c>
      <c r="F9" s="78">
        <f>'CRU historical'!I8</f>
        <v>8</v>
      </c>
      <c r="G9" s="78" t="str">
        <f>'CRU historical'!L8</f>
        <v xml:space="preserve"> </v>
      </c>
      <c r="H9" s="78" t="str">
        <f>'CRU historical'!O8</f>
        <v xml:space="preserve"> </v>
      </c>
      <c r="I9" s="78" t="str">
        <f>'CRU historical'!R8</f>
        <v xml:space="preserve"> </v>
      </c>
      <c r="J9" s="78">
        <f>AVERAGE('CRU historical'!U8, 'CRU historical'!X8, 'CRU historical'!AA8, 'CRU historical'!AD8)</f>
        <v>38.5</v>
      </c>
      <c r="L9" s="78" cm="1">
        <f t="array" ref="L9">IFERROR(SUMPRODUCT(('Sulphuric Acid freights'!$B$3:$B$513=B9)*('Sulphuric Acid freights'!$D$3:$D$513=D9)*('Sulphuric Acid freights'!$P$3:$P$513))/SUMPRODUCT(('Sulphuric Acid freights'!$B$3:$B$513=B9)*('Sulphuric Acid freights'!$D$3:$D$513=D9)*1), AVERAGE('Sulphuric Acid freights'!$P$3:$P$513))*2/3</f>
        <v>54.110671936758898</v>
      </c>
      <c r="M9" s="78" cm="1">
        <f t="array" ref="M9">IFERROR(SUMPRODUCT(('Sulphuric Acid freights'!$B$3:$B$513=B9)*('Sulphuric Acid freights'!$D$3:$D$513=D9)*('Sulphuric Acid freights'!$M$3:$M$513))/SUMPRODUCT(('Sulphuric Acid freights'!$B$3:$B$513=B9)*('Sulphuric Acid freights'!$D$3:$D$513=D9)*1)*2/3, AVERAGE('Sulphuric Acid freights'!$M$3:$M$513))</f>
        <v>23.573122529644269</v>
      </c>
      <c r="N9" s="78">
        <f t="shared" si="3"/>
        <v>48.699604743083007</v>
      </c>
      <c r="O9" s="78" cm="1">
        <f t="array" ref="O9">IF(SUMPRODUCT(('Sulphur freight'!$B$3:$B$1976=B9)*('Sulphur freight'!$D$3:$D$1976=D9)*('Sulphur freight'!$G$3:$G$1976))/SUMPRODUCT(('Sulphur freight'!$B$3:$B$1976=B9)*('Sulphur freight'!$D$3:$D$1976=D9)*1)=0, AVERAGE('Sulphur freight'!$G$3:$G$1976),SUMPRODUCT(('Sulphur freight'!$B$3:$B$1976=B9)*('Sulphur freight'!$D$3:$D$1976=D9)*('Sulphur freight'!$G$3:$G$1976))/SUMPRODUCT(('Sulphur freight'!$B$3:$B$1976=B9)*('Sulphur freight'!$D$3:$D$1976=D9)*1))</f>
        <v>29.165429480381761</v>
      </c>
      <c r="P9" s="78">
        <v>20</v>
      </c>
      <c r="R9" s="78" t="str">
        <f t="shared" si="4"/>
        <v xml:space="preserve"> </v>
      </c>
      <c r="S9" s="78">
        <f t="shared" si="5"/>
        <v>31.573122529644269</v>
      </c>
      <c r="T9" s="78" t="str">
        <f t="shared" si="0"/>
        <v/>
      </c>
      <c r="U9" s="78" t="str">
        <f t="shared" si="6"/>
        <v/>
      </c>
      <c r="V9" s="78" t="str">
        <f>IFERROR(I9+O9, "")</f>
        <v/>
      </c>
      <c r="W9" s="78">
        <f t="shared" si="7"/>
        <v>58.5</v>
      </c>
      <c r="X9" s="78" t="str">
        <f t="shared" si="8"/>
        <v/>
      </c>
      <c r="Y9" s="78">
        <f t="shared" si="9"/>
        <v>37.305</v>
      </c>
      <c r="AA9" s="88" t="str">
        <f t="shared" si="10"/>
        <v/>
      </c>
      <c r="AB9" s="77" t="str">
        <f t="shared" si="1"/>
        <v/>
      </c>
      <c r="AD9" s="88" t="str">
        <f t="shared" si="11"/>
        <v/>
      </c>
      <c r="AE9" s="77" t="str">
        <f t="shared" si="2"/>
        <v/>
      </c>
    </row>
    <row r="10" spans="2:31" x14ac:dyDescent="0.35">
      <c r="B10" s="2">
        <v>2002</v>
      </c>
      <c r="C10" s="2">
        <v>3</v>
      </c>
      <c r="D10" s="2">
        <v>9</v>
      </c>
      <c r="E10" s="78" t="str">
        <f>'CRU historical'!F9</f>
        <v xml:space="preserve"> </v>
      </c>
      <c r="F10" s="78">
        <f>'CRU historical'!I9</f>
        <v>8</v>
      </c>
      <c r="G10" s="78" t="str">
        <f>'CRU historical'!L9</f>
        <v xml:space="preserve"> </v>
      </c>
      <c r="H10" s="78" t="str">
        <f>'CRU historical'!O9</f>
        <v xml:space="preserve"> </v>
      </c>
      <c r="I10" s="78" t="str">
        <f>'CRU historical'!R9</f>
        <v xml:space="preserve"> </v>
      </c>
      <c r="J10" s="78">
        <f>AVERAGE('CRU historical'!U9, 'CRU historical'!X9, 'CRU historical'!AA9, 'CRU historical'!AD9)</f>
        <v>38</v>
      </c>
      <c r="L10" s="78" cm="1">
        <f t="array" ref="L10">IFERROR(SUMPRODUCT(('Sulphuric Acid freights'!$B$3:$B$513=B10)*('Sulphuric Acid freights'!$D$3:$D$513=D10)*('Sulphuric Acid freights'!$P$3:$P$513))/SUMPRODUCT(('Sulphuric Acid freights'!$B$3:$B$513=B10)*('Sulphuric Acid freights'!$D$3:$D$513=D10)*1), AVERAGE('Sulphuric Acid freights'!$P$3:$P$513))*2/3</f>
        <v>54.110671936758898</v>
      </c>
      <c r="M10" s="78" cm="1">
        <f t="array" ref="M10">IFERROR(SUMPRODUCT(('Sulphuric Acid freights'!$B$3:$B$513=B10)*('Sulphuric Acid freights'!$D$3:$D$513=D10)*('Sulphuric Acid freights'!$M$3:$M$513))/SUMPRODUCT(('Sulphuric Acid freights'!$B$3:$B$513=B10)*('Sulphuric Acid freights'!$D$3:$D$513=D10)*1)*2/3, AVERAGE('Sulphuric Acid freights'!$M$3:$M$513))</f>
        <v>23.573122529644269</v>
      </c>
      <c r="N10" s="78">
        <f t="shared" si="3"/>
        <v>48.699604743083007</v>
      </c>
      <c r="O10" s="78" cm="1">
        <f t="array" ref="O10">IF(SUMPRODUCT(('Sulphur freight'!$B$3:$B$1976=B10)*('Sulphur freight'!$D$3:$D$1976=D10)*('Sulphur freight'!$G$3:$G$1976))/SUMPRODUCT(('Sulphur freight'!$B$3:$B$1976=B10)*('Sulphur freight'!$D$3:$D$1976=D10)*1)=0, AVERAGE('Sulphur freight'!$G$3:$G$1976),SUMPRODUCT(('Sulphur freight'!$B$3:$B$1976=B10)*('Sulphur freight'!$D$3:$D$1976=D10)*('Sulphur freight'!$G$3:$G$1976))/SUMPRODUCT(('Sulphur freight'!$B$3:$B$1976=B10)*('Sulphur freight'!$D$3:$D$1976=D10)*1))</f>
        <v>29.165429480381761</v>
      </c>
      <c r="P10" s="78">
        <v>20</v>
      </c>
      <c r="R10" s="78" t="str">
        <f t="shared" si="4"/>
        <v xml:space="preserve"> </v>
      </c>
      <c r="S10" s="78">
        <f t="shared" si="5"/>
        <v>31.573122529644269</v>
      </c>
      <c r="T10" s="78" t="str">
        <f t="shared" si="0"/>
        <v/>
      </c>
      <c r="U10" s="78" t="str">
        <f t="shared" si="6"/>
        <v/>
      </c>
      <c r="V10" s="78" t="str">
        <f>IFERROR(I10+O10, "")</f>
        <v/>
      </c>
      <c r="W10" s="78">
        <f t="shared" si="7"/>
        <v>58</v>
      </c>
      <c r="X10" s="78" t="str">
        <f t="shared" si="8"/>
        <v/>
      </c>
      <c r="Y10" s="78">
        <f t="shared" si="9"/>
        <v>37.14</v>
      </c>
      <c r="AA10" s="88" t="str">
        <f t="shared" si="10"/>
        <v/>
      </c>
      <c r="AB10" s="77" t="str">
        <f t="shared" si="1"/>
        <v/>
      </c>
      <c r="AD10" s="88" t="str">
        <f t="shared" si="11"/>
        <v/>
      </c>
      <c r="AE10" s="77" t="str">
        <f t="shared" si="2"/>
        <v/>
      </c>
    </row>
    <row r="11" spans="2:31" x14ac:dyDescent="0.35">
      <c r="B11" s="2">
        <v>2002</v>
      </c>
      <c r="C11" s="2">
        <v>4</v>
      </c>
      <c r="D11" s="2">
        <v>10</v>
      </c>
      <c r="E11" s="78" t="str">
        <f>'CRU historical'!F10</f>
        <v xml:space="preserve"> </v>
      </c>
      <c r="F11" s="78">
        <f>'CRU historical'!I10</f>
        <v>8</v>
      </c>
      <c r="G11" s="78" t="str">
        <f>'CRU historical'!L10</f>
        <v xml:space="preserve"> </v>
      </c>
      <c r="H11" s="78" t="str">
        <f>'CRU historical'!O10</f>
        <v xml:space="preserve"> </v>
      </c>
      <c r="I11" s="78" t="str">
        <f>'CRU historical'!R10</f>
        <v xml:space="preserve"> </v>
      </c>
      <c r="J11" s="78">
        <f>AVERAGE('CRU historical'!U10, 'CRU historical'!X10, 'CRU historical'!AA10, 'CRU historical'!AD10)</f>
        <v>38</v>
      </c>
      <c r="L11" s="78" cm="1">
        <f t="array" ref="L11">IFERROR(SUMPRODUCT(('Sulphuric Acid freights'!$B$3:$B$513=B11)*('Sulphuric Acid freights'!$D$3:$D$513=D11)*('Sulphuric Acid freights'!$P$3:$P$513))/SUMPRODUCT(('Sulphuric Acid freights'!$B$3:$B$513=B11)*('Sulphuric Acid freights'!$D$3:$D$513=D11)*1), AVERAGE('Sulphuric Acid freights'!$P$3:$P$513))*2/3</f>
        <v>54.110671936758898</v>
      </c>
      <c r="M11" s="78" cm="1">
        <f t="array" ref="M11">IFERROR(SUMPRODUCT(('Sulphuric Acid freights'!$B$3:$B$513=B11)*('Sulphuric Acid freights'!$D$3:$D$513=D11)*('Sulphuric Acid freights'!$M$3:$M$513))/SUMPRODUCT(('Sulphuric Acid freights'!$B$3:$B$513=B11)*('Sulphuric Acid freights'!$D$3:$D$513=D11)*1)*2/3, AVERAGE('Sulphuric Acid freights'!$M$3:$M$513))</f>
        <v>23.573122529644269</v>
      </c>
      <c r="N11" s="78">
        <f t="shared" si="3"/>
        <v>48.699604743083007</v>
      </c>
      <c r="O11" s="78" cm="1">
        <f t="array" ref="O11">IF(SUMPRODUCT(('Sulphur freight'!$B$3:$B$1976=B11)*('Sulphur freight'!$D$3:$D$1976=D11)*('Sulphur freight'!$G$3:$G$1976))/SUMPRODUCT(('Sulphur freight'!$B$3:$B$1976=B11)*('Sulphur freight'!$D$3:$D$1976=D11)*1)=0, AVERAGE('Sulphur freight'!$G$3:$G$1976),SUMPRODUCT(('Sulphur freight'!$B$3:$B$1976=B11)*('Sulphur freight'!$D$3:$D$1976=D11)*('Sulphur freight'!$G$3:$G$1976))/SUMPRODUCT(('Sulphur freight'!$B$3:$B$1976=B11)*('Sulphur freight'!$D$3:$D$1976=D11)*1))</f>
        <v>29.165429480381761</v>
      </c>
      <c r="P11" s="78">
        <v>20</v>
      </c>
      <c r="R11" s="78" t="str">
        <f t="shared" si="4"/>
        <v xml:space="preserve"> </v>
      </c>
      <c r="S11" s="78">
        <f t="shared" si="5"/>
        <v>31.573122529644269</v>
      </c>
      <c r="T11" s="78" t="str">
        <f t="shared" si="0"/>
        <v/>
      </c>
      <c r="U11" s="78" t="str">
        <f t="shared" si="6"/>
        <v/>
      </c>
      <c r="V11" s="78" t="str">
        <f>IFERROR(I11+O11, "")</f>
        <v/>
      </c>
      <c r="W11" s="78">
        <f t="shared" si="7"/>
        <v>58</v>
      </c>
      <c r="X11" s="78" t="str">
        <f t="shared" si="8"/>
        <v/>
      </c>
      <c r="Y11" s="78">
        <f t="shared" si="9"/>
        <v>37.14</v>
      </c>
      <c r="AA11" s="88" t="str">
        <f t="shared" si="10"/>
        <v/>
      </c>
      <c r="AB11" s="77" t="str">
        <f t="shared" si="1"/>
        <v/>
      </c>
      <c r="AD11" s="88" t="str">
        <f t="shared" si="11"/>
        <v/>
      </c>
      <c r="AE11" s="77" t="str">
        <f t="shared" si="2"/>
        <v/>
      </c>
    </row>
    <row r="12" spans="2:31" x14ac:dyDescent="0.35">
      <c r="B12" s="2">
        <v>2002</v>
      </c>
      <c r="C12" s="2">
        <v>4</v>
      </c>
      <c r="D12" s="2">
        <v>11</v>
      </c>
      <c r="E12" s="78" t="str">
        <f>'CRU historical'!F11</f>
        <v xml:space="preserve"> </v>
      </c>
      <c r="F12" s="78">
        <f>'CRU historical'!I11</f>
        <v>11</v>
      </c>
      <c r="G12" s="78" t="str">
        <f>'CRU historical'!L11</f>
        <v xml:space="preserve"> </v>
      </c>
      <c r="H12" s="78" t="str">
        <f>'CRU historical'!O11</f>
        <v xml:space="preserve"> </v>
      </c>
      <c r="I12" s="78" t="str">
        <f>'CRU historical'!R11</f>
        <v xml:space="preserve"> </v>
      </c>
      <c r="J12" s="78">
        <f>AVERAGE('CRU historical'!U11, 'CRU historical'!X11, 'CRU historical'!AA11, 'CRU historical'!AD11)</f>
        <v>39</v>
      </c>
      <c r="L12" s="78" cm="1">
        <f t="array" ref="L12">IFERROR(SUMPRODUCT(('Sulphuric Acid freights'!$B$3:$B$513=B12)*('Sulphuric Acid freights'!$D$3:$D$513=D12)*('Sulphuric Acid freights'!$P$3:$P$513))/SUMPRODUCT(('Sulphuric Acid freights'!$B$3:$B$513=B12)*('Sulphuric Acid freights'!$D$3:$D$513=D12)*1), AVERAGE('Sulphuric Acid freights'!$P$3:$P$513))*2/3</f>
        <v>54.110671936758898</v>
      </c>
      <c r="M12" s="78" cm="1">
        <f t="array" ref="M12">IFERROR(SUMPRODUCT(('Sulphuric Acid freights'!$B$3:$B$513=B12)*('Sulphuric Acid freights'!$D$3:$D$513=D12)*('Sulphuric Acid freights'!$M$3:$M$513))/SUMPRODUCT(('Sulphuric Acid freights'!$B$3:$B$513=B12)*('Sulphuric Acid freights'!$D$3:$D$513=D12)*1)*2/3, AVERAGE('Sulphuric Acid freights'!$M$3:$M$513))</f>
        <v>23.573122529644269</v>
      </c>
      <c r="N12" s="78">
        <f t="shared" si="3"/>
        <v>48.699604743083007</v>
      </c>
      <c r="O12" s="78" cm="1">
        <f t="array" ref="O12">IF(SUMPRODUCT(('Sulphur freight'!$B$3:$B$1976=B12)*('Sulphur freight'!$D$3:$D$1976=D12)*('Sulphur freight'!$G$3:$G$1976))/SUMPRODUCT(('Sulphur freight'!$B$3:$B$1976=B12)*('Sulphur freight'!$D$3:$D$1976=D12)*1)=0, AVERAGE('Sulphur freight'!$G$3:$G$1976),SUMPRODUCT(('Sulphur freight'!$B$3:$B$1976=B12)*('Sulphur freight'!$D$3:$D$1976=D12)*('Sulphur freight'!$G$3:$G$1976))/SUMPRODUCT(('Sulphur freight'!$B$3:$B$1976=B12)*('Sulphur freight'!$D$3:$D$1976=D12)*1))</f>
        <v>29.165429480381761</v>
      </c>
      <c r="P12" s="78">
        <v>20</v>
      </c>
      <c r="R12" s="78" t="str">
        <f t="shared" si="4"/>
        <v xml:space="preserve"> </v>
      </c>
      <c r="S12" s="78">
        <f t="shared" si="5"/>
        <v>34.573122529644266</v>
      </c>
      <c r="T12" s="78" t="str">
        <f t="shared" si="0"/>
        <v/>
      </c>
      <c r="U12" s="78" t="str">
        <f t="shared" si="6"/>
        <v/>
      </c>
      <c r="V12" s="78" t="str">
        <f>IFERROR(I12+O12, "")</f>
        <v/>
      </c>
      <c r="W12" s="78">
        <f t="shared" si="7"/>
        <v>59</v>
      </c>
      <c r="X12" s="78" t="str">
        <f t="shared" si="8"/>
        <v/>
      </c>
      <c r="Y12" s="78">
        <f t="shared" si="9"/>
        <v>37.47</v>
      </c>
      <c r="AA12" s="88" t="str">
        <f t="shared" si="10"/>
        <v/>
      </c>
      <c r="AB12" s="77" t="str">
        <f t="shared" si="1"/>
        <v/>
      </c>
      <c r="AD12" s="88" t="str">
        <f t="shared" si="11"/>
        <v/>
      </c>
      <c r="AE12" s="77" t="str">
        <f t="shared" si="2"/>
        <v/>
      </c>
    </row>
    <row r="13" spans="2:31" x14ac:dyDescent="0.35">
      <c r="B13" s="2">
        <v>2002</v>
      </c>
      <c r="C13" s="2">
        <v>4</v>
      </c>
      <c r="D13" s="2">
        <v>12</v>
      </c>
      <c r="E13" s="78" t="str">
        <f>'CRU historical'!F12</f>
        <v xml:space="preserve"> </v>
      </c>
      <c r="F13" s="78">
        <f>'CRU historical'!I12</f>
        <v>11</v>
      </c>
      <c r="G13" s="78" t="str">
        <f>'CRU historical'!L12</f>
        <v xml:space="preserve"> </v>
      </c>
      <c r="H13" s="78" t="str">
        <f>'CRU historical'!O12</f>
        <v xml:space="preserve"> </v>
      </c>
      <c r="I13" s="78" t="str">
        <f>'CRU historical'!R12</f>
        <v xml:space="preserve"> </v>
      </c>
      <c r="J13" s="78">
        <f>AVERAGE('CRU historical'!U12, 'CRU historical'!X12, 'CRU historical'!AA12, 'CRU historical'!AD12)</f>
        <v>39</v>
      </c>
      <c r="L13" s="78" cm="1">
        <f t="array" ref="L13">IFERROR(SUMPRODUCT(('Sulphuric Acid freights'!$B$3:$B$513=B13)*('Sulphuric Acid freights'!$D$3:$D$513=D13)*('Sulphuric Acid freights'!$P$3:$P$513))/SUMPRODUCT(('Sulphuric Acid freights'!$B$3:$B$513=B13)*('Sulphuric Acid freights'!$D$3:$D$513=D13)*1), AVERAGE('Sulphuric Acid freights'!$P$3:$P$513))*2/3</f>
        <v>54.110671936758898</v>
      </c>
      <c r="M13" s="78" cm="1">
        <f t="array" ref="M13">IFERROR(SUMPRODUCT(('Sulphuric Acid freights'!$B$3:$B$513=B13)*('Sulphuric Acid freights'!$D$3:$D$513=D13)*('Sulphuric Acid freights'!$M$3:$M$513))/SUMPRODUCT(('Sulphuric Acid freights'!$B$3:$B$513=B13)*('Sulphuric Acid freights'!$D$3:$D$513=D13)*1)*2/3, AVERAGE('Sulphuric Acid freights'!$M$3:$M$513))</f>
        <v>23.573122529644269</v>
      </c>
      <c r="N13" s="78">
        <f t="shared" si="3"/>
        <v>48.699604743083007</v>
      </c>
      <c r="O13" s="78" cm="1">
        <f t="array" ref="O13">IF(SUMPRODUCT(('Sulphur freight'!$B$3:$B$1976=B13)*('Sulphur freight'!$D$3:$D$1976=D13)*('Sulphur freight'!$G$3:$G$1976))/SUMPRODUCT(('Sulphur freight'!$B$3:$B$1976=B13)*('Sulphur freight'!$D$3:$D$1976=D13)*1)=0, AVERAGE('Sulphur freight'!$G$3:$G$1976),SUMPRODUCT(('Sulphur freight'!$B$3:$B$1976=B13)*('Sulphur freight'!$D$3:$D$1976=D13)*('Sulphur freight'!$G$3:$G$1976))/SUMPRODUCT(('Sulphur freight'!$B$3:$B$1976=B13)*('Sulphur freight'!$D$3:$D$1976=D13)*1))</f>
        <v>29.165429480381761</v>
      </c>
      <c r="P13" s="78">
        <v>20</v>
      </c>
      <c r="R13" s="78" t="str">
        <f t="shared" si="4"/>
        <v xml:space="preserve"> </v>
      </c>
      <c r="S13" s="78">
        <f t="shared" si="5"/>
        <v>34.573122529644266</v>
      </c>
      <c r="T13" s="78" t="str">
        <f t="shared" si="0"/>
        <v/>
      </c>
      <c r="U13" s="78" t="str">
        <f t="shared" si="6"/>
        <v/>
      </c>
      <c r="V13" s="78" t="str">
        <f>IFERROR(I13+O13, "")</f>
        <v/>
      </c>
      <c r="W13" s="78">
        <f t="shared" si="7"/>
        <v>59</v>
      </c>
      <c r="X13" s="78" t="str">
        <f t="shared" si="8"/>
        <v/>
      </c>
      <c r="Y13" s="78">
        <f t="shared" si="9"/>
        <v>37.47</v>
      </c>
      <c r="AA13" s="88" t="str">
        <f t="shared" si="10"/>
        <v/>
      </c>
      <c r="AB13" s="77" t="str">
        <f t="shared" si="1"/>
        <v/>
      </c>
      <c r="AD13" s="88" t="str">
        <f t="shared" si="11"/>
        <v/>
      </c>
      <c r="AE13" s="77" t="str">
        <f t="shared" si="2"/>
        <v/>
      </c>
    </row>
    <row r="14" spans="2:31" x14ac:dyDescent="0.35">
      <c r="B14" s="2">
        <v>2003</v>
      </c>
      <c r="C14" s="2">
        <v>1</v>
      </c>
      <c r="D14" s="2">
        <v>1</v>
      </c>
      <c r="E14" s="78" t="str">
        <f>'CRU historical'!F13</f>
        <v xml:space="preserve"> </v>
      </c>
      <c r="F14" s="78">
        <f>'CRU historical'!I13</f>
        <v>11.666666666666666</v>
      </c>
      <c r="G14" s="78" t="str">
        <f>'CRU historical'!L13</f>
        <v xml:space="preserve"> </v>
      </c>
      <c r="H14" s="78" t="str">
        <f>'CRU historical'!O13</f>
        <v xml:space="preserve"> </v>
      </c>
      <c r="I14" s="78" t="str">
        <f>'CRU historical'!R13</f>
        <v xml:space="preserve"> </v>
      </c>
      <c r="J14" s="78">
        <f>AVERAGE('CRU historical'!U13, 'CRU historical'!X13, 'CRU historical'!AA13, 'CRU historical'!AD13)</f>
        <v>57.333333333333336</v>
      </c>
      <c r="L14" s="78" cm="1">
        <f t="array" ref="L14">IFERROR(SUMPRODUCT(('Sulphuric Acid freights'!$B$3:$B$513=B14)*('Sulphuric Acid freights'!$D$3:$D$513=D14)*('Sulphuric Acid freights'!$P$3:$P$513))/SUMPRODUCT(('Sulphuric Acid freights'!$B$3:$B$513=B14)*('Sulphuric Acid freights'!$D$3:$D$513=D14)*1), AVERAGE('Sulphuric Acid freights'!$P$3:$P$513))*2/3</f>
        <v>54.110671936758898</v>
      </c>
      <c r="M14" s="78" cm="1">
        <f t="array" ref="M14">IFERROR(SUMPRODUCT(('Sulphuric Acid freights'!$B$3:$B$513=B14)*('Sulphuric Acid freights'!$D$3:$D$513=D14)*('Sulphuric Acid freights'!$M$3:$M$513))/SUMPRODUCT(('Sulphuric Acid freights'!$B$3:$B$513=B14)*('Sulphuric Acid freights'!$D$3:$D$513=D14)*1)*2/3, AVERAGE('Sulphuric Acid freights'!$M$3:$M$513))</f>
        <v>23.573122529644269</v>
      </c>
      <c r="N14" s="78">
        <f t="shared" si="3"/>
        <v>48.699604743083007</v>
      </c>
      <c r="O14" s="78" cm="1">
        <f t="array" ref="O14">IF(SUMPRODUCT(('Sulphur freight'!$B$3:$B$1976=B14)*('Sulphur freight'!$D$3:$D$1976=D14)*('Sulphur freight'!$G$3:$G$1976))/SUMPRODUCT(('Sulphur freight'!$B$3:$B$1976=B14)*('Sulphur freight'!$D$3:$D$1976=D14)*1)=0, AVERAGE('Sulphur freight'!$G$3:$G$1976),SUMPRODUCT(('Sulphur freight'!$B$3:$B$1976=B14)*('Sulphur freight'!$D$3:$D$1976=D14)*('Sulphur freight'!$G$3:$G$1976))/SUMPRODUCT(('Sulphur freight'!$B$3:$B$1976=B14)*('Sulphur freight'!$D$3:$D$1976=D14)*1))</f>
        <v>29.165429480381761</v>
      </c>
      <c r="P14" s="78">
        <v>20</v>
      </c>
      <c r="R14" s="78" t="str">
        <f t="shared" si="4"/>
        <v xml:space="preserve"> </v>
      </c>
      <c r="S14" s="78">
        <f t="shared" si="5"/>
        <v>35.239789196310937</v>
      </c>
      <c r="T14" s="78" t="str">
        <f t="shared" si="0"/>
        <v/>
      </c>
      <c r="U14" s="78" t="str">
        <f t="shared" si="6"/>
        <v/>
      </c>
      <c r="V14" s="78" t="str">
        <f>IFERROR(I14+O14, "")</f>
        <v/>
      </c>
      <c r="W14" s="78">
        <f t="shared" si="7"/>
        <v>77.333333333333343</v>
      </c>
      <c r="X14" s="78" t="str">
        <f t="shared" si="8"/>
        <v/>
      </c>
      <c r="Y14" s="78">
        <f t="shared" si="9"/>
        <v>43.52</v>
      </c>
      <c r="AA14" s="88" t="str">
        <f t="shared" si="10"/>
        <v/>
      </c>
      <c r="AB14" s="77" t="str">
        <f t="shared" si="1"/>
        <v/>
      </c>
      <c r="AD14" s="88" t="str">
        <f t="shared" si="11"/>
        <v/>
      </c>
      <c r="AE14" s="77" t="str">
        <f t="shared" si="2"/>
        <v/>
      </c>
    </row>
    <row r="15" spans="2:31" x14ac:dyDescent="0.35">
      <c r="B15" s="2">
        <v>2003</v>
      </c>
      <c r="C15" s="2">
        <v>1</v>
      </c>
      <c r="D15" s="2">
        <v>2</v>
      </c>
      <c r="E15" s="78" t="str">
        <f>'CRU historical'!F14</f>
        <v xml:space="preserve"> </v>
      </c>
      <c r="F15" s="78">
        <f>'CRU historical'!I14</f>
        <v>13</v>
      </c>
      <c r="G15" s="78" t="str">
        <f>'CRU historical'!L14</f>
        <v xml:space="preserve"> </v>
      </c>
      <c r="H15" s="78" t="str">
        <f>'CRU historical'!O14</f>
        <v xml:space="preserve"> </v>
      </c>
      <c r="I15" s="78" t="str">
        <f>'CRU historical'!R14</f>
        <v xml:space="preserve"> </v>
      </c>
      <c r="J15" s="78">
        <f>AVERAGE('CRU historical'!U14, 'CRU historical'!X14, 'CRU historical'!AA14, 'CRU historical'!AD14)</f>
        <v>61</v>
      </c>
      <c r="L15" s="78" cm="1">
        <f t="array" ref="L15">IFERROR(SUMPRODUCT(('Sulphuric Acid freights'!$B$3:$B$513=B15)*('Sulphuric Acid freights'!$D$3:$D$513=D15)*('Sulphuric Acid freights'!$P$3:$P$513))/SUMPRODUCT(('Sulphuric Acid freights'!$B$3:$B$513=B15)*('Sulphuric Acid freights'!$D$3:$D$513=D15)*1), AVERAGE('Sulphuric Acid freights'!$P$3:$P$513))*2/3</f>
        <v>54.110671936758898</v>
      </c>
      <c r="M15" s="78" cm="1">
        <f t="array" ref="M15">IFERROR(SUMPRODUCT(('Sulphuric Acid freights'!$B$3:$B$513=B15)*('Sulphuric Acid freights'!$D$3:$D$513=D15)*('Sulphuric Acid freights'!$M$3:$M$513))/SUMPRODUCT(('Sulphuric Acid freights'!$B$3:$B$513=B15)*('Sulphuric Acid freights'!$D$3:$D$513=D15)*1)*2/3, AVERAGE('Sulphuric Acid freights'!$M$3:$M$513))</f>
        <v>23.573122529644269</v>
      </c>
      <c r="N15" s="78">
        <f t="shared" si="3"/>
        <v>48.699604743083007</v>
      </c>
      <c r="O15" s="78" cm="1">
        <f t="array" ref="O15">IF(SUMPRODUCT(('Sulphur freight'!$B$3:$B$1976=B15)*('Sulphur freight'!$D$3:$D$1976=D15)*('Sulphur freight'!$G$3:$G$1976))/SUMPRODUCT(('Sulphur freight'!$B$3:$B$1976=B15)*('Sulphur freight'!$D$3:$D$1976=D15)*1)=0, AVERAGE('Sulphur freight'!$G$3:$G$1976),SUMPRODUCT(('Sulphur freight'!$B$3:$B$1976=B15)*('Sulphur freight'!$D$3:$D$1976=D15)*('Sulphur freight'!$G$3:$G$1976))/SUMPRODUCT(('Sulphur freight'!$B$3:$B$1976=B15)*('Sulphur freight'!$D$3:$D$1976=D15)*1))</f>
        <v>29.165429480381761</v>
      </c>
      <c r="P15" s="78">
        <v>20</v>
      </c>
      <c r="R15" s="78" t="str">
        <f t="shared" si="4"/>
        <v xml:space="preserve"> </v>
      </c>
      <c r="S15" s="78">
        <f t="shared" si="5"/>
        <v>36.573122529644266</v>
      </c>
      <c r="T15" s="78" t="str">
        <f t="shared" si="0"/>
        <v/>
      </c>
      <c r="U15" s="78" t="str">
        <f t="shared" si="6"/>
        <v/>
      </c>
      <c r="V15" s="78" t="str">
        <f>IFERROR(I15+O15, "")</f>
        <v/>
      </c>
      <c r="W15" s="78">
        <f t="shared" si="7"/>
        <v>81</v>
      </c>
      <c r="X15" s="78" t="str">
        <f t="shared" si="8"/>
        <v/>
      </c>
      <c r="Y15" s="78">
        <f t="shared" si="9"/>
        <v>44.730000000000004</v>
      </c>
      <c r="AA15" s="88" t="str">
        <f t="shared" si="10"/>
        <v/>
      </c>
      <c r="AB15" s="77" t="str">
        <f t="shared" si="1"/>
        <v/>
      </c>
      <c r="AD15" s="88" t="str">
        <f t="shared" si="11"/>
        <v/>
      </c>
      <c r="AE15" s="77" t="str">
        <f t="shared" si="2"/>
        <v/>
      </c>
    </row>
    <row r="16" spans="2:31" x14ac:dyDescent="0.35">
      <c r="B16" s="2">
        <v>2003</v>
      </c>
      <c r="C16" s="2">
        <v>1</v>
      </c>
      <c r="D16" s="2">
        <v>3</v>
      </c>
      <c r="E16" s="78" t="str">
        <f>'CRU historical'!F15</f>
        <v xml:space="preserve"> </v>
      </c>
      <c r="F16" s="78">
        <f>'CRU historical'!I15</f>
        <v>13</v>
      </c>
      <c r="G16" s="78" t="str">
        <f>'CRU historical'!L15</f>
        <v xml:space="preserve"> </v>
      </c>
      <c r="H16" s="78" t="str">
        <f>'CRU historical'!O15</f>
        <v xml:space="preserve"> </v>
      </c>
      <c r="I16" s="78" t="str">
        <f>'CRU historical'!R15</f>
        <v xml:space="preserve"> </v>
      </c>
      <c r="J16" s="78">
        <f>AVERAGE('CRU historical'!U15, 'CRU historical'!X15, 'CRU historical'!AA15, 'CRU historical'!AD15)</f>
        <v>62</v>
      </c>
      <c r="L16" s="78" cm="1">
        <f t="array" ref="L16">IFERROR(SUMPRODUCT(('Sulphuric Acid freights'!$B$3:$B$513=B16)*('Sulphuric Acid freights'!$D$3:$D$513=D16)*('Sulphuric Acid freights'!$P$3:$P$513))/SUMPRODUCT(('Sulphuric Acid freights'!$B$3:$B$513=B16)*('Sulphuric Acid freights'!$D$3:$D$513=D16)*1), AVERAGE('Sulphuric Acid freights'!$P$3:$P$513))*2/3</f>
        <v>54.110671936758898</v>
      </c>
      <c r="M16" s="78" cm="1">
        <f t="array" ref="M16">IFERROR(SUMPRODUCT(('Sulphuric Acid freights'!$B$3:$B$513=B16)*('Sulphuric Acid freights'!$D$3:$D$513=D16)*('Sulphuric Acid freights'!$M$3:$M$513))/SUMPRODUCT(('Sulphuric Acid freights'!$B$3:$B$513=B16)*('Sulphuric Acid freights'!$D$3:$D$513=D16)*1)*2/3, AVERAGE('Sulphuric Acid freights'!$M$3:$M$513))</f>
        <v>23.573122529644269</v>
      </c>
      <c r="N16" s="78">
        <f t="shared" si="3"/>
        <v>48.699604743083007</v>
      </c>
      <c r="O16" s="78" cm="1">
        <f t="array" ref="O16">IF(SUMPRODUCT(('Sulphur freight'!$B$3:$B$1976=B16)*('Sulphur freight'!$D$3:$D$1976=D16)*('Sulphur freight'!$G$3:$G$1976))/SUMPRODUCT(('Sulphur freight'!$B$3:$B$1976=B16)*('Sulphur freight'!$D$3:$D$1976=D16)*1)=0, AVERAGE('Sulphur freight'!$G$3:$G$1976),SUMPRODUCT(('Sulphur freight'!$B$3:$B$1976=B16)*('Sulphur freight'!$D$3:$D$1976=D16)*('Sulphur freight'!$G$3:$G$1976))/SUMPRODUCT(('Sulphur freight'!$B$3:$B$1976=B16)*('Sulphur freight'!$D$3:$D$1976=D16)*1))</f>
        <v>29.165429480381761</v>
      </c>
      <c r="P16" s="78">
        <v>20</v>
      </c>
      <c r="R16" s="78" t="str">
        <f t="shared" si="4"/>
        <v xml:space="preserve"> </v>
      </c>
      <c r="S16" s="78">
        <f t="shared" si="5"/>
        <v>36.573122529644266</v>
      </c>
      <c r="T16" s="78" t="str">
        <f t="shared" si="0"/>
        <v/>
      </c>
      <c r="U16" s="78" t="str">
        <f t="shared" si="6"/>
        <v/>
      </c>
      <c r="V16" s="78" t="str">
        <f>IFERROR(I16+O16, "")</f>
        <v/>
      </c>
      <c r="W16" s="78">
        <f t="shared" si="7"/>
        <v>82</v>
      </c>
      <c r="X16" s="78" t="str">
        <f t="shared" si="8"/>
        <v/>
      </c>
      <c r="Y16" s="78">
        <f t="shared" si="9"/>
        <v>45.06</v>
      </c>
      <c r="AA16" s="88" t="str">
        <f t="shared" si="10"/>
        <v/>
      </c>
      <c r="AB16" s="77" t="str">
        <f t="shared" si="1"/>
        <v/>
      </c>
      <c r="AD16" s="88" t="str">
        <f t="shared" si="11"/>
        <v/>
      </c>
      <c r="AE16" s="77" t="str">
        <f t="shared" si="2"/>
        <v/>
      </c>
    </row>
    <row r="17" spans="2:31" x14ac:dyDescent="0.35">
      <c r="B17" s="2">
        <v>2003</v>
      </c>
      <c r="C17" s="2">
        <v>2</v>
      </c>
      <c r="D17" s="2">
        <v>4</v>
      </c>
      <c r="E17" s="78" t="str">
        <f>'CRU historical'!F16</f>
        <v xml:space="preserve"> </v>
      </c>
      <c r="F17" s="78">
        <f>'CRU historical'!I16</f>
        <v>13</v>
      </c>
      <c r="G17" s="78" t="str">
        <f>'CRU historical'!L16</f>
        <v xml:space="preserve"> </v>
      </c>
      <c r="H17" s="78" t="str">
        <f>'CRU historical'!O16</f>
        <v xml:space="preserve"> </v>
      </c>
      <c r="I17" s="78" t="str">
        <f>'CRU historical'!R16</f>
        <v xml:space="preserve"> </v>
      </c>
      <c r="J17" s="78">
        <f>AVERAGE('CRU historical'!U16, 'CRU historical'!X16, 'CRU historical'!AA16, 'CRU historical'!AD16)</f>
        <v>60.5</v>
      </c>
      <c r="L17" s="78" cm="1">
        <f t="array" ref="L17">IFERROR(SUMPRODUCT(('Sulphuric Acid freights'!$B$3:$B$513=B17)*('Sulphuric Acid freights'!$D$3:$D$513=D17)*('Sulphuric Acid freights'!$P$3:$P$513))/SUMPRODUCT(('Sulphuric Acid freights'!$B$3:$B$513=B17)*('Sulphuric Acid freights'!$D$3:$D$513=D17)*1), AVERAGE('Sulphuric Acid freights'!$P$3:$P$513))*2/3</f>
        <v>54.110671936758898</v>
      </c>
      <c r="M17" s="78" cm="1">
        <f t="array" ref="M17">IFERROR(SUMPRODUCT(('Sulphuric Acid freights'!$B$3:$B$513=B17)*('Sulphuric Acid freights'!$D$3:$D$513=D17)*('Sulphuric Acid freights'!$M$3:$M$513))/SUMPRODUCT(('Sulphuric Acid freights'!$B$3:$B$513=B17)*('Sulphuric Acid freights'!$D$3:$D$513=D17)*1)*2/3, AVERAGE('Sulphuric Acid freights'!$M$3:$M$513))</f>
        <v>23.573122529644269</v>
      </c>
      <c r="N17" s="78">
        <f t="shared" si="3"/>
        <v>48.699604743083007</v>
      </c>
      <c r="O17" s="78" cm="1">
        <f t="array" ref="O17">IF(SUMPRODUCT(('Sulphur freight'!$B$3:$B$1976=B17)*('Sulphur freight'!$D$3:$D$1976=D17)*('Sulphur freight'!$G$3:$G$1976))/SUMPRODUCT(('Sulphur freight'!$B$3:$B$1976=B17)*('Sulphur freight'!$D$3:$D$1976=D17)*1)=0, AVERAGE('Sulphur freight'!$G$3:$G$1976),SUMPRODUCT(('Sulphur freight'!$B$3:$B$1976=B17)*('Sulphur freight'!$D$3:$D$1976=D17)*('Sulphur freight'!$G$3:$G$1976))/SUMPRODUCT(('Sulphur freight'!$B$3:$B$1976=B17)*('Sulphur freight'!$D$3:$D$1976=D17)*1))</f>
        <v>29.165429480381761</v>
      </c>
      <c r="P17" s="78">
        <v>20</v>
      </c>
      <c r="R17" s="78" t="str">
        <f t="shared" si="4"/>
        <v xml:space="preserve"> </v>
      </c>
      <c r="S17" s="78">
        <f t="shared" si="5"/>
        <v>36.573122529644266</v>
      </c>
      <c r="T17" s="78" t="str">
        <f t="shared" si="0"/>
        <v/>
      </c>
      <c r="U17" s="78" t="str">
        <f t="shared" si="6"/>
        <v/>
      </c>
      <c r="V17" s="78" t="str">
        <f>IFERROR(I17+O17, "")</f>
        <v/>
      </c>
      <c r="W17" s="78">
        <f t="shared" si="7"/>
        <v>80.5</v>
      </c>
      <c r="X17" s="78" t="str">
        <f t="shared" si="8"/>
        <v/>
      </c>
      <c r="Y17" s="78">
        <f t="shared" si="9"/>
        <v>44.564999999999998</v>
      </c>
      <c r="AA17" s="88" t="str">
        <f t="shared" si="10"/>
        <v/>
      </c>
      <c r="AB17" s="77" t="str">
        <f t="shared" si="1"/>
        <v/>
      </c>
      <c r="AD17" s="88" t="str">
        <f t="shared" si="11"/>
        <v/>
      </c>
      <c r="AE17" s="77" t="str">
        <f t="shared" si="2"/>
        <v/>
      </c>
    </row>
    <row r="18" spans="2:31" x14ac:dyDescent="0.35">
      <c r="B18" s="2">
        <v>2003</v>
      </c>
      <c r="C18" s="2">
        <v>2</v>
      </c>
      <c r="D18" s="2">
        <v>5</v>
      </c>
      <c r="E18" s="78" t="str">
        <f>'CRU historical'!F17</f>
        <v xml:space="preserve"> </v>
      </c>
      <c r="F18" s="78">
        <f>'CRU historical'!I17</f>
        <v>13</v>
      </c>
      <c r="G18" s="78" t="str">
        <f>'CRU historical'!L17</f>
        <v xml:space="preserve"> </v>
      </c>
      <c r="H18" s="78" t="str">
        <f>'CRU historical'!O17</f>
        <v xml:space="preserve"> </v>
      </c>
      <c r="I18" s="78" t="str">
        <f>'CRU historical'!R17</f>
        <v xml:space="preserve"> </v>
      </c>
      <c r="J18" s="78">
        <f>AVERAGE('CRU historical'!U17, 'CRU historical'!X17, 'CRU historical'!AA17, 'CRU historical'!AD17)</f>
        <v>60.5</v>
      </c>
      <c r="L18" s="78" cm="1">
        <f t="array" ref="L18">IFERROR(SUMPRODUCT(('Sulphuric Acid freights'!$B$3:$B$513=B18)*('Sulphuric Acid freights'!$D$3:$D$513=D18)*('Sulphuric Acid freights'!$P$3:$P$513))/SUMPRODUCT(('Sulphuric Acid freights'!$B$3:$B$513=B18)*('Sulphuric Acid freights'!$D$3:$D$513=D18)*1), AVERAGE('Sulphuric Acid freights'!$P$3:$P$513))*2/3</f>
        <v>54.110671936758898</v>
      </c>
      <c r="M18" s="78" cm="1">
        <f t="array" ref="M18">IFERROR(SUMPRODUCT(('Sulphuric Acid freights'!$B$3:$B$513=B18)*('Sulphuric Acid freights'!$D$3:$D$513=D18)*('Sulphuric Acid freights'!$M$3:$M$513))/SUMPRODUCT(('Sulphuric Acid freights'!$B$3:$B$513=B18)*('Sulphuric Acid freights'!$D$3:$D$513=D18)*1)*2/3, AVERAGE('Sulphuric Acid freights'!$M$3:$M$513))</f>
        <v>23.573122529644269</v>
      </c>
      <c r="N18" s="78">
        <f t="shared" si="3"/>
        <v>48.699604743083007</v>
      </c>
      <c r="O18" s="78" cm="1">
        <f t="array" ref="O18">IF(SUMPRODUCT(('Sulphur freight'!$B$3:$B$1976=B18)*('Sulphur freight'!$D$3:$D$1976=D18)*('Sulphur freight'!$G$3:$G$1976))/SUMPRODUCT(('Sulphur freight'!$B$3:$B$1976=B18)*('Sulphur freight'!$D$3:$D$1976=D18)*1)=0, AVERAGE('Sulphur freight'!$G$3:$G$1976),SUMPRODUCT(('Sulphur freight'!$B$3:$B$1976=B18)*('Sulphur freight'!$D$3:$D$1976=D18)*('Sulphur freight'!$G$3:$G$1976))/SUMPRODUCT(('Sulphur freight'!$B$3:$B$1976=B18)*('Sulphur freight'!$D$3:$D$1976=D18)*1))</f>
        <v>29.165429480381761</v>
      </c>
      <c r="P18" s="78">
        <v>20</v>
      </c>
      <c r="R18" s="78" t="str">
        <f t="shared" si="4"/>
        <v xml:space="preserve"> </v>
      </c>
      <c r="S18" s="78">
        <f t="shared" si="5"/>
        <v>36.573122529644266</v>
      </c>
      <c r="T18" s="78" t="str">
        <f t="shared" si="0"/>
        <v/>
      </c>
      <c r="U18" s="78" t="str">
        <f t="shared" si="6"/>
        <v/>
      </c>
      <c r="V18" s="78" t="str">
        <f>IFERROR(I18+O18, "")</f>
        <v/>
      </c>
      <c r="W18" s="78">
        <f t="shared" si="7"/>
        <v>80.5</v>
      </c>
      <c r="X18" s="78" t="str">
        <f t="shared" si="8"/>
        <v/>
      </c>
      <c r="Y18" s="78">
        <f t="shared" si="9"/>
        <v>44.564999999999998</v>
      </c>
      <c r="AA18" s="88" t="str">
        <f t="shared" si="10"/>
        <v/>
      </c>
      <c r="AB18" s="77" t="str">
        <f t="shared" si="1"/>
        <v/>
      </c>
      <c r="AD18" s="88" t="str">
        <f t="shared" si="11"/>
        <v/>
      </c>
      <c r="AE18" s="77" t="str">
        <f t="shared" si="2"/>
        <v/>
      </c>
    </row>
    <row r="19" spans="2:31" x14ac:dyDescent="0.35">
      <c r="B19" s="2">
        <v>2003</v>
      </c>
      <c r="C19" s="2">
        <v>2</v>
      </c>
      <c r="D19" s="2">
        <v>6</v>
      </c>
      <c r="E19" s="78" t="str">
        <f>'CRU historical'!F18</f>
        <v xml:space="preserve"> </v>
      </c>
      <c r="F19" s="78">
        <f>'CRU historical'!I18</f>
        <v>17.5</v>
      </c>
      <c r="G19" s="78" t="str">
        <f>'CRU historical'!L18</f>
        <v xml:space="preserve"> </v>
      </c>
      <c r="H19" s="78" t="str">
        <f>'CRU historical'!O18</f>
        <v xml:space="preserve"> </v>
      </c>
      <c r="I19" s="78">
        <f>'CRU historical'!R18</f>
        <v>63</v>
      </c>
      <c r="J19" s="78">
        <f>AVERAGE('CRU historical'!U18, 'CRU historical'!X18, 'CRU historical'!AA18, 'CRU historical'!AD18)</f>
        <v>60.5</v>
      </c>
      <c r="L19" s="78" cm="1">
        <f t="array" ref="L19">IFERROR(SUMPRODUCT(('Sulphuric Acid freights'!$B$3:$B$513=B19)*('Sulphuric Acid freights'!$D$3:$D$513=D19)*('Sulphuric Acid freights'!$P$3:$P$513))/SUMPRODUCT(('Sulphuric Acid freights'!$B$3:$B$513=B19)*('Sulphuric Acid freights'!$D$3:$D$513=D19)*1), AVERAGE('Sulphuric Acid freights'!$P$3:$P$513))*2/3</f>
        <v>54.110671936758898</v>
      </c>
      <c r="M19" s="78" cm="1">
        <f t="array" ref="M19">IFERROR(SUMPRODUCT(('Sulphuric Acid freights'!$B$3:$B$513=B19)*('Sulphuric Acid freights'!$D$3:$D$513=D19)*('Sulphuric Acid freights'!$M$3:$M$513))/SUMPRODUCT(('Sulphuric Acid freights'!$B$3:$B$513=B19)*('Sulphuric Acid freights'!$D$3:$D$513=D19)*1)*2/3, AVERAGE('Sulphuric Acid freights'!$M$3:$M$513))</f>
        <v>23.573122529644269</v>
      </c>
      <c r="N19" s="78">
        <f t="shared" si="3"/>
        <v>48.699604743083007</v>
      </c>
      <c r="O19" s="78" cm="1">
        <f t="array" ref="O19">IF(SUMPRODUCT(('Sulphur freight'!$B$3:$B$1976=B19)*('Sulphur freight'!$D$3:$D$1976=D19)*('Sulphur freight'!$G$3:$G$1976))/SUMPRODUCT(('Sulphur freight'!$B$3:$B$1976=B19)*('Sulphur freight'!$D$3:$D$1976=D19)*1)=0, AVERAGE('Sulphur freight'!$G$3:$G$1976),SUMPRODUCT(('Sulphur freight'!$B$3:$B$1976=B19)*('Sulphur freight'!$D$3:$D$1976=D19)*('Sulphur freight'!$G$3:$G$1976))/SUMPRODUCT(('Sulphur freight'!$B$3:$B$1976=B19)*('Sulphur freight'!$D$3:$D$1976=D19)*1))</f>
        <v>29.165429480381761</v>
      </c>
      <c r="P19" s="78">
        <v>20</v>
      </c>
      <c r="R19" s="78" t="str">
        <f t="shared" si="4"/>
        <v xml:space="preserve"> </v>
      </c>
      <c r="S19" s="78">
        <f t="shared" si="5"/>
        <v>41.073122529644266</v>
      </c>
      <c r="T19" s="78" t="str">
        <f t="shared" si="0"/>
        <v/>
      </c>
      <c r="U19" s="78" t="str">
        <f t="shared" si="6"/>
        <v/>
      </c>
      <c r="V19" s="78">
        <f>IFERROR(I19+O19, "")</f>
        <v>92.165429480381761</v>
      </c>
      <c r="W19" s="78">
        <f t="shared" si="7"/>
        <v>80.5</v>
      </c>
      <c r="X19" s="78">
        <f t="shared" si="8"/>
        <v>48.414591728525984</v>
      </c>
      <c r="Y19" s="78">
        <f t="shared" si="9"/>
        <v>44.564999999999998</v>
      </c>
      <c r="AA19" s="88" t="str">
        <f t="shared" si="10"/>
        <v/>
      </c>
      <c r="AB19" s="77" t="str">
        <f t="shared" si="1"/>
        <v/>
      </c>
      <c r="AD19" s="88" t="str">
        <f t="shared" si="11"/>
        <v/>
      </c>
      <c r="AE19" s="77" t="str">
        <f t="shared" si="2"/>
        <v/>
      </c>
    </row>
    <row r="20" spans="2:31" x14ac:dyDescent="0.35">
      <c r="B20" s="2">
        <v>2003</v>
      </c>
      <c r="C20" s="2">
        <v>3</v>
      </c>
      <c r="D20" s="2">
        <v>7</v>
      </c>
      <c r="E20" s="78" t="str">
        <f>'CRU historical'!F19</f>
        <v xml:space="preserve"> </v>
      </c>
      <c r="F20" s="78">
        <f>'CRU historical'!I19</f>
        <v>22</v>
      </c>
      <c r="G20" s="78" t="str">
        <f>'CRU historical'!L19</f>
        <v xml:space="preserve"> </v>
      </c>
      <c r="H20" s="78" t="str">
        <f>'CRU historical'!O19</f>
        <v xml:space="preserve"> </v>
      </c>
      <c r="I20" s="78">
        <f>'CRU historical'!R19</f>
        <v>59</v>
      </c>
      <c r="J20" s="78">
        <f>AVERAGE('CRU historical'!U19, 'CRU historical'!X19, 'CRU historical'!AA19, 'CRU historical'!AD19)</f>
        <v>65.333333333333329</v>
      </c>
      <c r="L20" s="78" cm="1">
        <f t="array" ref="L20">IFERROR(SUMPRODUCT(('Sulphuric Acid freights'!$B$3:$B$513=B20)*('Sulphuric Acid freights'!$D$3:$D$513=D20)*('Sulphuric Acid freights'!$P$3:$P$513))/SUMPRODUCT(('Sulphuric Acid freights'!$B$3:$B$513=B20)*('Sulphuric Acid freights'!$D$3:$D$513=D20)*1), AVERAGE('Sulphuric Acid freights'!$P$3:$P$513))*2/3</f>
        <v>54.110671936758898</v>
      </c>
      <c r="M20" s="78" cm="1">
        <f t="array" ref="M20">IFERROR(SUMPRODUCT(('Sulphuric Acid freights'!$B$3:$B$513=B20)*('Sulphuric Acid freights'!$D$3:$D$513=D20)*('Sulphuric Acid freights'!$M$3:$M$513))/SUMPRODUCT(('Sulphuric Acid freights'!$B$3:$B$513=B20)*('Sulphuric Acid freights'!$D$3:$D$513=D20)*1)*2/3, AVERAGE('Sulphuric Acid freights'!$M$3:$M$513))</f>
        <v>23.573122529644269</v>
      </c>
      <c r="N20" s="78">
        <f t="shared" si="3"/>
        <v>48.699604743083007</v>
      </c>
      <c r="O20" s="78" cm="1">
        <f t="array" ref="O20">IF(SUMPRODUCT(('Sulphur freight'!$B$3:$B$1976=B20)*('Sulphur freight'!$D$3:$D$1976=D20)*('Sulphur freight'!$G$3:$G$1976))/SUMPRODUCT(('Sulphur freight'!$B$3:$B$1976=B20)*('Sulphur freight'!$D$3:$D$1976=D20)*1)=0, AVERAGE('Sulphur freight'!$G$3:$G$1976),SUMPRODUCT(('Sulphur freight'!$B$3:$B$1976=B20)*('Sulphur freight'!$D$3:$D$1976=D20)*('Sulphur freight'!$G$3:$G$1976))/SUMPRODUCT(('Sulphur freight'!$B$3:$B$1976=B20)*('Sulphur freight'!$D$3:$D$1976=D20)*1))</f>
        <v>29.165429480381761</v>
      </c>
      <c r="P20" s="78">
        <v>20</v>
      </c>
      <c r="R20" s="78" t="str">
        <f t="shared" si="4"/>
        <v xml:space="preserve"> </v>
      </c>
      <c r="S20" s="78">
        <f t="shared" si="5"/>
        <v>45.573122529644266</v>
      </c>
      <c r="T20" s="78" t="str">
        <f t="shared" si="0"/>
        <v/>
      </c>
      <c r="U20" s="78" t="str">
        <f t="shared" si="6"/>
        <v/>
      </c>
      <c r="V20" s="78">
        <f>IFERROR(I20+O20, "")</f>
        <v>88.165429480381761</v>
      </c>
      <c r="W20" s="78">
        <f t="shared" si="7"/>
        <v>85.333333333333329</v>
      </c>
      <c r="X20" s="78">
        <f t="shared" si="8"/>
        <v>47.094591728525984</v>
      </c>
      <c r="Y20" s="78">
        <f t="shared" si="9"/>
        <v>46.16</v>
      </c>
      <c r="AA20" s="88" t="str">
        <f t="shared" si="10"/>
        <v/>
      </c>
      <c r="AB20" s="77" t="str">
        <f t="shared" si="1"/>
        <v/>
      </c>
      <c r="AD20" s="88" t="str">
        <f t="shared" si="11"/>
        <v/>
      </c>
      <c r="AE20" s="77" t="str">
        <f t="shared" si="2"/>
        <v/>
      </c>
    </row>
    <row r="21" spans="2:31" x14ac:dyDescent="0.35">
      <c r="B21" s="2">
        <v>2003</v>
      </c>
      <c r="C21" s="2">
        <v>3</v>
      </c>
      <c r="D21" s="2">
        <v>8</v>
      </c>
      <c r="E21" s="78" t="str">
        <f>'CRU historical'!F20</f>
        <v xml:space="preserve"> </v>
      </c>
      <c r="F21" s="78">
        <f>'CRU historical'!I20</f>
        <v>22</v>
      </c>
      <c r="G21" s="78" t="str">
        <f>'CRU historical'!L20</f>
        <v xml:space="preserve"> </v>
      </c>
      <c r="H21" s="78" t="str">
        <f>'CRU historical'!O20</f>
        <v xml:space="preserve"> </v>
      </c>
      <c r="I21" s="78">
        <f>'CRU historical'!R20</f>
        <v>58</v>
      </c>
      <c r="J21" s="78">
        <f>AVERAGE('CRU historical'!U20, 'CRU historical'!X20, 'CRU historical'!AA20, 'CRU historical'!AD20)</f>
        <v>69.5</v>
      </c>
      <c r="L21" s="78" cm="1">
        <f t="array" ref="L21">IFERROR(SUMPRODUCT(('Sulphuric Acid freights'!$B$3:$B$513=B21)*('Sulphuric Acid freights'!$D$3:$D$513=D21)*('Sulphuric Acid freights'!$P$3:$P$513))/SUMPRODUCT(('Sulphuric Acid freights'!$B$3:$B$513=B21)*('Sulphuric Acid freights'!$D$3:$D$513=D21)*1), AVERAGE('Sulphuric Acid freights'!$P$3:$P$513))*2/3</f>
        <v>54.110671936758898</v>
      </c>
      <c r="M21" s="78" cm="1">
        <f t="array" ref="M21">IFERROR(SUMPRODUCT(('Sulphuric Acid freights'!$B$3:$B$513=B21)*('Sulphuric Acid freights'!$D$3:$D$513=D21)*('Sulphuric Acid freights'!$M$3:$M$513))/SUMPRODUCT(('Sulphuric Acid freights'!$B$3:$B$513=B21)*('Sulphuric Acid freights'!$D$3:$D$513=D21)*1)*2/3, AVERAGE('Sulphuric Acid freights'!$M$3:$M$513))</f>
        <v>23.573122529644269</v>
      </c>
      <c r="N21" s="78">
        <f t="shared" si="3"/>
        <v>48.699604743083007</v>
      </c>
      <c r="O21" s="78" cm="1">
        <f t="array" ref="O21">IF(SUMPRODUCT(('Sulphur freight'!$B$3:$B$1976=B21)*('Sulphur freight'!$D$3:$D$1976=D21)*('Sulphur freight'!$G$3:$G$1976))/SUMPRODUCT(('Sulphur freight'!$B$3:$B$1976=B21)*('Sulphur freight'!$D$3:$D$1976=D21)*1)=0, AVERAGE('Sulphur freight'!$G$3:$G$1976),SUMPRODUCT(('Sulphur freight'!$B$3:$B$1976=B21)*('Sulphur freight'!$D$3:$D$1976=D21)*('Sulphur freight'!$G$3:$G$1976))/SUMPRODUCT(('Sulphur freight'!$B$3:$B$1976=B21)*('Sulphur freight'!$D$3:$D$1976=D21)*1))</f>
        <v>29.165429480381761</v>
      </c>
      <c r="P21" s="78">
        <v>20</v>
      </c>
      <c r="R21" s="78" t="str">
        <f t="shared" si="4"/>
        <v xml:space="preserve"> </v>
      </c>
      <c r="S21" s="78">
        <f t="shared" si="5"/>
        <v>45.573122529644266</v>
      </c>
      <c r="T21" s="78" t="str">
        <f t="shared" si="0"/>
        <v/>
      </c>
      <c r="U21" s="78" t="str">
        <f t="shared" si="6"/>
        <v/>
      </c>
      <c r="V21" s="78">
        <f>IFERROR(I21+O21, "")</f>
        <v>87.165429480381761</v>
      </c>
      <c r="W21" s="78">
        <f t="shared" si="7"/>
        <v>89.5</v>
      </c>
      <c r="X21" s="78">
        <f t="shared" si="8"/>
        <v>46.764591728525986</v>
      </c>
      <c r="Y21" s="78">
        <f t="shared" si="9"/>
        <v>47.534999999999997</v>
      </c>
      <c r="AA21" s="88" t="str">
        <f t="shared" si="10"/>
        <v/>
      </c>
      <c r="AB21" s="77" t="str">
        <f t="shared" si="1"/>
        <v/>
      </c>
      <c r="AD21" s="88" t="str">
        <f t="shared" si="11"/>
        <v/>
      </c>
      <c r="AE21" s="77" t="str">
        <f t="shared" si="2"/>
        <v/>
      </c>
    </row>
    <row r="22" spans="2:31" x14ac:dyDescent="0.35">
      <c r="B22" s="2">
        <v>2003</v>
      </c>
      <c r="C22" s="2">
        <v>3</v>
      </c>
      <c r="D22" s="2">
        <v>9</v>
      </c>
      <c r="E22" s="78" t="str">
        <f>'CRU historical'!F21</f>
        <v xml:space="preserve"> </v>
      </c>
      <c r="F22" s="78">
        <f>'CRU historical'!I21</f>
        <v>22</v>
      </c>
      <c r="G22" s="78" t="str">
        <f>'CRU historical'!L21</f>
        <v xml:space="preserve"> </v>
      </c>
      <c r="H22" s="78" t="str">
        <f>'CRU historical'!O21</f>
        <v xml:space="preserve"> </v>
      </c>
      <c r="I22" s="78">
        <f>'CRU historical'!R21</f>
        <v>61.5</v>
      </c>
      <c r="J22" s="78">
        <f>AVERAGE('CRU historical'!U21, 'CRU historical'!X21, 'CRU historical'!AA21, 'CRU historical'!AD21)</f>
        <v>69.5</v>
      </c>
      <c r="L22" s="78" cm="1">
        <f t="array" ref="L22">IFERROR(SUMPRODUCT(('Sulphuric Acid freights'!$B$3:$B$513=B22)*('Sulphuric Acid freights'!$D$3:$D$513=D22)*('Sulphuric Acid freights'!$P$3:$P$513))/SUMPRODUCT(('Sulphuric Acid freights'!$B$3:$B$513=B22)*('Sulphuric Acid freights'!$D$3:$D$513=D22)*1), AVERAGE('Sulphuric Acid freights'!$P$3:$P$513))*2/3</f>
        <v>54.110671936758898</v>
      </c>
      <c r="M22" s="78" cm="1">
        <f t="array" ref="M22">IFERROR(SUMPRODUCT(('Sulphuric Acid freights'!$B$3:$B$513=B22)*('Sulphuric Acid freights'!$D$3:$D$513=D22)*('Sulphuric Acid freights'!$M$3:$M$513))/SUMPRODUCT(('Sulphuric Acid freights'!$B$3:$B$513=B22)*('Sulphuric Acid freights'!$D$3:$D$513=D22)*1)*2/3, AVERAGE('Sulphuric Acid freights'!$M$3:$M$513))</f>
        <v>23.573122529644269</v>
      </c>
      <c r="N22" s="78">
        <f t="shared" si="3"/>
        <v>48.699604743083007</v>
      </c>
      <c r="O22" s="78" cm="1">
        <f t="array" ref="O22">IF(SUMPRODUCT(('Sulphur freight'!$B$3:$B$1976=B22)*('Sulphur freight'!$D$3:$D$1976=D22)*('Sulphur freight'!$G$3:$G$1976))/SUMPRODUCT(('Sulphur freight'!$B$3:$B$1976=B22)*('Sulphur freight'!$D$3:$D$1976=D22)*1)=0, AVERAGE('Sulphur freight'!$G$3:$G$1976),SUMPRODUCT(('Sulphur freight'!$B$3:$B$1976=B22)*('Sulphur freight'!$D$3:$D$1976=D22)*('Sulphur freight'!$G$3:$G$1976))/SUMPRODUCT(('Sulphur freight'!$B$3:$B$1976=B22)*('Sulphur freight'!$D$3:$D$1976=D22)*1))</f>
        <v>29.165429480381761</v>
      </c>
      <c r="P22" s="78">
        <v>20</v>
      </c>
      <c r="R22" s="78" t="str">
        <f t="shared" si="4"/>
        <v xml:space="preserve"> </v>
      </c>
      <c r="S22" s="78">
        <f t="shared" si="5"/>
        <v>45.573122529644266</v>
      </c>
      <c r="T22" s="78" t="str">
        <f t="shared" si="0"/>
        <v/>
      </c>
      <c r="U22" s="78" t="str">
        <f t="shared" si="6"/>
        <v/>
      </c>
      <c r="V22" s="78">
        <f>IFERROR(I22+O22, "")</f>
        <v>90.665429480381761</v>
      </c>
      <c r="W22" s="78">
        <f t="shared" si="7"/>
        <v>89.5</v>
      </c>
      <c r="X22" s="78">
        <f t="shared" si="8"/>
        <v>47.919591728525987</v>
      </c>
      <c r="Y22" s="78">
        <f t="shared" si="9"/>
        <v>47.534999999999997</v>
      </c>
      <c r="AA22" s="88" t="str">
        <f t="shared" si="10"/>
        <v/>
      </c>
      <c r="AB22" s="77" t="str">
        <f t="shared" si="1"/>
        <v/>
      </c>
      <c r="AD22" s="88" t="str">
        <f t="shared" si="11"/>
        <v/>
      </c>
      <c r="AE22" s="77" t="str">
        <f t="shared" si="2"/>
        <v/>
      </c>
    </row>
    <row r="23" spans="2:31" x14ac:dyDescent="0.35">
      <c r="B23" s="2">
        <v>2003</v>
      </c>
      <c r="C23" s="2">
        <v>4</v>
      </c>
      <c r="D23" s="2">
        <v>10</v>
      </c>
      <c r="E23" s="78" t="str">
        <f>'CRU historical'!F22</f>
        <v xml:space="preserve"> </v>
      </c>
      <c r="F23" s="78">
        <f>'CRU historical'!I22</f>
        <v>28</v>
      </c>
      <c r="G23" s="78" t="str">
        <f>'CRU historical'!L22</f>
        <v xml:space="preserve"> </v>
      </c>
      <c r="H23" s="78" t="str">
        <f>'CRU historical'!O22</f>
        <v xml:space="preserve"> </v>
      </c>
      <c r="I23" s="78">
        <f>'CRU historical'!R22</f>
        <v>63</v>
      </c>
      <c r="J23" s="78">
        <f>AVERAGE('CRU historical'!U22, 'CRU historical'!X22, 'CRU historical'!AA22, 'CRU historical'!AD22)</f>
        <v>69.75</v>
      </c>
      <c r="L23" s="78" cm="1">
        <f t="array" ref="L23">IFERROR(SUMPRODUCT(('Sulphuric Acid freights'!$B$3:$B$513=B23)*('Sulphuric Acid freights'!$D$3:$D$513=D23)*('Sulphuric Acid freights'!$P$3:$P$513))/SUMPRODUCT(('Sulphuric Acid freights'!$B$3:$B$513=B23)*('Sulphuric Acid freights'!$D$3:$D$513=D23)*1), AVERAGE('Sulphuric Acid freights'!$P$3:$P$513))*2/3</f>
        <v>54.110671936758898</v>
      </c>
      <c r="M23" s="78" cm="1">
        <f t="array" ref="M23">IFERROR(SUMPRODUCT(('Sulphuric Acid freights'!$B$3:$B$513=B23)*('Sulphuric Acid freights'!$D$3:$D$513=D23)*('Sulphuric Acid freights'!$M$3:$M$513))/SUMPRODUCT(('Sulphuric Acid freights'!$B$3:$B$513=B23)*('Sulphuric Acid freights'!$D$3:$D$513=D23)*1)*2/3, AVERAGE('Sulphuric Acid freights'!$M$3:$M$513))</f>
        <v>23.573122529644269</v>
      </c>
      <c r="N23" s="78">
        <f t="shared" si="3"/>
        <v>48.699604743083007</v>
      </c>
      <c r="O23" s="78" cm="1">
        <f t="array" ref="O23">IF(SUMPRODUCT(('Sulphur freight'!$B$3:$B$1976=B23)*('Sulphur freight'!$D$3:$D$1976=D23)*('Sulphur freight'!$G$3:$G$1976))/SUMPRODUCT(('Sulphur freight'!$B$3:$B$1976=B23)*('Sulphur freight'!$D$3:$D$1976=D23)*1)=0, AVERAGE('Sulphur freight'!$G$3:$G$1976),SUMPRODUCT(('Sulphur freight'!$B$3:$B$1976=B23)*('Sulphur freight'!$D$3:$D$1976=D23)*('Sulphur freight'!$G$3:$G$1976))/SUMPRODUCT(('Sulphur freight'!$B$3:$B$1976=B23)*('Sulphur freight'!$D$3:$D$1976=D23)*1))</f>
        <v>29.165429480381761</v>
      </c>
      <c r="P23" s="78">
        <v>20</v>
      </c>
      <c r="R23" s="78" t="str">
        <f t="shared" si="4"/>
        <v xml:space="preserve"> </v>
      </c>
      <c r="S23" s="78">
        <f t="shared" si="5"/>
        <v>51.573122529644266</v>
      </c>
      <c r="T23" s="78" t="str">
        <f t="shared" si="0"/>
        <v/>
      </c>
      <c r="U23" s="78" t="str">
        <f t="shared" si="6"/>
        <v/>
      </c>
      <c r="V23" s="78">
        <f>IFERROR(I23+O23, "")</f>
        <v>92.165429480381761</v>
      </c>
      <c r="W23" s="78">
        <f t="shared" si="7"/>
        <v>89.75</v>
      </c>
      <c r="X23" s="78">
        <f t="shared" si="8"/>
        <v>48.414591728525984</v>
      </c>
      <c r="Y23" s="78">
        <f t="shared" si="9"/>
        <v>47.6175</v>
      </c>
      <c r="AA23" s="88" t="str">
        <f t="shared" si="10"/>
        <v/>
      </c>
      <c r="AB23" s="77" t="str">
        <f t="shared" si="1"/>
        <v/>
      </c>
      <c r="AD23" s="88" t="str">
        <f t="shared" si="11"/>
        <v/>
      </c>
      <c r="AE23" s="77" t="str">
        <f t="shared" si="2"/>
        <v/>
      </c>
    </row>
    <row r="24" spans="2:31" x14ac:dyDescent="0.35">
      <c r="B24" s="2">
        <v>2003</v>
      </c>
      <c r="C24" s="2">
        <v>4</v>
      </c>
      <c r="D24" s="2">
        <v>11</v>
      </c>
      <c r="E24" s="78" t="str">
        <f>'CRU historical'!F23</f>
        <v xml:space="preserve"> </v>
      </c>
      <c r="F24" s="78">
        <f>'CRU historical'!I23</f>
        <v>28</v>
      </c>
      <c r="G24" s="78" t="str">
        <f>'CRU historical'!L23</f>
        <v xml:space="preserve"> </v>
      </c>
      <c r="H24" s="78" t="str">
        <f>'CRU historical'!O23</f>
        <v xml:space="preserve"> </v>
      </c>
      <c r="I24" s="78">
        <f>'CRU historical'!R23</f>
        <v>68</v>
      </c>
      <c r="J24" s="78">
        <f>AVERAGE('CRU historical'!U23, 'CRU historical'!X23, 'CRU historical'!AA23, 'CRU historical'!AD23)</f>
        <v>71</v>
      </c>
      <c r="L24" s="78" cm="1">
        <f t="array" ref="L24">IFERROR(SUMPRODUCT(('Sulphuric Acid freights'!$B$3:$B$513=B24)*('Sulphuric Acid freights'!$D$3:$D$513=D24)*('Sulphuric Acid freights'!$P$3:$P$513))/SUMPRODUCT(('Sulphuric Acid freights'!$B$3:$B$513=B24)*('Sulphuric Acid freights'!$D$3:$D$513=D24)*1), AVERAGE('Sulphuric Acid freights'!$P$3:$P$513))*2/3</f>
        <v>54.110671936758898</v>
      </c>
      <c r="M24" s="78" cm="1">
        <f t="array" ref="M24">IFERROR(SUMPRODUCT(('Sulphuric Acid freights'!$B$3:$B$513=B24)*('Sulphuric Acid freights'!$D$3:$D$513=D24)*('Sulphuric Acid freights'!$M$3:$M$513))/SUMPRODUCT(('Sulphuric Acid freights'!$B$3:$B$513=B24)*('Sulphuric Acid freights'!$D$3:$D$513=D24)*1)*2/3, AVERAGE('Sulphuric Acid freights'!$M$3:$M$513))</f>
        <v>23.573122529644269</v>
      </c>
      <c r="N24" s="78">
        <f t="shared" si="3"/>
        <v>48.699604743083007</v>
      </c>
      <c r="O24" s="78" cm="1">
        <f t="array" ref="O24">IF(SUMPRODUCT(('Sulphur freight'!$B$3:$B$1976=B24)*('Sulphur freight'!$D$3:$D$1976=D24)*('Sulphur freight'!$G$3:$G$1976))/SUMPRODUCT(('Sulphur freight'!$B$3:$B$1976=B24)*('Sulphur freight'!$D$3:$D$1976=D24)*1)=0, AVERAGE('Sulphur freight'!$G$3:$G$1976),SUMPRODUCT(('Sulphur freight'!$B$3:$B$1976=B24)*('Sulphur freight'!$D$3:$D$1976=D24)*('Sulphur freight'!$G$3:$G$1976))/SUMPRODUCT(('Sulphur freight'!$B$3:$B$1976=B24)*('Sulphur freight'!$D$3:$D$1976=D24)*1))</f>
        <v>29.165429480381761</v>
      </c>
      <c r="P24" s="78">
        <v>20</v>
      </c>
      <c r="R24" s="78" t="str">
        <f t="shared" si="4"/>
        <v xml:space="preserve"> </v>
      </c>
      <c r="S24" s="78">
        <f t="shared" si="5"/>
        <v>51.573122529644266</v>
      </c>
      <c r="T24" s="78" t="str">
        <f t="shared" si="0"/>
        <v/>
      </c>
      <c r="U24" s="78" t="str">
        <f t="shared" si="6"/>
        <v/>
      </c>
      <c r="V24" s="78">
        <f>IFERROR(I24+O24, "")</f>
        <v>97.165429480381761</v>
      </c>
      <c r="W24" s="78">
        <f t="shared" si="7"/>
        <v>91</v>
      </c>
      <c r="X24" s="78">
        <f t="shared" si="8"/>
        <v>50.064591728525983</v>
      </c>
      <c r="Y24" s="78">
        <f t="shared" si="9"/>
        <v>48.03</v>
      </c>
      <c r="AA24" s="88" t="str">
        <f t="shared" si="10"/>
        <v/>
      </c>
      <c r="AB24" s="77" t="str">
        <f t="shared" si="1"/>
        <v/>
      </c>
      <c r="AD24" s="88" t="str">
        <f t="shared" si="11"/>
        <v/>
      </c>
      <c r="AE24" s="77" t="str">
        <f t="shared" si="2"/>
        <v/>
      </c>
    </row>
    <row r="25" spans="2:31" x14ac:dyDescent="0.35">
      <c r="B25" s="2">
        <v>2003</v>
      </c>
      <c r="C25" s="2">
        <v>4</v>
      </c>
      <c r="D25" s="2">
        <v>12</v>
      </c>
      <c r="E25" s="78" t="str">
        <f>'CRU historical'!F24</f>
        <v xml:space="preserve"> </v>
      </c>
      <c r="F25" s="78">
        <f>'CRU historical'!I24</f>
        <v>28</v>
      </c>
      <c r="G25" s="78" t="str">
        <f>'CRU historical'!L24</f>
        <v xml:space="preserve"> </v>
      </c>
      <c r="H25" s="78" t="str">
        <f>'CRU historical'!O24</f>
        <v xml:space="preserve"> </v>
      </c>
      <c r="I25" s="78">
        <f>'CRU historical'!R24</f>
        <v>72</v>
      </c>
      <c r="J25" s="78">
        <f>AVERAGE('CRU historical'!U24, 'CRU historical'!X24, 'CRU historical'!AA24, 'CRU historical'!AD24)</f>
        <v>71</v>
      </c>
      <c r="L25" s="78" cm="1">
        <f t="array" ref="L25">IFERROR(SUMPRODUCT(('Sulphuric Acid freights'!$B$3:$B$513=B25)*('Sulphuric Acid freights'!$D$3:$D$513=D25)*('Sulphuric Acid freights'!$P$3:$P$513))/SUMPRODUCT(('Sulphuric Acid freights'!$B$3:$B$513=B25)*('Sulphuric Acid freights'!$D$3:$D$513=D25)*1), AVERAGE('Sulphuric Acid freights'!$P$3:$P$513))*2/3</f>
        <v>54.110671936758898</v>
      </c>
      <c r="M25" s="78" cm="1">
        <f t="array" ref="M25">IFERROR(SUMPRODUCT(('Sulphuric Acid freights'!$B$3:$B$513=B25)*('Sulphuric Acid freights'!$D$3:$D$513=D25)*('Sulphuric Acid freights'!$M$3:$M$513))/SUMPRODUCT(('Sulphuric Acid freights'!$B$3:$B$513=B25)*('Sulphuric Acid freights'!$D$3:$D$513=D25)*1)*2/3, AVERAGE('Sulphuric Acid freights'!$M$3:$M$513))</f>
        <v>23.573122529644269</v>
      </c>
      <c r="N25" s="78">
        <f t="shared" si="3"/>
        <v>48.699604743083007</v>
      </c>
      <c r="O25" s="78" cm="1">
        <f t="array" ref="O25">IF(SUMPRODUCT(('Sulphur freight'!$B$3:$B$1976=B25)*('Sulphur freight'!$D$3:$D$1976=D25)*('Sulphur freight'!$G$3:$G$1976))/SUMPRODUCT(('Sulphur freight'!$B$3:$B$1976=B25)*('Sulphur freight'!$D$3:$D$1976=D25)*1)=0, AVERAGE('Sulphur freight'!$G$3:$G$1976),SUMPRODUCT(('Sulphur freight'!$B$3:$B$1976=B25)*('Sulphur freight'!$D$3:$D$1976=D25)*('Sulphur freight'!$G$3:$G$1976))/SUMPRODUCT(('Sulphur freight'!$B$3:$B$1976=B25)*('Sulphur freight'!$D$3:$D$1976=D25)*1))</f>
        <v>29.165429480381761</v>
      </c>
      <c r="P25" s="78">
        <v>20</v>
      </c>
      <c r="R25" s="78" t="str">
        <f t="shared" si="4"/>
        <v xml:space="preserve"> </v>
      </c>
      <c r="S25" s="78">
        <f t="shared" si="5"/>
        <v>51.573122529644266</v>
      </c>
      <c r="T25" s="78" t="str">
        <f t="shared" si="0"/>
        <v/>
      </c>
      <c r="U25" s="78" t="str">
        <f t="shared" si="6"/>
        <v/>
      </c>
      <c r="V25" s="78">
        <f>IFERROR(I25+O25, "")</f>
        <v>101.16542948038176</v>
      </c>
      <c r="W25" s="78">
        <f t="shared" si="7"/>
        <v>91</v>
      </c>
      <c r="X25" s="78">
        <f t="shared" si="8"/>
        <v>51.384591728525983</v>
      </c>
      <c r="Y25" s="78">
        <f t="shared" si="9"/>
        <v>48.03</v>
      </c>
      <c r="AA25" s="88" t="str">
        <f t="shared" si="10"/>
        <v/>
      </c>
      <c r="AB25" s="77" t="str">
        <f t="shared" si="1"/>
        <v/>
      </c>
      <c r="AD25" s="88" t="str">
        <f t="shared" si="11"/>
        <v/>
      </c>
      <c r="AE25" s="77" t="str">
        <f t="shared" si="2"/>
        <v/>
      </c>
    </row>
    <row r="26" spans="2:31" x14ac:dyDescent="0.35">
      <c r="B26" s="2">
        <v>2004</v>
      </c>
      <c r="C26" s="2">
        <v>1</v>
      </c>
      <c r="D26" s="2">
        <v>1</v>
      </c>
      <c r="E26" s="78" t="str">
        <f>'CRU historical'!F25</f>
        <v xml:space="preserve"> </v>
      </c>
      <c r="F26" s="78">
        <f>'CRU historical'!I25</f>
        <v>31.5</v>
      </c>
      <c r="G26" s="78" t="str">
        <f>'CRU historical'!L25</f>
        <v xml:space="preserve"> </v>
      </c>
      <c r="H26" s="78" t="str">
        <f>'CRU historical'!O25</f>
        <v xml:space="preserve"> </v>
      </c>
      <c r="I26" s="78">
        <f>'CRU historical'!R25</f>
        <v>74</v>
      </c>
      <c r="J26" s="78">
        <f>AVERAGE('CRU historical'!U25, 'CRU historical'!X25, 'CRU historical'!AA25, 'CRU historical'!AD25)</f>
        <v>76</v>
      </c>
      <c r="L26" s="78" cm="1">
        <f t="array" ref="L26">IFERROR(SUMPRODUCT(('Sulphuric Acid freights'!$B$3:$B$513=B26)*('Sulphuric Acid freights'!$D$3:$D$513=D26)*('Sulphuric Acid freights'!$P$3:$P$513))/SUMPRODUCT(('Sulphuric Acid freights'!$B$3:$B$513=B26)*('Sulphuric Acid freights'!$D$3:$D$513=D26)*1), AVERAGE('Sulphuric Acid freights'!$P$3:$P$513))*2/3</f>
        <v>54.110671936758898</v>
      </c>
      <c r="M26" s="78" cm="1">
        <f t="array" ref="M26">IFERROR(SUMPRODUCT(('Sulphuric Acid freights'!$B$3:$B$513=B26)*('Sulphuric Acid freights'!$D$3:$D$513=D26)*('Sulphuric Acid freights'!$M$3:$M$513))/SUMPRODUCT(('Sulphuric Acid freights'!$B$3:$B$513=B26)*('Sulphuric Acid freights'!$D$3:$D$513=D26)*1)*2/3, AVERAGE('Sulphuric Acid freights'!$M$3:$M$513))</f>
        <v>23.573122529644269</v>
      </c>
      <c r="N26" s="78">
        <f t="shared" si="3"/>
        <v>48.699604743083007</v>
      </c>
      <c r="O26" s="78" cm="1">
        <f t="array" ref="O26">IF(SUMPRODUCT(('Sulphur freight'!$B$3:$B$1976=B26)*('Sulphur freight'!$D$3:$D$1976=D26)*('Sulphur freight'!$G$3:$G$1976))/SUMPRODUCT(('Sulphur freight'!$B$3:$B$1976=B26)*('Sulphur freight'!$D$3:$D$1976=D26)*1)=0, AVERAGE('Sulphur freight'!$G$3:$G$1976),SUMPRODUCT(('Sulphur freight'!$B$3:$B$1976=B26)*('Sulphur freight'!$D$3:$D$1976=D26)*('Sulphur freight'!$G$3:$G$1976))/SUMPRODUCT(('Sulphur freight'!$B$3:$B$1976=B26)*('Sulphur freight'!$D$3:$D$1976=D26)*1))</f>
        <v>29.165429480381761</v>
      </c>
      <c r="P26" s="78">
        <v>20</v>
      </c>
      <c r="R26" s="78" t="str">
        <f t="shared" si="4"/>
        <v xml:space="preserve"> </v>
      </c>
      <c r="S26" s="78">
        <f t="shared" si="5"/>
        <v>55.073122529644266</v>
      </c>
      <c r="T26" s="78" t="str">
        <f t="shared" si="0"/>
        <v/>
      </c>
      <c r="U26" s="78" t="str">
        <f t="shared" si="6"/>
        <v/>
      </c>
      <c r="V26" s="78">
        <f>IFERROR(I26+O26, "")</f>
        <v>103.16542948038176</v>
      </c>
      <c r="W26" s="78">
        <f t="shared" si="7"/>
        <v>96</v>
      </c>
      <c r="X26" s="78">
        <f t="shared" si="8"/>
        <v>52.04459172852598</v>
      </c>
      <c r="Y26" s="78">
        <f t="shared" si="9"/>
        <v>49.68</v>
      </c>
      <c r="AA26" s="88" t="str">
        <f t="shared" si="10"/>
        <v/>
      </c>
      <c r="AB26" s="77" t="str">
        <f t="shared" si="1"/>
        <v/>
      </c>
      <c r="AD26" s="88" t="str">
        <f t="shared" si="11"/>
        <v/>
      </c>
      <c r="AE26" s="77" t="str">
        <f t="shared" si="2"/>
        <v/>
      </c>
    </row>
    <row r="27" spans="2:31" x14ac:dyDescent="0.35">
      <c r="B27" s="2">
        <v>2004</v>
      </c>
      <c r="C27" s="2">
        <v>1</v>
      </c>
      <c r="D27" s="2">
        <v>2</v>
      </c>
      <c r="E27" s="78" t="str">
        <f>'CRU historical'!F26</f>
        <v xml:space="preserve"> </v>
      </c>
      <c r="F27" s="78">
        <f>'CRU historical'!I26</f>
        <v>35</v>
      </c>
      <c r="G27" s="78" t="str">
        <f>'CRU historical'!L26</f>
        <v xml:space="preserve"> </v>
      </c>
      <c r="H27" s="78" t="str">
        <f>'CRU historical'!O26</f>
        <v xml:space="preserve"> </v>
      </c>
      <c r="I27" s="78">
        <f>'CRU historical'!R26</f>
        <v>66</v>
      </c>
      <c r="J27" s="78">
        <f>AVERAGE('CRU historical'!U26, 'CRU historical'!X26, 'CRU historical'!AA26, 'CRU historical'!AD26)</f>
        <v>78</v>
      </c>
      <c r="L27" s="78" cm="1">
        <f t="array" ref="L27">IFERROR(SUMPRODUCT(('Sulphuric Acid freights'!$B$3:$B$513=B27)*('Sulphuric Acid freights'!$D$3:$D$513=D27)*('Sulphuric Acid freights'!$P$3:$P$513))/SUMPRODUCT(('Sulphuric Acid freights'!$B$3:$B$513=B27)*('Sulphuric Acid freights'!$D$3:$D$513=D27)*1), AVERAGE('Sulphuric Acid freights'!$P$3:$P$513))*2/3</f>
        <v>54.110671936758898</v>
      </c>
      <c r="M27" s="78" cm="1">
        <f t="array" ref="M27">IFERROR(SUMPRODUCT(('Sulphuric Acid freights'!$B$3:$B$513=B27)*('Sulphuric Acid freights'!$D$3:$D$513=D27)*('Sulphuric Acid freights'!$M$3:$M$513))/SUMPRODUCT(('Sulphuric Acid freights'!$B$3:$B$513=B27)*('Sulphuric Acid freights'!$D$3:$D$513=D27)*1)*2/3, AVERAGE('Sulphuric Acid freights'!$M$3:$M$513))</f>
        <v>23.573122529644269</v>
      </c>
      <c r="N27" s="78">
        <f t="shared" si="3"/>
        <v>48.699604743083007</v>
      </c>
      <c r="O27" s="78" cm="1">
        <f t="array" ref="O27">IF(SUMPRODUCT(('Sulphur freight'!$B$3:$B$1976=B27)*('Sulphur freight'!$D$3:$D$1976=D27)*('Sulphur freight'!$G$3:$G$1976))/SUMPRODUCT(('Sulphur freight'!$B$3:$B$1976=B27)*('Sulphur freight'!$D$3:$D$1976=D27)*1)=0, AVERAGE('Sulphur freight'!$G$3:$G$1976),SUMPRODUCT(('Sulphur freight'!$B$3:$B$1976=B27)*('Sulphur freight'!$D$3:$D$1976=D27)*('Sulphur freight'!$G$3:$G$1976))/SUMPRODUCT(('Sulphur freight'!$B$3:$B$1976=B27)*('Sulphur freight'!$D$3:$D$1976=D27)*1))</f>
        <v>29.165429480381761</v>
      </c>
      <c r="P27" s="78">
        <v>20</v>
      </c>
      <c r="R27" s="78" t="str">
        <f t="shared" si="4"/>
        <v xml:space="preserve"> </v>
      </c>
      <c r="S27" s="78">
        <f t="shared" si="5"/>
        <v>58.573122529644266</v>
      </c>
      <c r="T27" s="78" t="str">
        <f t="shared" si="0"/>
        <v/>
      </c>
      <c r="U27" s="78" t="str">
        <f t="shared" si="6"/>
        <v/>
      </c>
      <c r="V27" s="78">
        <f>IFERROR(I27+O27, "")</f>
        <v>95.165429480381761</v>
      </c>
      <c r="W27" s="78">
        <f t="shared" si="7"/>
        <v>98</v>
      </c>
      <c r="X27" s="78">
        <f t="shared" si="8"/>
        <v>49.404591728525986</v>
      </c>
      <c r="Y27" s="78">
        <f t="shared" si="9"/>
        <v>50.34</v>
      </c>
      <c r="AA27" s="88" t="str">
        <f t="shared" si="10"/>
        <v/>
      </c>
      <c r="AB27" s="77" t="str">
        <f t="shared" si="1"/>
        <v/>
      </c>
      <c r="AD27" s="88" t="str">
        <f t="shared" si="11"/>
        <v/>
      </c>
      <c r="AE27" s="77" t="str">
        <f t="shared" si="2"/>
        <v/>
      </c>
    </row>
    <row r="28" spans="2:31" x14ac:dyDescent="0.35">
      <c r="B28" s="2">
        <v>2004</v>
      </c>
      <c r="C28" s="2">
        <v>1</v>
      </c>
      <c r="D28" s="2">
        <v>3</v>
      </c>
      <c r="E28" s="78" t="str">
        <f>'CRU historical'!F27</f>
        <v xml:space="preserve"> </v>
      </c>
      <c r="F28" s="78">
        <f>'CRU historical'!I27</f>
        <v>35</v>
      </c>
      <c r="G28" s="78" t="str">
        <f>'CRU historical'!L27</f>
        <v xml:space="preserve"> </v>
      </c>
      <c r="H28" s="78" t="str">
        <f>'CRU historical'!O27</f>
        <v xml:space="preserve"> </v>
      </c>
      <c r="I28" s="78">
        <f>'CRU historical'!R27</f>
        <v>64.333333333333329</v>
      </c>
      <c r="J28" s="78">
        <f>AVERAGE('CRU historical'!U27, 'CRU historical'!X27, 'CRU historical'!AA27, 'CRU historical'!AD27)</f>
        <v>77.5</v>
      </c>
      <c r="L28" s="78" cm="1">
        <f t="array" ref="L28">IFERROR(SUMPRODUCT(('Sulphuric Acid freights'!$B$3:$B$513=B28)*('Sulphuric Acid freights'!$D$3:$D$513=D28)*('Sulphuric Acid freights'!$P$3:$P$513))/SUMPRODUCT(('Sulphuric Acid freights'!$B$3:$B$513=B28)*('Sulphuric Acid freights'!$D$3:$D$513=D28)*1), AVERAGE('Sulphuric Acid freights'!$P$3:$P$513))*2/3</f>
        <v>54.110671936758898</v>
      </c>
      <c r="M28" s="78" cm="1">
        <f t="array" ref="M28">IFERROR(SUMPRODUCT(('Sulphuric Acid freights'!$B$3:$B$513=B28)*('Sulphuric Acid freights'!$D$3:$D$513=D28)*('Sulphuric Acid freights'!$M$3:$M$513))/SUMPRODUCT(('Sulphuric Acid freights'!$B$3:$B$513=B28)*('Sulphuric Acid freights'!$D$3:$D$513=D28)*1)*2/3, AVERAGE('Sulphuric Acid freights'!$M$3:$M$513))</f>
        <v>23.573122529644269</v>
      </c>
      <c r="N28" s="78">
        <f t="shared" si="3"/>
        <v>48.699604743083007</v>
      </c>
      <c r="O28" s="78" cm="1">
        <f t="array" ref="O28">IF(SUMPRODUCT(('Sulphur freight'!$B$3:$B$1976=B28)*('Sulphur freight'!$D$3:$D$1976=D28)*('Sulphur freight'!$G$3:$G$1976))/SUMPRODUCT(('Sulphur freight'!$B$3:$B$1976=B28)*('Sulphur freight'!$D$3:$D$1976=D28)*1)=0, AVERAGE('Sulphur freight'!$G$3:$G$1976),SUMPRODUCT(('Sulphur freight'!$B$3:$B$1976=B28)*('Sulphur freight'!$D$3:$D$1976=D28)*('Sulphur freight'!$G$3:$G$1976))/SUMPRODUCT(('Sulphur freight'!$B$3:$B$1976=B28)*('Sulphur freight'!$D$3:$D$1976=D28)*1))</f>
        <v>29.165429480381761</v>
      </c>
      <c r="P28" s="78">
        <v>20</v>
      </c>
      <c r="R28" s="78" t="str">
        <f t="shared" si="4"/>
        <v xml:space="preserve"> </v>
      </c>
      <c r="S28" s="78">
        <f t="shared" si="5"/>
        <v>58.573122529644266</v>
      </c>
      <c r="T28" s="78" t="str">
        <f t="shared" si="0"/>
        <v/>
      </c>
      <c r="U28" s="78" t="str">
        <f t="shared" si="6"/>
        <v/>
      </c>
      <c r="V28" s="78">
        <f>IFERROR(I28+O28, "")</f>
        <v>93.498762813715089</v>
      </c>
      <c r="W28" s="78">
        <f t="shared" si="7"/>
        <v>97.5</v>
      </c>
      <c r="X28" s="78">
        <f t="shared" si="8"/>
        <v>48.854591728525982</v>
      </c>
      <c r="Y28" s="78">
        <f t="shared" si="9"/>
        <v>50.175000000000004</v>
      </c>
      <c r="AA28" s="88" t="str">
        <f t="shared" si="10"/>
        <v/>
      </c>
      <c r="AB28" s="77" t="str">
        <f t="shared" si="1"/>
        <v/>
      </c>
      <c r="AD28" s="88" t="str">
        <f t="shared" si="11"/>
        <v/>
      </c>
      <c r="AE28" s="77" t="str">
        <f t="shared" si="2"/>
        <v/>
      </c>
    </row>
    <row r="29" spans="2:31" x14ac:dyDescent="0.35">
      <c r="B29" s="2">
        <v>2004</v>
      </c>
      <c r="C29" s="2">
        <v>2</v>
      </c>
      <c r="D29" s="2">
        <v>4</v>
      </c>
      <c r="E29" s="78" t="str">
        <f>'CRU historical'!F28</f>
        <v xml:space="preserve"> </v>
      </c>
      <c r="F29" s="78">
        <f>'CRU historical'!I28</f>
        <v>35</v>
      </c>
      <c r="G29" s="78" t="str">
        <f>'CRU historical'!L28</f>
        <v xml:space="preserve"> </v>
      </c>
      <c r="H29" s="78" t="str">
        <f>'CRU historical'!O28</f>
        <v xml:space="preserve"> </v>
      </c>
      <c r="I29" s="78">
        <f>'CRU historical'!R28</f>
        <v>61.333333333333336</v>
      </c>
      <c r="J29" s="78">
        <f>AVERAGE('CRU historical'!U28, 'CRU historical'!X28, 'CRU historical'!AA28, 'CRU historical'!AD28)</f>
        <v>77.333333333333343</v>
      </c>
      <c r="L29" s="78" cm="1">
        <f t="array" ref="L29">IFERROR(SUMPRODUCT(('Sulphuric Acid freights'!$B$3:$B$513=B29)*('Sulphuric Acid freights'!$D$3:$D$513=D29)*('Sulphuric Acid freights'!$P$3:$P$513))/SUMPRODUCT(('Sulphuric Acid freights'!$B$3:$B$513=B29)*('Sulphuric Acid freights'!$D$3:$D$513=D29)*1), AVERAGE('Sulphuric Acid freights'!$P$3:$P$513))*2/3</f>
        <v>54.110671936758898</v>
      </c>
      <c r="M29" s="78" cm="1">
        <f t="array" ref="M29">IFERROR(SUMPRODUCT(('Sulphuric Acid freights'!$B$3:$B$513=B29)*('Sulphuric Acid freights'!$D$3:$D$513=D29)*('Sulphuric Acid freights'!$M$3:$M$513))/SUMPRODUCT(('Sulphuric Acid freights'!$B$3:$B$513=B29)*('Sulphuric Acid freights'!$D$3:$D$513=D29)*1)*2/3, AVERAGE('Sulphuric Acid freights'!$M$3:$M$513))</f>
        <v>23.573122529644269</v>
      </c>
      <c r="N29" s="78">
        <f t="shared" si="3"/>
        <v>48.699604743083007</v>
      </c>
      <c r="O29" s="78" cm="1">
        <f t="array" ref="O29">IF(SUMPRODUCT(('Sulphur freight'!$B$3:$B$1976=B29)*('Sulphur freight'!$D$3:$D$1976=D29)*('Sulphur freight'!$G$3:$G$1976))/SUMPRODUCT(('Sulphur freight'!$B$3:$B$1976=B29)*('Sulphur freight'!$D$3:$D$1976=D29)*1)=0, AVERAGE('Sulphur freight'!$G$3:$G$1976),SUMPRODUCT(('Sulphur freight'!$B$3:$B$1976=B29)*('Sulphur freight'!$D$3:$D$1976=D29)*('Sulphur freight'!$G$3:$G$1976))/SUMPRODUCT(('Sulphur freight'!$B$3:$B$1976=B29)*('Sulphur freight'!$D$3:$D$1976=D29)*1))</f>
        <v>29.165429480381761</v>
      </c>
      <c r="P29" s="78">
        <v>20</v>
      </c>
      <c r="R29" s="78" t="str">
        <f t="shared" si="4"/>
        <v xml:space="preserve"> </v>
      </c>
      <c r="S29" s="78">
        <f t="shared" si="5"/>
        <v>58.573122529644266</v>
      </c>
      <c r="T29" s="78" t="str">
        <f t="shared" si="0"/>
        <v/>
      </c>
      <c r="U29" s="78" t="str">
        <f t="shared" si="6"/>
        <v/>
      </c>
      <c r="V29" s="78">
        <f>IFERROR(I29+O29, "")</f>
        <v>90.498762813715103</v>
      </c>
      <c r="W29" s="78">
        <f t="shared" si="7"/>
        <v>97.333333333333343</v>
      </c>
      <c r="X29" s="78">
        <f t="shared" si="8"/>
        <v>47.864591728525987</v>
      </c>
      <c r="Y29" s="78">
        <f t="shared" si="9"/>
        <v>50.120000000000005</v>
      </c>
      <c r="AA29" s="88" t="str">
        <f t="shared" si="10"/>
        <v/>
      </c>
      <c r="AB29" s="77" t="str">
        <f t="shared" si="1"/>
        <v/>
      </c>
      <c r="AD29" s="88" t="str">
        <f t="shared" si="11"/>
        <v/>
      </c>
      <c r="AE29" s="77" t="str">
        <f t="shared" si="2"/>
        <v/>
      </c>
    </row>
    <row r="30" spans="2:31" x14ac:dyDescent="0.35">
      <c r="B30" s="2">
        <v>2004</v>
      </c>
      <c r="C30" s="2">
        <v>2</v>
      </c>
      <c r="D30" s="2">
        <v>5</v>
      </c>
      <c r="E30" s="78" t="str">
        <f>'CRU historical'!F29</f>
        <v xml:space="preserve"> </v>
      </c>
      <c r="F30" s="78">
        <f>'CRU historical'!I29</f>
        <v>35</v>
      </c>
      <c r="G30" s="78" t="str">
        <f>'CRU historical'!L29</f>
        <v xml:space="preserve"> </v>
      </c>
      <c r="H30" s="78" t="str">
        <f>'CRU historical'!O29</f>
        <v xml:space="preserve"> </v>
      </c>
      <c r="I30" s="78">
        <f>'CRU historical'!R29</f>
        <v>65</v>
      </c>
      <c r="J30" s="78">
        <f>AVERAGE('CRU historical'!U29, 'CRU historical'!X29, 'CRU historical'!AA29, 'CRU historical'!AD29)</f>
        <v>78</v>
      </c>
      <c r="L30" s="78" cm="1">
        <f t="array" ref="L30">IFERROR(SUMPRODUCT(('Sulphuric Acid freights'!$B$3:$B$513=B30)*('Sulphuric Acid freights'!$D$3:$D$513=D30)*('Sulphuric Acid freights'!$P$3:$P$513))/SUMPRODUCT(('Sulphuric Acid freights'!$B$3:$B$513=B30)*('Sulphuric Acid freights'!$D$3:$D$513=D30)*1), AVERAGE('Sulphuric Acid freights'!$P$3:$P$513))*2/3</f>
        <v>54.110671936758898</v>
      </c>
      <c r="M30" s="78" cm="1">
        <f t="array" ref="M30">IFERROR(SUMPRODUCT(('Sulphuric Acid freights'!$B$3:$B$513=B30)*('Sulphuric Acid freights'!$D$3:$D$513=D30)*('Sulphuric Acid freights'!$M$3:$M$513))/SUMPRODUCT(('Sulphuric Acid freights'!$B$3:$B$513=B30)*('Sulphuric Acid freights'!$D$3:$D$513=D30)*1)*2/3, AVERAGE('Sulphuric Acid freights'!$M$3:$M$513))</f>
        <v>23.573122529644269</v>
      </c>
      <c r="N30" s="78">
        <f t="shared" si="3"/>
        <v>48.699604743083007</v>
      </c>
      <c r="O30" s="78" cm="1">
        <f t="array" ref="O30">IF(SUMPRODUCT(('Sulphur freight'!$B$3:$B$1976=B30)*('Sulphur freight'!$D$3:$D$1976=D30)*('Sulphur freight'!$G$3:$G$1976))/SUMPRODUCT(('Sulphur freight'!$B$3:$B$1976=B30)*('Sulphur freight'!$D$3:$D$1976=D30)*1)=0, AVERAGE('Sulphur freight'!$G$3:$G$1976),SUMPRODUCT(('Sulphur freight'!$B$3:$B$1976=B30)*('Sulphur freight'!$D$3:$D$1976=D30)*('Sulphur freight'!$G$3:$G$1976))/SUMPRODUCT(('Sulphur freight'!$B$3:$B$1976=B30)*('Sulphur freight'!$D$3:$D$1976=D30)*1))</f>
        <v>29.165429480381761</v>
      </c>
      <c r="P30" s="78">
        <v>20</v>
      </c>
      <c r="R30" s="78" t="str">
        <f t="shared" si="4"/>
        <v xml:space="preserve"> </v>
      </c>
      <c r="S30" s="78">
        <f t="shared" si="5"/>
        <v>58.573122529644266</v>
      </c>
      <c r="T30" s="78" t="str">
        <f t="shared" si="0"/>
        <v/>
      </c>
      <c r="U30" s="78" t="str">
        <f t="shared" si="6"/>
        <v/>
      </c>
      <c r="V30" s="78">
        <f>IFERROR(I30+O30, "")</f>
        <v>94.165429480381761</v>
      </c>
      <c r="W30" s="78">
        <f t="shared" si="7"/>
        <v>98</v>
      </c>
      <c r="X30" s="78">
        <f t="shared" si="8"/>
        <v>49.074591728525981</v>
      </c>
      <c r="Y30" s="78">
        <f t="shared" si="9"/>
        <v>50.34</v>
      </c>
      <c r="AA30" s="88" t="str">
        <f t="shared" si="10"/>
        <v/>
      </c>
      <c r="AB30" s="77" t="str">
        <f t="shared" si="1"/>
        <v/>
      </c>
      <c r="AD30" s="88" t="str">
        <f t="shared" si="11"/>
        <v/>
      </c>
      <c r="AE30" s="77" t="str">
        <f t="shared" si="2"/>
        <v/>
      </c>
    </row>
    <row r="31" spans="2:31" x14ac:dyDescent="0.35">
      <c r="B31" s="2">
        <v>2004</v>
      </c>
      <c r="C31" s="2">
        <v>2</v>
      </c>
      <c r="D31" s="2">
        <v>6</v>
      </c>
      <c r="E31" s="78" t="str">
        <f>'CRU historical'!F30</f>
        <v xml:space="preserve"> </v>
      </c>
      <c r="F31" s="78">
        <f>'CRU historical'!I30</f>
        <v>35.5</v>
      </c>
      <c r="G31" s="78" t="str">
        <f>'CRU historical'!L30</f>
        <v xml:space="preserve"> </v>
      </c>
      <c r="H31" s="78" t="str">
        <f>'CRU historical'!O30</f>
        <v xml:space="preserve"> </v>
      </c>
      <c r="I31" s="78">
        <f>'CRU historical'!R30</f>
        <v>65.5</v>
      </c>
      <c r="J31" s="78">
        <f>AVERAGE('CRU historical'!U30, 'CRU historical'!X30, 'CRU historical'!AA30, 'CRU historical'!AD30)</f>
        <v>77.5</v>
      </c>
      <c r="L31" s="78" cm="1">
        <f t="array" ref="L31">IFERROR(SUMPRODUCT(('Sulphuric Acid freights'!$B$3:$B$513=B31)*('Sulphuric Acid freights'!$D$3:$D$513=D31)*('Sulphuric Acid freights'!$P$3:$P$513))/SUMPRODUCT(('Sulphuric Acid freights'!$B$3:$B$513=B31)*('Sulphuric Acid freights'!$D$3:$D$513=D31)*1), AVERAGE('Sulphuric Acid freights'!$P$3:$P$513))*2/3</f>
        <v>54.110671936758898</v>
      </c>
      <c r="M31" s="78" cm="1">
        <f t="array" ref="M31">IFERROR(SUMPRODUCT(('Sulphuric Acid freights'!$B$3:$B$513=B31)*('Sulphuric Acid freights'!$D$3:$D$513=D31)*('Sulphuric Acid freights'!$M$3:$M$513))/SUMPRODUCT(('Sulphuric Acid freights'!$B$3:$B$513=B31)*('Sulphuric Acid freights'!$D$3:$D$513=D31)*1)*2/3, AVERAGE('Sulphuric Acid freights'!$M$3:$M$513))</f>
        <v>23.573122529644269</v>
      </c>
      <c r="N31" s="78">
        <f t="shared" si="3"/>
        <v>48.699604743083007</v>
      </c>
      <c r="O31" s="78" cm="1">
        <f t="array" ref="O31">IF(SUMPRODUCT(('Sulphur freight'!$B$3:$B$1976=B31)*('Sulphur freight'!$D$3:$D$1976=D31)*('Sulphur freight'!$G$3:$G$1976))/SUMPRODUCT(('Sulphur freight'!$B$3:$B$1976=B31)*('Sulphur freight'!$D$3:$D$1976=D31)*1)=0, AVERAGE('Sulphur freight'!$G$3:$G$1976),SUMPRODUCT(('Sulphur freight'!$B$3:$B$1976=B31)*('Sulphur freight'!$D$3:$D$1976=D31)*('Sulphur freight'!$G$3:$G$1976))/SUMPRODUCT(('Sulphur freight'!$B$3:$B$1976=B31)*('Sulphur freight'!$D$3:$D$1976=D31)*1))</f>
        <v>29.165429480381761</v>
      </c>
      <c r="P31" s="78">
        <v>20</v>
      </c>
      <c r="R31" s="78" t="str">
        <f t="shared" si="4"/>
        <v xml:space="preserve"> </v>
      </c>
      <c r="S31" s="78">
        <f t="shared" si="5"/>
        <v>59.073122529644266</v>
      </c>
      <c r="T31" s="78" t="str">
        <f t="shared" si="0"/>
        <v/>
      </c>
      <c r="U31" s="78" t="str">
        <f t="shared" si="6"/>
        <v/>
      </c>
      <c r="V31" s="78">
        <f>IFERROR(I31+O31, "")</f>
        <v>94.665429480381761</v>
      </c>
      <c r="W31" s="78">
        <f t="shared" si="7"/>
        <v>97.5</v>
      </c>
      <c r="X31" s="78">
        <f t="shared" si="8"/>
        <v>49.23959172852598</v>
      </c>
      <c r="Y31" s="78">
        <f t="shared" si="9"/>
        <v>50.175000000000004</v>
      </c>
      <c r="AA31" s="88" t="str">
        <f t="shared" si="10"/>
        <v/>
      </c>
      <c r="AB31" s="77" t="str">
        <f t="shared" si="1"/>
        <v/>
      </c>
      <c r="AD31" s="88" t="str">
        <f t="shared" si="11"/>
        <v/>
      </c>
      <c r="AE31" s="77" t="str">
        <f t="shared" si="2"/>
        <v/>
      </c>
    </row>
    <row r="32" spans="2:31" x14ac:dyDescent="0.35">
      <c r="B32" s="2">
        <v>2004</v>
      </c>
      <c r="C32" s="2">
        <v>3</v>
      </c>
      <c r="D32" s="2">
        <v>7</v>
      </c>
      <c r="E32" s="78" t="str">
        <f>'CRU historical'!F31</f>
        <v xml:space="preserve"> </v>
      </c>
      <c r="F32" s="78">
        <f>'CRU historical'!I31</f>
        <v>36</v>
      </c>
      <c r="G32" s="78" t="str">
        <f>'CRU historical'!L31</f>
        <v xml:space="preserve"> </v>
      </c>
      <c r="H32" s="78" t="str">
        <f>'CRU historical'!O31</f>
        <v xml:space="preserve"> </v>
      </c>
      <c r="I32" s="78">
        <f>'CRU historical'!R31</f>
        <v>66.5</v>
      </c>
      <c r="J32" s="78">
        <f>AVERAGE('CRU historical'!U31, 'CRU historical'!X31, 'CRU historical'!AA31, 'CRU historical'!AD31)</f>
        <v>76.75</v>
      </c>
      <c r="L32" s="78" cm="1">
        <f t="array" ref="L32">IFERROR(SUMPRODUCT(('Sulphuric Acid freights'!$B$3:$B$513=B32)*('Sulphuric Acid freights'!$D$3:$D$513=D32)*('Sulphuric Acid freights'!$P$3:$P$513))/SUMPRODUCT(('Sulphuric Acid freights'!$B$3:$B$513=B32)*('Sulphuric Acid freights'!$D$3:$D$513=D32)*1), AVERAGE('Sulphuric Acid freights'!$P$3:$P$513))*2/3</f>
        <v>54.110671936758898</v>
      </c>
      <c r="M32" s="78" cm="1">
        <f t="array" ref="M32">IFERROR(SUMPRODUCT(('Sulphuric Acid freights'!$B$3:$B$513=B32)*('Sulphuric Acid freights'!$D$3:$D$513=D32)*('Sulphuric Acid freights'!$M$3:$M$513))/SUMPRODUCT(('Sulphuric Acid freights'!$B$3:$B$513=B32)*('Sulphuric Acid freights'!$D$3:$D$513=D32)*1)*2/3, AVERAGE('Sulphuric Acid freights'!$M$3:$M$513))</f>
        <v>23.573122529644269</v>
      </c>
      <c r="N32" s="78">
        <f t="shared" si="3"/>
        <v>48.699604743083007</v>
      </c>
      <c r="O32" s="78" cm="1">
        <f t="array" ref="O32">IF(SUMPRODUCT(('Sulphur freight'!$B$3:$B$1976=B32)*('Sulphur freight'!$D$3:$D$1976=D32)*('Sulphur freight'!$G$3:$G$1976))/SUMPRODUCT(('Sulphur freight'!$B$3:$B$1976=B32)*('Sulphur freight'!$D$3:$D$1976=D32)*1)=0, AVERAGE('Sulphur freight'!$G$3:$G$1976),SUMPRODUCT(('Sulphur freight'!$B$3:$B$1976=B32)*('Sulphur freight'!$D$3:$D$1976=D32)*('Sulphur freight'!$G$3:$G$1976))/SUMPRODUCT(('Sulphur freight'!$B$3:$B$1976=B32)*('Sulphur freight'!$D$3:$D$1976=D32)*1))</f>
        <v>29.165429480381761</v>
      </c>
      <c r="P32" s="78">
        <v>20</v>
      </c>
      <c r="R32" s="78" t="str">
        <f t="shared" si="4"/>
        <v xml:space="preserve"> </v>
      </c>
      <c r="S32" s="78">
        <f t="shared" si="5"/>
        <v>59.573122529644266</v>
      </c>
      <c r="T32" s="78" t="str">
        <f t="shared" si="0"/>
        <v/>
      </c>
      <c r="U32" s="78" t="str">
        <f t="shared" si="6"/>
        <v/>
      </c>
      <c r="V32" s="78">
        <f>IFERROR(I32+O32, "")</f>
        <v>95.665429480381761</v>
      </c>
      <c r="W32" s="78">
        <f t="shared" si="7"/>
        <v>96.75</v>
      </c>
      <c r="X32" s="78">
        <f t="shared" si="8"/>
        <v>49.569591728525978</v>
      </c>
      <c r="Y32" s="78">
        <f t="shared" si="9"/>
        <v>49.927500000000002</v>
      </c>
      <c r="AA32" s="88" t="str">
        <f t="shared" si="10"/>
        <v/>
      </c>
      <c r="AB32" s="77" t="str">
        <f t="shared" si="1"/>
        <v/>
      </c>
      <c r="AD32" s="88" t="str">
        <f t="shared" si="11"/>
        <v/>
      </c>
      <c r="AE32" s="77" t="str">
        <f t="shared" si="2"/>
        <v/>
      </c>
    </row>
    <row r="33" spans="2:31" x14ac:dyDescent="0.35">
      <c r="B33" s="2">
        <v>2004</v>
      </c>
      <c r="C33" s="2">
        <v>3</v>
      </c>
      <c r="D33" s="2">
        <v>8</v>
      </c>
      <c r="E33" s="78" t="str">
        <f>'CRU historical'!F32</f>
        <v xml:space="preserve"> </v>
      </c>
      <c r="F33" s="78">
        <f>'CRU historical'!I32</f>
        <v>36</v>
      </c>
      <c r="G33" s="78" t="str">
        <f>'CRU historical'!L32</f>
        <v xml:space="preserve"> </v>
      </c>
      <c r="H33" s="78" t="str">
        <f>'CRU historical'!O32</f>
        <v xml:space="preserve"> </v>
      </c>
      <c r="I33" s="78">
        <f>'CRU historical'!R32</f>
        <v>72</v>
      </c>
      <c r="J33" s="78">
        <f>AVERAGE('CRU historical'!U32, 'CRU historical'!X32, 'CRU historical'!AA32, 'CRU historical'!AD32)</f>
        <v>76.75</v>
      </c>
      <c r="L33" s="78" cm="1">
        <f t="array" ref="L33">IFERROR(SUMPRODUCT(('Sulphuric Acid freights'!$B$3:$B$513=B33)*('Sulphuric Acid freights'!$D$3:$D$513=D33)*('Sulphuric Acid freights'!$P$3:$P$513))/SUMPRODUCT(('Sulphuric Acid freights'!$B$3:$B$513=B33)*('Sulphuric Acid freights'!$D$3:$D$513=D33)*1), AVERAGE('Sulphuric Acid freights'!$P$3:$P$513))*2/3</f>
        <v>54.110671936758898</v>
      </c>
      <c r="M33" s="78" cm="1">
        <f t="array" ref="M33">IFERROR(SUMPRODUCT(('Sulphuric Acid freights'!$B$3:$B$513=B33)*('Sulphuric Acid freights'!$D$3:$D$513=D33)*('Sulphuric Acid freights'!$M$3:$M$513))/SUMPRODUCT(('Sulphuric Acid freights'!$B$3:$B$513=B33)*('Sulphuric Acid freights'!$D$3:$D$513=D33)*1)*2/3, AVERAGE('Sulphuric Acid freights'!$M$3:$M$513))</f>
        <v>23.573122529644269</v>
      </c>
      <c r="N33" s="78">
        <f t="shared" si="3"/>
        <v>48.699604743083007</v>
      </c>
      <c r="O33" s="78" cm="1">
        <f t="array" ref="O33">IF(SUMPRODUCT(('Sulphur freight'!$B$3:$B$1976=B33)*('Sulphur freight'!$D$3:$D$1976=D33)*('Sulphur freight'!$G$3:$G$1976))/SUMPRODUCT(('Sulphur freight'!$B$3:$B$1976=B33)*('Sulphur freight'!$D$3:$D$1976=D33)*1)=0, AVERAGE('Sulphur freight'!$G$3:$G$1976),SUMPRODUCT(('Sulphur freight'!$B$3:$B$1976=B33)*('Sulphur freight'!$D$3:$D$1976=D33)*('Sulphur freight'!$G$3:$G$1976))/SUMPRODUCT(('Sulphur freight'!$B$3:$B$1976=B33)*('Sulphur freight'!$D$3:$D$1976=D33)*1))</f>
        <v>29.165429480381761</v>
      </c>
      <c r="P33" s="78">
        <v>20</v>
      </c>
      <c r="R33" s="78" t="str">
        <f t="shared" si="4"/>
        <v xml:space="preserve"> </v>
      </c>
      <c r="S33" s="78">
        <f t="shared" si="5"/>
        <v>59.573122529644266</v>
      </c>
      <c r="T33" s="78" t="str">
        <f t="shared" si="0"/>
        <v/>
      </c>
      <c r="U33" s="78" t="str">
        <f t="shared" si="6"/>
        <v/>
      </c>
      <c r="V33" s="78">
        <f>IFERROR(I33+O33, "")</f>
        <v>101.16542948038176</v>
      </c>
      <c r="W33" s="78">
        <f t="shared" si="7"/>
        <v>96.75</v>
      </c>
      <c r="X33" s="78">
        <f t="shared" si="8"/>
        <v>51.384591728525983</v>
      </c>
      <c r="Y33" s="78">
        <f t="shared" si="9"/>
        <v>49.927500000000002</v>
      </c>
      <c r="AA33" s="88" t="str">
        <f t="shared" si="10"/>
        <v/>
      </c>
      <c r="AB33" s="77" t="str">
        <f t="shared" si="1"/>
        <v/>
      </c>
      <c r="AD33" s="88" t="str">
        <f t="shared" si="11"/>
        <v/>
      </c>
      <c r="AE33" s="77" t="str">
        <f t="shared" si="2"/>
        <v/>
      </c>
    </row>
    <row r="34" spans="2:31" x14ac:dyDescent="0.35">
      <c r="B34" s="2">
        <v>2004</v>
      </c>
      <c r="C34" s="2">
        <v>3</v>
      </c>
      <c r="D34" s="2">
        <v>9</v>
      </c>
      <c r="E34" s="78" t="str">
        <f>'CRU historical'!F33</f>
        <v xml:space="preserve"> </v>
      </c>
      <c r="F34" s="78">
        <f>'CRU historical'!I33</f>
        <v>36</v>
      </c>
      <c r="G34" s="78" t="str">
        <f>'CRU historical'!L33</f>
        <v xml:space="preserve"> </v>
      </c>
      <c r="H34" s="78" t="str">
        <f>'CRU historical'!O33</f>
        <v xml:space="preserve"> </v>
      </c>
      <c r="I34" s="78">
        <f>'CRU historical'!R33</f>
        <v>71</v>
      </c>
      <c r="J34" s="78">
        <f>AVERAGE('CRU historical'!U33, 'CRU historical'!X33, 'CRU historical'!AA33, 'CRU historical'!AD33)</f>
        <v>75.166666666666671</v>
      </c>
      <c r="L34" s="78" cm="1">
        <f t="array" ref="L34">IFERROR(SUMPRODUCT(('Sulphuric Acid freights'!$B$3:$B$513=B34)*('Sulphuric Acid freights'!$D$3:$D$513=D34)*('Sulphuric Acid freights'!$P$3:$P$513))/SUMPRODUCT(('Sulphuric Acid freights'!$B$3:$B$513=B34)*('Sulphuric Acid freights'!$D$3:$D$513=D34)*1), AVERAGE('Sulphuric Acid freights'!$P$3:$P$513))*2/3</f>
        <v>54.110671936758898</v>
      </c>
      <c r="M34" s="78" cm="1">
        <f t="array" ref="M34">IFERROR(SUMPRODUCT(('Sulphuric Acid freights'!$B$3:$B$513=B34)*('Sulphuric Acid freights'!$D$3:$D$513=D34)*('Sulphuric Acid freights'!$M$3:$M$513))/SUMPRODUCT(('Sulphuric Acid freights'!$B$3:$B$513=B34)*('Sulphuric Acid freights'!$D$3:$D$513=D34)*1)*2/3, AVERAGE('Sulphuric Acid freights'!$M$3:$M$513))</f>
        <v>23.573122529644269</v>
      </c>
      <c r="N34" s="78">
        <f t="shared" si="3"/>
        <v>48.699604743083007</v>
      </c>
      <c r="O34" s="78" cm="1">
        <f t="array" ref="O34">IF(SUMPRODUCT(('Sulphur freight'!$B$3:$B$1976=B34)*('Sulphur freight'!$D$3:$D$1976=D34)*('Sulphur freight'!$G$3:$G$1976))/SUMPRODUCT(('Sulphur freight'!$B$3:$B$1976=B34)*('Sulphur freight'!$D$3:$D$1976=D34)*1)=0, AVERAGE('Sulphur freight'!$G$3:$G$1976),SUMPRODUCT(('Sulphur freight'!$B$3:$B$1976=B34)*('Sulphur freight'!$D$3:$D$1976=D34)*('Sulphur freight'!$G$3:$G$1976))/SUMPRODUCT(('Sulphur freight'!$B$3:$B$1976=B34)*('Sulphur freight'!$D$3:$D$1976=D34)*1))</f>
        <v>29.165429480381761</v>
      </c>
      <c r="P34" s="78">
        <v>20</v>
      </c>
      <c r="R34" s="78" t="str">
        <f t="shared" si="4"/>
        <v xml:space="preserve"> </v>
      </c>
      <c r="S34" s="78">
        <f t="shared" si="5"/>
        <v>59.573122529644266</v>
      </c>
      <c r="T34" s="78" t="str">
        <f t="shared" si="0"/>
        <v/>
      </c>
      <c r="U34" s="78" t="str">
        <f t="shared" si="6"/>
        <v/>
      </c>
      <c r="V34" s="78">
        <f>IFERROR(I34+O34, "")</f>
        <v>100.16542948038176</v>
      </c>
      <c r="W34" s="78">
        <f t="shared" si="7"/>
        <v>95.166666666666671</v>
      </c>
      <c r="X34" s="78">
        <f t="shared" si="8"/>
        <v>51.054591728525985</v>
      </c>
      <c r="Y34" s="78">
        <f t="shared" si="9"/>
        <v>49.405000000000001</v>
      </c>
      <c r="AA34" s="88" t="str">
        <f t="shared" si="10"/>
        <v/>
      </c>
      <c r="AB34" s="77" t="str">
        <f t="shared" si="1"/>
        <v/>
      </c>
      <c r="AD34" s="88" t="str">
        <f t="shared" si="11"/>
        <v/>
      </c>
      <c r="AE34" s="77" t="str">
        <f t="shared" si="2"/>
        <v/>
      </c>
    </row>
    <row r="35" spans="2:31" x14ac:dyDescent="0.35">
      <c r="B35" s="2">
        <v>2004</v>
      </c>
      <c r="C35" s="2">
        <v>4</v>
      </c>
      <c r="D35" s="2">
        <v>10</v>
      </c>
      <c r="E35" s="78" t="str">
        <f>'CRU historical'!F34</f>
        <v xml:space="preserve"> </v>
      </c>
      <c r="F35" s="78">
        <f>'CRU historical'!I34</f>
        <v>36</v>
      </c>
      <c r="G35" s="78" t="str">
        <f>'CRU historical'!L34</f>
        <v xml:space="preserve"> </v>
      </c>
      <c r="H35" s="78" t="str">
        <f>'CRU historical'!O34</f>
        <v xml:space="preserve"> </v>
      </c>
      <c r="I35" s="78">
        <f>'CRU historical'!R34</f>
        <v>72</v>
      </c>
      <c r="J35" s="78">
        <f>AVERAGE('CRU historical'!U34, 'CRU historical'!X34, 'CRU historical'!AA34, 'CRU historical'!AD34)</f>
        <v>75</v>
      </c>
      <c r="L35" s="78" cm="1">
        <f t="array" ref="L35">IFERROR(SUMPRODUCT(('Sulphuric Acid freights'!$B$3:$B$513=B35)*('Sulphuric Acid freights'!$D$3:$D$513=D35)*('Sulphuric Acid freights'!$P$3:$P$513))/SUMPRODUCT(('Sulphuric Acid freights'!$B$3:$B$513=B35)*('Sulphuric Acid freights'!$D$3:$D$513=D35)*1), AVERAGE('Sulphuric Acid freights'!$P$3:$P$513))*2/3</f>
        <v>54.110671936758898</v>
      </c>
      <c r="M35" s="78" cm="1">
        <f t="array" ref="M35">IFERROR(SUMPRODUCT(('Sulphuric Acid freights'!$B$3:$B$513=B35)*('Sulphuric Acid freights'!$D$3:$D$513=D35)*('Sulphuric Acid freights'!$M$3:$M$513))/SUMPRODUCT(('Sulphuric Acid freights'!$B$3:$B$513=B35)*('Sulphuric Acid freights'!$D$3:$D$513=D35)*1)*2/3, AVERAGE('Sulphuric Acid freights'!$M$3:$M$513))</f>
        <v>23.573122529644269</v>
      </c>
      <c r="N35" s="78">
        <f t="shared" si="3"/>
        <v>48.699604743083007</v>
      </c>
      <c r="O35" s="78" cm="1">
        <f t="array" ref="O35">IF(SUMPRODUCT(('Sulphur freight'!$B$3:$B$1976=B35)*('Sulphur freight'!$D$3:$D$1976=D35)*('Sulphur freight'!$G$3:$G$1976))/SUMPRODUCT(('Sulphur freight'!$B$3:$B$1976=B35)*('Sulphur freight'!$D$3:$D$1976=D35)*1)=0, AVERAGE('Sulphur freight'!$G$3:$G$1976),SUMPRODUCT(('Sulphur freight'!$B$3:$B$1976=B35)*('Sulphur freight'!$D$3:$D$1976=D35)*('Sulphur freight'!$G$3:$G$1976))/SUMPRODUCT(('Sulphur freight'!$B$3:$B$1976=B35)*('Sulphur freight'!$D$3:$D$1976=D35)*1))</f>
        <v>29.165429480381761</v>
      </c>
      <c r="P35" s="78">
        <v>20</v>
      </c>
      <c r="R35" s="78" t="str">
        <f t="shared" si="4"/>
        <v xml:space="preserve"> </v>
      </c>
      <c r="S35" s="78">
        <f t="shared" si="5"/>
        <v>59.573122529644266</v>
      </c>
      <c r="T35" s="78" t="str">
        <f t="shared" si="0"/>
        <v/>
      </c>
      <c r="U35" s="78" t="str">
        <f t="shared" si="6"/>
        <v/>
      </c>
      <c r="V35" s="78">
        <f>IFERROR(I35+O35, "")</f>
        <v>101.16542948038176</v>
      </c>
      <c r="W35" s="78">
        <f t="shared" si="7"/>
        <v>95</v>
      </c>
      <c r="X35" s="78">
        <f t="shared" si="8"/>
        <v>51.384591728525983</v>
      </c>
      <c r="Y35" s="78">
        <f t="shared" si="9"/>
        <v>49.35</v>
      </c>
      <c r="AA35" s="88" t="str">
        <f t="shared" si="10"/>
        <v/>
      </c>
      <c r="AB35" s="77" t="str">
        <f t="shared" si="1"/>
        <v/>
      </c>
      <c r="AD35" s="88" t="str">
        <f t="shared" si="11"/>
        <v/>
      </c>
      <c r="AE35" s="77" t="str">
        <f t="shared" si="2"/>
        <v/>
      </c>
    </row>
    <row r="36" spans="2:31" x14ac:dyDescent="0.35">
      <c r="B36" s="2">
        <v>2004</v>
      </c>
      <c r="C36" s="2">
        <v>4</v>
      </c>
      <c r="D36" s="2">
        <v>11</v>
      </c>
      <c r="E36" s="78" t="str">
        <f>'CRU historical'!F35</f>
        <v xml:space="preserve"> </v>
      </c>
      <c r="F36" s="78">
        <f>'CRU historical'!I35</f>
        <v>36</v>
      </c>
      <c r="G36" s="78" t="str">
        <f>'CRU historical'!L35</f>
        <v xml:space="preserve"> </v>
      </c>
      <c r="H36" s="78" t="str">
        <f>'CRU historical'!O35</f>
        <v xml:space="preserve"> </v>
      </c>
      <c r="I36" s="78">
        <f>'CRU historical'!R35</f>
        <v>65</v>
      </c>
      <c r="J36" s="78">
        <f>AVERAGE('CRU historical'!U35, 'CRU historical'!X35, 'CRU historical'!AA35, 'CRU historical'!AD35)</f>
        <v>75</v>
      </c>
      <c r="L36" s="78" cm="1">
        <f t="array" ref="L36">IFERROR(SUMPRODUCT(('Sulphuric Acid freights'!$B$3:$B$513=B36)*('Sulphuric Acid freights'!$D$3:$D$513=D36)*('Sulphuric Acid freights'!$P$3:$P$513))/SUMPRODUCT(('Sulphuric Acid freights'!$B$3:$B$513=B36)*('Sulphuric Acid freights'!$D$3:$D$513=D36)*1), AVERAGE('Sulphuric Acid freights'!$P$3:$P$513))*2/3</f>
        <v>54.110671936758898</v>
      </c>
      <c r="M36" s="78" cm="1">
        <f t="array" ref="M36">IFERROR(SUMPRODUCT(('Sulphuric Acid freights'!$B$3:$B$513=B36)*('Sulphuric Acid freights'!$D$3:$D$513=D36)*('Sulphuric Acid freights'!$M$3:$M$513))/SUMPRODUCT(('Sulphuric Acid freights'!$B$3:$B$513=B36)*('Sulphuric Acid freights'!$D$3:$D$513=D36)*1)*2/3, AVERAGE('Sulphuric Acid freights'!$M$3:$M$513))</f>
        <v>23.573122529644269</v>
      </c>
      <c r="N36" s="78">
        <f t="shared" si="3"/>
        <v>48.699604743083007</v>
      </c>
      <c r="O36" s="78" cm="1">
        <f t="array" ref="O36">IF(SUMPRODUCT(('Sulphur freight'!$B$3:$B$1976=B36)*('Sulphur freight'!$D$3:$D$1976=D36)*('Sulphur freight'!$G$3:$G$1976))/SUMPRODUCT(('Sulphur freight'!$B$3:$B$1976=B36)*('Sulphur freight'!$D$3:$D$1976=D36)*1)=0, AVERAGE('Sulphur freight'!$G$3:$G$1976),SUMPRODUCT(('Sulphur freight'!$B$3:$B$1976=B36)*('Sulphur freight'!$D$3:$D$1976=D36)*('Sulphur freight'!$G$3:$G$1976))/SUMPRODUCT(('Sulphur freight'!$B$3:$B$1976=B36)*('Sulphur freight'!$D$3:$D$1976=D36)*1))</f>
        <v>29.165429480381761</v>
      </c>
      <c r="P36" s="78">
        <v>20</v>
      </c>
      <c r="R36" s="78" t="str">
        <f t="shared" si="4"/>
        <v xml:space="preserve"> </v>
      </c>
      <c r="S36" s="78">
        <f t="shared" si="5"/>
        <v>59.573122529644266</v>
      </c>
      <c r="T36" s="78" t="str">
        <f t="shared" si="0"/>
        <v/>
      </c>
      <c r="U36" s="78" t="str">
        <f t="shared" si="6"/>
        <v/>
      </c>
      <c r="V36" s="78">
        <f>IFERROR(I36+O36, "")</f>
        <v>94.165429480381761</v>
      </c>
      <c r="W36" s="78">
        <f t="shared" si="7"/>
        <v>95</v>
      </c>
      <c r="X36" s="78">
        <f t="shared" si="8"/>
        <v>49.074591728525981</v>
      </c>
      <c r="Y36" s="78">
        <f t="shared" si="9"/>
        <v>49.35</v>
      </c>
      <c r="AA36" s="88" t="str">
        <f t="shared" si="10"/>
        <v/>
      </c>
      <c r="AB36" s="77" t="str">
        <f t="shared" si="1"/>
        <v/>
      </c>
      <c r="AD36" s="88" t="str">
        <f t="shared" si="11"/>
        <v/>
      </c>
      <c r="AE36" s="77" t="str">
        <f t="shared" si="2"/>
        <v/>
      </c>
    </row>
    <row r="37" spans="2:31" x14ac:dyDescent="0.35">
      <c r="B37" s="2">
        <v>2004</v>
      </c>
      <c r="C37" s="2">
        <v>4</v>
      </c>
      <c r="D37" s="2">
        <v>12</v>
      </c>
      <c r="E37" s="78" t="str">
        <f>'CRU historical'!F36</f>
        <v xml:space="preserve"> </v>
      </c>
      <c r="F37" s="78">
        <f>'CRU historical'!I36</f>
        <v>36</v>
      </c>
      <c r="G37" s="78" t="str">
        <f>'CRU historical'!L36</f>
        <v xml:space="preserve"> </v>
      </c>
      <c r="H37" s="78" t="str">
        <f>'CRU historical'!O36</f>
        <v xml:space="preserve"> </v>
      </c>
      <c r="I37" s="78">
        <f>'CRU historical'!R36</f>
        <v>64.5</v>
      </c>
      <c r="J37" s="78">
        <f>AVERAGE('CRU historical'!U36, 'CRU historical'!X36, 'CRU historical'!AA36, 'CRU historical'!AD36)</f>
        <v>74</v>
      </c>
      <c r="L37" s="78" cm="1">
        <f t="array" ref="L37">IFERROR(SUMPRODUCT(('Sulphuric Acid freights'!$B$3:$B$513=B37)*('Sulphuric Acid freights'!$D$3:$D$513=D37)*('Sulphuric Acid freights'!$P$3:$P$513))/SUMPRODUCT(('Sulphuric Acid freights'!$B$3:$B$513=B37)*('Sulphuric Acid freights'!$D$3:$D$513=D37)*1), AVERAGE('Sulphuric Acid freights'!$P$3:$P$513))*2/3</f>
        <v>54.110671936758898</v>
      </c>
      <c r="M37" s="78" cm="1">
        <f t="array" ref="M37">IFERROR(SUMPRODUCT(('Sulphuric Acid freights'!$B$3:$B$513=B37)*('Sulphuric Acid freights'!$D$3:$D$513=D37)*('Sulphuric Acid freights'!$M$3:$M$513))/SUMPRODUCT(('Sulphuric Acid freights'!$B$3:$B$513=B37)*('Sulphuric Acid freights'!$D$3:$D$513=D37)*1)*2/3, AVERAGE('Sulphuric Acid freights'!$M$3:$M$513))</f>
        <v>23.573122529644269</v>
      </c>
      <c r="N37" s="78">
        <f t="shared" si="3"/>
        <v>48.699604743083007</v>
      </c>
      <c r="O37" s="78" cm="1">
        <f t="array" ref="O37">IF(SUMPRODUCT(('Sulphur freight'!$B$3:$B$1976=B37)*('Sulphur freight'!$D$3:$D$1976=D37)*('Sulphur freight'!$G$3:$G$1976))/SUMPRODUCT(('Sulphur freight'!$B$3:$B$1976=B37)*('Sulphur freight'!$D$3:$D$1976=D37)*1)=0, AVERAGE('Sulphur freight'!$G$3:$G$1976),SUMPRODUCT(('Sulphur freight'!$B$3:$B$1976=B37)*('Sulphur freight'!$D$3:$D$1976=D37)*('Sulphur freight'!$G$3:$G$1976))/SUMPRODUCT(('Sulphur freight'!$B$3:$B$1976=B37)*('Sulphur freight'!$D$3:$D$1976=D37)*1))</f>
        <v>29.165429480381761</v>
      </c>
      <c r="P37" s="78">
        <v>20</v>
      </c>
      <c r="R37" s="78" t="str">
        <f t="shared" si="4"/>
        <v xml:space="preserve"> </v>
      </c>
      <c r="S37" s="78">
        <f t="shared" si="5"/>
        <v>59.573122529644266</v>
      </c>
      <c r="T37" s="78" t="str">
        <f t="shared" si="0"/>
        <v/>
      </c>
      <c r="U37" s="78" t="str">
        <f t="shared" si="6"/>
        <v/>
      </c>
      <c r="V37" s="78">
        <f>IFERROR(I37+O37, "")</f>
        <v>93.665429480381761</v>
      </c>
      <c r="W37" s="78">
        <f t="shared" si="7"/>
        <v>94</v>
      </c>
      <c r="X37" s="78">
        <f t="shared" si="8"/>
        <v>48.909591728525982</v>
      </c>
      <c r="Y37" s="78">
        <f t="shared" si="9"/>
        <v>49.02</v>
      </c>
      <c r="AA37" s="88" t="str">
        <f t="shared" si="10"/>
        <v/>
      </c>
      <c r="AB37" s="77" t="str">
        <f t="shared" si="1"/>
        <v/>
      </c>
      <c r="AD37" s="88" t="str">
        <f t="shared" si="11"/>
        <v/>
      </c>
      <c r="AE37" s="77" t="str">
        <f t="shared" si="2"/>
        <v/>
      </c>
    </row>
    <row r="38" spans="2:31" x14ac:dyDescent="0.35">
      <c r="B38" s="2">
        <v>2005</v>
      </c>
      <c r="C38" s="2">
        <v>1</v>
      </c>
      <c r="D38" s="2">
        <v>1</v>
      </c>
      <c r="E38" s="78" t="str">
        <f>'CRU historical'!F37</f>
        <v xml:space="preserve"> </v>
      </c>
      <c r="F38" s="78">
        <f>'CRU historical'!I37</f>
        <v>36.5</v>
      </c>
      <c r="G38" s="78" t="str">
        <f>'CRU historical'!L37</f>
        <v xml:space="preserve"> </v>
      </c>
      <c r="H38" s="78" t="str">
        <f>'CRU historical'!O37</f>
        <v xml:space="preserve"> </v>
      </c>
      <c r="I38" s="78">
        <f>'CRU historical'!R37</f>
        <v>62.5</v>
      </c>
      <c r="J38" s="78">
        <f>AVERAGE('CRU historical'!U37, 'CRU historical'!X37, 'CRU historical'!AA37, 'CRU historical'!AD37)</f>
        <v>75.25</v>
      </c>
      <c r="L38" s="78" cm="1">
        <f t="array" ref="L38">IFERROR(SUMPRODUCT(('Sulphuric Acid freights'!$B$3:$B$513=B38)*('Sulphuric Acid freights'!$D$3:$D$513=D38)*('Sulphuric Acid freights'!$P$3:$P$513))/SUMPRODUCT(('Sulphuric Acid freights'!$B$3:$B$513=B38)*('Sulphuric Acid freights'!$D$3:$D$513=D38)*1), AVERAGE('Sulphuric Acid freights'!$P$3:$P$513))*2/3</f>
        <v>54.110671936758898</v>
      </c>
      <c r="M38" s="78" cm="1">
        <f t="array" ref="M38">IFERROR(SUMPRODUCT(('Sulphuric Acid freights'!$B$3:$B$513=B38)*('Sulphuric Acid freights'!$D$3:$D$513=D38)*('Sulphuric Acid freights'!$M$3:$M$513))/SUMPRODUCT(('Sulphuric Acid freights'!$B$3:$B$513=B38)*('Sulphuric Acid freights'!$D$3:$D$513=D38)*1)*2/3, AVERAGE('Sulphuric Acid freights'!$M$3:$M$513))</f>
        <v>23.573122529644269</v>
      </c>
      <c r="N38" s="78">
        <f t="shared" si="3"/>
        <v>48.699604743083007</v>
      </c>
      <c r="O38" s="78" cm="1">
        <f t="array" ref="O38">IF(SUMPRODUCT(('Sulphur freight'!$B$3:$B$1976=B38)*('Sulphur freight'!$D$3:$D$1976=D38)*('Sulphur freight'!$G$3:$G$1976))/SUMPRODUCT(('Sulphur freight'!$B$3:$B$1976=B38)*('Sulphur freight'!$D$3:$D$1976=D38)*1)=0, AVERAGE('Sulphur freight'!$G$3:$G$1976),SUMPRODUCT(('Sulphur freight'!$B$3:$B$1976=B38)*('Sulphur freight'!$D$3:$D$1976=D38)*('Sulphur freight'!$G$3:$G$1976))/SUMPRODUCT(('Sulphur freight'!$B$3:$B$1976=B38)*('Sulphur freight'!$D$3:$D$1976=D38)*1))</f>
        <v>29.165429480381761</v>
      </c>
      <c r="P38" s="78">
        <v>20</v>
      </c>
      <c r="R38" s="78" t="str">
        <f t="shared" si="4"/>
        <v xml:space="preserve"> </v>
      </c>
      <c r="S38" s="78">
        <f t="shared" si="5"/>
        <v>60.073122529644266</v>
      </c>
      <c r="T38" s="78" t="str">
        <f t="shared" si="0"/>
        <v/>
      </c>
      <c r="U38" s="78" t="str">
        <f t="shared" si="6"/>
        <v/>
      </c>
      <c r="V38" s="78">
        <f>IFERROR(I38+O38, "")</f>
        <v>91.665429480381761</v>
      </c>
      <c r="W38" s="78">
        <f t="shared" si="7"/>
        <v>95.25</v>
      </c>
      <c r="X38" s="78">
        <f t="shared" si="8"/>
        <v>48.249591728525985</v>
      </c>
      <c r="Y38" s="78">
        <f t="shared" si="9"/>
        <v>49.432500000000005</v>
      </c>
      <c r="AA38" s="88" t="str">
        <f t="shared" si="10"/>
        <v/>
      </c>
      <c r="AB38" s="77" t="str">
        <f t="shared" si="1"/>
        <v/>
      </c>
      <c r="AD38" s="88" t="str">
        <f t="shared" si="11"/>
        <v/>
      </c>
      <c r="AE38" s="77" t="str">
        <f t="shared" si="2"/>
        <v/>
      </c>
    </row>
    <row r="39" spans="2:31" x14ac:dyDescent="0.35">
      <c r="B39" s="2">
        <v>2005</v>
      </c>
      <c r="C39" s="2">
        <v>1</v>
      </c>
      <c r="D39" s="2">
        <v>2</v>
      </c>
      <c r="E39" s="78" t="str">
        <f>'CRU historical'!F38</f>
        <v xml:space="preserve"> </v>
      </c>
      <c r="F39" s="78">
        <f>'CRU historical'!I38</f>
        <v>37</v>
      </c>
      <c r="G39" s="78" t="str">
        <f>'CRU historical'!L38</f>
        <v xml:space="preserve"> </v>
      </c>
      <c r="H39" s="78" t="str">
        <f>'CRU historical'!O38</f>
        <v xml:space="preserve"> </v>
      </c>
      <c r="I39" s="78">
        <f>'CRU historical'!R38</f>
        <v>66</v>
      </c>
      <c r="J39" s="78">
        <f>AVERAGE('CRU historical'!U38, 'CRU historical'!X38, 'CRU historical'!AA38, 'CRU historical'!AD38)</f>
        <v>75.5</v>
      </c>
      <c r="L39" s="78" cm="1">
        <f t="array" ref="L39">IFERROR(SUMPRODUCT(('Sulphuric Acid freights'!$B$3:$B$513=B39)*('Sulphuric Acid freights'!$D$3:$D$513=D39)*('Sulphuric Acid freights'!$P$3:$P$513))/SUMPRODUCT(('Sulphuric Acid freights'!$B$3:$B$513=B39)*('Sulphuric Acid freights'!$D$3:$D$513=D39)*1), AVERAGE('Sulphuric Acid freights'!$P$3:$P$513))*2/3</f>
        <v>54.110671936758898</v>
      </c>
      <c r="M39" s="78" cm="1">
        <f t="array" ref="M39">IFERROR(SUMPRODUCT(('Sulphuric Acid freights'!$B$3:$B$513=B39)*('Sulphuric Acid freights'!$D$3:$D$513=D39)*('Sulphuric Acid freights'!$M$3:$M$513))/SUMPRODUCT(('Sulphuric Acid freights'!$B$3:$B$513=B39)*('Sulphuric Acid freights'!$D$3:$D$513=D39)*1)*2/3, AVERAGE('Sulphuric Acid freights'!$M$3:$M$513))</f>
        <v>23.573122529644269</v>
      </c>
      <c r="N39" s="78">
        <f t="shared" si="3"/>
        <v>48.699604743083007</v>
      </c>
      <c r="O39" s="78" cm="1">
        <f t="array" ref="O39">IF(SUMPRODUCT(('Sulphur freight'!$B$3:$B$1976=B39)*('Sulphur freight'!$D$3:$D$1976=D39)*('Sulphur freight'!$G$3:$G$1976))/SUMPRODUCT(('Sulphur freight'!$B$3:$B$1976=B39)*('Sulphur freight'!$D$3:$D$1976=D39)*1)=0, AVERAGE('Sulphur freight'!$G$3:$G$1976),SUMPRODUCT(('Sulphur freight'!$B$3:$B$1976=B39)*('Sulphur freight'!$D$3:$D$1976=D39)*('Sulphur freight'!$G$3:$G$1976))/SUMPRODUCT(('Sulphur freight'!$B$3:$B$1976=B39)*('Sulphur freight'!$D$3:$D$1976=D39)*1))</f>
        <v>29.165429480381761</v>
      </c>
      <c r="P39" s="78">
        <v>20</v>
      </c>
      <c r="R39" s="78" t="str">
        <f t="shared" si="4"/>
        <v xml:space="preserve"> </v>
      </c>
      <c r="S39" s="78">
        <f t="shared" si="5"/>
        <v>60.573122529644266</v>
      </c>
      <c r="T39" s="78" t="str">
        <f t="shared" si="0"/>
        <v/>
      </c>
      <c r="U39" s="78" t="str">
        <f t="shared" si="6"/>
        <v/>
      </c>
      <c r="V39" s="78">
        <f>IFERROR(I39+O39, "")</f>
        <v>95.165429480381761</v>
      </c>
      <c r="W39" s="78">
        <f t="shared" si="7"/>
        <v>95.5</v>
      </c>
      <c r="X39" s="78">
        <f t="shared" si="8"/>
        <v>49.404591728525986</v>
      </c>
      <c r="Y39" s="78">
        <f t="shared" si="9"/>
        <v>49.515000000000001</v>
      </c>
      <c r="AA39" s="88" t="str">
        <f t="shared" si="10"/>
        <v/>
      </c>
      <c r="AB39" s="77" t="str">
        <f t="shared" si="1"/>
        <v/>
      </c>
      <c r="AD39" s="88" t="str">
        <f t="shared" si="11"/>
        <v/>
      </c>
      <c r="AE39" s="77" t="str">
        <f t="shared" si="2"/>
        <v/>
      </c>
    </row>
    <row r="40" spans="2:31" x14ac:dyDescent="0.35">
      <c r="B40" s="2">
        <v>2005</v>
      </c>
      <c r="C40" s="2">
        <v>1</v>
      </c>
      <c r="D40" s="2">
        <v>3</v>
      </c>
      <c r="E40" s="78" t="str">
        <f>'CRU historical'!F39</f>
        <v xml:space="preserve"> </v>
      </c>
      <c r="F40" s="78">
        <f>'CRU historical'!I39</f>
        <v>37</v>
      </c>
      <c r="G40" s="78" t="str">
        <f>'CRU historical'!L39</f>
        <v xml:space="preserve"> </v>
      </c>
      <c r="H40" s="78" t="str">
        <f>'CRU historical'!O39</f>
        <v xml:space="preserve"> </v>
      </c>
      <c r="I40" s="78">
        <f>'CRU historical'!R39</f>
        <v>68</v>
      </c>
      <c r="J40" s="78">
        <f>AVERAGE('CRU historical'!U39, 'CRU historical'!X39, 'CRU historical'!AA39, 'CRU historical'!AD39)</f>
        <v>76</v>
      </c>
      <c r="L40" s="78" cm="1">
        <f t="array" ref="L40">IFERROR(SUMPRODUCT(('Sulphuric Acid freights'!$B$3:$B$513=B40)*('Sulphuric Acid freights'!$D$3:$D$513=D40)*('Sulphuric Acid freights'!$P$3:$P$513))/SUMPRODUCT(('Sulphuric Acid freights'!$B$3:$B$513=B40)*('Sulphuric Acid freights'!$D$3:$D$513=D40)*1), AVERAGE('Sulphuric Acid freights'!$P$3:$P$513))*2/3</f>
        <v>54.110671936758898</v>
      </c>
      <c r="M40" s="78" cm="1">
        <f t="array" ref="M40">IFERROR(SUMPRODUCT(('Sulphuric Acid freights'!$B$3:$B$513=B40)*('Sulphuric Acid freights'!$D$3:$D$513=D40)*('Sulphuric Acid freights'!$M$3:$M$513))/SUMPRODUCT(('Sulphuric Acid freights'!$B$3:$B$513=B40)*('Sulphuric Acid freights'!$D$3:$D$513=D40)*1)*2/3, AVERAGE('Sulphuric Acid freights'!$M$3:$M$513))</f>
        <v>23.573122529644269</v>
      </c>
      <c r="N40" s="78">
        <f t="shared" si="3"/>
        <v>48.699604743083007</v>
      </c>
      <c r="O40" s="78" cm="1">
        <f t="array" ref="O40">IF(SUMPRODUCT(('Sulphur freight'!$B$3:$B$1976=B40)*('Sulphur freight'!$D$3:$D$1976=D40)*('Sulphur freight'!$G$3:$G$1976))/SUMPRODUCT(('Sulphur freight'!$B$3:$B$1976=B40)*('Sulphur freight'!$D$3:$D$1976=D40)*1)=0, AVERAGE('Sulphur freight'!$G$3:$G$1976),SUMPRODUCT(('Sulphur freight'!$B$3:$B$1976=B40)*('Sulphur freight'!$D$3:$D$1976=D40)*('Sulphur freight'!$G$3:$G$1976))/SUMPRODUCT(('Sulphur freight'!$B$3:$B$1976=B40)*('Sulphur freight'!$D$3:$D$1976=D40)*1))</f>
        <v>29.165429480381761</v>
      </c>
      <c r="P40" s="78">
        <v>20</v>
      </c>
      <c r="R40" s="78" t="str">
        <f t="shared" si="4"/>
        <v xml:space="preserve"> </v>
      </c>
      <c r="S40" s="78">
        <f t="shared" si="5"/>
        <v>60.573122529644266</v>
      </c>
      <c r="T40" s="78" t="str">
        <f t="shared" si="0"/>
        <v/>
      </c>
      <c r="U40" s="78" t="str">
        <f t="shared" si="6"/>
        <v/>
      </c>
      <c r="V40" s="78">
        <f>IFERROR(I40+O40, "")</f>
        <v>97.165429480381761</v>
      </c>
      <c r="W40" s="78">
        <f t="shared" si="7"/>
        <v>96</v>
      </c>
      <c r="X40" s="78">
        <f t="shared" si="8"/>
        <v>50.064591728525983</v>
      </c>
      <c r="Y40" s="78">
        <f t="shared" si="9"/>
        <v>49.68</v>
      </c>
      <c r="AA40" s="88" t="str">
        <f t="shared" si="10"/>
        <v/>
      </c>
      <c r="AB40" s="77" t="str">
        <f t="shared" si="1"/>
        <v/>
      </c>
      <c r="AD40" s="88" t="str">
        <f t="shared" si="11"/>
        <v/>
      </c>
      <c r="AE40" s="77" t="str">
        <f t="shared" si="2"/>
        <v/>
      </c>
    </row>
    <row r="41" spans="2:31" x14ac:dyDescent="0.35">
      <c r="B41" s="2">
        <v>2005</v>
      </c>
      <c r="C41" s="2">
        <v>2</v>
      </c>
      <c r="D41" s="2">
        <v>4</v>
      </c>
      <c r="E41" s="78" t="str">
        <f>'CRU historical'!F40</f>
        <v xml:space="preserve"> </v>
      </c>
      <c r="F41" s="78">
        <f>'CRU historical'!I40</f>
        <v>37</v>
      </c>
      <c r="G41" s="78" t="str">
        <f>'CRU historical'!L40</f>
        <v xml:space="preserve"> </v>
      </c>
      <c r="H41" s="78" t="str">
        <f>'CRU historical'!O40</f>
        <v xml:space="preserve"> </v>
      </c>
      <c r="I41" s="78">
        <f>'CRU historical'!R40</f>
        <v>70</v>
      </c>
      <c r="J41" s="78">
        <f>AVERAGE('CRU historical'!U40, 'CRU historical'!X40, 'CRU historical'!AA40, 'CRU historical'!AD40)</f>
        <v>75.75</v>
      </c>
      <c r="L41" s="78" cm="1">
        <f t="array" ref="L41">IFERROR(SUMPRODUCT(('Sulphuric Acid freights'!$B$3:$B$513=B41)*('Sulphuric Acid freights'!$D$3:$D$513=D41)*('Sulphuric Acid freights'!$P$3:$P$513))/SUMPRODUCT(('Sulphuric Acid freights'!$B$3:$B$513=B41)*('Sulphuric Acid freights'!$D$3:$D$513=D41)*1), AVERAGE('Sulphuric Acid freights'!$P$3:$P$513))*2/3</f>
        <v>54.110671936758898</v>
      </c>
      <c r="M41" s="78" cm="1">
        <f t="array" ref="M41">IFERROR(SUMPRODUCT(('Sulphuric Acid freights'!$B$3:$B$513=B41)*('Sulphuric Acid freights'!$D$3:$D$513=D41)*('Sulphuric Acid freights'!$M$3:$M$513))/SUMPRODUCT(('Sulphuric Acid freights'!$B$3:$B$513=B41)*('Sulphuric Acid freights'!$D$3:$D$513=D41)*1)*2/3, AVERAGE('Sulphuric Acid freights'!$M$3:$M$513))</f>
        <v>23.573122529644269</v>
      </c>
      <c r="N41" s="78">
        <f t="shared" si="3"/>
        <v>48.699604743083007</v>
      </c>
      <c r="O41" s="78" cm="1">
        <f t="array" ref="O41">IF(SUMPRODUCT(('Sulphur freight'!$B$3:$B$1976=B41)*('Sulphur freight'!$D$3:$D$1976=D41)*('Sulphur freight'!$G$3:$G$1976))/SUMPRODUCT(('Sulphur freight'!$B$3:$B$1976=B41)*('Sulphur freight'!$D$3:$D$1976=D41)*1)=0, AVERAGE('Sulphur freight'!$G$3:$G$1976),SUMPRODUCT(('Sulphur freight'!$B$3:$B$1976=B41)*('Sulphur freight'!$D$3:$D$1976=D41)*('Sulphur freight'!$G$3:$G$1976))/SUMPRODUCT(('Sulphur freight'!$B$3:$B$1976=B41)*('Sulphur freight'!$D$3:$D$1976=D41)*1))</f>
        <v>29.165429480381761</v>
      </c>
      <c r="P41" s="78">
        <v>20</v>
      </c>
      <c r="R41" s="78" t="str">
        <f t="shared" si="4"/>
        <v xml:space="preserve"> </v>
      </c>
      <c r="S41" s="78">
        <f t="shared" si="5"/>
        <v>60.573122529644266</v>
      </c>
      <c r="T41" s="78" t="str">
        <f t="shared" si="0"/>
        <v/>
      </c>
      <c r="U41" s="78" t="str">
        <f t="shared" si="6"/>
        <v/>
      </c>
      <c r="V41" s="78">
        <f>IFERROR(I41+O41, "")</f>
        <v>99.165429480381761</v>
      </c>
      <c r="W41" s="78">
        <f t="shared" si="7"/>
        <v>95.75</v>
      </c>
      <c r="X41" s="78">
        <f t="shared" si="8"/>
        <v>50.724591728525979</v>
      </c>
      <c r="Y41" s="78">
        <f t="shared" si="9"/>
        <v>49.597499999999997</v>
      </c>
      <c r="AA41" s="88" t="str">
        <f t="shared" si="10"/>
        <v/>
      </c>
      <c r="AB41" s="77" t="str">
        <f t="shared" si="1"/>
        <v/>
      </c>
      <c r="AD41" s="88" t="str">
        <f t="shared" si="11"/>
        <v/>
      </c>
      <c r="AE41" s="77" t="str">
        <f t="shared" si="2"/>
        <v/>
      </c>
    </row>
    <row r="42" spans="2:31" x14ac:dyDescent="0.35">
      <c r="B42" s="2">
        <v>2005</v>
      </c>
      <c r="C42" s="2">
        <v>2</v>
      </c>
      <c r="D42" s="2">
        <v>5</v>
      </c>
      <c r="E42" s="78" t="str">
        <f>'CRU historical'!F41</f>
        <v xml:space="preserve"> </v>
      </c>
      <c r="F42" s="78">
        <f>'CRU historical'!I41</f>
        <v>37</v>
      </c>
      <c r="G42" s="78" t="str">
        <f>'CRU historical'!L41</f>
        <v xml:space="preserve"> </v>
      </c>
      <c r="H42" s="78" t="str">
        <f>'CRU historical'!O41</f>
        <v xml:space="preserve"> </v>
      </c>
      <c r="I42" s="78">
        <f>'CRU historical'!R41</f>
        <v>73</v>
      </c>
      <c r="J42" s="78">
        <f>AVERAGE('CRU historical'!U41, 'CRU historical'!X41, 'CRU historical'!AA41, 'CRU historical'!AD41)</f>
        <v>75.5</v>
      </c>
      <c r="L42" s="78" cm="1">
        <f t="array" ref="L42">IFERROR(SUMPRODUCT(('Sulphuric Acid freights'!$B$3:$B$513=B42)*('Sulphuric Acid freights'!$D$3:$D$513=D42)*('Sulphuric Acid freights'!$P$3:$P$513))/SUMPRODUCT(('Sulphuric Acid freights'!$B$3:$B$513=B42)*('Sulphuric Acid freights'!$D$3:$D$513=D42)*1), AVERAGE('Sulphuric Acid freights'!$P$3:$P$513))*2/3</f>
        <v>54.110671936758898</v>
      </c>
      <c r="M42" s="78" cm="1">
        <f t="array" ref="M42">IFERROR(SUMPRODUCT(('Sulphuric Acid freights'!$B$3:$B$513=B42)*('Sulphuric Acid freights'!$D$3:$D$513=D42)*('Sulphuric Acid freights'!$M$3:$M$513))/SUMPRODUCT(('Sulphuric Acid freights'!$B$3:$B$513=B42)*('Sulphuric Acid freights'!$D$3:$D$513=D42)*1)*2/3, AVERAGE('Sulphuric Acid freights'!$M$3:$M$513))</f>
        <v>23.573122529644269</v>
      </c>
      <c r="N42" s="78">
        <f t="shared" si="3"/>
        <v>48.699604743083007</v>
      </c>
      <c r="O42" s="78" cm="1">
        <f t="array" ref="O42">IF(SUMPRODUCT(('Sulphur freight'!$B$3:$B$1976=B42)*('Sulphur freight'!$D$3:$D$1976=D42)*('Sulphur freight'!$G$3:$G$1976))/SUMPRODUCT(('Sulphur freight'!$B$3:$B$1976=B42)*('Sulphur freight'!$D$3:$D$1976=D42)*1)=0, AVERAGE('Sulphur freight'!$G$3:$G$1976),SUMPRODUCT(('Sulphur freight'!$B$3:$B$1976=B42)*('Sulphur freight'!$D$3:$D$1976=D42)*('Sulphur freight'!$G$3:$G$1976))/SUMPRODUCT(('Sulphur freight'!$B$3:$B$1976=B42)*('Sulphur freight'!$D$3:$D$1976=D42)*1))</f>
        <v>29.165429480381761</v>
      </c>
      <c r="P42" s="78">
        <v>20</v>
      </c>
      <c r="R42" s="78" t="str">
        <f t="shared" si="4"/>
        <v xml:space="preserve"> </v>
      </c>
      <c r="S42" s="78">
        <f t="shared" si="5"/>
        <v>60.573122529644266</v>
      </c>
      <c r="T42" s="78" t="str">
        <f t="shared" si="0"/>
        <v/>
      </c>
      <c r="U42" s="78" t="str">
        <f t="shared" si="6"/>
        <v/>
      </c>
      <c r="V42" s="78">
        <f>IFERROR(I42+O42, "")</f>
        <v>102.16542948038176</v>
      </c>
      <c r="W42" s="78">
        <f t="shared" si="7"/>
        <v>95.5</v>
      </c>
      <c r="X42" s="78">
        <f t="shared" si="8"/>
        <v>51.714591728525981</v>
      </c>
      <c r="Y42" s="78">
        <f t="shared" si="9"/>
        <v>49.515000000000001</v>
      </c>
      <c r="AA42" s="88" t="str">
        <f t="shared" si="10"/>
        <v/>
      </c>
      <c r="AB42" s="77" t="str">
        <f t="shared" si="1"/>
        <v/>
      </c>
      <c r="AD42" s="88" t="str">
        <f t="shared" si="11"/>
        <v/>
      </c>
      <c r="AE42" s="77" t="str">
        <f t="shared" si="2"/>
        <v/>
      </c>
    </row>
    <row r="43" spans="2:31" x14ac:dyDescent="0.35">
      <c r="B43" s="2">
        <v>2005</v>
      </c>
      <c r="C43" s="2">
        <v>2</v>
      </c>
      <c r="D43" s="2">
        <v>6</v>
      </c>
      <c r="E43" s="78" t="str">
        <f>'CRU historical'!F42</f>
        <v xml:space="preserve"> </v>
      </c>
      <c r="F43" s="78">
        <f>'CRU historical'!I42</f>
        <v>37</v>
      </c>
      <c r="G43" s="78" t="str">
        <f>'CRU historical'!L42</f>
        <v xml:space="preserve"> </v>
      </c>
      <c r="H43" s="78" t="str">
        <f>'CRU historical'!O42</f>
        <v xml:space="preserve"> </v>
      </c>
      <c r="I43" s="78">
        <f>'CRU historical'!R42</f>
        <v>77</v>
      </c>
      <c r="J43" s="78">
        <f>AVERAGE('CRU historical'!U42, 'CRU historical'!X42, 'CRU historical'!AA42, 'CRU historical'!AD42)</f>
        <v>75.5</v>
      </c>
      <c r="L43" s="78" cm="1">
        <f t="array" ref="L43">IFERROR(SUMPRODUCT(('Sulphuric Acid freights'!$B$3:$B$513=B43)*('Sulphuric Acid freights'!$D$3:$D$513=D43)*('Sulphuric Acid freights'!$P$3:$P$513))/SUMPRODUCT(('Sulphuric Acid freights'!$B$3:$B$513=B43)*('Sulphuric Acid freights'!$D$3:$D$513=D43)*1), AVERAGE('Sulphuric Acid freights'!$P$3:$P$513))*2/3</f>
        <v>54.110671936758898</v>
      </c>
      <c r="M43" s="78" cm="1">
        <f t="array" ref="M43">IFERROR(SUMPRODUCT(('Sulphuric Acid freights'!$B$3:$B$513=B43)*('Sulphuric Acid freights'!$D$3:$D$513=D43)*('Sulphuric Acid freights'!$M$3:$M$513))/SUMPRODUCT(('Sulphuric Acid freights'!$B$3:$B$513=B43)*('Sulphuric Acid freights'!$D$3:$D$513=D43)*1)*2/3, AVERAGE('Sulphuric Acid freights'!$M$3:$M$513))</f>
        <v>23.573122529644269</v>
      </c>
      <c r="N43" s="78">
        <f t="shared" si="3"/>
        <v>48.699604743083007</v>
      </c>
      <c r="O43" s="78" cm="1">
        <f t="array" ref="O43">IF(SUMPRODUCT(('Sulphur freight'!$B$3:$B$1976=B43)*('Sulphur freight'!$D$3:$D$1976=D43)*('Sulphur freight'!$G$3:$G$1976))/SUMPRODUCT(('Sulphur freight'!$B$3:$B$1976=B43)*('Sulphur freight'!$D$3:$D$1976=D43)*1)=0, AVERAGE('Sulphur freight'!$G$3:$G$1976),SUMPRODUCT(('Sulphur freight'!$B$3:$B$1976=B43)*('Sulphur freight'!$D$3:$D$1976=D43)*('Sulphur freight'!$G$3:$G$1976))/SUMPRODUCT(('Sulphur freight'!$B$3:$B$1976=B43)*('Sulphur freight'!$D$3:$D$1976=D43)*1))</f>
        <v>29.165429480381761</v>
      </c>
      <c r="P43" s="78">
        <v>20</v>
      </c>
      <c r="R43" s="78" t="str">
        <f t="shared" si="4"/>
        <v xml:space="preserve"> </v>
      </c>
      <c r="S43" s="78">
        <f t="shared" si="5"/>
        <v>60.573122529644266</v>
      </c>
      <c r="T43" s="78" t="str">
        <f t="shared" si="0"/>
        <v/>
      </c>
      <c r="U43" s="78" t="str">
        <f t="shared" si="6"/>
        <v/>
      </c>
      <c r="V43" s="78">
        <f>IFERROR(I43+O43, "")</f>
        <v>106.16542948038176</v>
      </c>
      <c r="W43" s="78">
        <f t="shared" si="7"/>
        <v>95.5</v>
      </c>
      <c r="X43" s="78">
        <f t="shared" si="8"/>
        <v>53.034591728525982</v>
      </c>
      <c r="Y43" s="78">
        <f t="shared" si="9"/>
        <v>49.515000000000001</v>
      </c>
      <c r="AA43" s="88" t="str">
        <f t="shared" si="10"/>
        <v/>
      </c>
      <c r="AB43" s="77" t="str">
        <f t="shared" si="1"/>
        <v/>
      </c>
      <c r="AD43" s="88" t="str">
        <f t="shared" si="11"/>
        <v/>
      </c>
      <c r="AE43" s="77" t="str">
        <f t="shared" si="2"/>
        <v/>
      </c>
    </row>
    <row r="44" spans="2:31" x14ac:dyDescent="0.35">
      <c r="B44" s="2">
        <v>2005</v>
      </c>
      <c r="C44" s="2">
        <v>3</v>
      </c>
      <c r="D44" s="2">
        <v>7</v>
      </c>
      <c r="E44" s="78" t="str">
        <f>'CRU historical'!F43</f>
        <v xml:space="preserve"> </v>
      </c>
      <c r="F44" s="78">
        <f>'CRU historical'!I43</f>
        <v>37</v>
      </c>
      <c r="G44" s="78" t="str">
        <f>'CRU historical'!L43</f>
        <v xml:space="preserve"> </v>
      </c>
      <c r="H44" s="78" t="str">
        <f>'CRU historical'!O43</f>
        <v xml:space="preserve"> </v>
      </c>
      <c r="I44" s="78">
        <f>'CRU historical'!R43</f>
        <v>77.5</v>
      </c>
      <c r="J44" s="78">
        <f>AVERAGE('CRU historical'!U43, 'CRU historical'!X43, 'CRU historical'!AA43, 'CRU historical'!AD43)</f>
        <v>75.5</v>
      </c>
      <c r="L44" s="78" cm="1">
        <f t="array" ref="L44">IFERROR(SUMPRODUCT(('Sulphuric Acid freights'!$B$3:$B$513=B44)*('Sulphuric Acid freights'!$D$3:$D$513=D44)*('Sulphuric Acid freights'!$P$3:$P$513))/SUMPRODUCT(('Sulphuric Acid freights'!$B$3:$B$513=B44)*('Sulphuric Acid freights'!$D$3:$D$513=D44)*1), AVERAGE('Sulphuric Acid freights'!$P$3:$P$513))*2/3</f>
        <v>54.110671936758898</v>
      </c>
      <c r="M44" s="78" cm="1">
        <f t="array" ref="M44">IFERROR(SUMPRODUCT(('Sulphuric Acid freights'!$B$3:$B$513=B44)*('Sulphuric Acid freights'!$D$3:$D$513=D44)*('Sulphuric Acid freights'!$M$3:$M$513))/SUMPRODUCT(('Sulphuric Acid freights'!$B$3:$B$513=B44)*('Sulphuric Acid freights'!$D$3:$D$513=D44)*1)*2/3, AVERAGE('Sulphuric Acid freights'!$M$3:$M$513))</f>
        <v>23.573122529644269</v>
      </c>
      <c r="N44" s="78">
        <f t="shared" si="3"/>
        <v>48.699604743083007</v>
      </c>
      <c r="O44" s="78" cm="1">
        <f t="array" ref="O44">IF(SUMPRODUCT(('Sulphur freight'!$B$3:$B$1976=B44)*('Sulphur freight'!$D$3:$D$1976=D44)*('Sulphur freight'!$G$3:$G$1976))/SUMPRODUCT(('Sulphur freight'!$B$3:$B$1976=B44)*('Sulphur freight'!$D$3:$D$1976=D44)*1)=0, AVERAGE('Sulphur freight'!$G$3:$G$1976),SUMPRODUCT(('Sulphur freight'!$B$3:$B$1976=B44)*('Sulphur freight'!$D$3:$D$1976=D44)*('Sulphur freight'!$G$3:$G$1976))/SUMPRODUCT(('Sulphur freight'!$B$3:$B$1976=B44)*('Sulphur freight'!$D$3:$D$1976=D44)*1))</f>
        <v>29.165429480381761</v>
      </c>
      <c r="P44" s="78">
        <v>20</v>
      </c>
      <c r="R44" s="78" t="str">
        <f t="shared" si="4"/>
        <v xml:space="preserve"> </v>
      </c>
      <c r="S44" s="78">
        <f t="shared" si="5"/>
        <v>60.573122529644266</v>
      </c>
      <c r="T44" s="78" t="str">
        <f t="shared" si="0"/>
        <v/>
      </c>
      <c r="U44" s="78" t="str">
        <f t="shared" si="6"/>
        <v/>
      </c>
      <c r="V44" s="78">
        <f>IFERROR(I44+O44, "")</f>
        <v>106.66542948038176</v>
      </c>
      <c r="W44" s="78">
        <f t="shared" si="7"/>
        <v>95.5</v>
      </c>
      <c r="X44" s="78">
        <f t="shared" si="8"/>
        <v>53.199591728525981</v>
      </c>
      <c r="Y44" s="78">
        <f t="shared" si="9"/>
        <v>49.515000000000001</v>
      </c>
      <c r="AA44" s="88" t="str">
        <f t="shared" si="10"/>
        <v/>
      </c>
      <c r="AB44" s="77" t="str">
        <f t="shared" si="1"/>
        <v/>
      </c>
      <c r="AD44" s="88" t="str">
        <f t="shared" si="11"/>
        <v/>
      </c>
      <c r="AE44" s="77" t="str">
        <f t="shared" si="2"/>
        <v/>
      </c>
    </row>
    <row r="45" spans="2:31" x14ac:dyDescent="0.35">
      <c r="B45" s="2">
        <v>2005</v>
      </c>
      <c r="C45" s="2">
        <v>3</v>
      </c>
      <c r="D45" s="2">
        <v>8</v>
      </c>
      <c r="E45" s="78" t="str">
        <f>'CRU historical'!F44</f>
        <v xml:space="preserve"> </v>
      </c>
      <c r="F45" s="78">
        <f>'CRU historical'!I44</f>
        <v>36</v>
      </c>
      <c r="G45" s="78" t="str">
        <f>'CRU historical'!L44</f>
        <v xml:space="preserve"> </v>
      </c>
      <c r="H45" s="78" t="str">
        <f>'CRU historical'!O44</f>
        <v xml:space="preserve"> </v>
      </c>
      <c r="I45" s="78">
        <f>'CRU historical'!R44</f>
        <v>77.5</v>
      </c>
      <c r="J45" s="78">
        <f>AVERAGE('CRU historical'!U44, 'CRU historical'!X44, 'CRU historical'!AA44, 'CRU historical'!AD44)</f>
        <v>78</v>
      </c>
      <c r="L45" s="78" cm="1">
        <f t="array" ref="L45">IFERROR(SUMPRODUCT(('Sulphuric Acid freights'!$B$3:$B$513=B45)*('Sulphuric Acid freights'!$D$3:$D$513=D45)*('Sulphuric Acid freights'!$P$3:$P$513))/SUMPRODUCT(('Sulphuric Acid freights'!$B$3:$B$513=B45)*('Sulphuric Acid freights'!$D$3:$D$513=D45)*1), AVERAGE('Sulphuric Acid freights'!$P$3:$P$513))*2/3</f>
        <v>54.110671936758898</v>
      </c>
      <c r="M45" s="78" cm="1">
        <f t="array" ref="M45">IFERROR(SUMPRODUCT(('Sulphuric Acid freights'!$B$3:$B$513=B45)*('Sulphuric Acid freights'!$D$3:$D$513=D45)*('Sulphuric Acid freights'!$M$3:$M$513))/SUMPRODUCT(('Sulphuric Acid freights'!$B$3:$B$513=B45)*('Sulphuric Acid freights'!$D$3:$D$513=D45)*1)*2/3, AVERAGE('Sulphuric Acid freights'!$M$3:$M$513))</f>
        <v>23.573122529644269</v>
      </c>
      <c r="N45" s="78">
        <f t="shared" si="3"/>
        <v>48.699604743083007</v>
      </c>
      <c r="O45" s="78" cm="1">
        <f t="array" ref="O45">IF(SUMPRODUCT(('Sulphur freight'!$B$3:$B$1976=B45)*('Sulphur freight'!$D$3:$D$1976=D45)*('Sulphur freight'!$G$3:$G$1976))/SUMPRODUCT(('Sulphur freight'!$B$3:$B$1976=B45)*('Sulphur freight'!$D$3:$D$1976=D45)*1)=0, AVERAGE('Sulphur freight'!$G$3:$G$1976),SUMPRODUCT(('Sulphur freight'!$B$3:$B$1976=B45)*('Sulphur freight'!$D$3:$D$1976=D45)*('Sulphur freight'!$G$3:$G$1976))/SUMPRODUCT(('Sulphur freight'!$B$3:$B$1976=B45)*('Sulphur freight'!$D$3:$D$1976=D45)*1))</f>
        <v>29.165429480381761</v>
      </c>
      <c r="P45" s="78">
        <v>20</v>
      </c>
      <c r="R45" s="78" t="str">
        <f t="shared" si="4"/>
        <v xml:space="preserve"> </v>
      </c>
      <c r="S45" s="78">
        <f t="shared" si="5"/>
        <v>59.573122529644266</v>
      </c>
      <c r="T45" s="78" t="str">
        <f t="shared" si="0"/>
        <v/>
      </c>
      <c r="U45" s="78" t="str">
        <f t="shared" si="6"/>
        <v/>
      </c>
      <c r="V45" s="78">
        <f>IFERROR(I45+O45, "")</f>
        <v>106.66542948038176</v>
      </c>
      <c r="W45" s="78">
        <f t="shared" si="7"/>
        <v>98</v>
      </c>
      <c r="X45" s="78">
        <f t="shared" si="8"/>
        <v>53.199591728525981</v>
      </c>
      <c r="Y45" s="78">
        <f t="shared" si="9"/>
        <v>50.34</v>
      </c>
      <c r="AA45" s="88" t="str">
        <f t="shared" si="10"/>
        <v/>
      </c>
      <c r="AB45" s="77" t="str">
        <f t="shared" si="1"/>
        <v/>
      </c>
      <c r="AD45" s="88" t="str">
        <f t="shared" si="11"/>
        <v/>
      </c>
      <c r="AE45" s="77" t="str">
        <f t="shared" si="2"/>
        <v/>
      </c>
    </row>
    <row r="46" spans="2:31" x14ac:dyDescent="0.35">
      <c r="B46" s="2">
        <v>2005</v>
      </c>
      <c r="C46" s="2">
        <v>3</v>
      </c>
      <c r="D46" s="2">
        <v>9</v>
      </c>
      <c r="E46" s="78" t="str">
        <f>'CRU historical'!F45</f>
        <v xml:space="preserve"> </v>
      </c>
      <c r="F46" s="78">
        <f>'CRU historical'!I45</f>
        <v>35</v>
      </c>
      <c r="G46" s="78" t="str">
        <f>'CRU historical'!L45</f>
        <v xml:space="preserve"> </v>
      </c>
      <c r="H46" s="78" t="str">
        <f>'CRU historical'!O45</f>
        <v xml:space="preserve"> </v>
      </c>
      <c r="I46" s="78">
        <f>'CRU historical'!R45</f>
        <v>83.333333333333329</v>
      </c>
      <c r="J46" s="78">
        <f>AVERAGE('CRU historical'!U45, 'CRU historical'!X45, 'CRU historical'!AA45, 'CRU historical'!AD45)</f>
        <v>80.666666666666657</v>
      </c>
      <c r="L46" s="78" cm="1">
        <f t="array" ref="L46">IFERROR(SUMPRODUCT(('Sulphuric Acid freights'!$B$3:$B$513=B46)*('Sulphuric Acid freights'!$D$3:$D$513=D46)*('Sulphuric Acid freights'!$P$3:$P$513))/SUMPRODUCT(('Sulphuric Acid freights'!$B$3:$B$513=B46)*('Sulphuric Acid freights'!$D$3:$D$513=D46)*1), AVERAGE('Sulphuric Acid freights'!$P$3:$P$513))*2/3</f>
        <v>54.110671936758898</v>
      </c>
      <c r="M46" s="78" cm="1">
        <f t="array" ref="M46">IFERROR(SUMPRODUCT(('Sulphuric Acid freights'!$B$3:$B$513=B46)*('Sulphuric Acid freights'!$D$3:$D$513=D46)*('Sulphuric Acid freights'!$M$3:$M$513))/SUMPRODUCT(('Sulphuric Acid freights'!$B$3:$B$513=B46)*('Sulphuric Acid freights'!$D$3:$D$513=D46)*1)*2/3, AVERAGE('Sulphuric Acid freights'!$M$3:$M$513))</f>
        <v>23.573122529644269</v>
      </c>
      <c r="N46" s="78">
        <f t="shared" si="3"/>
        <v>48.699604743083007</v>
      </c>
      <c r="O46" s="78" cm="1">
        <f t="array" ref="O46">IF(SUMPRODUCT(('Sulphur freight'!$B$3:$B$1976=B46)*('Sulphur freight'!$D$3:$D$1976=D46)*('Sulphur freight'!$G$3:$G$1976))/SUMPRODUCT(('Sulphur freight'!$B$3:$B$1976=B46)*('Sulphur freight'!$D$3:$D$1976=D46)*1)=0, AVERAGE('Sulphur freight'!$G$3:$G$1976),SUMPRODUCT(('Sulphur freight'!$B$3:$B$1976=B46)*('Sulphur freight'!$D$3:$D$1976=D46)*('Sulphur freight'!$G$3:$G$1976))/SUMPRODUCT(('Sulphur freight'!$B$3:$B$1976=B46)*('Sulphur freight'!$D$3:$D$1976=D46)*1))</f>
        <v>29.165429480381761</v>
      </c>
      <c r="P46" s="78">
        <v>20</v>
      </c>
      <c r="R46" s="78" t="str">
        <f t="shared" si="4"/>
        <v xml:space="preserve"> </v>
      </c>
      <c r="S46" s="78">
        <f t="shared" si="5"/>
        <v>58.573122529644266</v>
      </c>
      <c r="T46" s="78" t="str">
        <f t="shared" si="0"/>
        <v/>
      </c>
      <c r="U46" s="78" t="str">
        <f t="shared" si="6"/>
        <v/>
      </c>
      <c r="V46" s="78">
        <f>IFERROR(I46+O46, "")</f>
        <v>112.49876281371509</v>
      </c>
      <c r="W46" s="78">
        <f t="shared" si="7"/>
        <v>100.66666666666666</v>
      </c>
      <c r="X46" s="78">
        <f t="shared" si="8"/>
        <v>55.124591728525978</v>
      </c>
      <c r="Y46" s="78">
        <f t="shared" si="9"/>
        <v>51.22</v>
      </c>
      <c r="AA46" s="88" t="str">
        <f t="shared" si="10"/>
        <v/>
      </c>
      <c r="AB46" s="77" t="str">
        <f t="shared" si="1"/>
        <v/>
      </c>
      <c r="AD46" s="88" t="str">
        <f t="shared" si="11"/>
        <v/>
      </c>
      <c r="AE46" s="77" t="str">
        <f t="shared" si="2"/>
        <v/>
      </c>
    </row>
    <row r="47" spans="2:31" x14ac:dyDescent="0.35">
      <c r="B47" s="2">
        <v>2005</v>
      </c>
      <c r="C47" s="2">
        <v>4</v>
      </c>
      <c r="D47" s="2">
        <v>10</v>
      </c>
      <c r="E47" s="78" t="str">
        <f>'CRU historical'!F46</f>
        <v xml:space="preserve"> </v>
      </c>
      <c r="F47" s="78">
        <f>'CRU historical'!I46</f>
        <v>35</v>
      </c>
      <c r="G47" s="78" t="str">
        <f>'CRU historical'!L46</f>
        <v xml:space="preserve"> </v>
      </c>
      <c r="H47" s="78" t="str">
        <f>'CRU historical'!O46</f>
        <v xml:space="preserve"> </v>
      </c>
      <c r="I47" s="78">
        <f>'CRU historical'!R46</f>
        <v>81</v>
      </c>
      <c r="J47" s="78">
        <f>AVERAGE('CRU historical'!U46, 'CRU historical'!X46, 'CRU historical'!AA46, 'CRU historical'!AD46)</f>
        <v>80.5</v>
      </c>
      <c r="L47" s="78" cm="1">
        <f t="array" ref="L47">IFERROR(SUMPRODUCT(('Sulphuric Acid freights'!$B$3:$B$513=B47)*('Sulphuric Acid freights'!$D$3:$D$513=D47)*('Sulphuric Acid freights'!$P$3:$P$513))/SUMPRODUCT(('Sulphuric Acid freights'!$B$3:$B$513=B47)*('Sulphuric Acid freights'!$D$3:$D$513=D47)*1), AVERAGE('Sulphuric Acid freights'!$P$3:$P$513))*2/3</f>
        <v>54.110671936758898</v>
      </c>
      <c r="M47" s="78" cm="1">
        <f t="array" ref="M47">IFERROR(SUMPRODUCT(('Sulphuric Acid freights'!$B$3:$B$513=B47)*('Sulphuric Acid freights'!$D$3:$D$513=D47)*('Sulphuric Acid freights'!$M$3:$M$513))/SUMPRODUCT(('Sulphuric Acid freights'!$B$3:$B$513=B47)*('Sulphuric Acid freights'!$D$3:$D$513=D47)*1)*2/3, AVERAGE('Sulphuric Acid freights'!$M$3:$M$513))</f>
        <v>23.573122529644269</v>
      </c>
      <c r="N47" s="78">
        <f t="shared" si="3"/>
        <v>48.699604743083007</v>
      </c>
      <c r="O47" s="78" cm="1">
        <f t="array" ref="O47">IF(SUMPRODUCT(('Sulphur freight'!$B$3:$B$1976=B47)*('Sulphur freight'!$D$3:$D$1976=D47)*('Sulphur freight'!$G$3:$G$1976))/SUMPRODUCT(('Sulphur freight'!$B$3:$B$1976=B47)*('Sulphur freight'!$D$3:$D$1976=D47)*1)=0, AVERAGE('Sulphur freight'!$G$3:$G$1976),SUMPRODUCT(('Sulphur freight'!$B$3:$B$1976=B47)*('Sulphur freight'!$D$3:$D$1976=D47)*('Sulphur freight'!$G$3:$G$1976))/SUMPRODUCT(('Sulphur freight'!$B$3:$B$1976=B47)*('Sulphur freight'!$D$3:$D$1976=D47)*1))</f>
        <v>29.165429480381761</v>
      </c>
      <c r="P47" s="78">
        <v>20</v>
      </c>
      <c r="R47" s="78" t="str">
        <f t="shared" si="4"/>
        <v xml:space="preserve"> </v>
      </c>
      <c r="S47" s="78">
        <f t="shared" si="5"/>
        <v>58.573122529644266</v>
      </c>
      <c r="T47" s="78" t="str">
        <f t="shared" si="0"/>
        <v/>
      </c>
      <c r="U47" s="78" t="str">
        <f t="shared" si="6"/>
        <v/>
      </c>
      <c r="V47" s="78">
        <f>IFERROR(I47+O47, "")</f>
        <v>110.16542948038176</v>
      </c>
      <c r="W47" s="78">
        <f t="shared" si="7"/>
        <v>100.5</v>
      </c>
      <c r="X47" s="78">
        <f t="shared" si="8"/>
        <v>54.354591728525982</v>
      </c>
      <c r="Y47" s="78">
        <f t="shared" si="9"/>
        <v>51.164999999999999</v>
      </c>
      <c r="AA47" s="88" t="str">
        <f t="shared" si="10"/>
        <v/>
      </c>
      <c r="AB47" s="77" t="str">
        <f t="shared" si="1"/>
        <v/>
      </c>
      <c r="AD47" s="88" t="str">
        <f t="shared" si="11"/>
        <v/>
      </c>
      <c r="AE47" s="77" t="str">
        <f t="shared" si="2"/>
        <v/>
      </c>
    </row>
    <row r="48" spans="2:31" x14ac:dyDescent="0.35">
      <c r="B48" s="2">
        <v>2005</v>
      </c>
      <c r="C48" s="2">
        <v>4</v>
      </c>
      <c r="D48" s="2">
        <v>11</v>
      </c>
      <c r="E48" s="78" t="str">
        <f>'CRU historical'!F47</f>
        <v xml:space="preserve"> </v>
      </c>
      <c r="F48" s="78">
        <f>'CRU historical'!I47</f>
        <v>35</v>
      </c>
      <c r="G48" s="78" t="str">
        <f>'CRU historical'!L47</f>
        <v xml:space="preserve"> </v>
      </c>
      <c r="H48" s="78" t="str">
        <f>'CRU historical'!O47</f>
        <v xml:space="preserve"> </v>
      </c>
      <c r="I48" s="78">
        <f>'CRU historical'!R47</f>
        <v>76</v>
      </c>
      <c r="J48" s="78">
        <f>AVERAGE('CRU historical'!U47, 'CRU historical'!X47, 'CRU historical'!AA47, 'CRU historical'!AD47)</f>
        <v>80.5</v>
      </c>
      <c r="L48" s="78" cm="1">
        <f t="array" ref="L48">IFERROR(SUMPRODUCT(('Sulphuric Acid freights'!$B$3:$B$513=B48)*('Sulphuric Acid freights'!$D$3:$D$513=D48)*('Sulphuric Acid freights'!$P$3:$P$513))/SUMPRODUCT(('Sulphuric Acid freights'!$B$3:$B$513=B48)*('Sulphuric Acid freights'!$D$3:$D$513=D48)*1), AVERAGE('Sulphuric Acid freights'!$P$3:$P$513))*2/3</f>
        <v>54.110671936758898</v>
      </c>
      <c r="M48" s="78" cm="1">
        <f t="array" ref="M48">IFERROR(SUMPRODUCT(('Sulphuric Acid freights'!$B$3:$B$513=B48)*('Sulphuric Acid freights'!$D$3:$D$513=D48)*('Sulphuric Acid freights'!$M$3:$M$513))/SUMPRODUCT(('Sulphuric Acid freights'!$B$3:$B$513=B48)*('Sulphuric Acid freights'!$D$3:$D$513=D48)*1)*2/3, AVERAGE('Sulphuric Acid freights'!$M$3:$M$513))</f>
        <v>23.573122529644269</v>
      </c>
      <c r="N48" s="78">
        <f t="shared" si="3"/>
        <v>48.699604743083007</v>
      </c>
      <c r="O48" s="78" cm="1">
        <f t="array" ref="O48">IF(SUMPRODUCT(('Sulphur freight'!$B$3:$B$1976=B48)*('Sulphur freight'!$D$3:$D$1976=D48)*('Sulphur freight'!$G$3:$G$1976))/SUMPRODUCT(('Sulphur freight'!$B$3:$B$1976=B48)*('Sulphur freight'!$D$3:$D$1976=D48)*1)=0, AVERAGE('Sulphur freight'!$G$3:$G$1976),SUMPRODUCT(('Sulphur freight'!$B$3:$B$1976=B48)*('Sulphur freight'!$D$3:$D$1976=D48)*('Sulphur freight'!$G$3:$G$1976))/SUMPRODUCT(('Sulphur freight'!$B$3:$B$1976=B48)*('Sulphur freight'!$D$3:$D$1976=D48)*1))</f>
        <v>29.165429480381761</v>
      </c>
      <c r="P48" s="78">
        <v>20</v>
      </c>
      <c r="R48" s="78" t="str">
        <f t="shared" si="4"/>
        <v xml:space="preserve"> </v>
      </c>
      <c r="S48" s="78">
        <f t="shared" si="5"/>
        <v>58.573122529644266</v>
      </c>
      <c r="T48" s="78" t="str">
        <f t="shared" si="0"/>
        <v/>
      </c>
      <c r="U48" s="78" t="str">
        <f t="shared" si="6"/>
        <v/>
      </c>
      <c r="V48" s="78">
        <f>IFERROR(I48+O48, "")</f>
        <v>105.16542948038176</v>
      </c>
      <c r="W48" s="78">
        <f t="shared" si="7"/>
        <v>100.5</v>
      </c>
      <c r="X48" s="78">
        <f t="shared" si="8"/>
        <v>52.704591728525983</v>
      </c>
      <c r="Y48" s="78">
        <f t="shared" si="9"/>
        <v>51.164999999999999</v>
      </c>
      <c r="AA48" s="88" t="str">
        <f t="shared" si="10"/>
        <v/>
      </c>
      <c r="AB48" s="77" t="str">
        <f t="shared" si="1"/>
        <v/>
      </c>
      <c r="AD48" s="88" t="str">
        <f t="shared" si="11"/>
        <v/>
      </c>
      <c r="AE48" s="77" t="str">
        <f t="shared" si="2"/>
        <v/>
      </c>
    </row>
    <row r="49" spans="2:31" x14ac:dyDescent="0.35">
      <c r="B49" s="2">
        <v>2005</v>
      </c>
      <c r="C49" s="2">
        <v>4</v>
      </c>
      <c r="D49" s="2">
        <v>12</v>
      </c>
      <c r="E49" s="78" t="str">
        <f>'CRU historical'!F48</f>
        <v xml:space="preserve"> </v>
      </c>
      <c r="F49" s="78">
        <f>'CRU historical'!I48</f>
        <v>35</v>
      </c>
      <c r="G49" s="78" t="str">
        <f>'CRU historical'!L48</f>
        <v xml:space="preserve"> </v>
      </c>
      <c r="H49" s="78" t="str">
        <f>'CRU historical'!O48</f>
        <v xml:space="preserve"> </v>
      </c>
      <c r="I49" s="78">
        <f>'CRU historical'!R48</f>
        <v>74</v>
      </c>
      <c r="J49" s="78">
        <f>AVERAGE('CRU historical'!U48, 'CRU historical'!X48, 'CRU historical'!AA48, 'CRU historical'!AD48)</f>
        <v>80.5</v>
      </c>
      <c r="L49" s="78" cm="1">
        <f t="array" ref="L49">IFERROR(SUMPRODUCT(('Sulphuric Acid freights'!$B$3:$B$513=B49)*('Sulphuric Acid freights'!$D$3:$D$513=D49)*('Sulphuric Acid freights'!$P$3:$P$513))/SUMPRODUCT(('Sulphuric Acid freights'!$B$3:$B$513=B49)*('Sulphuric Acid freights'!$D$3:$D$513=D49)*1), AVERAGE('Sulphuric Acid freights'!$P$3:$P$513))*2/3</f>
        <v>54.110671936758898</v>
      </c>
      <c r="M49" s="78" cm="1">
        <f t="array" ref="M49">IFERROR(SUMPRODUCT(('Sulphuric Acid freights'!$B$3:$B$513=B49)*('Sulphuric Acid freights'!$D$3:$D$513=D49)*('Sulphuric Acid freights'!$M$3:$M$513))/SUMPRODUCT(('Sulphuric Acid freights'!$B$3:$B$513=B49)*('Sulphuric Acid freights'!$D$3:$D$513=D49)*1)*2/3, AVERAGE('Sulphuric Acid freights'!$M$3:$M$513))</f>
        <v>23.573122529644269</v>
      </c>
      <c r="N49" s="78">
        <f t="shared" si="3"/>
        <v>48.699604743083007</v>
      </c>
      <c r="O49" s="78" cm="1">
        <f t="array" ref="O49">IF(SUMPRODUCT(('Sulphur freight'!$B$3:$B$1976=B49)*('Sulphur freight'!$D$3:$D$1976=D49)*('Sulphur freight'!$G$3:$G$1976))/SUMPRODUCT(('Sulphur freight'!$B$3:$B$1976=B49)*('Sulphur freight'!$D$3:$D$1976=D49)*1)=0, AVERAGE('Sulphur freight'!$G$3:$G$1976),SUMPRODUCT(('Sulphur freight'!$B$3:$B$1976=B49)*('Sulphur freight'!$D$3:$D$1976=D49)*('Sulphur freight'!$G$3:$G$1976))/SUMPRODUCT(('Sulphur freight'!$B$3:$B$1976=B49)*('Sulphur freight'!$D$3:$D$1976=D49)*1))</f>
        <v>29.165429480381761</v>
      </c>
      <c r="P49" s="78">
        <v>20</v>
      </c>
      <c r="R49" s="78" t="str">
        <f t="shared" si="4"/>
        <v xml:space="preserve"> </v>
      </c>
      <c r="S49" s="78">
        <f t="shared" si="5"/>
        <v>58.573122529644266</v>
      </c>
      <c r="T49" s="78" t="str">
        <f t="shared" si="0"/>
        <v/>
      </c>
      <c r="U49" s="78" t="str">
        <f t="shared" si="6"/>
        <v/>
      </c>
      <c r="V49" s="78">
        <f>IFERROR(I49+O49, "")</f>
        <v>103.16542948038176</v>
      </c>
      <c r="W49" s="78">
        <f t="shared" si="7"/>
        <v>100.5</v>
      </c>
      <c r="X49" s="78">
        <f t="shared" si="8"/>
        <v>52.04459172852598</v>
      </c>
      <c r="Y49" s="78">
        <f t="shared" si="9"/>
        <v>51.164999999999999</v>
      </c>
      <c r="AA49" s="88" t="str">
        <f t="shared" si="10"/>
        <v/>
      </c>
      <c r="AB49" s="77" t="str">
        <f t="shared" si="1"/>
        <v/>
      </c>
      <c r="AD49" s="88" t="str">
        <f t="shared" si="11"/>
        <v/>
      </c>
      <c r="AE49" s="77" t="str">
        <f t="shared" si="2"/>
        <v/>
      </c>
    </row>
    <row r="50" spans="2:31" x14ac:dyDescent="0.35">
      <c r="B50" s="2">
        <v>2006</v>
      </c>
      <c r="C50" s="2">
        <v>1</v>
      </c>
      <c r="D50" s="2">
        <v>1</v>
      </c>
      <c r="E50" s="78" t="str">
        <f>'CRU historical'!F49</f>
        <v xml:space="preserve"> </v>
      </c>
      <c r="F50" s="78">
        <f>'CRU historical'!I49</f>
        <v>31.5</v>
      </c>
      <c r="G50" s="78" t="str">
        <f>'CRU historical'!L49</f>
        <v xml:space="preserve"> </v>
      </c>
      <c r="H50" s="78" t="str">
        <f>'CRU historical'!O49</f>
        <v xml:space="preserve"> </v>
      </c>
      <c r="I50" s="78">
        <f>'CRU historical'!R49</f>
        <v>66</v>
      </c>
      <c r="J50" s="78">
        <f>AVERAGE('CRU historical'!U49, 'CRU historical'!X49, 'CRU historical'!AA49, 'CRU historical'!AD49)</f>
        <v>76.75</v>
      </c>
      <c r="L50" s="78" cm="1">
        <f t="array" ref="L50">IFERROR(SUMPRODUCT(('Sulphuric Acid freights'!$B$3:$B$513=B50)*('Sulphuric Acid freights'!$D$3:$D$513=D50)*('Sulphuric Acid freights'!$P$3:$P$513))/SUMPRODUCT(('Sulphuric Acid freights'!$B$3:$B$513=B50)*('Sulphuric Acid freights'!$D$3:$D$513=D50)*1), AVERAGE('Sulphuric Acid freights'!$P$3:$P$513))*2/3</f>
        <v>54.110671936758898</v>
      </c>
      <c r="M50" s="78" cm="1">
        <f t="array" ref="M50">IFERROR(SUMPRODUCT(('Sulphuric Acid freights'!$B$3:$B$513=B50)*('Sulphuric Acid freights'!$D$3:$D$513=D50)*('Sulphuric Acid freights'!$M$3:$M$513))/SUMPRODUCT(('Sulphuric Acid freights'!$B$3:$B$513=B50)*('Sulphuric Acid freights'!$D$3:$D$513=D50)*1)*2/3, AVERAGE('Sulphuric Acid freights'!$M$3:$M$513))</f>
        <v>23.573122529644269</v>
      </c>
      <c r="N50" s="78">
        <f t="shared" si="3"/>
        <v>48.699604743083007</v>
      </c>
      <c r="O50" s="78" cm="1">
        <f t="array" ref="O50">IF(SUMPRODUCT(('Sulphur freight'!$B$3:$B$1976=B50)*('Sulphur freight'!$D$3:$D$1976=D50)*('Sulphur freight'!$G$3:$G$1976))/SUMPRODUCT(('Sulphur freight'!$B$3:$B$1976=B50)*('Sulphur freight'!$D$3:$D$1976=D50)*1)=0, AVERAGE('Sulphur freight'!$G$3:$G$1976),SUMPRODUCT(('Sulphur freight'!$B$3:$B$1976=B50)*('Sulphur freight'!$D$3:$D$1976=D50)*('Sulphur freight'!$G$3:$G$1976))/SUMPRODUCT(('Sulphur freight'!$B$3:$B$1976=B50)*('Sulphur freight'!$D$3:$D$1976=D50)*1))</f>
        <v>29.165429480381761</v>
      </c>
      <c r="P50" s="78">
        <v>20</v>
      </c>
      <c r="R50" s="78" t="str">
        <f t="shared" si="4"/>
        <v xml:space="preserve"> </v>
      </c>
      <c r="S50" s="78">
        <f t="shared" si="5"/>
        <v>55.073122529644266</v>
      </c>
      <c r="T50" s="78" t="str">
        <f t="shared" si="0"/>
        <v/>
      </c>
      <c r="U50" s="78" t="str">
        <f t="shared" si="6"/>
        <v/>
      </c>
      <c r="V50" s="78">
        <f>IFERROR(I50+O50, "")</f>
        <v>95.165429480381761</v>
      </c>
      <c r="W50" s="78">
        <f t="shared" si="7"/>
        <v>96.75</v>
      </c>
      <c r="X50" s="78">
        <f t="shared" si="8"/>
        <v>49.404591728525986</v>
      </c>
      <c r="Y50" s="78">
        <f t="shared" si="9"/>
        <v>49.927500000000002</v>
      </c>
      <c r="AA50" s="88" t="str">
        <f t="shared" si="10"/>
        <v/>
      </c>
      <c r="AB50" s="77" t="str">
        <f t="shared" si="1"/>
        <v/>
      </c>
      <c r="AD50" s="88" t="str">
        <f t="shared" si="11"/>
        <v/>
      </c>
      <c r="AE50" s="77" t="str">
        <f t="shared" si="2"/>
        <v/>
      </c>
    </row>
    <row r="51" spans="2:31" x14ac:dyDescent="0.35">
      <c r="B51" s="2">
        <v>2006</v>
      </c>
      <c r="C51" s="2">
        <v>1</v>
      </c>
      <c r="D51" s="2">
        <v>2</v>
      </c>
      <c r="E51" s="78" t="str">
        <f>'CRU historical'!F50</f>
        <v xml:space="preserve"> </v>
      </c>
      <c r="F51" s="78">
        <f>'CRU historical'!I50</f>
        <v>28</v>
      </c>
      <c r="G51" s="78" t="str">
        <f>'CRU historical'!L50</f>
        <v xml:space="preserve"> </v>
      </c>
      <c r="H51" s="78" t="str">
        <f>'CRU historical'!O50</f>
        <v xml:space="preserve"> </v>
      </c>
      <c r="I51" s="78">
        <f>'CRU historical'!R50</f>
        <v>66.5</v>
      </c>
      <c r="J51" s="78">
        <f>AVERAGE('CRU historical'!U50, 'CRU historical'!X50, 'CRU historical'!AA50, 'CRU historical'!AD50)</f>
        <v>73</v>
      </c>
      <c r="L51" s="78" cm="1">
        <f t="array" ref="L51">IFERROR(SUMPRODUCT(('Sulphuric Acid freights'!$B$3:$B$513=B51)*('Sulphuric Acid freights'!$D$3:$D$513=D51)*('Sulphuric Acid freights'!$P$3:$P$513))/SUMPRODUCT(('Sulphuric Acid freights'!$B$3:$B$513=B51)*('Sulphuric Acid freights'!$D$3:$D$513=D51)*1), AVERAGE('Sulphuric Acid freights'!$P$3:$P$513))*2/3</f>
        <v>54.110671936758898</v>
      </c>
      <c r="M51" s="78" cm="1">
        <f t="array" ref="M51">IFERROR(SUMPRODUCT(('Sulphuric Acid freights'!$B$3:$B$513=B51)*('Sulphuric Acid freights'!$D$3:$D$513=D51)*('Sulphuric Acid freights'!$M$3:$M$513))/SUMPRODUCT(('Sulphuric Acid freights'!$B$3:$B$513=B51)*('Sulphuric Acid freights'!$D$3:$D$513=D51)*1)*2/3, AVERAGE('Sulphuric Acid freights'!$M$3:$M$513))</f>
        <v>23.573122529644269</v>
      </c>
      <c r="N51" s="78">
        <f t="shared" si="3"/>
        <v>48.699604743083007</v>
      </c>
      <c r="O51" s="78" cm="1">
        <f t="array" ref="O51">IF(SUMPRODUCT(('Sulphur freight'!$B$3:$B$1976=B51)*('Sulphur freight'!$D$3:$D$1976=D51)*('Sulphur freight'!$G$3:$G$1976))/SUMPRODUCT(('Sulphur freight'!$B$3:$B$1976=B51)*('Sulphur freight'!$D$3:$D$1976=D51)*1)=0, AVERAGE('Sulphur freight'!$G$3:$G$1976),SUMPRODUCT(('Sulphur freight'!$B$3:$B$1976=B51)*('Sulphur freight'!$D$3:$D$1976=D51)*('Sulphur freight'!$G$3:$G$1976))/SUMPRODUCT(('Sulphur freight'!$B$3:$B$1976=B51)*('Sulphur freight'!$D$3:$D$1976=D51)*1))</f>
        <v>29.165429480381761</v>
      </c>
      <c r="P51" s="78">
        <v>20</v>
      </c>
      <c r="R51" s="78" t="str">
        <f t="shared" si="4"/>
        <v xml:space="preserve"> </v>
      </c>
      <c r="S51" s="78">
        <f t="shared" si="5"/>
        <v>51.573122529644266</v>
      </c>
      <c r="T51" s="78" t="str">
        <f t="shared" si="0"/>
        <v/>
      </c>
      <c r="U51" s="78" t="str">
        <f t="shared" si="6"/>
        <v/>
      </c>
      <c r="V51" s="78">
        <f>IFERROR(I51+O51, "")</f>
        <v>95.665429480381761</v>
      </c>
      <c r="W51" s="78">
        <f t="shared" si="7"/>
        <v>93</v>
      </c>
      <c r="X51" s="78">
        <f t="shared" si="8"/>
        <v>49.569591728525978</v>
      </c>
      <c r="Y51" s="78">
        <f t="shared" si="9"/>
        <v>48.69</v>
      </c>
      <c r="AA51" s="88" t="str">
        <f t="shared" si="10"/>
        <v/>
      </c>
      <c r="AB51" s="77" t="str">
        <f t="shared" si="1"/>
        <v/>
      </c>
      <c r="AD51" s="88" t="str">
        <f t="shared" si="11"/>
        <v/>
      </c>
      <c r="AE51" s="77" t="str">
        <f t="shared" si="2"/>
        <v/>
      </c>
    </row>
    <row r="52" spans="2:31" x14ac:dyDescent="0.35">
      <c r="B52" s="2">
        <v>2006</v>
      </c>
      <c r="C52" s="2">
        <v>1</v>
      </c>
      <c r="D52" s="2">
        <v>3</v>
      </c>
      <c r="E52" s="78" t="str">
        <f>'CRU historical'!F51</f>
        <v xml:space="preserve"> </v>
      </c>
      <c r="F52" s="78">
        <f>'CRU historical'!I51</f>
        <v>28</v>
      </c>
      <c r="G52" s="78" t="str">
        <f>'CRU historical'!L51</f>
        <v xml:space="preserve"> </v>
      </c>
      <c r="H52" s="78" t="str">
        <f>'CRU historical'!O51</f>
        <v xml:space="preserve"> </v>
      </c>
      <c r="I52" s="78">
        <f>'CRU historical'!R51</f>
        <v>64.5</v>
      </c>
      <c r="J52" s="78">
        <f>AVERAGE('CRU historical'!U51, 'CRU historical'!X51, 'CRU historical'!AA51, 'CRU historical'!AD51)</f>
        <v>73</v>
      </c>
      <c r="L52" s="78" cm="1">
        <f t="array" ref="L52">IFERROR(SUMPRODUCT(('Sulphuric Acid freights'!$B$3:$B$513=B52)*('Sulphuric Acid freights'!$D$3:$D$513=D52)*('Sulphuric Acid freights'!$P$3:$P$513))/SUMPRODUCT(('Sulphuric Acid freights'!$B$3:$B$513=B52)*('Sulphuric Acid freights'!$D$3:$D$513=D52)*1), AVERAGE('Sulphuric Acid freights'!$P$3:$P$513))*2/3</f>
        <v>54.110671936758898</v>
      </c>
      <c r="M52" s="78" cm="1">
        <f t="array" ref="M52">IFERROR(SUMPRODUCT(('Sulphuric Acid freights'!$B$3:$B$513=B52)*('Sulphuric Acid freights'!$D$3:$D$513=D52)*('Sulphuric Acid freights'!$M$3:$M$513))/SUMPRODUCT(('Sulphuric Acid freights'!$B$3:$B$513=B52)*('Sulphuric Acid freights'!$D$3:$D$513=D52)*1)*2/3, AVERAGE('Sulphuric Acid freights'!$M$3:$M$513))</f>
        <v>23.573122529644269</v>
      </c>
      <c r="N52" s="78">
        <f t="shared" si="3"/>
        <v>48.699604743083007</v>
      </c>
      <c r="O52" s="78" cm="1">
        <f t="array" ref="O52">IF(SUMPRODUCT(('Sulphur freight'!$B$3:$B$1976=B52)*('Sulphur freight'!$D$3:$D$1976=D52)*('Sulphur freight'!$G$3:$G$1976))/SUMPRODUCT(('Sulphur freight'!$B$3:$B$1976=B52)*('Sulphur freight'!$D$3:$D$1976=D52)*1)=0, AVERAGE('Sulphur freight'!$G$3:$G$1976),SUMPRODUCT(('Sulphur freight'!$B$3:$B$1976=B52)*('Sulphur freight'!$D$3:$D$1976=D52)*('Sulphur freight'!$G$3:$G$1976))/SUMPRODUCT(('Sulphur freight'!$B$3:$B$1976=B52)*('Sulphur freight'!$D$3:$D$1976=D52)*1))</f>
        <v>29.165429480381761</v>
      </c>
      <c r="P52" s="78">
        <v>20</v>
      </c>
      <c r="R52" s="78" t="str">
        <f t="shared" si="4"/>
        <v xml:space="preserve"> </v>
      </c>
      <c r="S52" s="78">
        <f t="shared" si="5"/>
        <v>51.573122529644266</v>
      </c>
      <c r="T52" s="78" t="str">
        <f t="shared" si="0"/>
        <v/>
      </c>
      <c r="U52" s="78" t="str">
        <f t="shared" si="6"/>
        <v/>
      </c>
      <c r="V52" s="78">
        <f>IFERROR(I52+O52, "")</f>
        <v>93.665429480381761</v>
      </c>
      <c r="W52" s="78">
        <f t="shared" si="7"/>
        <v>93</v>
      </c>
      <c r="X52" s="78">
        <f t="shared" si="8"/>
        <v>48.909591728525982</v>
      </c>
      <c r="Y52" s="78">
        <f t="shared" si="9"/>
        <v>48.69</v>
      </c>
      <c r="AA52" s="88" t="str">
        <f t="shared" si="10"/>
        <v/>
      </c>
      <c r="AB52" s="77" t="str">
        <f t="shared" si="1"/>
        <v/>
      </c>
      <c r="AD52" s="88" t="str">
        <f t="shared" si="11"/>
        <v/>
      </c>
      <c r="AE52" s="77" t="str">
        <f t="shared" si="2"/>
        <v/>
      </c>
    </row>
    <row r="53" spans="2:31" x14ac:dyDescent="0.35">
      <c r="B53" s="2">
        <v>2006</v>
      </c>
      <c r="C53" s="2">
        <v>2</v>
      </c>
      <c r="D53" s="2">
        <v>4</v>
      </c>
      <c r="E53" s="78" t="str">
        <f>'CRU historical'!F52</f>
        <v xml:space="preserve"> </v>
      </c>
      <c r="F53" s="78">
        <f>'CRU historical'!I52</f>
        <v>28</v>
      </c>
      <c r="G53" s="78" t="str">
        <f>'CRU historical'!L52</f>
        <v xml:space="preserve"> </v>
      </c>
      <c r="H53" s="78" t="str">
        <f>'CRU historical'!O52</f>
        <v xml:space="preserve"> </v>
      </c>
      <c r="I53" s="78">
        <f>'CRU historical'!R52</f>
        <v>62.5</v>
      </c>
      <c r="J53" s="78">
        <f>AVERAGE('CRU historical'!U52, 'CRU historical'!X52, 'CRU historical'!AA52, 'CRU historical'!AD52)</f>
        <v>73</v>
      </c>
      <c r="L53" s="78" cm="1">
        <f t="array" ref="L53">IFERROR(SUMPRODUCT(('Sulphuric Acid freights'!$B$3:$B$513=B53)*('Sulphuric Acid freights'!$D$3:$D$513=D53)*('Sulphuric Acid freights'!$P$3:$P$513))/SUMPRODUCT(('Sulphuric Acid freights'!$B$3:$B$513=B53)*('Sulphuric Acid freights'!$D$3:$D$513=D53)*1), AVERAGE('Sulphuric Acid freights'!$P$3:$P$513))*2/3</f>
        <v>54.110671936758898</v>
      </c>
      <c r="M53" s="78" cm="1">
        <f t="array" ref="M53">IFERROR(SUMPRODUCT(('Sulphuric Acid freights'!$B$3:$B$513=B53)*('Sulphuric Acid freights'!$D$3:$D$513=D53)*('Sulphuric Acid freights'!$M$3:$M$513))/SUMPRODUCT(('Sulphuric Acid freights'!$B$3:$B$513=B53)*('Sulphuric Acid freights'!$D$3:$D$513=D53)*1)*2/3, AVERAGE('Sulphuric Acid freights'!$M$3:$M$513))</f>
        <v>23.573122529644269</v>
      </c>
      <c r="N53" s="78">
        <f t="shared" si="3"/>
        <v>48.699604743083007</v>
      </c>
      <c r="O53" s="78" cm="1">
        <f t="array" ref="O53">IF(SUMPRODUCT(('Sulphur freight'!$B$3:$B$1976=B53)*('Sulphur freight'!$D$3:$D$1976=D53)*('Sulphur freight'!$G$3:$G$1976))/SUMPRODUCT(('Sulphur freight'!$B$3:$B$1976=B53)*('Sulphur freight'!$D$3:$D$1976=D53)*1)=0, AVERAGE('Sulphur freight'!$G$3:$G$1976),SUMPRODUCT(('Sulphur freight'!$B$3:$B$1976=B53)*('Sulphur freight'!$D$3:$D$1976=D53)*('Sulphur freight'!$G$3:$G$1976))/SUMPRODUCT(('Sulphur freight'!$B$3:$B$1976=B53)*('Sulphur freight'!$D$3:$D$1976=D53)*1))</f>
        <v>29.165429480381761</v>
      </c>
      <c r="P53" s="78">
        <v>20</v>
      </c>
      <c r="R53" s="78" t="str">
        <f t="shared" si="4"/>
        <v xml:space="preserve"> </v>
      </c>
      <c r="S53" s="78">
        <f t="shared" si="5"/>
        <v>51.573122529644266</v>
      </c>
      <c r="T53" s="78" t="str">
        <f t="shared" si="0"/>
        <v/>
      </c>
      <c r="U53" s="78" t="str">
        <f t="shared" si="6"/>
        <v/>
      </c>
      <c r="V53" s="78">
        <f>IFERROR(I53+O53, "")</f>
        <v>91.665429480381761</v>
      </c>
      <c r="W53" s="78">
        <f t="shared" si="7"/>
        <v>93</v>
      </c>
      <c r="X53" s="78">
        <f t="shared" si="8"/>
        <v>48.249591728525985</v>
      </c>
      <c r="Y53" s="78">
        <f t="shared" si="9"/>
        <v>48.69</v>
      </c>
      <c r="AA53" s="88" t="str">
        <f t="shared" si="10"/>
        <v/>
      </c>
      <c r="AB53" s="77" t="str">
        <f t="shared" si="1"/>
        <v/>
      </c>
      <c r="AD53" s="88" t="str">
        <f t="shared" si="11"/>
        <v/>
      </c>
      <c r="AE53" s="77" t="str">
        <f t="shared" si="2"/>
        <v/>
      </c>
    </row>
    <row r="54" spans="2:31" x14ac:dyDescent="0.35">
      <c r="B54" s="2">
        <v>2006</v>
      </c>
      <c r="C54" s="2">
        <v>2</v>
      </c>
      <c r="D54" s="2">
        <v>5</v>
      </c>
      <c r="E54" s="78" t="str">
        <f>'CRU historical'!F53</f>
        <v xml:space="preserve"> </v>
      </c>
      <c r="F54" s="78">
        <f>'CRU historical'!I53</f>
        <v>28</v>
      </c>
      <c r="G54" s="78" t="str">
        <f>'CRU historical'!L53</f>
        <v xml:space="preserve"> </v>
      </c>
      <c r="H54" s="78" t="str">
        <f>'CRU historical'!O53</f>
        <v xml:space="preserve"> </v>
      </c>
      <c r="I54" s="78">
        <f>'CRU historical'!R53</f>
        <v>62</v>
      </c>
      <c r="J54" s="78">
        <f>AVERAGE('CRU historical'!U53, 'CRU historical'!X53, 'CRU historical'!AA53, 'CRU historical'!AD53)</f>
        <v>73</v>
      </c>
      <c r="L54" s="78" cm="1">
        <f t="array" ref="L54">IFERROR(SUMPRODUCT(('Sulphuric Acid freights'!$B$3:$B$513=B54)*('Sulphuric Acid freights'!$D$3:$D$513=D54)*('Sulphuric Acid freights'!$P$3:$P$513))/SUMPRODUCT(('Sulphuric Acid freights'!$B$3:$B$513=B54)*('Sulphuric Acid freights'!$D$3:$D$513=D54)*1), AVERAGE('Sulphuric Acid freights'!$P$3:$P$513))*2/3</f>
        <v>54.110671936758898</v>
      </c>
      <c r="M54" s="78" cm="1">
        <f t="array" ref="M54">IFERROR(SUMPRODUCT(('Sulphuric Acid freights'!$B$3:$B$513=B54)*('Sulphuric Acid freights'!$D$3:$D$513=D54)*('Sulphuric Acid freights'!$M$3:$M$513))/SUMPRODUCT(('Sulphuric Acid freights'!$B$3:$B$513=B54)*('Sulphuric Acid freights'!$D$3:$D$513=D54)*1)*2/3, AVERAGE('Sulphuric Acid freights'!$M$3:$M$513))</f>
        <v>23.573122529644269</v>
      </c>
      <c r="N54" s="78">
        <f t="shared" si="3"/>
        <v>48.699604743083007</v>
      </c>
      <c r="O54" s="78" cm="1">
        <f t="array" ref="O54">IF(SUMPRODUCT(('Sulphur freight'!$B$3:$B$1976=B54)*('Sulphur freight'!$D$3:$D$1976=D54)*('Sulphur freight'!$G$3:$G$1976))/SUMPRODUCT(('Sulphur freight'!$B$3:$B$1976=B54)*('Sulphur freight'!$D$3:$D$1976=D54)*1)=0, AVERAGE('Sulphur freight'!$G$3:$G$1976),SUMPRODUCT(('Sulphur freight'!$B$3:$B$1976=B54)*('Sulphur freight'!$D$3:$D$1976=D54)*('Sulphur freight'!$G$3:$G$1976))/SUMPRODUCT(('Sulphur freight'!$B$3:$B$1976=B54)*('Sulphur freight'!$D$3:$D$1976=D54)*1))</f>
        <v>29.165429480381761</v>
      </c>
      <c r="P54" s="78">
        <v>20</v>
      </c>
      <c r="R54" s="78" t="str">
        <f t="shared" si="4"/>
        <v xml:space="preserve"> </v>
      </c>
      <c r="S54" s="78">
        <f t="shared" si="5"/>
        <v>51.573122529644266</v>
      </c>
      <c r="T54" s="78" t="str">
        <f t="shared" si="0"/>
        <v/>
      </c>
      <c r="U54" s="78" t="str">
        <f t="shared" si="6"/>
        <v/>
      </c>
      <c r="V54" s="78">
        <f>IFERROR(I54+O54, "")</f>
        <v>91.165429480381761</v>
      </c>
      <c r="W54" s="78">
        <f t="shared" si="7"/>
        <v>93</v>
      </c>
      <c r="X54" s="78">
        <f t="shared" si="8"/>
        <v>48.084591728525979</v>
      </c>
      <c r="Y54" s="78">
        <f t="shared" si="9"/>
        <v>48.69</v>
      </c>
      <c r="AA54" s="88" t="str">
        <f t="shared" si="10"/>
        <v/>
      </c>
      <c r="AB54" s="77" t="str">
        <f t="shared" si="1"/>
        <v/>
      </c>
      <c r="AD54" s="88" t="str">
        <f t="shared" si="11"/>
        <v/>
      </c>
      <c r="AE54" s="77" t="str">
        <f t="shared" si="2"/>
        <v/>
      </c>
    </row>
    <row r="55" spans="2:31" x14ac:dyDescent="0.35">
      <c r="B55" s="2">
        <v>2006</v>
      </c>
      <c r="C55" s="2">
        <v>2</v>
      </c>
      <c r="D55" s="2">
        <v>6</v>
      </c>
      <c r="E55" s="78" t="str">
        <f>'CRU historical'!F54</f>
        <v xml:space="preserve"> </v>
      </c>
      <c r="F55" s="78">
        <f>'CRU historical'!I54</f>
        <v>28</v>
      </c>
      <c r="G55" s="78" t="str">
        <f>'CRU historical'!L54</f>
        <v xml:space="preserve"> </v>
      </c>
      <c r="H55" s="78" t="str">
        <f>'CRU historical'!O54</f>
        <v xml:space="preserve"> </v>
      </c>
      <c r="I55" s="78">
        <f>'CRU historical'!R54</f>
        <v>58</v>
      </c>
      <c r="J55" s="78">
        <f>AVERAGE('CRU historical'!U54, 'CRU historical'!X54, 'CRU historical'!AA54, 'CRU historical'!AD54)</f>
        <v>72.5</v>
      </c>
      <c r="L55" s="78" cm="1">
        <f t="array" ref="L55">IFERROR(SUMPRODUCT(('Sulphuric Acid freights'!$B$3:$B$513=B55)*('Sulphuric Acid freights'!$D$3:$D$513=D55)*('Sulphuric Acid freights'!$P$3:$P$513))/SUMPRODUCT(('Sulphuric Acid freights'!$B$3:$B$513=B55)*('Sulphuric Acid freights'!$D$3:$D$513=D55)*1), AVERAGE('Sulphuric Acid freights'!$P$3:$P$513))*2/3</f>
        <v>54.110671936758898</v>
      </c>
      <c r="M55" s="78" cm="1">
        <f t="array" ref="M55">IFERROR(SUMPRODUCT(('Sulphuric Acid freights'!$B$3:$B$513=B55)*('Sulphuric Acid freights'!$D$3:$D$513=D55)*('Sulphuric Acid freights'!$M$3:$M$513))/SUMPRODUCT(('Sulphuric Acid freights'!$B$3:$B$513=B55)*('Sulphuric Acid freights'!$D$3:$D$513=D55)*1)*2/3, AVERAGE('Sulphuric Acid freights'!$M$3:$M$513))</f>
        <v>23.573122529644269</v>
      </c>
      <c r="N55" s="78">
        <f t="shared" si="3"/>
        <v>48.699604743083007</v>
      </c>
      <c r="O55" s="78" cm="1">
        <f t="array" ref="O55">IF(SUMPRODUCT(('Sulphur freight'!$B$3:$B$1976=B55)*('Sulphur freight'!$D$3:$D$1976=D55)*('Sulphur freight'!$G$3:$G$1976))/SUMPRODUCT(('Sulphur freight'!$B$3:$B$1976=B55)*('Sulphur freight'!$D$3:$D$1976=D55)*1)=0, AVERAGE('Sulphur freight'!$G$3:$G$1976),SUMPRODUCT(('Sulphur freight'!$B$3:$B$1976=B55)*('Sulphur freight'!$D$3:$D$1976=D55)*('Sulphur freight'!$G$3:$G$1976))/SUMPRODUCT(('Sulphur freight'!$B$3:$B$1976=B55)*('Sulphur freight'!$D$3:$D$1976=D55)*1))</f>
        <v>29.165429480381761</v>
      </c>
      <c r="P55" s="78">
        <v>20</v>
      </c>
      <c r="R55" s="78" t="str">
        <f t="shared" si="4"/>
        <v xml:space="preserve"> </v>
      </c>
      <c r="S55" s="78">
        <f t="shared" si="5"/>
        <v>51.573122529644266</v>
      </c>
      <c r="T55" s="78" t="str">
        <f t="shared" si="0"/>
        <v/>
      </c>
      <c r="U55" s="78" t="str">
        <f t="shared" si="6"/>
        <v/>
      </c>
      <c r="V55" s="78">
        <f>IFERROR(I55+O55, "")</f>
        <v>87.165429480381761</v>
      </c>
      <c r="W55" s="78">
        <f t="shared" si="7"/>
        <v>92.5</v>
      </c>
      <c r="X55" s="78">
        <f t="shared" si="8"/>
        <v>46.764591728525986</v>
      </c>
      <c r="Y55" s="78">
        <f t="shared" si="9"/>
        <v>48.525000000000006</v>
      </c>
      <c r="AA55" s="88" t="str">
        <f t="shared" si="10"/>
        <v/>
      </c>
      <c r="AB55" s="77" t="str">
        <f t="shared" si="1"/>
        <v/>
      </c>
      <c r="AD55" s="88" t="str">
        <f t="shared" si="11"/>
        <v/>
      </c>
      <c r="AE55" s="77" t="str">
        <f t="shared" si="2"/>
        <v/>
      </c>
    </row>
    <row r="56" spans="2:31" x14ac:dyDescent="0.35">
      <c r="B56" s="2">
        <v>2006</v>
      </c>
      <c r="C56" s="2">
        <v>3</v>
      </c>
      <c r="D56" s="2">
        <v>7</v>
      </c>
      <c r="E56" s="78" t="str">
        <f>'CRU historical'!F55</f>
        <v xml:space="preserve"> </v>
      </c>
      <c r="F56" s="78">
        <f>'CRU historical'!I55</f>
        <v>28</v>
      </c>
      <c r="G56" s="78" t="str">
        <f>'CRU historical'!L55</f>
        <v xml:space="preserve"> </v>
      </c>
      <c r="H56" s="78" t="str">
        <f>'CRU historical'!O55</f>
        <v xml:space="preserve"> </v>
      </c>
      <c r="I56" s="78">
        <f>'CRU historical'!R55</f>
        <v>54.5</v>
      </c>
      <c r="J56" s="78">
        <f>AVERAGE('CRU historical'!U55, 'CRU historical'!X55, 'CRU historical'!AA55, 'CRU historical'!AD55)</f>
        <v>69.25</v>
      </c>
      <c r="L56" s="78" cm="1">
        <f t="array" ref="L56">IFERROR(SUMPRODUCT(('Sulphuric Acid freights'!$B$3:$B$513=B56)*('Sulphuric Acid freights'!$D$3:$D$513=D56)*('Sulphuric Acid freights'!$P$3:$P$513))/SUMPRODUCT(('Sulphuric Acid freights'!$B$3:$B$513=B56)*('Sulphuric Acid freights'!$D$3:$D$513=D56)*1), AVERAGE('Sulphuric Acid freights'!$P$3:$P$513))*2/3</f>
        <v>54.110671936758898</v>
      </c>
      <c r="M56" s="78" cm="1">
        <f t="array" ref="M56">IFERROR(SUMPRODUCT(('Sulphuric Acid freights'!$B$3:$B$513=B56)*('Sulphuric Acid freights'!$D$3:$D$513=D56)*('Sulphuric Acid freights'!$M$3:$M$513))/SUMPRODUCT(('Sulphuric Acid freights'!$B$3:$B$513=B56)*('Sulphuric Acid freights'!$D$3:$D$513=D56)*1)*2/3, AVERAGE('Sulphuric Acid freights'!$M$3:$M$513))</f>
        <v>23.573122529644269</v>
      </c>
      <c r="N56" s="78">
        <f t="shared" si="3"/>
        <v>48.699604743083007</v>
      </c>
      <c r="O56" s="78" cm="1">
        <f t="array" ref="O56">IF(SUMPRODUCT(('Sulphur freight'!$B$3:$B$1976=B56)*('Sulphur freight'!$D$3:$D$1976=D56)*('Sulphur freight'!$G$3:$G$1976))/SUMPRODUCT(('Sulphur freight'!$B$3:$B$1976=B56)*('Sulphur freight'!$D$3:$D$1976=D56)*1)=0, AVERAGE('Sulphur freight'!$G$3:$G$1976),SUMPRODUCT(('Sulphur freight'!$B$3:$B$1976=B56)*('Sulphur freight'!$D$3:$D$1976=D56)*('Sulphur freight'!$G$3:$G$1976))/SUMPRODUCT(('Sulphur freight'!$B$3:$B$1976=B56)*('Sulphur freight'!$D$3:$D$1976=D56)*1))</f>
        <v>29.165429480381761</v>
      </c>
      <c r="P56" s="78">
        <v>20</v>
      </c>
      <c r="R56" s="78" t="str">
        <f t="shared" si="4"/>
        <v xml:space="preserve"> </v>
      </c>
      <c r="S56" s="78">
        <f t="shared" si="5"/>
        <v>51.573122529644266</v>
      </c>
      <c r="T56" s="78" t="str">
        <f t="shared" si="0"/>
        <v/>
      </c>
      <c r="U56" s="78" t="str">
        <f t="shared" si="6"/>
        <v/>
      </c>
      <c r="V56" s="78">
        <f>IFERROR(I56+O56, "")</f>
        <v>83.665429480381761</v>
      </c>
      <c r="W56" s="78">
        <f t="shared" si="7"/>
        <v>89.25</v>
      </c>
      <c r="X56" s="78">
        <f t="shared" si="8"/>
        <v>45.609591728525984</v>
      </c>
      <c r="Y56" s="78">
        <f t="shared" si="9"/>
        <v>47.452500000000001</v>
      </c>
      <c r="AA56" s="88" t="str">
        <f t="shared" si="10"/>
        <v/>
      </c>
      <c r="AB56" s="77" t="str">
        <f t="shared" si="1"/>
        <v/>
      </c>
      <c r="AD56" s="88" t="str">
        <f t="shared" si="11"/>
        <v/>
      </c>
      <c r="AE56" s="77" t="str">
        <f t="shared" si="2"/>
        <v/>
      </c>
    </row>
    <row r="57" spans="2:31" x14ac:dyDescent="0.35">
      <c r="B57" s="2">
        <v>2006</v>
      </c>
      <c r="C57" s="2">
        <v>3</v>
      </c>
      <c r="D57" s="2">
        <v>8</v>
      </c>
      <c r="E57" s="78" t="str">
        <f>'CRU historical'!F56</f>
        <v xml:space="preserve"> </v>
      </c>
      <c r="F57" s="78">
        <f>'CRU historical'!I56</f>
        <v>28</v>
      </c>
      <c r="G57" s="78" t="str">
        <f>'CRU historical'!L56</f>
        <v xml:space="preserve"> </v>
      </c>
      <c r="H57" s="78" t="str">
        <f>'CRU historical'!O56</f>
        <v xml:space="preserve"> </v>
      </c>
      <c r="I57" s="78">
        <f>'CRU historical'!R56</f>
        <v>52.333333333333336</v>
      </c>
      <c r="J57" s="78">
        <f>AVERAGE('CRU historical'!U56, 'CRU historical'!X56, 'CRU historical'!AA56, 'CRU historical'!AD56)</f>
        <v>66.166666666666671</v>
      </c>
      <c r="L57" s="78" cm="1">
        <f t="array" ref="L57">IFERROR(SUMPRODUCT(('Sulphuric Acid freights'!$B$3:$B$513=B57)*('Sulphuric Acid freights'!$D$3:$D$513=D57)*('Sulphuric Acid freights'!$P$3:$P$513))/SUMPRODUCT(('Sulphuric Acid freights'!$B$3:$B$513=B57)*('Sulphuric Acid freights'!$D$3:$D$513=D57)*1), AVERAGE('Sulphuric Acid freights'!$P$3:$P$513))*2/3</f>
        <v>54.110671936758898</v>
      </c>
      <c r="M57" s="78" cm="1">
        <f t="array" ref="M57">IFERROR(SUMPRODUCT(('Sulphuric Acid freights'!$B$3:$B$513=B57)*('Sulphuric Acid freights'!$D$3:$D$513=D57)*('Sulphuric Acid freights'!$M$3:$M$513))/SUMPRODUCT(('Sulphuric Acid freights'!$B$3:$B$513=B57)*('Sulphuric Acid freights'!$D$3:$D$513=D57)*1)*2/3, AVERAGE('Sulphuric Acid freights'!$M$3:$M$513))</f>
        <v>23.573122529644269</v>
      </c>
      <c r="N57" s="78">
        <f t="shared" si="3"/>
        <v>48.699604743083007</v>
      </c>
      <c r="O57" s="78" cm="1">
        <f t="array" ref="O57">IF(SUMPRODUCT(('Sulphur freight'!$B$3:$B$1976=B57)*('Sulphur freight'!$D$3:$D$1976=D57)*('Sulphur freight'!$G$3:$G$1976))/SUMPRODUCT(('Sulphur freight'!$B$3:$B$1976=B57)*('Sulphur freight'!$D$3:$D$1976=D57)*1)=0, AVERAGE('Sulphur freight'!$G$3:$G$1976),SUMPRODUCT(('Sulphur freight'!$B$3:$B$1976=B57)*('Sulphur freight'!$D$3:$D$1976=D57)*('Sulphur freight'!$G$3:$G$1976))/SUMPRODUCT(('Sulphur freight'!$B$3:$B$1976=B57)*('Sulphur freight'!$D$3:$D$1976=D57)*1))</f>
        <v>29.165429480381761</v>
      </c>
      <c r="P57" s="78">
        <v>20</v>
      </c>
      <c r="R57" s="78" t="str">
        <f t="shared" si="4"/>
        <v xml:space="preserve"> </v>
      </c>
      <c r="S57" s="78">
        <f t="shared" si="5"/>
        <v>51.573122529644266</v>
      </c>
      <c r="T57" s="78" t="str">
        <f t="shared" si="0"/>
        <v/>
      </c>
      <c r="U57" s="78" t="str">
        <f t="shared" si="6"/>
        <v/>
      </c>
      <c r="V57" s="78">
        <f>IFERROR(I57+O57, "")</f>
        <v>81.498762813715103</v>
      </c>
      <c r="W57" s="78">
        <f t="shared" si="7"/>
        <v>86.166666666666671</v>
      </c>
      <c r="X57" s="78">
        <f t="shared" si="8"/>
        <v>44.894591728525981</v>
      </c>
      <c r="Y57" s="78">
        <f t="shared" si="9"/>
        <v>46.435000000000002</v>
      </c>
      <c r="AA57" s="88" t="str">
        <f t="shared" si="10"/>
        <v/>
      </c>
      <c r="AB57" s="77" t="str">
        <f t="shared" si="1"/>
        <v/>
      </c>
      <c r="AD57" s="88" t="str">
        <f t="shared" si="11"/>
        <v/>
      </c>
      <c r="AE57" s="77" t="str">
        <f t="shared" si="2"/>
        <v/>
      </c>
    </row>
    <row r="58" spans="2:31" x14ac:dyDescent="0.35">
      <c r="B58" s="2">
        <v>2006</v>
      </c>
      <c r="C58" s="2">
        <v>3</v>
      </c>
      <c r="D58" s="2">
        <v>9</v>
      </c>
      <c r="E58" s="78" t="str">
        <f>'CRU historical'!F57</f>
        <v xml:space="preserve"> </v>
      </c>
      <c r="F58" s="78">
        <f>'CRU historical'!I57</f>
        <v>28</v>
      </c>
      <c r="G58" s="78" t="str">
        <f>'CRU historical'!L57</f>
        <v xml:space="preserve"> </v>
      </c>
      <c r="H58" s="78" t="str">
        <f>'CRU historical'!O57</f>
        <v xml:space="preserve"> </v>
      </c>
      <c r="I58" s="78">
        <f>'CRU historical'!R57</f>
        <v>51.5</v>
      </c>
      <c r="J58" s="78">
        <f>AVERAGE('CRU historical'!U57, 'CRU historical'!X57, 'CRU historical'!AA57, 'CRU historical'!AD57)</f>
        <v>64.25</v>
      </c>
      <c r="L58" s="78" cm="1">
        <f t="array" ref="L58">IFERROR(SUMPRODUCT(('Sulphuric Acid freights'!$B$3:$B$513=B58)*('Sulphuric Acid freights'!$D$3:$D$513=D58)*('Sulphuric Acid freights'!$P$3:$P$513))/SUMPRODUCT(('Sulphuric Acid freights'!$B$3:$B$513=B58)*('Sulphuric Acid freights'!$D$3:$D$513=D58)*1), AVERAGE('Sulphuric Acid freights'!$P$3:$P$513))*2/3</f>
        <v>54.110671936758898</v>
      </c>
      <c r="M58" s="78" cm="1">
        <f t="array" ref="M58">IFERROR(SUMPRODUCT(('Sulphuric Acid freights'!$B$3:$B$513=B58)*('Sulphuric Acid freights'!$D$3:$D$513=D58)*('Sulphuric Acid freights'!$M$3:$M$513))/SUMPRODUCT(('Sulphuric Acid freights'!$B$3:$B$513=B58)*('Sulphuric Acid freights'!$D$3:$D$513=D58)*1)*2/3, AVERAGE('Sulphuric Acid freights'!$M$3:$M$513))</f>
        <v>23.573122529644269</v>
      </c>
      <c r="N58" s="78">
        <f t="shared" si="3"/>
        <v>48.699604743083007</v>
      </c>
      <c r="O58" s="78" cm="1">
        <f t="array" ref="O58">IF(SUMPRODUCT(('Sulphur freight'!$B$3:$B$1976=B58)*('Sulphur freight'!$D$3:$D$1976=D58)*('Sulphur freight'!$G$3:$G$1976))/SUMPRODUCT(('Sulphur freight'!$B$3:$B$1976=B58)*('Sulphur freight'!$D$3:$D$1976=D58)*1)=0, AVERAGE('Sulphur freight'!$G$3:$G$1976),SUMPRODUCT(('Sulphur freight'!$B$3:$B$1976=B58)*('Sulphur freight'!$D$3:$D$1976=D58)*('Sulphur freight'!$G$3:$G$1976))/SUMPRODUCT(('Sulphur freight'!$B$3:$B$1976=B58)*('Sulphur freight'!$D$3:$D$1976=D58)*1))</f>
        <v>29.165429480381761</v>
      </c>
      <c r="P58" s="78">
        <v>20</v>
      </c>
      <c r="R58" s="78" t="str">
        <f t="shared" si="4"/>
        <v xml:space="preserve"> </v>
      </c>
      <c r="S58" s="78">
        <f t="shared" si="5"/>
        <v>51.573122529644266</v>
      </c>
      <c r="T58" s="78" t="str">
        <f t="shared" si="0"/>
        <v/>
      </c>
      <c r="U58" s="78" t="str">
        <f t="shared" si="6"/>
        <v/>
      </c>
      <c r="V58" s="78">
        <f>IFERROR(I58+O58, "")</f>
        <v>80.665429480381761</v>
      </c>
      <c r="W58" s="78">
        <f t="shared" si="7"/>
        <v>84.25</v>
      </c>
      <c r="X58" s="78">
        <f t="shared" si="8"/>
        <v>44.619591728525982</v>
      </c>
      <c r="Y58" s="78">
        <f t="shared" si="9"/>
        <v>45.802500000000002</v>
      </c>
      <c r="AA58" s="88" t="str">
        <f t="shared" si="10"/>
        <v/>
      </c>
      <c r="AB58" s="77" t="str">
        <f t="shared" si="1"/>
        <v/>
      </c>
      <c r="AD58" s="88" t="str">
        <f t="shared" si="11"/>
        <v/>
      </c>
      <c r="AE58" s="77" t="str">
        <f t="shared" si="2"/>
        <v/>
      </c>
    </row>
    <row r="59" spans="2:31" x14ac:dyDescent="0.35">
      <c r="B59" s="2">
        <v>2006</v>
      </c>
      <c r="C59" s="2">
        <v>4</v>
      </c>
      <c r="D59" s="2">
        <v>10</v>
      </c>
      <c r="E59" s="78" t="str">
        <f>'CRU historical'!F58</f>
        <v xml:space="preserve"> </v>
      </c>
      <c r="F59" s="78">
        <f>'CRU historical'!I58</f>
        <v>28</v>
      </c>
      <c r="G59" s="78" t="str">
        <f>'CRU historical'!L58</f>
        <v xml:space="preserve"> </v>
      </c>
      <c r="H59" s="78" t="str">
        <f>'CRU historical'!O58</f>
        <v xml:space="preserve"> </v>
      </c>
      <c r="I59" s="78">
        <f>'CRU historical'!R58</f>
        <v>48</v>
      </c>
      <c r="J59" s="78">
        <f>AVERAGE('CRU historical'!U58, 'CRU historical'!X58, 'CRU historical'!AA58, 'CRU historical'!AD58)</f>
        <v>63</v>
      </c>
      <c r="L59" s="78" cm="1">
        <f t="array" ref="L59">IFERROR(SUMPRODUCT(('Sulphuric Acid freights'!$B$3:$B$513=B59)*('Sulphuric Acid freights'!$D$3:$D$513=D59)*('Sulphuric Acid freights'!$P$3:$P$513))/SUMPRODUCT(('Sulphuric Acid freights'!$B$3:$B$513=B59)*('Sulphuric Acid freights'!$D$3:$D$513=D59)*1), AVERAGE('Sulphuric Acid freights'!$P$3:$P$513))*2/3</f>
        <v>54.110671936758898</v>
      </c>
      <c r="M59" s="78" cm="1">
        <f t="array" ref="M59">IFERROR(SUMPRODUCT(('Sulphuric Acid freights'!$B$3:$B$513=B59)*('Sulphuric Acid freights'!$D$3:$D$513=D59)*('Sulphuric Acid freights'!$M$3:$M$513))/SUMPRODUCT(('Sulphuric Acid freights'!$B$3:$B$513=B59)*('Sulphuric Acid freights'!$D$3:$D$513=D59)*1)*2/3, AVERAGE('Sulphuric Acid freights'!$M$3:$M$513))</f>
        <v>23.573122529644269</v>
      </c>
      <c r="N59" s="78">
        <f t="shared" si="3"/>
        <v>48.699604743083007</v>
      </c>
      <c r="O59" s="78" cm="1">
        <f t="array" ref="O59">IF(SUMPRODUCT(('Sulphur freight'!$B$3:$B$1976=B59)*('Sulphur freight'!$D$3:$D$1976=D59)*('Sulphur freight'!$G$3:$G$1976))/SUMPRODUCT(('Sulphur freight'!$B$3:$B$1976=B59)*('Sulphur freight'!$D$3:$D$1976=D59)*1)=0, AVERAGE('Sulphur freight'!$G$3:$G$1976),SUMPRODUCT(('Sulphur freight'!$B$3:$B$1976=B59)*('Sulphur freight'!$D$3:$D$1976=D59)*('Sulphur freight'!$G$3:$G$1976))/SUMPRODUCT(('Sulphur freight'!$B$3:$B$1976=B59)*('Sulphur freight'!$D$3:$D$1976=D59)*1))</f>
        <v>29.165429480381761</v>
      </c>
      <c r="P59" s="78">
        <v>20</v>
      </c>
      <c r="R59" s="78" t="str">
        <f t="shared" si="4"/>
        <v xml:space="preserve"> </v>
      </c>
      <c r="S59" s="78">
        <f t="shared" si="5"/>
        <v>51.573122529644266</v>
      </c>
      <c r="T59" s="78" t="str">
        <f t="shared" si="0"/>
        <v/>
      </c>
      <c r="U59" s="78" t="str">
        <f t="shared" si="6"/>
        <v/>
      </c>
      <c r="V59" s="78">
        <f>IFERROR(I59+O59, "")</f>
        <v>77.165429480381761</v>
      </c>
      <c r="W59" s="78">
        <f t="shared" si="7"/>
        <v>83</v>
      </c>
      <c r="X59" s="78">
        <f t="shared" si="8"/>
        <v>43.464591728525981</v>
      </c>
      <c r="Y59" s="78">
        <f t="shared" si="9"/>
        <v>45.39</v>
      </c>
      <c r="AA59" s="88" t="str">
        <f t="shared" si="10"/>
        <v/>
      </c>
      <c r="AB59" s="77" t="str">
        <f t="shared" si="1"/>
        <v/>
      </c>
      <c r="AD59" s="88" t="str">
        <f t="shared" si="11"/>
        <v/>
      </c>
      <c r="AE59" s="77" t="str">
        <f t="shared" si="2"/>
        <v/>
      </c>
    </row>
    <row r="60" spans="2:31" x14ac:dyDescent="0.35">
      <c r="B60" s="2">
        <v>2006</v>
      </c>
      <c r="C60" s="2">
        <v>4</v>
      </c>
      <c r="D60" s="2">
        <v>11</v>
      </c>
      <c r="E60" s="78" t="str">
        <f>'CRU historical'!F59</f>
        <v xml:space="preserve"> </v>
      </c>
      <c r="F60" s="78">
        <f>'CRU historical'!I59</f>
        <v>28</v>
      </c>
      <c r="G60" s="78" t="str">
        <f>'CRU historical'!L59</f>
        <v xml:space="preserve"> </v>
      </c>
      <c r="H60" s="78" t="str">
        <f>'CRU historical'!O59</f>
        <v xml:space="preserve"> </v>
      </c>
      <c r="I60" s="78">
        <f>'CRU historical'!R59</f>
        <v>49</v>
      </c>
      <c r="J60" s="78">
        <f>AVERAGE('CRU historical'!U59, 'CRU historical'!X59, 'CRU historical'!AA59, 'CRU historical'!AD59)</f>
        <v>63</v>
      </c>
      <c r="L60" s="78" cm="1">
        <f t="array" ref="L60">IFERROR(SUMPRODUCT(('Sulphuric Acid freights'!$B$3:$B$513=B60)*('Sulphuric Acid freights'!$D$3:$D$513=D60)*('Sulphuric Acid freights'!$P$3:$P$513))/SUMPRODUCT(('Sulphuric Acid freights'!$B$3:$B$513=B60)*('Sulphuric Acid freights'!$D$3:$D$513=D60)*1), AVERAGE('Sulphuric Acid freights'!$P$3:$P$513))*2/3</f>
        <v>54.110671936758898</v>
      </c>
      <c r="M60" s="78" cm="1">
        <f t="array" ref="M60">IFERROR(SUMPRODUCT(('Sulphuric Acid freights'!$B$3:$B$513=B60)*('Sulphuric Acid freights'!$D$3:$D$513=D60)*('Sulphuric Acid freights'!$M$3:$M$513))/SUMPRODUCT(('Sulphuric Acid freights'!$B$3:$B$513=B60)*('Sulphuric Acid freights'!$D$3:$D$513=D60)*1)*2/3, AVERAGE('Sulphuric Acid freights'!$M$3:$M$513))</f>
        <v>23.573122529644269</v>
      </c>
      <c r="N60" s="78">
        <f t="shared" si="3"/>
        <v>48.699604743083007</v>
      </c>
      <c r="O60" s="78" cm="1">
        <f t="array" ref="O60">IF(SUMPRODUCT(('Sulphur freight'!$B$3:$B$1976=B60)*('Sulphur freight'!$D$3:$D$1976=D60)*('Sulphur freight'!$G$3:$G$1976))/SUMPRODUCT(('Sulphur freight'!$B$3:$B$1976=B60)*('Sulphur freight'!$D$3:$D$1976=D60)*1)=0, AVERAGE('Sulphur freight'!$G$3:$G$1976),SUMPRODUCT(('Sulphur freight'!$B$3:$B$1976=B60)*('Sulphur freight'!$D$3:$D$1976=D60)*('Sulphur freight'!$G$3:$G$1976))/SUMPRODUCT(('Sulphur freight'!$B$3:$B$1976=B60)*('Sulphur freight'!$D$3:$D$1976=D60)*1))</f>
        <v>29.165429480381761</v>
      </c>
      <c r="P60" s="78">
        <v>20</v>
      </c>
      <c r="R60" s="78" t="str">
        <f t="shared" si="4"/>
        <v xml:space="preserve"> </v>
      </c>
      <c r="S60" s="78">
        <f t="shared" si="5"/>
        <v>51.573122529644266</v>
      </c>
      <c r="T60" s="78" t="str">
        <f t="shared" si="0"/>
        <v/>
      </c>
      <c r="U60" s="78" t="str">
        <f t="shared" si="6"/>
        <v/>
      </c>
      <c r="V60" s="78">
        <f>IFERROR(I60+O60, "")</f>
        <v>78.165429480381761</v>
      </c>
      <c r="W60" s="78">
        <f t="shared" si="7"/>
        <v>83</v>
      </c>
      <c r="X60" s="78">
        <f t="shared" si="8"/>
        <v>43.794591728525987</v>
      </c>
      <c r="Y60" s="78">
        <f t="shared" si="9"/>
        <v>45.39</v>
      </c>
      <c r="AA60" s="88" t="str">
        <f t="shared" si="10"/>
        <v/>
      </c>
      <c r="AB60" s="77" t="str">
        <f t="shared" si="1"/>
        <v/>
      </c>
      <c r="AD60" s="88" t="str">
        <f t="shared" si="11"/>
        <v/>
      </c>
      <c r="AE60" s="77" t="str">
        <f t="shared" si="2"/>
        <v/>
      </c>
    </row>
    <row r="61" spans="2:31" x14ac:dyDescent="0.35">
      <c r="B61" s="2">
        <v>2006</v>
      </c>
      <c r="C61" s="2">
        <v>4</v>
      </c>
      <c r="D61" s="2">
        <v>12</v>
      </c>
      <c r="E61" s="78" t="str">
        <f>'CRU historical'!F60</f>
        <v xml:space="preserve"> </v>
      </c>
      <c r="F61" s="78">
        <f>'CRU historical'!I60</f>
        <v>30</v>
      </c>
      <c r="G61" s="78" t="str">
        <f>'CRU historical'!L60</f>
        <v xml:space="preserve"> </v>
      </c>
      <c r="H61" s="78" t="str">
        <f>'CRU historical'!O60</f>
        <v xml:space="preserve"> </v>
      </c>
      <c r="I61" s="78">
        <f>'CRU historical'!R60</f>
        <v>51</v>
      </c>
      <c r="J61" s="78">
        <f>AVERAGE('CRU historical'!U60, 'CRU historical'!X60, 'CRU historical'!AA60, 'CRU historical'!AD60)</f>
        <v>62.5</v>
      </c>
      <c r="L61" s="78" cm="1">
        <f t="array" ref="L61">IFERROR(SUMPRODUCT(('Sulphuric Acid freights'!$B$3:$B$513=B61)*('Sulphuric Acid freights'!$D$3:$D$513=D61)*('Sulphuric Acid freights'!$P$3:$P$513))/SUMPRODUCT(('Sulphuric Acid freights'!$B$3:$B$513=B61)*('Sulphuric Acid freights'!$D$3:$D$513=D61)*1), AVERAGE('Sulphuric Acid freights'!$P$3:$P$513))*2/3</f>
        <v>54.110671936758898</v>
      </c>
      <c r="M61" s="78" cm="1">
        <f t="array" ref="M61">IFERROR(SUMPRODUCT(('Sulphuric Acid freights'!$B$3:$B$513=B61)*('Sulphuric Acid freights'!$D$3:$D$513=D61)*('Sulphuric Acid freights'!$M$3:$M$513))/SUMPRODUCT(('Sulphuric Acid freights'!$B$3:$B$513=B61)*('Sulphuric Acid freights'!$D$3:$D$513=D61)*1)*2/3, AVERAGE('Sulphuric Acid freights'!$M$3:$M$513))</f>
        <v>23.573122529644269</v>
      </c>
      <c r="N61" s="78">
        <f t="shared" si="3"/>
        <v>48.699604743083007</v>
      </c>
      <c r="O61" s="78" cm="1">
        <f t="array" ref="O61">IF(SUMPRODUCT(('Sulphur freight'!$B$3:$B$1976=B61)*('Sulphur freight'!$D$3:$D$1976=D61)*('Sulphur freight'!$G$3:$G$1976))/SUMPRODUCT(('Sulphur freight'!$B$3:$B$1976=B61)*('Sulphur freight'!$D$3:$D$1976=D61)*1)=0, AVERAGE('Sulphur freight'!$G$3:$G$1976),SUMPRODUCT(('Sulphur freight'!$B$3:$B$1976=B61)*('Sulphur freight'!$D$3:$D$1976=D61)*('Sulphur freight'!$G$3:$G$1976))/SUMPRODUCT(('Sulphur freight'!$B$3:$B$1976=B61)*('Sulphur freight'!$D$3:$D$1976=D61)*1))</f>
        <v>29.165429480381761</v>
      </c>
      <c r="P61" s="78">
        <v>20</v>
      </c>
      <c r="R61" s="78" t="str">
        <f t="shared" si="4"/>
        <v xml:space="preserve"> </v>
      </c>
      <c r="S61" s="78">
        <f t="shared" si="5"/>
        <v>53.573122529644266</v>
      </c>
      <c r="T61" s="78" t="str">
        <f t="shared" si="0"/>
        <v/>
      </c>
      <c r="U61" s="78" t="str">
        <f t="shared" si="6"/>
        <v/>
      </c>
      <c r="V61" s="78">
        <f>IFERROR(I61+O61, "")</f>
        <v>80.165429480381761</v>
      </c>
      <c r="W61" s="78">
        <f t="shared" si="7"/>
        <v>82.5</v>
      </c>
      <c r="X61" s="78">
        <f t="shared" si="8"/>
        <v>44.454591728525983</v>
      </c>
      <c r="Y61" s="78">
        <f t="shared" si="9"/>
        <v>45.225000000000001</v>
      </c>
      <c r="AA61" s="88" t="str">
        <f t="shared" si="10"/>
        <v/>
      </c>
      <c r="AB61" s="77" t="str">
        <f t="shared" si="1"/>
        <v/>
      </c>
      <c r="AD61" s="88" t="str">
        <f t="shared" si="11"/>
        <v/>
      </c>
      <c r="AE61" s="77" t="str">
        <f t="shared" si="2"/>
        <v/>
      </c>
    </row>
    <row r="62" spans="2:31" x14ac:dyDescent="0.35">
      <c r="B62" s="2">
        <v>2007</v>
      </c>
      <c r="C62" s="2">
        <v>1</v>
      </c>
      <c r="D62" s="2">
        <v>1</v>
      </c>
      <c r="E62" s="78" t="str">
        <f>'CRU historical'!F61</f>
        <v xml:space="preserve"> </v>
      </c>
      <c r="F62" s="78">
        <f>'CRU historical'!I61</f>
        <v>30</v>
      </c>
      <c r="G62" s="78" t="str">
        <f>'CRU historical'!L61</f>
        <v xml:space="preserve"> </v>
      </c>
      <c r="H62" s="78" t="str">
        <f>'CRU historical'!O61</f>
        <v xml:space="preserve"> </v>
      </c>
      <c r="I62" s="78">
        <f>'CRU historical'!R61</f>
        <v>53</v>
      </c>
      <c r="J62" s="78">
        <f>AVERAGE('CRU historical'!U61, 'CRU historical'!X61, 'CRU historical'!AA61, 'CRU historical'!AD61)</f>
        <v>62</v>
      </c>
      <c r="L62" s="78" cm="1">
        <f t="array" ref="L62">IFERROR(SUMPRODUCT(('Sulphuric Acid freights'!$B$3:$B$513=B62)*('Sulphuric Acid freights'!$D$3:$D$513=D62)*('Sulphuric Acid freights'!$P$3:$P$513))/SUMPRODUCT(('Sulphuric Acid freights'!$B$3:$B$513=B62)*('Sulphuric Acid freights'!$D$3:$D$513=D62)*1), AVERAGE('Sulphuric Acid freights'!$P$3:$P$513))*2/3</f>
        <v>54.110671936758898</v>
      </c>
      <c r="M62" s="78" cm="1">
        <f t="array" ref="M62">IFERROR(SUMPRODUCT(('Sulphuric Acid freights'!$B$3:$B$513=B62)*('Sulphuric Acid freights'!$D$3:$D$513=D62)*('Sulphuric Acid freights'!$M$3:$M$513))/SUMPRODUCT(('Sulphuric Acid freights'!$B$3:$B$513=B62)*('Sulphuric Acid freights'!$D$3:$D$513=D62)*1)*2/3, AVERAGE('Sulphuric Acid freights'!$M$3:$M$513))</f>
        <v>23.573122529644269</v>
      </c>
      <c r="N62" s="78">
        <f t="shared" si="3"/>
        <v>48.699604743083007</v>
      </c>
      <c r="O62" s="78" cm="1">
        <f t="array" ref="O62">IF(SUMPRODUCT(('Sulphur freight'!$B$3:$B$1976=B62)*('Sulphur freight'!$D$3:$D$1976=D62)*('Sulphur freight'!$G$3:$G$1976))/SUMPRODUCT(('Sulphur freight'!$B$3:$B$1976=B62)*('Sulphur freight'!$D$3:$D$1976=D62)*1)=0, AVERAGE('Sulphur freight'!$G$3:$G$1976),SUMPRODUCT(('Sulphur freight'!$B$3:$B$1976=B62)*('Sulphur freight'!$D$3:$D$1976=D62)*('Sulphur freight'!$G$3:$G$1976))/SUMPRODUCT(('Sulphur freight'!$B$3:$B$1976=B62)*('Sulphur freight'!$D$3:$D$1976=D62)*1))</f>
        <v>29.165429480381761</v>
      </c>
      <c r="P62" s="78">
        <v>20</v>
      </c>
      <c r="R62" s="78" t="str">
        <f t="shared" si="4"/>
        <v xml:space="preserve"> </v>
      </c>
      <c r="S62" s="78">
        <f t="shared" si="5"/>
        <v>53.573122529644266</v>
      </c>
      <c r="T62" s="78" t="str">
        <f t="shared" si="0"/>
        <v/>
      </c>
      <c r="U62" s="78" t="str">
        <f t="shared" si="6"/>
        <v/>
      </c>
      <c r="V62" s="78">
        <f>IFERROR(I62+O62, "")</f>
        <v>82.165429480381761</v>
      </c>
      <c r="W62" s="78">
        <f t="shared" si="7"/>
        <v>82</v>
      </c>
      <c r="X62" s="78">
        <f t="shared" si="8"/>
        <v>45.11459172852598</v>
      </c>
      <c r="Y62" s="78">
        <f t="shared" si="9"/>
        <v>45.06</v>
      </c>
      <c r="AA62" s="88" t="str">
        <f t="shared" si="10"/>
        <v/>
      </c>
      <c r="AB62" s="77" t="str">
        <f t="shared" si="1"/>
        <v/>
      </c>
      <c r="AD62" s="88" t="str">
        <f t="shared" si="11"/>
        <v/>
      </c>
      <c r="AE62" s="77" t="str">
        <f t="shared" si="2"/>
        <v/>
      </c>
    </row>
    <row r="63" spans="2:31" x14ac:dyDescent="0.35">
      <c r="B63" s="2">
        <v>2007</v>
      </c>
      <c r="C63" s="2">
        <v>1</v>
      </c>
      <c r="D63" s="2">
        <v>2</v>
      </c>
      <c r="E63" s="78" t="str">
        <f>'CRU historical'!F62</f>
        <v xml:space="preserve"> </v>
      </c>
      <c r="F63" s="78">
        <f>'CRU historical'!I62</f>
        <v>30</v>
      </c>
      <c r="G63" s="78" t="str">
        <f>'CRU historical'!L62</f>
        <v xml:space="preserve"> </v>
      </c>
      <c r="H63" s="78" t="str">
        <f>'CRU historical'!O62</f>
        <v xml:space="preserve"> </v>
      </c>
      <c r="I63" s="78">
        <f>'CRU historical'!R62</f>
        <v>58.5</v>
      </c>
      <c r="J63" s="78">
        <f>AVERAGE('CRU historical'!U62, 'CRU historical'!X62, 'CRU historical'!AA62, 'CRU historical'!AD62)</f>
        <v>61.5</v>
      </c>
      <c r="L63" s="78" cm="1">
        <f t="array" ref="L63">IFERROR(SUMPRODUCT(('Sulphuric Acid freights'!$B$3:$B$513=B63)*('Sulphuric Acid freights'!$D$3:$D$513=D63)*('Sulphuric Acid freights'!$P$3:$P$513))/SUMPRODUCT(('Sulphuric Acid freights'!$B$3:$B$513=B63)*('Sulphuric Acid freights'!$D$3:$D$513=D63)*1), AVERAGE('Sulphuric Acid freights'!$P$3:$P$513))*2/3</f>
        <v>54.110671936758898</v>
      </c>
      <c r="M63" s="78" cm="1">
        <f t="array" ref="M63">IFERROR(SUMPRODUCT(('Sulphuric Acid freights'!$B$3:$B$513=B63)*('Sulphuric Acid freights'!$D$3:$D$513=D63)*('Sulphuric Acid freights'!$M$3:$M$513))/SUMPRODUCT(('Sulphuric Acid freights'!$B$3:$B$513=B63)*('Sulphuric Acid freights'!$D$3:$D$513=D63)*1)*2/3, AVERAGE('Sulphuric Acid freights'!$M$3:$M$513))</f>
        <v>23.573122529644269</v>
      </c>
      <c r="N63" s="78">
        <f t="shared" si="3"/>
        <v>48.699604743083007</v>
      </c>
      <c r="O63" s="78" cm="1">
        <f t="array" ref="O63">IF(SUMPRODUCT(('Sulphur freight'!$B$3:$B$1976=B63)*('Sulphur freight'!$D$3:$D$1976=D63)*('Sulphur freight'!$G$3:$G$1976))/SUMPRODUCT(('Sulphur freight'!$B$3:$B$1976=B63)*('Sulphur freight'!$D$3:$D$1976=D63)*1)=0, AVERAGE('Sulphur freight'!$G$3:$G$1976),SUMPRODUCT(('Sulphur freight'!$B$3:$B$1976=B63)*('Sulphur freight'!$D$3:$D$1976=D63)*('Sulphur freight'!$G$3:$G$1976))/SUMPRODUCT(('Sulphur freight'!$B$3:$B$1976=B63)*('Sulphur freight'!$D$3:$D$1976=D63)*1))</f>
        <v>29.165429480381761</v>
      </c>
      <c r="P63" s="78">
        <v>20</v>
      </c>
      <c r="R63" s="78" t="str">
        <f t="shared" si="4"/>
        <v xml:space="preserve"> </v>
      </c>
      <c r="S63" s="78">
        <f t="shared" si="5"/>
        <v>53.573122529644266</v>
      </c>
      <c r="T63" s="78" t="str">
        <f t="shared" si="0"/>
        <v/>
      </c>
      <c r="U63" s="78" t="str">
        <f t="shared" si="6"/>
        <v/>
      </c>
      <c r="V63" s="78">
        <f>IFERROR(I63+O63, "")</f>
        <v>87.665429480381761</v>
      </c>
      <c r="W63" s="78">
        <f t="shared" si="7"/>
        <v>81.5</v>
      </c>
      <c r="X63" s="78">
        <f t="shared" si="8"/>
        <v>46.929591728525978</v>
      </c>
      <c r="Y63" s="78">
        <f t="shared" si="9"/>
        <v>44.894999999999996</v>
      </c>
      <c r="AA63" s="88" t="str">
        <f t="shared" si="10"/>
        <v/>
      </c>
      <c r="AB63" s="77" t="str">
        <f t="shared" si="1"/>
        <v/>
      </c>
      <c r="AD63" s="88" t="str">
        <f t="shared" si="11"/>
        <v/>
      </c>
      <c r="AE63" s="77" t="str">
        <f t="shared" si="2"/>
        <v/>
      </c>
    </row>
    <row r="64" spans="2:31" x14ac:dyDescent="0.35">
      <c r="B64" s="2">
        <v>2007</v>
      </c>
      <c r="C64" s="2">
        <v>1</v>
      </c>
      <c r="D64" s="2">
        <v>3</v>
      </c>
      <c r="E64" s="78" t="str">
        <f>'CRU historical'!F63</f>
        <v xml:space="preserve"> </v>
      </c>
      <c r="F64" s="78">
        <f>'CRU historical'!I63</f>
        <v>30</v>
      </c>
      <c r="G64" s="78" t="str">
        <f>'CRU historical'!L63</f>
        <v xml:space="preserve"> </v>
      </c>
      <c r="H64" s="78" t="str">
        <f>'CRU historical'!O63</f>
        <v xml:space="preserve"> </v>
      </c>
      <c r="I64" s="78">
        <f>'CRU historical'!R63</f>
        <v>68.5</v>
      </c>
      <c r="J64" s="78">
        <f>AVERAGE('CRU historical'!U63, 'CRU historical'!X63, 'CRU historical'!AA63, 'CRU historical'!AD63)</f>
        <v>61.5</v>
      </c>
      <c r="L64" s="78" cm="1">
        <f t="array" ref="L64">IFERROR(SUMPRODUCT(('Sulphuric Acid freights'!$B$3:$B$513=B64)*('Sulphuric Acid freights'!$D$3:$D$513=D64)*('Sulphuric Acid freights'!$P$3:$P$513))/SUMPRODUCT(('Sulphuric Acid freights'!$B$3:$B$513=B64)*('Sulphuric Acid freights'!$D$3:$D$513=D64)*1), AVERAGE('Sulphuric Acid freights'!$P$3:$P$513))*2/3</f>
        <v>54.110671936758898</v>
      </c>
      <c r="M64" s="78" cm="1">
        <f t="array" ref="M64">IFERROR(SUMPRODUCT(('Sulphuric Acid freights'!$B$3:$B$513=B64)*('Sulphuric Acid freights'!$D$3:$D$513=D64)*('Sulphuric Acid freights'!$M$3:$M$513))/SUMPRODUCT(('Sulphuric Acid freights'!$B$3:$B$513=B64)*('Sulphuric Acid freights'!$D$3:$D$513=D64)*1)*2/3, AVERAGE('Sulphuric Acid freights'!$M$3:$M$513))</f>
        <v>23.573122529644269</v>
      </c>
      <c r="N64" s="78">
        <f t="shared" si="3"/>
        <v>48.699604743083007</v>
      </c>
      <c r="O64" s="78" cm="1">
        <f t="array" ref="O64">IF(SUMPRODUCT(('Sulphur freight'!$B$3:$B$1976=B64)*('Sulphur freight'!$D$3:$D$1976=D64)*('Sulphur freight'!$G$3:$G$1976))/SUMPRODUCT(('Sulphur freight'!$B$3:$B$1976=B64)*('Sulphur freight'!$D$3:$D$1976=D64)*1)=0, AVERAGE('Sulphur freight'!$G$3:$G$1976),SUMPRODUCT(('Sulphur freight'!$B$3:$B$1976=B64)*('Sulphur freight'!$D$3:$D$1976=D64)*('Sulphur freight'!$G$3:$G$1976))/SUMPRODUCT(('Sulphur freight'!$B$3:$B$1976=B64)*('Sulphur freight'!$D$3:$D$1976=D64)*1))</f>
        <v>29.165429480381761</v>
      </c>
      <c r="P64" s="78">
        <v>20</v>
      </c>
      <c r="R64" s="78" t="str">
        <f t="shared" si="4"/>
        <v xml:space="preserve"> </v>
      </c>
      <c r="S64" s="78">
        <f t="shared" si="5"/>
        <v>53.573122529644266</v>
      </c>
      <c r="T64" s="78" t="str">
        <f t="shared" si="0"/>
        <v/>
      </c>
      <c r="U64" s="78" t="str">
        <f t="shared" si="6"/>
        <v/>
      </c>
      <c r="V64" s="78">
        <f>IFERROR(I64+O64, "")</f>
        <v>97.665429480381761</v>
      </c>
      <c r="W64" s="78">
        <f t="shared" si="7"/>
        <v>81.5</v>
      </c>
      <c r="X64" s="78">
        <f t="shared" si="8"/>
        <v>50.229591728525982</v>
      </c>
      <c r="Y64" s="78">
        <f t="shared" si="9"/>
        <v>44.894999999999996</v>
      </c>
      <c r="AA64" s="88" t="str">
        <f t="shared" si="10"/>
        <v/>
      </c>
      <c r="AB64" s="77" t="str">
        <f t="shared" si="1"/>
        <v/>
      </c>
      <c r="AD64" s="88" t="str">
        <f t="shared" si="11"/>
        <v/>
      </c>
      <c r="AE64" s="77" t="str">
        <f t="shared" si="2"/>
        <v/>
      </c>
    </row>
    <row r="65" spans="2:31" x14ac:dyDescent="0.35">
      <c r="B65" s="2">
        <v>2007</v>
      </c>
      <c r="C65" s="2">
        <v>2</v>
      </c>
      <c r="D65" s="2">
        <v>4</v>
      </c>
      <c r="E65" s="78" t="str">
        <f>'CRU historical'!F64</f>
        <v xml:space="preserve"> </v>
      </c>
      <c r="F65" s="78">
        <f>'CRU historical'!I64</f>
        <v>35</v>
      </c>
      <c r="G65" s="78" t="str">
        <f>'CRU historical'!L64</f>
        <v xml:space="preserve"> </v>
      </c>
      <c r="H65" s="78" t="str">
        <f>'CRU historical'!O64</f>
        <v xml:space="preserve"> </v>
      </c>
      <c r="I65" s="78">
        <f>'CRU historical'!R64</f>
        <v>89</v>
      </c>
      <c r="J65" s="78">
        <f>AVERAGE('CRU historical'!U64, 'CRU historical'!X64, 'CRU historical'!AA64, 'CRU historical'!AD64)</f>
        <v>61.5</v>
      </c>
      <c r="L65" s="78" cm="1">
        <f t="array" ref="L65">IFERROR(SUMPRODUCT(('Sulphuric Acid freights'!$B$3:$B$513=B65)*('Sulphuric Acid freights'!$D$3:$D$513=D65)*('Sulphuric Acid freights'!$P$3:$P$513))/SUMPRODUCT(('Sulphuric Acid freights'!$B$3:$B$513=B65)*('Sulphuric Acid freights'!$D$3:$D$513=D65)*1), AVERAGE('Sulphuric Acid freights'!$P$3:$P$513))*2/3</f>
        <v>54.110671936758898</v>
      </c>
      <c r="M65" s="78" cm="1">
        <f t="array" ref="M65">IFERROR(SUMPRODUCT(('Sulphuric Acid freights'!$B$3:$B$513=B65)*('Sulphuric Acid freights'!$D$3:$D$513=D65)*('Sulphuric Acid freights'!$M$3:$M$513))/SUMPRODUCT(('Sulphuric Acid freights'!$B$3:$B$513=B65)*('Sulphuric Acid freights'!$D$3:$D$513=D65)*1)*2/3, AVERAGE('Sulphuric Acid freights'!$M$3:$M$513))</f>
        <v>23.573122529644269</v>
      </c>
      <c r="N65" s="78">
        <f t="shared" si="3"/>
        <v>48.699604743083007</v>
      </c>
      <c r="O65" s="78" cm="1">
        <f t="array" ref="O65">IF(SUMPRODUCT(('Sulphur freight'!$B$3:$B$1976=B65)*('Sulphur freight'!$D$3:$D$1976=D65)*('Sulphur freight'!$G$3:$G$1976))/SUMPRODUCT(('Sulphur freight'!$B$3:$B$1976=B65)*('Sulphur freight'!$D$3:$D$1976=D65)*1)=0, AVERAGE('Sulphur freight'!$G$3:$G$1976),SUMPRODUCT(('Sulphur freight'!$B$3:$B$1976=B65)*('Sulphur freight'!$D$3:$D$1976=D65)*('Sulphur freight'!$G$3:$G$1976))/SUMPRODUCT(('Sulphur freight'!$B$3:$B$1976=B65)*('Sulphur freight'!$D$3:$D$1976=D65)*1))</f>
        <v>29.165429480381761</v>
      </c>
      <c r="P65" s="78">
        <v>20</v>
      </c>
      <c r="R65" s="78" t="str">
        <f t="shared" si="4"/>
        <v xml:space="preserve"> </v>
      </c>
      <c r="S65" s="78">
        <f t="shared" si="5"/>
        <v>58.573122529644266</v>
      </c>
      <c r="T65" s="78" t="str">
        <f t="shared" si="0"/>
        <v/>
      </c>
      <c r="U65" s="78" t="str">
        <f t="shared" si="6"/>
        <v/>
      </c>
      <c r="V65" s="78">
        <f>IFERROR(I65+O65, "")</f>
        <v>118.16542948038176</v>
      </c>
      <c r="W65" s="78">
        <f t="shared" si="7"/>
        <v>81.5</v>
      </c>
      <c r="X65" s="78">
        <f t="shared" si="8"/>
        <v>56.994591728525982</v>
      </c>
      <c r="Y65" s="78">
        <f t="shared" si="9"/>
        <v>44.894999999999996</v>
      </c>
      <c r="AA65" s="88" t="str">
        <f t="shared" si="10"/>
        <v/>
      </c>
      <c r="AB65" s="77" t="str">
        <f t="shared" si="1"/>
        <v/>
      </c>
      <c r="AD65" s="88" t="str">
        <f t="shared" si="11"/>
        <v/>
      </c>
      <c r="AE65" s="77" t="str">
        <f t="shared" si="2"/>
        <v/>
      </c>
    </row>
    <row r="66" spans="2:31" x14ac:dyDescent="0.35">
      <c r="B66" s="2">
        <v>2007</v>
      </c>
      <c r="C66" s="2">
        <v>2</v>
      </c>
      <c r="D66" s="2">
        <v>5</v>
      </c>
      <c r="E66" s="78" t="str">
        <f>'CRU historical'!F65</f>
        <v xml:space="preserve"> </v>
      </c>
      <c r="F66" s="78">
        <f>'CRU historical'!I65</f>
        <v>35</v>
      </c>
      <c r="G66" s="78" t="str">
        <f>'CRU historical'!L65</f>
        <v xml:space="preserve"> </v>
      </c>
      <c r="H66" s="78" t="str">
        <f>'CRU historical'!O65</f>
        <v xml:space="preserve"> </v>
      </c>
      <c r="I66" s="78">
        <f>'CRU historical'!R65</f>
        <v>103</v>
      </c>
      <c r="J66" s="78">
        <f>AVERAGE('CRU historical'!U65, 'CRU historical'!X65, 'CRU historical'!AA65, 'CRU historical'!AD65)</f>
        <v>61.5</v>
      </c>
      <c r="L66" s="78" cm="1">
        <f t="array" ref="L66">IFERROR(SUMPRODUCT(('Sulphuric Acid freights'!$B$3:$B$513=B66)*('Sulphuric Acid freights'!$D$3:$D$513=D66)*('Sulphuric Acid freights'!$P$3:$P$513))/SUMPRODUCT(('Sulphuric Acid freights'!$B$3:$B$513=B66)*('Sulphuric Acid freights'!$D$3:$D$513=D66)*1), AVERAGE('Sulphuric Acid freights'!$P$3:$P$513))*2/3</f>
        <v>54.110671936758898</v>
      </c>
      <c r="M66" s="78" cm="1">
        <f t="array" ref="M66">IFERROR(SUMPRODUCT(('Sulphuric Acid freights'!$B$3:$B$513=B66)*('Sulphuric Acid freights'!$D$3:$D$513=D66)*('Sulphuric Acid freights'!$M$3:$M$513))/SUMPRODUCT(('Sulphuric Acid freights'!$B$3:$B$513=B66)*('Sulphuric Acid freights'!$D$3:$D$513=D66)*1)*2/3, AVERAGE('Sulphuric Acid freights'!$M$3:$M$513))</f>
        <v>23.573122529644269</v>
      </c>
      <c r="N66" s="78">
        <f t="shared" si="3"/>
        <v>48.699604743083007</v>
      </c>
      <c r="O66" s="78" cm="1">
        <f t="array" ref="O66">IF(SUMPRODUCT(('Sulphur freight'!$B$3:$B$1976=B66)*('Sulphur freight'!$D$3:$D$1976=D66)*('Sulphur freight'!$G$3:$G$1976))/SUMPRODUCT(('Sulphur freight'!$B$3:$B$1976=B66)*('Sulphur freight'!$D$3:$D$1976=D66)*1)=0, AVERAGE('Sulphur freight'!$G$3:$G$1976),SUMPRODUCT(('Sulphur freight'!$B$3:$B$1976=B66)*('Sulphur freight'!$D$3:$D$1976=D66)*('Sulphur freight'!$G$3:$G$1976))/SUMPRODUCT(('Sulphur freight'!$B$3:$B$1976=B66)*('Sulphur freight'!$D$3:$D$1976=D66)*1))</f>
        <v>29.165429480381761</v>
      </c>
      <c r="P66" s="78">
        <v>20</v>
      </c>
      <c r="R66" s="78" t="str">
        <f t="shared" si="4"/>
        <v xml:space="preserve"> </v>
      </c>
      <c r="S66" s="78">
        <f t="shared" si="5"/>
        <v>58.573122529644266</v>
      </c>
      <c r="T66" s="78" t="str">
        <f t="shared" si="0"/>
        <v/>
      </c>
      <c r="U66" s="78" t="str">
        <f t="shared" si="6"/>
        <v/>
      </c>
      <c r="V66" s="78">
        <f>IFERROR(I66+O66, "")</f>
        <v>132.16542948038176</v>
      </c>
      <c r="W66" s="78">
        <f t="shared" si="7"/>
        <v>81.5</v>
      </c>
      <c r="X66" s="78">
        <f t="shared" si="8"/>
        <v>61.61459172852598</v>
      </c>
      <c r="Y66" s="78">
        <f t="shared" si="9"/>
        <v>44.894999999999996</v>
      </c>
      <c r="AA66" s="88" t="str">
        <f t="shared" si="10"/>
        <v/>
      </c>
      <c r="AB66" s="77" t="str">
        <f t="shared" si="1"/>
        <v/>
      </c>
      <c r="AD66" s="88" t="str">
        <f t="shared" si="11"/>
        <v/>
      </c>
      <c r="AE66" s="77" t="str">
        <f t="shared" si="2"/>
        <v/>
      </c>
    </row>
    <row r="67" spans="2:31" x14ac:dyDescent="0.35">
      <c r="B67" s="2">
        <v>2007</v>
      </c>
      <c r="C67" s="2">
        <v>2</v>
      </c>
      <c r="D67" s="2">
        <v>6</v>
      </c>
      <c r="E67" s="78" t="str">
        <f>'CRU historical'!F66</f>
        <v xml:space="preserve"> </v>
      </c>
      <c r="F67" s="78">
        <f>'CRU historical'!I66</f>
        <v>37</v>
      </c>
      <c r="G67" s="78" t="str">
        <f>'CRU historical'!L66</f>
        <v xml:space="preserve"> </v>
      </c>
      <c r="H67" s="78" t="str">
        <f>'CRU historical'!O66</f>
        <v xml:space="preserve"> </v>
      </c>
      <c r="I67" s="78">
        <f>'CRU historical'!R66</f>
        <v>121.5</v>
      </c>
      <c r="J67" s="78">
        <f>AVERAGE('CRU historical'!U66, 'CRU historical'!X66, 'CRU historical'!AA66, 'CRU historical'!AD66)</f>
        <v>68</v>
      </c>
      <c r="L67" s="78" cm="1">
        <f t="array" ref="L67">IFERROR(SUMPRODUCT(('Sulphuric Acid freights'!$B$3:$B$513=B67)*('Sulphuric Acid freights'!$D$3:$D$513=D67)*('Sulphuric Acid freights'!$P$3:$P$513))/SUMPRODUCT(('Sulphuric Acid freights'!$B$3:$B$513=B67)*('Sulphuric Acid freights'!$D$3:$D$513=D67)*1), AVERAGE('Sulphuric Acid freights'!$P$3:$P$513))*2/3</f>
        <v>54.110671936758898</v>
      </c>
      <c r="M67" s="78" cm="1">
        <f t="array" ref="M67">IFERROR(SUMPRODUCT(('Sulphuric Acid freights'!$B$3:$B$513=B67)*('Sulphuric Acid freights'!$D$3:$D$513=D67)*('Sulphuric Acid freights'!$M$3:$M$513))/SUMPRODUCT(('Sulphuric Acid freights'!$B$3:$B$513=B67)*('Sulphuric Acid freights'!$D$3:$D$513=D67)*1)*2/3, AVERAGE('Sulphuric Acid freights'!$M$3:$M$513))</f>
        <v>23.573122529644269</v>
      </c>
      <c r="N67" s="78">
        <f t="shared" si="3"/>
        <v>48.699604743083007</v>
      </c>
      <c r="O67" s="78" cm="1">
        <f t="array" ref="O67">IF(SUMPRODUCT(('Sulphur freight'!$B$3:$B$1976=B67)*('Sulphur freight'!$D$3:$D$1976=D67)*('Sulphur freight'!$G$3:$G$1976))/SUMPRODUCT(('Sulphur freight'!$B$3:$B$1976=B67)*('Sulphur freight'!$D$3:$D$1976=D67)*1)=0, AVERAGE('Sulphur freight'!$G$3:$G$1976),SUMPRODUCT(('Sulphur freight'!$B$3:$B$1976=B67)*('Sulphur freight'!$D$3:$D$1976=D67)*('Sulphur freight'!$G$3:$G$1976))/SUMPRODUCT(('Sulphur freight'!$B$3:$B$1976=B67)*('Sulphur freight'!$D$3:$D$1976=D67)*1))</f>
        <v>29.165429480381761</v>
      </c>
      <c r="P67" s="78">
        <v>20</v>
      </c>
      <c r="R67" s="78" t="str">
        <f t="shared" si="4"/>
        <v xml:space="preserve"> </v>
      </c>
      <c r="S67" s="78">
        <f t="shared" si="5"/>
        <v>60.573122529644266</v>
      </c>
      <c r="T67" s="78" t="str">
        <f t="shared" si="0"/>
        <v/>
      </c>
      <c r="U67" s="78" t="str">
        <f t="shared" si="6"/>
        <v/>
      </c>
      <c r="V67" s="78">
        <f>IFERROR(I67+O67, "")</f>
        <v>150.66542948038176</v>
      </c>
      <c r="W67" s="78">
        <f t="shared" si="7"/>
        <v>88</v>
      </c>
      <c r="X67" s="78">
        <f t="shared" si="8"/>
        <v>67.719591728525984</v>
      </c>
      <c r="Y67" s="78">
        <f t="shared" si="9"/>
        <v>47.040000000000006</v>
      </c>
      <c r="AA67" s="88" t="str">
        <f t="shared" si="10"/>
        <v/>
      </c>
      <c r="AB67" s="77" t="str">
        <f t="shared" si="1"/>
        <v/>
      </c>
      <c r="AD67" s="88" t="str">
        <f t="shared" si="11"/>
        <v/>
      </c>
      <c r="AE67" s="77" t="str">
        <f t="shared" si="2"/>
        <v/>
      </c>
    </row>
    <row r="68" spans="2:31" x14ac:dyDescent="0.35">
      <c r="B68" s="2">
        <v>2007</v>
      </c>
      <c r="C68" s="2">
        <v>3</v>
      </c>
      <c r="D68" s="2">
        <v>7</v>
      </c>
      <c r="E68" s="78" t="str">
        <f>'CRU historical'!F67</f>
        <v xml:space="preserve"> </v>
      </c>
      <c r="F68" s="78">
        <f>'CRU historical'!I67</f>
        <v>37</v>
      </c>
      <c r="G68" s="78" t="str">
        <f>'CRU historical'!L67</f>
        <v xml:space="preserve"> </v>
      </c>
      <c r="H68" s="78" t="str">
        <f>'CRU historical'!O67</f>
        <v xml:space="preserve"> </v>
      </c>
      <c r="I68" s="78">
        <f>'CRU historical'!R67</f>
        <v>167</v>
      </c>
      <c r="J68" s="78">
        <f>AVERAGE('CRU historical'!U67, 'CRU historical'!X67, 'CRU historical'!AA67, 'CRU historical'!AD67)</f>
        <v>85</v>
      </c>
      <c r="L68" s="78" cm="1">
        <f t="array" ref="L68">IFERROR(SUMPRODUCT(('Sulphuric Acid freights'!$B$3:$B$513=B68)*('Sulphuric Acid freights'!$D$3:$D$513=D68)*('Sulphuric Acid freights'!$P$3:$P$513))/SUMPRODUCT(('Sulphuric Acid freights'!$B$3:$B$513=B68)*('Sulphuric Acid freights'!$D$3:$D$513=D68)*1), AVERAGE('Sulphuric Acid freights'!$P$3:$P$513))*2/3</f>
        <v>54.110671936758898</v>
      </c>
      <c r="M68" s="78" cm="1">
        <f t="array" ref="M68">IFERROR(SUMPRODUCT(('Sulphuric Acid freights'!$B$3:$B$513=B68)*('Sulphuric Acid freights'!$D$3:$D$513=D68)*('Sulphuric Acid freights'!$M$3:$M$513))/SUMPRODUCT(('Sulphuric Acid freights'!$B$3:$B$513=B68)*('Sulphuric Acid freights'!$D$3:$D$513=D68)*1)*2/3, AVERAGE('Sulphuric Acid freights'!$M$3:$M$513))</f>
        <v>23.573122529644269</v>
      </c>
      <c r="N68" s="78">
        <f t="shared" si="3"/>
        <v>48.699604743083007</v>
      </c>
      <c r="O68" s="78" cm="1">
        <f t="array" ref="O68">IF(SUMPRODUCT(('Sulphur freight'!$B$3:$B$1976=B68)*('Sulphur freight'!$D$3:$D$1976=D68)*('Sulphur freight'!$G$3:$G$1976))/SUMPRODUCT(('Sulphur freight'!$B$3:$B$1976=B68)*('Sulphur freight'!$D$3:$D$1976=D68)*1)=0, AVERAGE('Sulphur freight'!$G$3:$G$1976),SUMPRODUCT(('Sulphur freight'!$B$3:$B$1976=B68)*('Sulphur freight'!$D$3:$D$1976=D68)*('Sulphur freight'!$G$3:$G$1976))/SUMPRODUCT(('Sulphur freight'!$B$3:$B$1976=B68)*('Sulphur freight'!$D$3:$D$1976=D68)*1))</f>
        <v>29.165429480381761</v>
      </c>
      <c r="P68" s="78">
        <v>20</v>
      </c>
      <c r="R68" s="78" t="str">
        <f t="shared" si="4"/>
        <v xml:space="preserve"> </v>
      </c>
      <c r="S68" s="78">
        <f t="shared" si="5"/>
        <v>60.573122529644266</v>
      </c>
      <c r="T68" s="78" t="str">
        <f t="shared" si="0"/>
        <v/>
      </c>
      <c r="U68" s="78" t="str">
        <f t="shared" si="6"/>
        <v/>
      </c>
      <c r="V68" s="78">
        <f>IFERROR(I68+O68, "")</f>
        <v>196.16542948038176</v>
      </c>
      <c r="W68" s="78">
        <f t="shared" si="7"/>
        <v>105</v>
      </c>
      <c r="X68" s="78">
        <f t="shared" si="8"/>
        <v>82.734591728525984</v>
      </c>
      <c r="Y68" s="78">
        <f t="shared" si="9"/>
        <v>52.65</v>
      </c>
      <c r="AA68" s="88" t="str">
        <f t="shared" si="10"/>
        <v/>
      </c>
      <c r="AB68" s="77" t="str">
        <f t="shared" si="1"/>
        <v/>
      </c>
      <c r="AD68" s="88" t="str">
        <f t="shared" si="11"/>
        <v/>
      </c>
      <c r="AE68" s="77" t="str">
        <f t="shared" si="2"/>
        <v/>
      </c>
    </row>
    <row r="69" spans="2:31" x14ac:dyDescent="0.35">
      <c r="B69" s="2">
        <v>2007</v>
      </c>
      <c r="C69" s="2">
        <v>3</v>
      </c>
      <c r="D69" s="2">
        <v>8</v>
      </c>
      <c r="E69" s="78" t="str">
        <f>'CRU historical'!F68</f>
        <v xml:space="preserve"> </v>
      </c>
      <c r="F69" s="78">
        <f>'CRU historical'!I68</f>
        <v>37.666666666666664</v>
      </c>
      <c r="G69" s="78" t="str">
        <f>'CRU historical'!L68</f>
        <v xml:space="preserve"> </v>
      </c>
      <c r="H69" s="78" t="str">
        <f>'CRU historical'!O68</f>
        <v xml:space="preserve"> </v>
      </c>
      <c r="I69" s="78">
        <f>'CRU historical'!R68</f>
        <v>189</v>
      </c>
      <c r="J69" s="78">
        <f>AVERAGE('CRU historical'!U68, 'CRU historical'!X68, 'CRU historical'!AA68, 'CRU historical'!AD68)</f>
        <v>123</v>
      </c>
      <c r="L69" s="78" cm="1">
        <f t="array" ref="L69">IFERROR(SUMPRODUCT(('Sulphuric Acid freights'!$B$3:$B$513=B69)*('Sulphuric Acid freights'!$D$3:$D$513=D69)*('Sulphuric Acid freights'!$P$3:$P$513))/SUMPRODUCT(('Sulphuric Acid freights'!$B$3:$B$513=B69)*('Sulphuric Acid freights'!$D$3:$D$513=D69)*1), AVERAGE('Sulphuric Acid freights'!$P$3:$P$513))*2/3</f>
        <v>54.110671936758898</v>
      </c>
      <c r="M69" s="78" cm="1">
        <f t="array" ref="M69">IFERROR(SUMPRODUCT(('Sulphuric Acid freights'!$B$3:$B$513=B69)*('Sulphuric Acid freights'!$D$3:$D$513=D69)*('Sulphuric Acid freights'!$M$3:$M$513))/SUMPRODUCT(('Sulphuric Acid freights'!$B$3:$B$513=B69)*('Sulphuric Acid freights'!$D$3:$D$513=D69)*1)*2/3, AVERAGE('Sulphuric Acid freights'!$M$3:$M$513))</f>
        <v>23.573122529644269</v>
      </c>
      <c r="N69" s="78">
        <f t="shared" si="3"/>
        <v>48.699604743083007</v>
      </c>
      <c r="O69" s="78" cm="1">
        <f t="array" ref="O69">IF(SUMPRODUCT(('Sulphur freight'!$B$3:$B$1976=B69)*('Sulphur freight'!$D$3:$D$1976=D69)*('Sulphur freight'!$G$3:$G$1976))/SUMPRODUCT(('Sulphur freight'!$B$3:$B$1976=B69)*('Sulphur freight'!$D$3:$D$1976=D69)*1)=0, AVERAGE('Sulphur freight'!$G$3:$G$1976),SUMPRODUCT(('Sulphur freight'!$B$3:$B$1976=B69)*('Sulphur freight'!$D$3:$D$1976=D69)*('Sulphur freight'!$G$3:$G$1976))/SUMPRODUCT(('Sulphur freight'!$B$3:$B$1976=B69)*('Sulphur freight'!$D$3:$D$1976=D69)*1))</f>
        <v>27.6</v>
      </c>
      <c r="P69" s="78">
        <v>20</v>
      </c>
      <c r="R69" s="78" t="str">
        <f t="shared" si="4"/>
        <v xml:space="preserve"> </v>
      </c>
      <c r="S69" s="78">
        <f t="shared" si="5"/>
        <v>61.239789196310937</v>
      </c>
      <c r="T69" s="78" t="str">
        <f t="shared" si="0"/>
        <v/>
      </c>
      <c r="U69" s="78" t="str">
        <f t="shared" si="6"/>
        <v/>
      </c>
      <c r="V69" s="78">
        <f>IFERROR(I69+O69, "")</f>
        <v>216.6</v>
      </c>
      <c r="W69" s="78">
        <f t="shared" si="7"/>
        <v>143</v>
      </c>
      <c r="X69" s="78">
        <f t="shared" si="8"/>
        <v>89.477999999999994</v>
      </c>
      <c r="Y69" s="78">
        <f t="shared" si="9"/>
        <v>65.19</v>
      </c>
      <c r="AA69" s="88" t="str">
        <f t="shared" si="10"/>
        <v/>
      </c>
      <c r="AB69" s="77" t="str">
        <f t="shared" si="1"/>
        <v/>
      </c>
      <c r="AD69" s="88" t="str">
        <f t="shared" si="11"/>
        <v/>
      </c>
      <c r="AE69" s="77" t="str">
        <f t="shared" si="2"/>
        <v/>
      </c>
    </row>
    <row r="70" spans="2:31" x14ac:dyDescent="0.35">
      <c r="B70" s="2">
        <v>2007</v>
      </c>
      <c r="C70" s="2">
        <v>3</v>
      </c>
      <c r="D70" s="2">
        <v>9</v>
      </c>
      <c r="E70" s="78" t="str">
        <f>'CRU historical'!F69</f>
        <v xml:space="preserve"> </v>
      </c>
      <c r="F70" s="78">
        <f>'CRU historical'!I69</f>
        <v>38</v>
      </c>
      <c r="G70" s="78" t="str">
        <f>'CRU historical'!L69</f>
        <v xml:space="preserve"> </v>
      </c>
      <c r="H70" s="78" t="str">
        <f>'CRU historical'!O69</f>
        <v xml:space="preserve"> </v>
      </c>
      <c r="I70" s="78">
        <f>'CRU historical'!R69</f>
        <v>205.5</v>
      </c>
      <c r="J70" s="78">
        <f>AVERAGE('CRU historical'!U69, 'CRU historical'!X69, 'CRU historical'!AA69, 'CRU historical'!AD69)</f>
        <v>123</v>
      </c>
      <c r="L70" s="78" cm="1">
        <f t="array" ref="L70">IFERROR(SUMPRODUCT(('Sulphuric Acid freights'!$B$3:$B$513=B70)*('Sulphuric Acid freights'!$D$3:$D$513=D70)*('Sulphuric Acid freights'!$P$3:$P$513))/SUMPRODUCT(('Sulphuric Acid freights'!$B$3:$B$513=B70)*('Sulphuric Acid freights'!$D$3:$D$513=D70)*1), AVERAGE('Sulphuric Acid freights'!$P$3:$P$513))*2/3</f>
        <v>54.110671936758898</v>
      </c>
      <c r="M70" s="78" cm="1">
        <f t="array" ref="M70">IFERROR(SUMPRODUCT(('Sulphuric Acid freights'!$B$3:$B$513=B70)*('Sulphuric Acid freights'!$D$3:$D$513=D70)*('Sulphuric Acid freights'!$M$3:$M$513))/SUMPRODUCT(('Sulphuric Acid freights'!$B$3:$B$513=B70)*('Sulphuric Acid freights'!$D$3:$D$513=D70)*1)*2/3, AVERAGE('Sulphuric Acid freights'!$M$3:$M$513))</f>
        <v>23.573122529644269</v>
      </c>
      <c r="N70" s="78">
        <f t="shared" si="3"/>
        <v>48.699604743083007</v>
      </c>
      <c r="O70" s="78" cm="1">
        <f t="array" ref="O70">IF(SUMPRODUCT(('Sulphur freight'!$B$3:$B$1976=B70)*('Sulphur freight'!$D$3:$D$1976=D70)*('Sulphur freight'!$G$3:$G$1976))/SUMPRODUCT(('Sulphur freight'!$B$3:$B$1976=B70)*('Sulphur freight'!$D$3:$D$1976=D70)*1)=0, AVERAGE('Sulphur freight'!$G$3:$G$1976),SUMPRODUCT(('Sulphur freight'!$B$3:$B$1976=B70)*('Sulphur freight'!$D$3:$D$1976=D70)*('Sulphur freight'!$G$3:$G$1976))/SUMPRODUCT(('Sulphur freight'!$B$3:$B$1976=B70)*('Sulphur freight'!$D$3:$D$1976=D70)*1))</f>
        <v>46</v>
      </c>
      <c r="P70" s="78">
        <v>20</v>
      </c>
      <c r="R70" s="78" t="str">
        <f t="shared" si="4"/>
        <v xml:space="preserve"> </v>
      </c>
      <c r="S70" s="78">
        <f t="shared" si="5"/>
        <v>61.573122529644266</v>
      </c>
      <c r="T70" s="78" t="str">
        <f t="shared" ref="T70:T133" si="12">IFERROR( E70+L70, "")</f>
        <v/>
      </c>
      <c r="U70" s="78" t="str">
        <f t="shared" si="6"/>
        <v/>
      </c>
      <c r="V70" s="78">
        <f>IFERROR(I70+O70, "")</f>
        <v>251.5</v>
      </c>
      <c r="W70" s="78">
        <f t="shared" si="7"/>
        <v>143</v>
      </c>
      <c r="X70" s="78">
        <f t="shared" si="8"/>
        <v>100.995</v>
      </c>
      <c r="Y70" s="78">
        <f t="shared" si="9"/>
        <v>65.19</v>
      </c>
      <c r="AA70" s="88" t="str">
        <f t="shared" si="10"/>
        <v/>
      </c>
      <c r="AB70" s="77" t="str">
        <f t="shared" ref="AB70:AB133" si="13">IF(AA70="", "", MAX(X70, Y70)-AA70)</f>
        <v/>
      </c>
      <c r="AD70" s="88" t="str">
        <f t="shared" si="11"/>
        <v/>
      </c>
      <c r="AE70" s="77" t="str">
        <f t="shared" ref="AE70:AE133" si="14">IF(AD70="", "", MAX(AA70, AB70)-AD70)</f>
        <v/>
      </c>
    </row>
    <row r="71" spans="2:31" x14ac:dyDescent="0.35">
      <c r="B71" s="2">
        <v>2007</v>
      </c>
      <c r="C71" s="2">
        <v>4</v>
      </c>
      <c r="D71" s="2">
        <v>10</v>
      </c>
      <c r="E71" s="78" t="str">
        <f>'CRU historical'!F70</f>
        <v xml:space="preserve"> </v>
      </c>
      <c r="F71" s="78">
        <f>'CRU historical'!I70</f>
        <v>38</v>
      </c>
      <c r="G71" s="78" t="str">
        <f>'CRU historical'!L70</f>
        <v xml:space="preserve"> </v>
      </c>
      <c r="H71" s="78" t="str">
        <f>'CRU historical'!O70</f>
        <v xml:space="preserve"> </v>
      </c>
      <c r="I71" s="78">
        <f>'CRU historical'!R70</f>
        <v>222</v>
      </c>
      <c r="J71" s="78">
        <f>AVERAGE('CRU historical'!U70, 'CRU historical'!X70, 'CRU historical'!AA70, 'CRU historical'!AD70)</f>
        <v>126</v>
      </c>
      <c r="L71" s="78" cm="1">
        <f t="array" ref="L71">IFERROR(SUMPRODUCT(('Sulphuric Acid freights'!$B$3:$B$513=B71)*('Sulphuric Acid freights'!$D$3:$D$513=D71)*('Sulphuric Acid freights'!$P$3:$P$513))/SUMPRODUCT(('Sulphuric Acid freights'!$B$3:$B$513=B71)*('Sulphuric Acid freights'!$D$3:$D$513=D71)*1), AVERAGE('Sulphuric Acid freights'!$P$3:$P$513))*2/3</f>
        <v>54.110671936758898</v>
      </c>
      <c r="M71" s="78" cm="1">
        <f t="array" ref="M71">IFERROR(SUMPRODUCT(('Sulphuric Acid freights'!$B$3:$B$513=B71)*('Sulphuric Acid freights'!$D$3:$D$513=D71)*('Sulphuric Acid freights'!$M$3:$M$513))/SUMPRODUCT(('Sulphuric Acid freights'!$B$3:$B$513=B71)*('Sulphuric Acid freights'!$D$3:$D$513=D71)*1)*2/3, AVERAGE('Sulphuric Acid freights'!$M$3:$M$513))</f>
        <v>23.573122529644269</v>
      </c>
      <c r="N71" s="78">
        <f t="shared" ref="N71:N134" si="15">IFERROR(L71*0.9, "")</f>
        <v>48.699604743083007</v>
      </c>
      <c r="O71" s="78" cm="1">
        <f t="array" ref="O71">IF(SUMPRODUCT(('Sulphur freight'!$B$3:$B$1976=B71)*('Sulphur freight'!$D$3:$D$1976=D71)*('Sulphur freight'!$G$3:$G$1976))/SUMPRODUCT(('Sulphur freight'!$B$3:$B$1976=B71)*('Sulphur freight'!$D$3:$D$1976=D71)*1)=0, AVERAGE('Sulphur freight'!$G$3:$G$1976),SUMPRODUCT(('Sulphur freight'!$B$3:$B$1976=B71)*('Sulphur freight'!$D$3:$D$1976=D71)*('Sulphur freight'!$G$3:$G$1976))/SUMPRODUCT(('Sulphur freight'!$B$3:$B$1976=B71)*('Sulphur freight'!$D$3:$D$1976=D71)*1))</f>
        <v>47.75</v>
      </c>
      <c r="P71" s="78">
        <v>20</v>
      </c>
      <c r="R71" s="78" t="str">
        <f t="shared" ref="R71:R134" si="16">H71</f>
        <v xml:space="preserve"> </v>
      </c>
      <c r="S71" s="78">
        <f t="shared" ref="S71:S134" si="17">IF(F71=0, "", F71+M71)</f>
        <v>61.573122529644266</v>
      </c>
      <c r="T71" s="78" t="str">
        <f t="shared" si="12"/>
        <v/>
      </c>
      <c r="U71" s="78" t="str">
        <f t="shared" ref="U71:U134" si="18">IFERROR( G71+N71, "")</f>
        <v/>
      </c>
      <c r="V71" s="78">
        <f>IFERROR(I71+O71, "")</f>
        <v>269.75</v>
      </c>
      <c r="W71" s="78">
        <f t="shared" ref="W71:W134" si="19">J71+P71</f>
        <v>146</v>
      </c>
      <c r="X71" s="78">
        <f t="shared" ref="X71:X134" si="20">IFERROR((I71+O71)*0.33+18, "")</f>
        <v>107.0175</v>
      </c>
      <c r="Y71" s="78">
        <f t="shared" ref="Y71:Y134" si="21">IF(J71=0,0,(J71+P71)*0.33+18)</f>
        <v>66.180000000000007</v>
      </c>
      <c r="AA71" s="88" t="str">
        <f t="shared" ref="AA71:AA134" si="22">IF(OR(S71="", T71="", U71=""), "", MAX(R71,S71)*40%+T71*30%+U71*30%)</f>
        <v/>
      </c>
      <c r="AB71" s="77" t="str">
        <f t="shared" si="13"/>
        <v/>
      </c>
      <c r="AD71" s="88" t="str">
        <f t="shared" ref="AD71:AD134" si="23">IFERROR(MIN((MAX(R71,S71)*70%+U71*30%), Y71), "")</f>
        <v/>
      </c>
      <c r="AE71" s="77" t="str">
        <f t="shared" si="14"/>
        <v/>
      </c>
    </row>
    <row r="72" spans="2:31" x14ac:dyDescent="0.35">
      <c r="B72" s="2">
        <v>2007</v>
      </c>
      <c r="C72" s="2">
        <v>4</v>
      </c>
      <c r="D72" s="2">
        <v>11</v>
      </c>
      <c r="E72" s="78" t="str">
        <f>'CRU historical'!F71</f>
        <v xml:space="preserve"> </v>
      </c>
      <c r="F72" s="78">
        <f>'CRU historical'!I71</f>
        <v>62</v>
      </c>
      <c r="G72" s="78" t="str">
        <f>'CRU historical'!L71</f>
        <v xml:space="preserve"> </v>
      </c>
      <c r="H72" s="78" t="str">
        <f>'CRU historical'!O71</f>
        <v xml:space="preserve"> </v>
      </c>
      <c r="I72" s="78">
        <f>'CRU historical'!R71</f>
        <v>276</v>
      </c>
      <c r="J72" s="78">
        <f>AVERAGE('CRU historical'!U71, 'CRU historical'!X71, 'CRU historical'!AA71, 'CRU historical'!AD71)</f>
        <v>134.5</v>
      </c>
      <c r="L72" s="78" cm="1">
        <f t="array" ref="L72">IFERROR(SUMPRODUCT(('Sulphuric Acid freights'!$B$3:$B$513=B72)*('Sulphuric Acid freights'!$D$3:$D$513=D72)*('Sulphuric Acid freights'!$P$3:$P$513))/SUMPRODUCT(('Sulphuric Acid freights'!$B$3:$B$513=B72)*('Sulphuric Acid freights'!$D$3:$D$513=D72)*1), AVERAGE('Sulphuric Acid freights'!$P$3:$P$513))*2/3</f>
        <v>54.110671936758898</v>
      </c>
      <c r="M72" s="78" cm="1">
        <f t="array" ref="M72">IFERROR(SUMPRODUCT(('Sulphuric Acid freights'!$B$3:$B$513=B72)*('Sulphuric Acid freights'!$D$3:$D$513=D72)*('Sulphuric Acid freights'!$M$3:$M$513))/SUMPRODUCT(('Sulphuric Acid freights'!$B$3:$B$513=B72)*('Sulphuric Acid freights'!$D$3:$D$513=D72)*1)*2/3, AVERAGE('Sulphuric Acid freights'!$M$3:$M$513))</f>
        <v>23.573122529644269</v>
      </c>
      <c r="N72" s="78">
        <f t="shared" si="15"/>
        <v>48.699604743083007</v>
      </c>
      <c r="O72" s="78" cm="1">
        <f t="array" ref="O72">IF(SUMPRODUCT(('Sulphur freight'!$B$3:$B$1976=B72)*('Sulphur freight'!$D$3:$D$1976=D72)*('Sulphur freight'!$G$3:$G$1976))/SUMPRODUCT(('Sulphur freight'!$B$3:$B$1976=B72)*('Sulphur freight'!$D$3:$D$1976=D72)*1)=0, AVERAGE('Sulphur freight'!$G$3:$G$1976),SUMPRODUCT(('Sulphur freight'!$B$3:$B$1976=B72)*('Sulphur freight'!$D$3:$D$1976=D72)*('Sulphur freight'!$G$3:$G$1976))/SUMPRODUCT(('Sulphur freight'!$B$3:$B$1976=B72)*('Sulphur freight'!$D$3:$D$1976=D72)*1))</f>
        <v>53</v>
      </c>
      <c r="P72" s="78">
        <v>20</v>
      </c>
      <c r="R72" s="78" t="str">
        <f t="shared" si="16"/>
        <v xml:space="preserve"> </v>
      </c>
      <c r="S72" s="78">
        <f t="shared" si="17"/>
        <v>85.573122529644266</v>
      </c>
      <c r="T72" s="78" t="str">
        <f t="shared" si="12"/>
        <v/>
      </c>
      <c r="U72" s="78" t="str">
        <f t="shared" si="18"/>
        <v/>
      </c>
      <c r="V72" s="78">
        <f>IFERROR(I72+O72, "")</f>
        <v>329</v>
      </c>
      <c r="W72" s="78">
        <f t="shared" si="19"/>
        <v>154.5</v>
      </c>
      <c r="X72" s="78">
        <f t="shared" si="20"/>
        <v>126.57000000000001</v>
      </c>
      <c r="Y72" s="78">
        <f t="shared" si="21"/>
        <v>68.984999999999999</v>
      </c>
      <c r="AA72" s="88" t="str">
        <f t="shared" si="22"/>
        <v/>
      </c>
      <c r="AB72" s="77" t="str">
        <f t="shared" si="13"/>
        <v/>
      </c>
      <c r="AD72" s="88" t="str">
        <f t="shared" si="23"/>
        <v/>
      </c>
      <c r="AE72" s="77" t="str">
        <f t="shared" si="14"/>
        <v/>
      </c>
    </row>
    <row r="73" spans="2:31" x14ac:dyDescent="0.35">
      <c r="B73" s="2">
        <v>2007</v>
      </c>
      <c r="C73" s="2">
        <v>4</v>
      </c>
      <c r="D73" s="2">
        <v>12</v>
      </c>
      <c r="E73" s="78" t="str">
        <f>'CRU historical'!F72</f>
        <v xml:space="preserve"> </v>
      </c>
      <c r="F73" s="78">
        <f>'CRU historical'!I72</f>
        <v>82.5</v>
      </c>
      <c r="G73" s="78" t="str">
        <f>'CRU historical'!L72</f>
        <v xml:space="preserve"> </v>
      </c>
      <c r="H73" s="78" t="str">
        <f>'CRU historical'!O72</f>
        <v xml:space="preserve"> </v>
      </c>
      <c r="I73" s="78">
        <f>'CRU historical'!R72</f>
        <v>423</v>
      </c>
      <c r="J73" s="78">
        <f>AVERAGE('CRU historical'!U72, 'CRU historical'!X72, 'CRU historical'!AA72, 'CRU historical'!AD72)</f>
        <v>208.25</v>
      </c>
      <c r="L73" s="78" cm="1">
        <f t="array" ref="L73">IFERROR(SUMPRODUCT(('Sulphuric Acid freights'!$B$3:$B$513=B73)*('Sulphuric Acid freights'!$D$3:$D$513=D73)*('Sulphuric Acid freights'!$P$3:$P$513))/SUMPRODUCT(('Sulphuric Acid freights'!$B$3:$B$513=B73)*('Sulphuric Acid freights'!$D$3:$D$513=D73)*1), AVERAGE('Sulphuric Acid freights'!$P$3:$P$513))*2/3</f>
        <v>54.110671936758898</v>
      </c>
      <c r="M73" s="78" cm="1">
        <f t="array" ref="M73">IFERROR(SUMPRODUCT(('Sulphuric Acid freights'!$B$3:$B$513=B73)*('Sulphuric Acid freights'!$D$3:$D$513=D73)*('Sulphuric Acid freights'!$M$3:$M$513))/SUMPRODUCT(('Sulphuric Acid freights'!$B$3:$B$513=B73)*('Sulphuric Acid freights'!$D$3:$D$513=D73)*1)*2/3, AVERAGE('Sulphuric Acid freights'!$M$3:$M$513))</f>
        <v>23.573122529644269</v>
      </c>
      <c r="N73" s="78">
        <f t="shared" si="15"/>
        <v>48.699604743083007</v>
      </c>
      <c r="O73" s="78" cm="1">
        <f t="array" ref="O73">IF(SUMPRODUCT(('Sulphur freight'!$B$3:$B$1976=B73)*('Sulphur freight'!$D$3:$D$1976=D73)*('Sulphur freight'!$G$3:$G$1976))/SUMPRODUCT(('Sulphur freight'!$B$3:$B$1976=B73)*('Sulphur freight'!$D$3:$D$1976=D73)*1)=0, AVERAGE('Sulphur freight'!$G$3:$G$1976),SUMPRODUCT(('Sulphur freight'!$B$3:$B$1976=B73)*('Sulphur freight'!$D$3:$D$1976=D73)*('Sulphur freight'!$G$3:$G$1976))/SUMPRODUCT(('Sulphur freight'!$B$3:$B$1976=B73)*('Sulphur freight'!$D$3:$D$1976=D73)*1))</f>
        <v>53.333333333333336</v>
      </c>
      <c r="P73" s="78">
        <v>20</v>
      </c>
      <c r="R73" s="78" t="str">
        <f t="shared" si="16"/>
        <v xml:space="preserve"> </v>
      </c>
      <c r="S73" s="78">
        <f t="shared" si="17"/>
        <v>106.07312252964427</v>
      </c>
      <c r="T73" s="78" t="str">
        <f t="shared" si="12"/>
        <v/>
      </c>
      <c r="U73" s="78" t="str">
        <f t="shared" si="18"/>
        <v/>
      </c>
      <c r="V73" s="78">
        <f>IFERROR(I73+O73, "")</f>
        <v>476.33333333333331</v>
      </c>
      <c r="W73" s="78">
        <f t="shared" si="19"/>
        <v>228.25</v>
      </c>
      <c r="X73" s="78">
        <f t="shared" si="20"/>
        <v>175.19</v>
      </c>
      <c r="Y73" s="78">
        <f t="shared" si="21"/>
        <v>93.322500000000005</v>
      </c>
      <c r="AA73" s="88" t="str">
        <f t="shared" si="22"/>
        <v/>
      </c>
      <c r="AB73" s="77" t="str">
        <f t="shared" si="13"/>
        <v/>
      </c>
      <c r="AD73" s="88" t="str">
        <f t="shared" si="23"/>
        <v/>
      </c>
      <c r="AE73" s="77" t="str">
        <f t="shared" si="14"/>
        <v/>
      </c>
    </row>
    <row r="74" spans="2:31" x14ac:dyDescent="0.35">
      <c r="B74" s="2">
        <v>2008</v>
      </c>
      <c r="C74" s="2">
        <v>1</v>
      </c>
      <c r="D74" s="2">
        <v>1</v>
      </c>
      <c r="E74" s="78" t="str">
        <f>'CRU historical'!F73</f>
        <v xml:space="preserve"> </v>
      </c>
      <c r="F74" s="78">
        <f>'CRU historical'!I73</f>
        <v>103</v>
      </c>
      <c r="G74" s="78" t="str">
        <f>'CRU historical'!L73</f>
        <v xml:space="preserve"> </v>
      </c>
      <c r="H74" s="78" t="str">
        <f>'CRU historical'!O73</f>
        <v xml:space="preserve"> </v>
      </c>
      <c r="I74" s="78">
        <f>'CRU historical'!R73</f>
        <v>515.5</v>
      </c>
      <c r="J74" s="78">
        <f>AVERAGE('CRU historical'!U73, 'CRU historical'!X73, 'CRU historical'!AA73, 'CRU historical'!AD73)</f>
        <v>272.5</v>
      </c>
      <c r="L74" s="78" cm="1">
        <f t="array" ref="L74">IFERROR(SUMPRODUCT(('Sulphuric Acid freights'!$B$3:$B$513=B74)*('Sulphuric Acid freights'!$D$3:$D$513=D74)*('Sulphuric Acid freights'!$P$3:$P$513))/SUMPRODUCT(('Sulphuric Acid freights'!$B$3:$B$513=B74)*('Sulphuric Acid freights'!$D$3:$D$513=D74)*1), AVERAGE('Sulphuric Acid freights'!$P$3:$P$513))*2/3</f>
        <v>54.110671936758898</v>
      </c>
      <c r="M74" s="78" cm="1">
        <f t="array" ref="M74">IFERROR(SUMPRODUCT(('Sulphuric Acid freights'!$B$3:$B$513=B74)*('Sulphuric Acid freights'!$D$3:$D$513=D74)*('Sulphuric Acid freights'!$M$3:$M$513))/SUMPRODUCT(('Sulphuric Acid freights'!$B$3:$B$513=B74)*('Sulphuric Acid freights'!$D$3:$D$513=D74)*1)*2/3, AVERAGE('Sulphuric Acid freights'!$M$3:$M$513))</f>
        <v>23.573122529644269</v>
      </c>
      <c r="N74" s="78">
        <f t="shared" si="15"/>
        <v>48.699604743083007</v>
      </c>
      <c r="O74" s="78" cm="1">
        <f t="array" ref="O74">IF(SUMPRODUCT(('Sulphur freight'!$B$3:$B$1976=B74)*('Sulphur freight'!$D$3:$D$1976=D74)*('Sulphur freight'!$G$3:$G$1976))/SUMPRODUCT(('Sulphur freight'!$B$3:$B$1976=B74)*('Sulphur freight'!$D$3:$D$1976=D74)*1)=0, AVERAGE('Sulphur freight'!$G$3:$G$1976),SUMPRODUCT(('Sulphur freight'!$B$3:$B$1976=B74)*('Sulphur freight'!$D$3:$D$1976=D74)*('Sulphur freight'!$G$3:$G$1976))/SUMPRODUCT(('Sulphur freight'!$B$3:$B$1976=B74)*('Sulphur freight'!$D$3:$D$1976=D74)*1))</f>
        <v>53.4</v>
      </c>
      <c r="P74" s="78">
        <v>20</v>
      </c>
      <c r="R74" s="78" t="str">
        <f t="shared" si="16"/>
        <v xml:space="preserve"> </v>
      </c>
      <c r="S74" s="78">
        <f t="shared" si="17"/>
        <v>126.57312252964427</v>
      </c>
      <c r="T74" s="78" t="str">
        <f t="shared" si="12"/>
        <v/>
      </c>
      <c r="U74" s="78" t="str">
        <f t="shared" si="18"/>
        <v/>
      </c>
      <c r="V74" s="78">
        <f>IFERROR(I74+O74, "")</f>
        <v>568.9</v>
      </c>
      <c r="W74" s="78">
        <f t="shared" si="19"/>
        <v>292.5</v>
      </c>
      <c r="X74" s="78">
        <f t="shared" si="20"/>
        <v>205.73699999999999</v>
      </c>
      <c r="Y74" s="78">
        <f t="shared" si="21"/>
        <v>114.52500000000001</v>
      </c>
      <c r="AA74" s="88" t="str">
        <f t="shared" si="22"/>
        <v/>
      </c>
      <c r="AB74" s="77" t="str">
        <f t="shared" si="13"/>
        <v/>
      </c>
      <c r="AD74" s="88" t="str">
        <f t="shared" si="23"/>
        <v/>
      </c>
      <c r="AE74" s="77" t="str">
        <f t="shared" si="14"/>
        <v/>
      </c>
    </row>
    <row r="75" spans="2:31" x14ac:dyDescent="0.35">
      <c r="B75" s="2">
        <v>2008</v>
      </c>
      <c r="C75" s="2">
        <v>1</v>
      </c>
      <c r="D75" s="2">
        <v>2</v>
      </c>
      <c r="E75" s="78" t="str">
        <f>'CRU historical'!F74</f>
        <v xml:space="preserve"> </v>
      </c>
      <c r="F75" s="78">
        <f>'CRU historical'!I74</f>
        <v>103</v>
      </c>
      <c r="G75" s="78" t="str">
        <f>'CRU historical'!L74</f>
        <v xml:space="preserve"> </v>
      </c>
      <c r="H75" s="78" t="str">
        <f>'CRU historical'!O74</f>
        <v xml:space="preserve"> </v>
      </c>
      <c r="I75" s="78">
        <f>'CRU historical'!R74</f>
        <v>620</v>
      </c>
      <c r="J75" s="78">
        <f>AVERAGE('CRU historical'!U74, 'CRU historical'!X74, 'CRU historical'!AA74, 'CRU historical'!AD74)</f>
        <v>338.5</v>
      </c>
      <c r="L75" s="78" cm="1">
        <f t="array" ref="L75">IFERROR(SUMPRODUCT(('Sulphuric Acid freights'!$B$3:$B$513=B75)*('Sulphuric Acid freights'!$D$3:$D$513=D75)*('Sulphuric Acid freights'!$P$3:$P$513))/SUMPRODUCT(('Sulphuric Acid freights'!$B$3:$B$513=B75)*('Sulphuric Acid freights'!$D$3:$D$513=D75)*1), AVERAGE('Sulphuric Acid freights'!$P$3:$P$513))*2/3</f>
        <v>54.110671936758898</v>
      </c>
      <c r="M75" s="78" cm="1">
        <f t="array" ref="M75">IFERROR(SUMPRODUCT(('Sulphuric Acid freights'!$B$3:$B$513=B75)*('Sulphuric Acid freights'!$D$3:$D$513=D75)*('Sulphuric Acid freights'!$M$3:$M$513))/SUMPRODUCT(('Sulphuric Acid freights'!$B$3:$B$513=B75)*('Sulphuric Acid freights'!$D$3:$D$513=D75)*1)*2/3, AVERAGE('Sulphuric Acid freights'!$M$3:$M$513))</f>
        <v>23.573122529644269</v>
      </c>
      <c r="N75" s="78">
        <f t="shared" si="15"/>
        <v>48.699604743083007</v>
      </c>
      <c r="O75" s="78" cm="1">
        <f t="array" ref="O75">IF(SUMPRODUCT(('Sulphur freight'!$B$3:$B$1976=B75)*('Sulphur freight'!$D$3:$D$1976=D75)*('Sulphur freight'!$G$3:$G$1976))/SUMPRODUCT(('Sulphur freight'!$B$3:$B$1976=B75)*('Sulphur freight'!$D$3:$D$1976=D75)*1)=0, AVERAGE('Sulphur freight'!$G$3:$G$1976),SUMPRODUCT(('Sulphur freight'!$B$3:$B$1976=B75)*('Sulphur freight'!$D$3:$D$1976=D75)*('Sulphur freight'!$G$3:$G$1976))/SUMPRODUCT(('Sulphur freight'!$B$3:$B$1976=B75)*('Sulphur freight'!$D$3:$D$1976=D75)*1))</f>
        <v>52.5</v>
      </c>
      <c r="P75" s="78">
        <v>20</v>
      </c>
      <c r="R75" s="78" t="str">
        <f t="shared" si="16"/>
        <v xml:space="preserve"> </v>
      </c>
      <c r="S75" s="78">
        <f t="shared" si="17"/>
        <v>126.57312252964427</v>
      </c>
      <c r="T75" s="78" t="str">
        <f t="shared" si="12"/>
        <v/>
      </c>
      <c r="U75" s="78" t="str">
        <f t="shared" si="18"/>
        <v/>
      </c>
      <c r="V75" s="78">
        <f>IFERROR(I75+O75, "")</f>
        <v>672.5</v>
      </c>
      <c r="W75" s="78">
        <f t="shared" si="19"/>
        <v>358.5</v>
      </c>
      <c r="X75" s="78">
        <f t="shared" si="20"/>
        <v>239.92500000000001</v>
      </c>
      <c r="Y75" s="78">
        <f t="shared" si="21"/>
        <v>136.30500000000001</v>
      </c>
      <c r="AA75" s="88" t="str">
        <f t="shared" si="22"/>
        <v/>
      </c>
      <c r="AB75" s="77" t="str">
        <f t="shared" si="13"/>
        <v/>
      </c>
      <c r="AD75" s="88" t="str">
        <f t="shared" si="23"/>
        <v/>
      </c>
      <c r="AE75" s="77" t="str">
        <f t="shared" si="14"/>
        <v/>
      </c>
    </row>
    <row r="76" spans="2:31" x14ac:dyDescent="0.35">
      <c r="B76" s="2">
        <v>2008</v>
      </c>
      <c r="C76" s="2">
        <v>1</v>
      </c>
      <c r="D76" s="2">
        <v>3</v>
      </c>
      <c r="E76" s="78" t="str">
        <f>'CRU historical'!F75</f>
        <v xml:space="preserve"> </v>
      </c>
      <c r="F76" s="78">
        <f>'CRU historical'!I75</f>
        <v>103</v>
      </c>
      <c r="G76" s="78" t="str">
        <f>'CRU historical'!L75</f>
        <v xml:space="preserve"> </v>
      </c>
      <c r="H76" s="78" t="str">
        <f>'CRU historical'!O75</f>
        <v xml:space="preserve"> </v>
      </c>
      <c r="I76" s="78">
        <f>'CRU historical'!R75</f>
        <v>646</v>
      </c>
      <c r="J76" s="78">
        <f>AVERAGE('CRU historical'!U75, 'CRU historical'!X75, 'CRU historical'!AA75, 'CRU historical'!AD75)</f>
        <v>338.5</v>
      </c>
      <c r="L76" s="78" cm="1">
        <f t="array" ref="L76">IFERROR(SUMPRODUCT(('Sulphuric Acid freights'!$B$3:$B$513=B76)*('Sulphuric Acid freights'!$D$3:$D$513=D76)*('Sulphuric Acid freights'!$P$3:$P$513))/SUMPRODUCT(('Sulphuric Acid freights'!$B$3:$B$513=B76)*('Sulphuric Acid freights'!$D$3:$D$513=D76)*1), AVERAGE('Sulphuric Acid freights'!$P$3:$P$513))*2/3</f>
        <v>54.110671936758898</v>
      </c>
      <c r="M76" s="78" cm="1">
        <f t="array" ref="M76">IFERROR(SUMPRODUCT(('Sulphuric Acid freights'!$B$3:$B$513=B76)*('Sulphuric Acid freights'!$D$3:$D$513=D76)*('Sulphuric Acid freights'!$M$3:$M$513))/SUMPRODUCT(('Sulphuric Acid freights'!$B$3:$B$513=B76)*('Sulphuric Acid freights'!$D$3:$D$513=D76)*1)*2/3, AVERAGE('Sulphuric Acid freights'!$M$3:$M$513))</f>
        <v>23.573122529644269</v>
      </c>
      <c r="N76" s="78">
        <f t="shared" si="15"/>
        <v>48.699604743083007</v>
      </c>
      <c r="O76" s="78" cm="1">
        <f t="array" ref="O76">IF(SUMPRODUCT(('Sulphur freight'!$B$3:$B$1976=B76)*('Sulphur freight'!$D$3:$D$1976=D76)*('Sulphur freight'!$G$3:$G$1976))/SUMPRODUCT(('Sulphur freight'!$B$3:$B$1976=B76)*('Sulphur freight'!$D$3:$D$1976=D76)*1)=0, AVERAGE('Sulphur freight'!$G$3:$G$1976),SUMPRODUCT(('Sulphur freight'!$B$3:$B$1976=B76)*('Sulphur freight'!$D$3:$D$1976=D76)*('Sulphur freight'!$G$3:$G$1976))/SUMPRODUCT(('Sulphur freight'!$B$3:$B$1976=B76)*('Sulphur freight'!$D$3:$D$1976=D76)*1))</f>
        <v>53</v>
      </c>
      <c r="P76" s="78">
        <v>20</v>
      </c>
      <c r="R76" s="78" t="str">
        <f t="shared" si="16"/>
        <v xml:space="preserve"> </v>
      </c>
      <c r="S76" s="78">
        <f t="shared" si="17"/>
        <v>126.57312252964427</v>
      </c>
      <c r="T76" s="78" t="str">
        <f t="shared" si="12"/>
        <v/>
      </c>
      <c r="U76" s="78" t="str">
        <f t="shared" si="18"/>
        <v/>
      </c>
      <c r="V76" s="78">
        <f>IFERROR(I76+O76, "")</f>
        <v>699</v>
      </c>
      <c r="W76" s="78">
        <f t="shared" si="19"/>
        <v>358.5</v>
      </c>
      <c r="X76" s="78">
        <f t="shared" si="20"/>
        <v>248.67000000000002</v>
      </c>
      <c r="Y76" s="78">
        <f t="shared" si="21"/>
        <v>136.30500000000001</v>
      </c>
      <c r="AA76" s="88" t="str">
        <f t="shared" si="22"/>
        <v/>
      </c>
      <c r="AB76" s="77" t="str">
        <f t="shared" si="13"/>
        <v/>
      </c>
      <c r="AD76" s="88" t="str">
        <f t="shared" si="23"/>
        <v/>
      </c>
      <c r="AE76" s="77" t="str">
        <f t="shared" si="14"/>
        <v/>
      </c>
    </row>
    <row r="77" spans="2:31" x14ac:dyDescent="0.35">
      <c r="B77" s="2">
        <v>2008</v>
      </c>
      <c r="C77" s="2">
        <v>2</v>
      </c>
      <c r="D77" s="2">
        <v>4</v>
      </c>
      <c r="E77" s="78" t="str">
        <f>'CRU historical'!F76</f>
        <v xml:space="preserve"> </v>
      </c>
      <c r="F77" s="78">
        <f>'CRU historical'!I76</f>
        <v>103</v>
      </c>
      <c r="G77" s="78" t="str">
        <f>'CRU historical'!L76</f>
        <v xml:space="preserve"> </v>
      </c>
      <c r="H77" s="78" t="str">
        <f>'CRU historical'!O76</f>
        <v xml:space="preserve"> </v>
      </c>
      <c r="I77" s="78">
        <f>'CRU historical'!R76</f>
        <v>658</v>
      </c>
      <c r="J77" s="78">
        <f>AVERAGE('CRU historical'!U76, 'CRU historical'!X76, 'CRU historical'!AA76, 'CRU historical'!AD76)</f>
        <v>353</v>
      </c>
      <c r="L77" s="78" cm="1">
        <f t="array" ref="L77">IFERROR(SUMPRODUCT(('Sulphuric Acid freights'!$B$3:$B$513=B77)*('Sulphuric Acid freights'!$D$3:$D$513=D77)*('Sulphuric Acid freights'!$P$3:$P$513))/SUMPRODUCT(('Sulphuric Acid freights'!$B$3:$B$513=B77)*('Sulphuric Acid freights'!$D$3:$D$513=D77)*1), AVERAGE('Sulphuric Acid freights'!$P$3:$P$513))*2/3</f>
        <v>54.110671936758898</v>
      </c>
      <c r="M77" s="78" cm="1">
        <f t="array" ref="M77">IFERROR(SUMPRODUCT(('Sulphuric Acid freights'!$B$3:$B$513=B77)*('Sulphuric Acid freights'!$D$3:$D$513=D77)*('Sulphuric Acid freights'!$M$3:$M$513))/SUMPRODUCT(('Sulphuric Acid freights'!$B$3:$B$513=B77)*('Sulphuric Acid freights'!$D$3:$D$513=D77)*1)*2/3, AVERAGE('Sulphuric Acid freights'!$M$3:$M$513))</f>
        <v>23.573122529644269</v>
      </c>
      <c r="N77" s="78">
        <f t="shared" si="15"/>
        <v>48.699604743083007</v>
      </c>
      <c r="O77" s="78" cm="1">
        <f t="array" ref="O77">IF(SUMPRODUCT(('Sulphur freight'!$B$3:$B$1976=B77)*('Sulphur freight'!$D$3:$D$1976=D77)*('Sulphur freight'!$G$3:$G$1976))/SUMPRODUCT(('Sulphur freight'!$B$3:$B$1976=B77)*('Sulphur freight'!$D$3:$D$1976=D77)*1)=0, AVERAGE('Sulphur freight'!$G$3:$G$1976),SUMPRODUCT(('Sulphur freight'!$B$3:$B$1976=B77)*('Sulphur freight'!$D$3:$D$1976=D77)*('Sulphur freight'!$G$3:$G$1976))/SUMPRODUCT(('Sulphur freight'!$B$3:$B$1976=B77)*('Sulphur freight'!$D$3:$D$1976=D77)*1))</f>
        <v>62</v>
      </c>
      <c r="P77" s="78">
        <v>20</v>
      </c>
      <c r="R77" s="78" t="str">
        <f t="shared" si="16"/>
        <v xml:space="preserve"> </v>
      </c>
      <c r="S77" s="78">
        <f t="shared" si="17"/>
        <v>126.57312252964427</v>
      </c>
      <c r="T77" s="78" t="str">
        <f t="shared" si="12"/>
        <v/>
      </c>
      <c r="U77" s="78" t="str">
        <f t="shared" si="18"/>
        <v/>
      </c>
      <c r="V77" s="78">
        <f>IFERROR(I77+O77, "")</f>
        <v>720</v>
      </c>
      <c r="W77" s="78">
        <f t="shared" si="19"/>
        <v>373</v>
      </c>
      <c r="X77" s="78">
        <f t="shared" si="20"/>
        <v>255.60000000000002</v>
      </c>
      <c r="Y77" s="78">
        <f t="shared" si="21"/>
        <v>141.09</v>
      </c>
      <c r="AA77" s="88" t="str">
        <f t="shared" si="22"/>
        <v/>
      </c>
      <c r="AB77" s="77" t="str">
        <f t="shared" si="13"/>
        <v/>
      </c>
      <c r="AD77" s="88" t="str">
        <f t="shared" si="23"/>
        <v/>
      </c>
      <c r="AE77" s="77" t="str">
        <f t="shared" si="14"/>
        <v/>
      </c>
    </row>
    <row r="78" spans="2:31" x14ac:dyDescent="0.35">
      <c r="B78" s="2">
        <v>2008</v>
      </c>
      <c r="C78" s="2">
        <v>2</v>
      </c>
      <c r="D78" s="2">
        <v>5</v>
      </c>
      <c r="E78" s="78" t="str">
        <f>'CRU historical'!F77</f>
        <v xml:space="preserve"> </v>
      </c>
      <c r="F78" s="78">
        <f>'CRU historical'!I77</f>
        <v>103</v>
      </c>
      <c r="G78" s="78" t="str">
        <f>'CRU historical'!L77</f>
        <v xml:space="preserve"> </v>
      </c>
      <c r="H78" s="78" t="str">
        <f>'CRU historical'!O77</f>
        <v xml:space="preserve"> </v>
      </c>
      <c r="I78" s="78">
        <f>'CRU historical'!R77</f>
        <v>716.5</v>
      </c>
      <c r="J78" s="78">
        <f>AVERAGE('CRU historical'!U77, 'CRU historical'!X77, 'CRU historical'!AA77, 'CRU historical'!AD77)</f>
        <v>353</v>
      </c>
      <c r="L78" s="78" cm="1">
        <f t="array" ref="L78">IFERROR(SUMPRODUCT(('Sulphuric Acid freights'!$B$3:$B$513=B78)*('Sulphuric Acid freights'!$D$3:$D$513=D78)*('Sulphuric Acid freights'!$P$3:$P$513))/SUMPRODUCT(('Sulphuric Acid freights'!$B$3:$B$513=B78)*('Sulphuric Acid freights'!$D$3:$D$513=D78)*1), AVERAGE('Sulphuric Acid freights'!$P$3:$P$513))*2/3</f>
        <v>54.110671936758898</v>
      </c>
      <c r="M78" s="78" cm="1">
        <f t="array" ref="M78">IFERROR(SUMPRODUCT(('Sulphuric Acid freights'!$B$3:$B$513=B78)*('Sulphuric Acid freights'!$D$3:$D$513=D78)*('Sulphuric Acid freights'!$M$3:$M$513))/SUMPRODUCT(('Sulphuric Acid freights'!$B$3:$B$513=B78)*('Sulphuric Acid freights'!$D$3:$D$513=D78)*1)*2/3, AVERAGE('Sulphuric Acid freights'!$M$3:$M$513))</f>
        <v>23.573122529644269</v>
      </c>
      <c r="N78" s="78">
        <f t="shared" si="15"/>
        <v>48.699604743083007</v>
      </c>
      <c r="O78" s="78" cm="1">
        <f t="array" ref="O78">IF(SUMPRODUCT(('Sulphur freight'!$B$3:$B$1976=B78)*('Sulphur freight'!$D$3:$D$1976=D78)*('Sulphur freight'!$G$3:$G$1976))/SUMPRODUCT(('Sulphur freight'!$B$3:$B$1976=B78)*('Sulphur freight'!$D$3:$D$1976=D78)*1)=0, AVERAGE('Sulphur freight'!$G$3:$G$1976),SUMPRODUCT(('Sulphur freight'!$B$3:$B$1976=B78)*('Sulphur freight'!$D$3:$D$1976=D78)*('Sulphur freight'!$G$3:$G$1976))/SUMPRODUCT(('Sulphur freight'!$B$3:$B$1976=B78)*('Sulphur freight'!$D$3:$D$1976=D78)*1))</f>
        <v>61</v>
      </c>
      <c r="P78" s="78">
        <v>20</v>
      </c>
      <c r="R78" s="78" t="str">
        <f t="shared" si="16"/>
        <v xml:space="preserve"> </v>
      </c>
      <c r="S78" s="78">
        <f t="shared" si="17"/>
        <v>126.57312252964427</v>
      </c>
      <c r="T78" s="78" t="str">
        <f t="shared" si="12"/>
        <v/>
      </c>
      <c r="U78" s="78" t="str">
        <f t="shared" si="18"/>
        <v/>
      </c>
      <c r="V78" s="78">
        <f>IFERROR(I78+O78, "")</f>
        <v>777.5</v>
      </c>
      <c r="W78" s="78">
        <f t="shared" si="19"/>
        <v>373</v>
      </c>
      <c r="X78" s="78">
        <f t="shared" si="20"/>
        <v>274.57499999999999</v>
      </c>
      <c r="Y78" s="78">
        <f t="shared" si="21"/>
        <v>141.09</v>
      </c>
      <c r="AA78" s="88" t="str">
        <f t="shared" si="22"/>
        <v/>
      </c>
      <c r="AB78" s="77" t="str">
        <f t="shared" si="13"/>
        <v/>
      </c>
      <c r="AD78" s="88" t="str">
        <f t="shared" si="23"/>
        <v/>
      </c>
      <c r="AE78" s="77" t="str">
        <f t="shared" si="14"/>
        <v/>
      </c>
    </row>
    <row r="79" spans="2:31" x14ac:dyDescent="0.35">
      <c r="B79" s="2">
        <v>2008</v>
      </c>
      <c r="C79" s="2">
        <v>2</v>
      </c>
      <c r="D79" s="2">
        <v>6</v>
      </c>
      <c r="E79" s="78" t="str">
        <f>'CRU historical'!F78</f>
        <v xml:space="preserve"> </v>
      </c>
      <c r="F79" s="78">
        <f>'CRU historical'!I78</f>
        <v>103</v>
      </c>
      <c r="G79" s="78" t="str">
        <f>'CRU historical'!L78</f>
        <v xml:space="preserve"> </v>
      </c>
      <c r="H79" s="78" t="str">
        <f>'CRU historical'!O78</f>
        <v xml:space="preserve"> </v>
      </c>
      <c r="I79" s="78">
        <f>'CRU historical'!R78</f>
        <v>806</v>
      </c>
      <c r="J79" s="78">
        <f>AVERAGE('CRU historical'!U78, 'CRU historical'!X78, 'CRU historical'!AA78, 'CRU historical'!AD78)</f>
        <v>353</v>
      </c>
      <c r="L79" s="78" cm="1">
        <f t="array" ref="L79">IFERROR(SUMPRODUCT(('Sulphuric Acid freights'!$B$3:$B$513=B79)*('Sulphuric Acid freights'!$D$3:$D$513=D79)*('Sulphuric Acid freights'!$P$3:$P$513))/SUMPRODUCT(('Sulphuric Acid freights'!$B$3:$B$513=B79)*('Sulphuric Acid freights'!$D$3:$D$513=D79)*1), AVERAGE('Sulphuric Acid freights'!$P$3:$P$513))*2/3</f>
        <v>54.110671936758898</v>
      </c>
      <c r="M79" s="78" cm="1">
        <f t="array" ref="M79">IFERROR(SUMPRODUCT(('Sulphuric Acid freights'!$B$3:$B$513=B79)*('Sulphuric Acid freights'!$D$3:$D$513=D79)*('Sulphuric Acid freights'!$M$3:$M$513))/SUMPRODUCT(('Sulphuric Acid freights'!$B$3:$B$513=B79)*('Sulphuric Acid freights'!$D$3:$D$513=D79)*1)*2/3, AVERAGE('Sulphuric Acid freights'!$M$3:$M$513))</f>
        <v>23.573122529644269</v>
      </c>
      <c r="N79" s="78">
        <f t="shared" si="15"/>
        <v>48.699604743083007</v>
      </c>
      <c r="O79" s="78" cm="1">
        <f t="array" ref="O79">IF(SUMPRODUCT(('Sulphur freight'!$B$3:$B$1976=B79)*('Sulphur freight'!$D$3:$D$1976=D79)*('Sulphur freight'!$G$3:$G$1976))/SUMPRODUCT(('Sulphur freight'!$B$3:$B$1976=B79)*('Sulphur freight'!$D$3:$D$1976=D79)*1)=0, AVERAGE('Sulphur freight'!$G$3:$G$1976),SUMPRODUCT(('Sulphur freight'!$B$3:$B$1976=B79)*('Sulphur freight'!$D$3:$D$1976=D79)*('Sulphur freight'!$G$3:$G$1976))/SUMPRODUCT(('Sulphur freight'!$B$3:$B$1976=B79)*('Sulphur freight'!$D$3:$D$1976=D79)*1))</f>
        <v>58</v>
      </c>
      <c r="P79" s="78">
        <v>20</v>
      </c>
      <c r="R79" s="78" t="str">
        <f t="shared" si="16"/>
        <v xml:space="preserve"> </v>
      </c>
      <c r="S79" s="78">
        <f t="shared" si="17"/>
        <v>126.57312252964427</v>
      </c>
      <c r="T79" s="78" t="str">
        <f t="shared" si="12"/>
        <v/>
      </c>
      <c r="U79" s="78" t="str">
        <f t="shared" si="18"/>
        <v/>
      </c>
      <c r="V79" s="78">
        <f>IFERROR(I79+O79, "")</f>
        <v>864</v>
      </c>
      <c r="W79" s="78">
        <f t="shared" si="19"/>
        <v>373</v>
      </c>
      <c r="X79" s="78">
        <f t="shared" si="20"/>
        <v>303.12</v>
      </c>
      <c r="Y79" s="78">
        <f t="shared" si="21"/>
        <v>141.09</v>
      </c>
      <c r="AA79" s="88" t="str">
        <f t="shared" si="22"/>
        <v/>
      </c>
      <c r="AB79" s="77" t="str">
        <f t="shared" si="13"/>
        <v/>
      </c>
      <c r="AD79" s="88" t="str">
        <f t="shared" si="23"/>
        <v/>
      </c>
      <c r="AE79" s="77" t="str">
        <f t="shared" si="14"/>
        <v/>
      </c>
    </row>
    <row r="80" spans="2:31" x14ac:dyDescent="0.35">
      <c r="B80" s="2">
        <v>2008</v>
      </c>
      <c r="C80" s="2">
        <v>3</v>
      </c>
      <c r="D80" s="2">
        <v>7</v>
      </c>
      <c r="E80" s="78" t="str">
        <f>'CRU historical'!F79</f>
        <v xml:space="preserve"> </v>
      </c>
      <c r="F80" s="78">
        <f>'CRU historical'!I79</f>
        <v>103</v>
      </c>
      <c r="G80" s="78" t="str">
        <f>'CRU historical'!L79</f>
        <v xml:space="preserve"> </v>
      </c>
      <c r="H80" s="78" t="str">
        <f>'CRU historical'!O79</f>
        <v xml:space="preserve"> </v>
      </c>
      <c r="I80" s="78">
        <f>'CRU historical'!R79</f>
        <v>787.66666666666663</v>
      </c>
      <c r="J80" s="78">
        <f>AVERAGE('CRU historical'!U79, 'CRU historical'!X79, 'CRU historical'!AA79, 'CRU historical'!AD79)</f>
        <v>616.33333333333337</v>
      </c>
      <c r="L80" s="78" cm="1">
        <f t="array" ref="L80">IFERROR(SUMPRODUCT(('Sulphuric Acid freights'!$B$3:$B$513=B80)*('Sulphuric Acid freights'!$D$3:$D$513=D80)*('Sulphuric Acid freights'!$P$3:$P$513))/SUMPRODUCT(('Sulphuric Acid freights'!$B$3:$B$513=B80)*('Sulphuric Acid freights'!$D$3:$D$513=D80)*1), AVERAGE('Sulphuric Acid freights'!$P$3:$P$513))*2/3</f>
        <v>54.110671936758898</v>
      </c>
      <c r="M80" s="78" cm="1">
        <f t="array" ref="M80">IFERROR(SUMPRODUCT(('Sulphuric Acid freights'!$B$3:$B$513=B80)*('Sulphuric Acid freights'!$D$3:$D$513=D80)*('Sulphuric Acid freights'!$M$3:$M$513))/SUMPRODUCT(('Sulphuric Acid freights'!$B$3:$B$513=B80)*('Sulphuric Acid freights'!$D$3:$D$513=D80)*1)*2/3, AVERAGE('Sulphuric Acid freights'!$M$3:$M$513))</f>
        <v>23.573122529644269</v>
      </c>
      <c r="N80" s="78">
        <f t="shared" si="15"/>
        <v>48.699604743083007</v>
      </c>
      <c r="O80" s="78" cm="1">
        <f t="array" ref="O80">IF(SUMPRODUCT(('Sulphur freight'!$B$3:$B$1976=B80)*('Sulphur freight'!$D$3:$D$1976=D80)*('Sulphur freight'!$G$3:$G$1976))/SUMPRODUCT(('Sulphur freight'!$B$3:$B$1976=B80)*('Sulphur freight'!$D$3:$D$1976=D80)*1)=0, AVERAGE('Sulphur freight'!$G$3:$G$1976),SUMPRODUCT(('Sulphur freight'!$B$3:$B$1976=B80)*('Sulphur freight'!$D$3:$D$1976=D80)*('Sulphur freight'!$G$3:$G$1976))/SUMPRODUCT(('Sulphur freight'!$B$3:$B$1976=B80)*('Sulphur freight'!$D$3:$D$1976=D80)*1))</f>
        <v>56.2</v>
      </c>
      <c r="P80" s="78">
        <v>20</v>
      </c>
      <c r="R80" s="78" t="str">
        <f t="shared" si="16"/>
        <v xml:space="preserve"> </v>
      </c>
      <c r="S80" s="78">
        <f t="shared" si="17"/>
        <v>126.57312252964427</v>
      </c>
      <c r="T80" s="78" t="str">
        <f t="shared" si="12"/>
        <v/>
      </c>
      <c r="U80" s="78" t="str">
        <f t="shared" si="18"/>
        <v/>
      </c>
      <c r="V80" s="78">
        <f>IFERROR(I80+O80, "")</f>
        <v>843.86666666666667</v>
      </c>
      <c r="W80" s="78">
        <f t="shared" si="19"/>
        <v>636.33333333333337</v>
      </c>
      <c r="X80" s="78">
        <f t="shared" si="20"/>
        <v>296.476</v>
      </c>
      <c r="Y80" s="78">
        <f t="shared" si="21"/>
        <v>227.99</v>
      </c>
      <c r="AA80" s="88" t="str">
        <f t="shared" si="22"/>
        <v/>
      </c>
      <c r="AB80" s="77" t="str">
        <f t="shared" si="13"/>
        <v/>
      </c>
      <c r="AD80" s="88" t="str">
        <f t="shared" si="23"/>
        <v/>
      </c>
      <c r="AE80" s="77" t="str">
        <f t="shared" si="14"/>
        <v/>
      </c>
    </row>
    <row r="81" spans="2:31" x14ac:dyDescent="0.35">
      <c r="B81" s="2">
        <v>2008</v>
      </c>
      <c r="C81" s="2">
        <v>3</v>
      </c>
      <c r="D81" s="2">
        <v>8</v>
      </c>
      <c r="E81" s="78" t="str">
        <f>'CRU historical'!F80</f>
        <v xml:space="preserve"> </v>
      </c>
      <c r="F81" s="78">
        <f>'CRU historical'!I80</f>
        <v>103</v>
      </c>
      <c r="G81" s="78" t="str">
        <f>'CRU historical'!L80</f>
        <v xml:space="preserve"> </v>
      </c>
      <c r="H81" s="78" t="str">
        <f>'CRU historical'!O80</f>
        <v xml:space="preserve"> </v>
      </c>
      <c r="I81" s="78">
        <f>'CRU historical'!R80</f>
        <v>755</v>
      </c>
      <c r="J81" s="78">
        <f>AVERAGE('CRU historical'!U80, 'CRU historical'!X80, 'CRU historical'!AA80, 'CRU historical'!AD80)</f>
        <v>618.75</v>
      </c>
      <c r="L81" s="78" cm="1">
        <f t="array" ref="L81">IFERROR(SUMPRODUCT(('Sulphuric Acid freights'!$B$3:$B$513=B81)*('Sulphuric Acid freights'!$D$3:$D$513=D81)*('Sulphuric Acid freights'!$P$3:$P$513))/SUMPRODUCT(('Sulphuric Acid freights'!$B$3:$B$513=B81)*('Sulphuric Acid freights'!$D$3:$D$513=D81)*1), AVERAGE('Sulphuric Acid freights'!$P$3:$P$513))*2/3</f>
        <v>54.110671936758898</v>
      </c>
      <c r="M81" s="78" cm="1">
        <f t="array" ref="M81">IFERROR(SUMPRODUCT(('Sulphuric Acid freights'!$B$3:$B$513=B81)*('Sulphuric Acid freights'!$D$3:$D$513=D81)*('Sulphuric Acid freights'!$M$3:$M$513))/SUMPRODUCT(('Sulphuric Acid freights'!$B$3:$B$513=B81)*('Sulphuric Acid freights'!$D$3:$D$513=D81)*1)*2/3, AVERAGE('Sulphuric Acid freights'!$M$3:$M$513))</f>
        <v>23.573122529644269</v>
      </c>
      <c r="N81" s="78">
        <f t="shared" si="15"/>
        <v>48.699604743083007</v>
      </c>
      <c r="O81" s="78" cm="1">
        <f t="array" ref="O81">IF(SUMPRODUCT(('Sulphur freight'!$B$3:$B$1976=B81)*('Sulphur freight'!$D$3:$D$1976=D81)*('Sulphur freight'!$G$3:$G$1976))/SUMPRODUCT(('Sulphur freight'!$B$3:$B$1976=B81)*('Sulphur freight'!$D$3:$D$1976=D81)*1)=0, AVERAGE('Sulphur freight'!$G$3:$G$1976),SUMPRODUCT(('Sulphur freight'!$B$3:$B$1976=B81)*('Sulphur freight'!$D$3:$D$1976=D81)*('Sulphur freight'!$G$3:$G$1976))/SUMPRODUCT(('Sulphur freight'!$B$3:$B$1976=B81)*('Sulphur freight'!$D$3:$D$1976=D81)*1))</f>
        <v>50.5</v>
      </c>
      <c r="P81" s="78">
        <v>20</v>
      </c>
      <c r="R81" s="78" t="str">
        <f t="shared" si="16"/>
        <v xml:space="preserve"> </v>
      </c>
      <c r="S81" s="78">
        <f t="shared" si="17"/>
        <v>126.57312252964427</v>
      </c>
      <c r="T81" s="78" t="str">
        <f t="shared" si="12"/>
        <v/>
      </c>
      <c r="U81" s="78" t="str">
        <f t="shared" si="18"/>
        <v/>
      </c>
      <c r="V81" s="78">
        <f>IFERROR(I81+O81, "")</f>
        <v>805.5</v>
      </c>
      <c r="W81" s="78">
        <f t="shared" si="19"/>
        <v>638.75</v>
      </c>
      <c r="X81" s="78">
        <f t="shared" si="20"/>
        <v>283.815</v>
      </c>
      <c r="Y81" s="78">
        <f t="shared" si="21"/>
        <v>228.78750000000002</v>
      </c>
      <c r="AA81" s="88" t="str">
        <f t="shared" si="22"/>
        <v/>
      </c>
      <c r="AB81" s="77" t="str">
        <f t="shared" si="13"/>
        <v/>
      </c>
      <c r="AD81" s="88" t="str">
        <f t="shared" si="23"/>
        <v/>
      </c>
      <c r="AE81" s="77" t="str">
        <f t="shared" si="14"/>
        <v/>
      </c>
    </row>
    <row r="82" spans="2:31" x14ac:dyDescent="0.35">
      <c r="B82" s="2">
        <v>2008</v>
      </c>
      <c r="C82" s="2">
        <v>3</v>
      </c>
      <c r="D82" s="2">
        <v>9</v>
      </c>
      <c r="E82" s="78" t="str">
        <f>'CRU historical'!F81</f>
        <v xml:space="preserve"> </v>
      </c>
      <c r="F82" s="78">
        <f>'CRU historical'!I81</f>
        <v>275</v>
      </c>
      <c r="G82" s="78" t="str">
        <f>'CRU historical'!L81</f>
        <v xml:space="preserve"> </v>
      </c>
      <c r="H82" s="78" t="str">
        <f>'CRU historical'!O81</f>
        <v xml:space="preserve"> </v>
      </c>
      <c r="I82" s="78">
        <f>'CRU historical'!R81</f>
        <v>444.33333333333331</v>
      </c>
      <c r="J82" s="78">
        <f>AVERAGE('CRU historical'!U81, 'CRU historical'!X81, 'CRU historical'!AA81, 'CRU historical'!AD81)</f>
        <v>615</v>
      </c>
      <c r="L82" s="78" cm="1">
        <f t="array" ref="L82">IFERROR(SUMPRODUCT(('Sulphuric Acid freights'!$B$3:$B$513=B82)*('Sulphuric Acid freights'!$D$3:$D$513=D82)*('Sulphuric Acid freights'!$P$3:$P$513))/SUMPRODUCT(('Sulphuric Acid freights'!$B$3:$B$513=B82)*('Sulphuric Acid freights'!$D$3:$D$513=D82)*1), AVERAGE('Sulphuric Acid freights'!$P$3:$P$513))*2/3</f>
        <v>54.110671936758898</v>
      </c>
      <c r="M82" s="78" cm="1">
        <f t="array" ref="M82">IFERROR(SUMPRODUCT(('Sulphuric Acid freights'!$B$3:$B$513=B82)*('Sulphuric Acid freights'!$D$3:$D$513=D82)*('Sulphuric Acid freights'!$M$3:$M$513))/SUMPRODUCT(('Sulphuric Acid freights'!$B$3:$B$513=B82)*('Sulphuric Acid freights'!$D$3:$D$513=D82)*1)*2/3, AVERAGE('Sulphuric Acid freights'!$M$3:$M$513))</f>
        <v>23.573122529644269</v>
      </c>
      <c r="N82" s="78">
        <f t="shared" si="15"/>
        <v>48.699604743083007</v>
      </c>
      <c r="O82" s="78" cm="1">
        <f t="array" ref="O82">IF(SUMPRODUCT(('Sulphur freight'!$B$3:$B$1976=B82)*('Sulphur freight'!$D$3:$D$1976=D82)*('Sulphur freight'!$G$3:$G$1976))/SUMPRODUCT(('Sulphur freight'!$B$3:$B$1976=B82)*('Sulphur freight'!$D$3:$D$1976=D82)*1)=0, AVERAGE('Sulphur freight'!$G$3:$G$1976),SUMPRODUCT(('Sulphur freight'!$B$3:$B$1976=B82)*('Sulphur freight'!$D$3:$D$1976=D82)*('Sulphur freight'!$G$3:$G$1976))/SUMPRODUCT(('Sulphur freight'!$B$3:$B$1976=B82)*('Sulphur freight'!$D$3:$D$1976=D82)*1))</f>
        <v>41.5</v>
      </c>
      <c r="P82" s="78">
        <v>20</v>
      </c>
      <c r="R82" s="78" t="str">
        <f t="shared" si="16"/>
        <v xml:space="preserve"> </v>
      </c>
      <c r="S82" s="78">
        <f t="shared" si="17"/>
        <v>298.57312252964425</v>
      </c>
      <c r="T82" s="78" t="str">
        <f t="shared" si="12"/>
        <v/>
      </c>
      <c r="U82" s="78" t="str">
        <f t="shared" si="18"/>
        <v/>
      </c>
      <c r="V82" s="78">
        <f>IFERROR(I82+O82, "")</f>
        <v>485.83333333333331</v>
      </c>
      <c r="W82" s="78">
        <f t="shared" si="19"/>
        <v>635</v>
      </c>
      <c r="X82" s="78">
        <f t="shared" si="20"/>
        <v>178.32499999999999</v>
      </c>
      <c r="Y82" s="78">
        <f t="shared" si="21"/>
        <v>227.55</v>
      </c>
      <c r="AA82" s="88" t="str">
        <f t="shared" si="22"/>
        <v/>
      </c>
      <c r="AB82" s="77" t="str">
        <f t="shared" si="13"/>
        <v/>
      </c>
      <c r="AD82" s="88" t="str">
        <f t="shared" si="23"/>
        <v/>
      </c>
      <c r="AE82" s="77" t="str">
        <f t="shared" si="14"/>
        <v/>
      </c>
    </row>
    <row r="83" spans="2:31" x14ac:dyDescent="0.35">
      <c r="B83" s="2">
        <v>2008</v>
      </c>
      <c r="C83" s="2">
        <v>4</v>
      </c>
      <c r="D83" s="2">
        <v>10</v>
      </c>
      <c r="E83" s="78" t="str">
        <f>'CRU historical'!F82</f>
        <v xml:space="preserve"> </v>
      </c>
      <c r="F83" s="78">
        <f>'CRU historical'!I82</f>
        <v>271</v>
      </c>
      <c r="G83" s="78" t="str">
        <f>'CRU historical'!L82</f>
        <v xml:space="preserve"> </v>
      </c>
      <c r="H83" s="78" t="str">
        <f>'CRU historical'!O82</f>
        <v xml:space="preserve"> </v>
      </c>
      <c r="I83" s="78">
        <f>'CRU historical'!R82</f>
        <v>160.6</v>
      </c>
      <c r="J83" s="78">
        <f>AVERAGE('CRU historical'!U82, 'CRU historical'!X82, 'CRU historical'!AA82, 'CRU historical'!AD82)</f>
        <v>335</v>
      </c>
      <c r="L83" s="78" cm="1">
        <f t="array" ref="L83">IFERROR(SUMPRODUCT(('Sulphuric Acid freights'!$B$3:$B$513=B83)*('Sulphuric Acid freights'!$D$3:$D$513=D83)*('Sulphuric Acid freights'!$P$3:$P$513))/SUMPRODUCT(('Sulphuric Acid freights'!$B$3:$B$513=B83)*('Sulphuric Acid freights'!$D$3:$D$513=D83)*1), AVERAGE('Sulphuric Acid freights'!$P$3:$P$513))*2/3</f>
        <v>54.110671936758898</v>
      </c>
      <c r="M83" s="78" cm="1">
        <f t="array" ref="M83">IFERROR(SUMPRODUCT(('Sulphuric Acid freights'!$B$3:$B$513=B83)*('Sulphuric Acid freights'!$D$3:$D$513=D83)*('Sulphuric Acid freights'!$M$3:$M$513))/SUMPRODUCT(('Sulphuric Acid freights'!$B$3:$B$513=B83)*('Sulphuric Acid freights'!$D$3:$D$513=D83)*1)*2/3, AVERAGE('Sulphuric Acid freights'!$M$3:$M$513))</f>
        <v>23.573122529644269</v>
      </c>
      <c r="N83" s="78">
        <f t="shared" si="15"/>
        <v>48.699604743083007</v>
      </c>
      <c r="O83" s="78" cm="1">
        <f t="array" ref="O83">IF(SUMPRODUCT(('Sulphur freight'!$B$3:$B$1976=B83)*('Sulphur freight'!$D$3:$D$1976=D83)*('Sulphur freight'!$G$3:$G$1976))/SUMPRODUCT(('Sulphur freight'!$B$3:$B$1976=B83)*('Sulphur freight'!$D$3:$D$1976=D83)*1)=0, AVERAGE('Sulphur freight'!$G$3:$G$1976),SUMPRODUCT(('Sulphur freight'!$B$3:$B$1976=B83)*('Sulphur freight'!$D$3:$D$1976=D83)*('Sulphur freight'!$G$3:$G$1976))/SUMPRODUCT(('Sulphur freight'!$B$3:$B$1976=B83)*('Sulphur freight'!$D$3:$D$1976=D83)*1))</f>
        <v>24.4</v>
      </c>
      <c r="P83" s="78">
        <v>20</v>
      </c>
      <c r="R83" s="78" t="str">
        <f t="shared" si="16"/>
        <v xml:space="preserve"> </v>
      </c>
      <c r="S83" s="78">
        <f t="shared" si="17"/>
        <v>294.57312252964425</v>
      </c>
      <c r="T83" s="78" t="str">
        <f t="shared" si="12"/>
        <v/>
      </c>
      <c r="U83" s="78" t="str">
        <f t="shared" si="18"/>
        <v/>
      </c>
      <c r="V83" s="78">
        <f>IFERROR(I83+O83, "")</f>
        <v>185</v>
      </c>
      <c r="W83" s="78">
        <f t="shared" si="19"/>
        <v>355</v>
      </c>
      <c r="X83" s="78">
        <f t="shared" si="20"/>
        <v>79.050000000000011</v>
      </c>
      <c r="Y83" s="78">
        <f t="shared" si="21"/>
        <v>135.15</v>
      </c>
      <c r="AA83" s="88" t="str">
        <f t="shared" si="22"/>
        <v/>
      </c>
      <c r="AB83" s="77" t="str">
        <f t="shared" si="13"/>
        <v/>
      </c>
      <c r="AD83" s="88" t="str">
        <f t="shared" si="23"/>
        <v/>
      </c>
      <c r="AE83" s="77" t="str">
        <f t="shared" si="14"/>
        <v/>
      </c>
    </row>
    <row r="84" spans="2:31" x14ac:dyDescent="0.35">
      <c r="B84" s="2">
        <v>2008</v>
      </c>
      <c r="C84" s="2">
        <v>4</v>
      </c>
      <c r="D84" s="2">
        <v>11</v>
      </c>
      <c r="E84" s="78" t="str">
        <f>'CRU historical'!F83</f>
        <v xml:space="preserve"> </v>
      </c>
      <c r="F84" s="78">
        <f>'CRU historical'!I83</f>
        <v>255</v>
      </c>
      <c r="G84" s="78" t="str">
        <f>'CRU historical'!L83</f>
        <v xml:space="preserve"> </v>
      </c>
      <c r="H84" s="78" t="str">
        <f>'CRU historical'!O83</f>
        <v xml:space="preserve"> </v>
      </c>
      <c r="I84" s="78">
        <f>'CRU historical'!R83</f>
        <v>47.75</v>
      </c>
      <c r="J84" s="78">
        <f>AVERAGE('CRU historical'!U83, 'CRU historical'!X83, 'CRU historical'!AA83, 'CRU historical'!AD83)</f>
        <v>207.5</v>
      </c>
      <c r="L84" s="78" cm="1">
        <f t="array" ref="L84">IFERROR(SUMPRODUCT(('Sulphuric Acid freights'!$B$3:$B$513=B84)*('Sulphuric Acid freights'!$D$3:$D$513=D84)*('Sulphuric Acid freights'!$P$3:$P$513))/SUMPRODUCT(('Sulphuric Acid freights'!$B$3:$B$513=B84)*('Sulphuric Acid freights'!$D$3:$D$513=D84)*1), AVERAGE('Sulphuric Acid freights'!$P$3:$P$513))*2/3</f>
        <v>54.110671936758898</v>
      </c>
      <c r="M84" s="78" cm="1">
        <f t="array" ref="M84">IFERROR(SUMPRODUCT(('Sulphuric Acid freights'!$B$3:$B$513=B84)*('Sulphuric Acid freights'!$D$3:$D$513=D84)*('Sulphuric Acid freights'!$M$3:$M$513))/SUMPRODUCT(('Sulphuric Acid freights'!$B$3:$B$513=B84)*('Sulphuric Acid freights'!$D$3:$D$513=D84)*1)*2/3, AVERAGE('Sulphuric Acid freights'!$M$3:$M$513))</f>
        <v>23.573122529644269</v>
      </c>
      <c r="N84" s="78">
        <f t="shared" si="15"/>
        <v>48.699604743083007</v>
      </c>
      <c r="O84" s="78" cm="1">
        <f t="array" ref="O84">IF(SUMPRODUCT(('Sulphur freight'!$B$3:$B$1976=B84)*('Sulphur freight'!$D$3:$D$1976=D84)*('Sulphur freight'!$G$3:$G$1976))/SUMPRODUCT(('Sulphur freight'!$B$3:$B$1976=B84)*('Sulphur freight'!$D$3:$D$1976=D84)*1)=0, AVERAGE('Sulphur freight'!$G$3:$G$1976),SUMPRODUCT(('Sulphur freight'!$B$3:$B$1976=B84)*('Sulphur freight'!$D$3:$D$1976=D84)*('Sulphur freight'!$G$3:$G$1976))/SUMPRODUCT(('Sulphur freight'!$B$3:$B$1976=B84)*('Sulphur freight'!$D$3:$D$1976=D84)*1))</f>
        <v>15.5</v>
      </c>
      <c r="P84" s="78">
        <v>20</v>
      </c>
      <c r="R84" s="78" t="str">
        <f t="shared" si="16"/>
        <v xml:space="preserve"> </v>
      </c>
      <c r="S84" s="78">
        <f t="shared" si="17"/>
        <v>278.57312252964425</v>
      </c>
      <c r="T84" s="78" t="str">
        <f t="shared" si="12"/>
        <v/>
      </c>
      <c r="U84" s="78" t="str">
        <f t="shared" si="18"/>
        <v/>
      </c>
      <c r="V84" s="78">
        <f>IFERROR(I84+O84, "")</f>
        <v>63.25</v>
      </c>
      <c r="W84" s="78">
        <f t="shared" si="19"/>
        <v>227.5</v>
      </c>
      <c r="X84" s="78">
        <f t="shared" si="20"/>
        <v>38.872500000000002</v>
      </c>
      <c r="Y84" s="78">
        <f t="shared" si="21"/>
        <v>93.075000000000003</v>
      </c>
      <c r="AA84" s="88" t="str">
        <f t="shared" si="22"/>
        <v/>
      </c>
      <c r="AB84" s="77" t="str">
        <f t="shared" si="13"/>
        <v/>
      </c>
      <c r="AD84" s="88" t="str">
        <f t="shared" si="23"/>
        <v/>
      </c>
      <c r="AE84" s="77" t="str">
        <f t="shared" si="14"/>
        <v/>
      </c>
    </row>
    <row r="85" spans="2:31" x14ac:dyDescent="0.35">
      <c r="B85" s="2">
        <v>2008</v>
      </c>
      <c r="C85" s="2">
        <v>4</v>
      </c>
      <c r="D85" s="2">
        <v>12</v>
      </c>
      <c r="E85" s="78" t="str">
        <f>'CRU historical'!F84</f>
        <v xml:space="preserve"> </v>
      </c>
      <c r="F85" s="78">
        <f>'CRU historical'!I84</f>
        <v>35</v>
      </c>
      <c r="G85" s="78" t="str">
        <f>'CRU historical'!L84</f>
        <v xml:space="preserve"> </v>
      </c>
      <c r="H85" s="78" t="str">
        <f>'CRU historical'!O84</f>
        <v xml:space="preserve"> </v>
      </c>
      <c r="I85" s="78">
        <f>'CRU historical'!R84</f>
        <v>53.666666666666664</v>
      </c>
      <c r="J85" s="78">
        <f>AVERAGE('CRU historical'!U84, 'CRU historical'!X84, 'CRU historical'!AA84, 'CRU historical'!AD84)</f>
        <v>200.83333333333334</v>
      </c>
      <c r="L85" s="78" cm="1">
        <f t="array" ref="L85">IFERROR(SUMPRODUCT(('Sulphuric Acid freights'!$B$3:$B$513=B85)*('Sulphuric Acid freights'!$D$3:$D$513=D85)*('Sulphuric Acid freights'!$P$3:$P$513))/SUMPRODUCT(('Sulphuric Acid freights'!$B$3:$B$513=B85)*('Sulphuric Acid freights'!$D$3:$D$513=D85)*1), AVERAGE('Sulphuric Acid freights'!$P$3:$P$513))*2/3</f>
        <v>54.110671936758898</v>
      </c>
      <c r="M85" s="78" cm="1">
        <f t="array" ref="M85">IFERROR(SUMPRODUCT(('Sulphuric Acid freights'!$B$3:$B$513=B85)*('Sulphuric Acid freights'!$D$3:$D$513=D85)*('Sulphuric Acid freights'!$M$3:$M$513))/SUMPRODUCT(('Sulphuric Acid freights'!$B$3:$B$513=B85)*('Sulphuric Acid freights'!$D$3:$D$513=D85)*1)*2/3, AVERAGE('Sulphuric Acid freights'!$M$3:$M$513))</f>
        <v>23.573122529644269</v>
      </c>
      <c r="N85" s="78">
        <f t="shared" si="15"/>
        <v>48.699604743083007</v>
      </c>
      <c r="O85" s="78" cm="1">
        <f t="array" ref="O85">IF(SUMPRODUCT(('Sulphur freight'!$B$3:$B$1976=B85)*('Sulphur freight'!$D$3:$D$1976=D85)*('Sulphur freight'!$G$3:$G$1976))/SUMPRODUCT(('Sulphur freight'!$B$3:$B$1976=B85)*('Sulphur freight'!$D$3:$D$1976=D85)*1)=0, AVERAGE('Sulphur freight'!$G$3:$G$1976),SUMPRODUCT(('Sulphur freight'!$B$3:$B$1976=B85)*('Sulphur freight'!$D$3:$D$1976=D85)*('Sulphur freight'!$G$3:$G$1976))/SUMPRODUCT(('Sulphur freight'!$B$3:$B$1976=B85)*('Sulphur freight'!$D$3:$D$1976=D85)*1))</f>
        <v>15</v>
      </c>
      <c r="P85" s="78">
        <v>20</v>
      </c>
      <c r="R85" s="78" t="str">
        <f t="shared" si="16"/>
        <v xml:space="preserve"> </v>
      </c>
      <c r="S85" s="78">
        <f t="shared" si="17"/>
        <v>58.573122529644266</v>
      </c>
      <c r="T85" s="78" t="str">
        <f t="shared" si="12"/>
        <v/>
      </c>
      <c r="U85" s="78" t="str">
        <f t="shared" si="18"/>
        <v/>
      </c>
      <c r="V85" s="78">
        <f>IFERROR(I85+O85, "")</f>
        <v>68.666666666666657</v>
      </c>
      <c r="W85" s="78">
        <f t="shared" si="19"/>
        <v>220.83333333333334</v>
      </c>
      <c r="X85" s="78">
        <f t="shared" si="20"/>
        <v>40.659999999999997</v>
      </c>
      <c r="Y85" s="78">
        <f t="shared" si="21"/>
        <v>90.875</v>
      </c>
      <c r="AA85" s="88" t="str">
        <f t="shared" si="22"/>
        <v/>
      </c>
      <c r="AB85" s="77" t="str">
        <f t="shared" si="13"/>
        <v/>
      </c>
      <c r="AD85" s="88" t="str">
        <f t="shared" si="23"/>
        <v/>
      </c>
      <c r="AE85" s="77" t="str">
        <f t="shared" si="14"/>
        <v/>
      </c>
    </row>
    <row r="86" spans="2:31" x14ac:dyDescent="0.35">
      <c r="B86" s="2">
        <v>2009</v>
      </c>
      <c r="C86" s="2">
        <v>1</v>
      </c>
      <c r="D86" s="2">
        <v>1</v>
      </c>
      <c r="E86" s="78" t="str">
        <f>'CRU historical'!F85</f>
        <v xml:space="preserve"> </v>
      </c>
      <c r="F86" s="78">
        <f>'CRU historical'!I85</f>
        <v>35</v>
      </c>
      <c r="G86" s="78" t="str">
        <f>'CRU historical'!L85</f>
        <v xml:space="preserve"> </v>
      </c>
      <c r="H86" s="78" t="str">
        <f>'CRU historical'!O85</f>
        <v xml:space="preserve"> </v>
      </c>
      <c r="I86" s="78">
        <f>'CRU historical'!R85</f>
        <v>45.8</v>
      </c>
      <c r="J86" s="78">
        <f>AVERAGE('CRU historical'!U85, 'CRU historical'!X85, 'CRU historical'!AA85, 'CRU historical'!AD85)</f>
        <v>187.5</v>
      </c>
      <c r="L86" s="78" cm="1">
        <f t="array" ref="L86">IFERROR(SUMPRODUCT(('Sulphuric Acid freights'!$B$3:$B$513=B86)*('Sulphuric Acid freights'!$D$3:$D$513=D86)*('Sulphuric Acid freights'!$P$3:$P$513))/SUMPRODUCT(('Sulphuric Acid freights'!$B$3:$B$513=B86)*('Sulphuric Acid freights'!$D$3:$D$513=D86)*1), AVERAGE('Sulphuric Acid freights'!$P$3:$P$513))*2/3</f>
        <v>54.110671936758898</v>
      </c>
      <c r="M86" s="78" cm="1">
        <f t="array" ref="M86">IFERROR(SUMPRODUCT(('Sulphuric Acid freights'!$B$3:$B$513=B86)*('Sulphuric Acid freights'!$D$3:$D$513=D86)*('Sulphuric Acid freights'!$M$3:$M$513))/SUMPRODUCT(('Sulphuric Acid freights'!$B$3:$B$513=B86)*('Sulphuric Acid freights'!$D$3:$D$513=D86)*1)*2/3, AVERAGE('Sulphuric Acid freights'!$M$3:$M$513))</f>
        <v>23.573122529644269</v>
      </c>
      <c r="N86" s="78">
        <f t="shared" si="15"/>
        <v>48.699604743083007</v>
      </c>
      <c r="O86" s="78" cm="1">
        <f t="array" ref="O86">IF(SUMPRODUCT(('Sulphur freight'!$B$3:$B$1976=B86)*('Sulphur freight'!$D$3:$D$1976=D86)*('Sulphur freight'!$G$3:$G$1976))/SUMPRODUCT(('Sulphur freight'!$B$3:$B$1976=B86)*('Sulphur freight'!$D$3:$D$1976=D86)*1)=0, AVERAGE('Sulphur freight'!$G$3:$G$1976),SUMPRODUCT(('Sulphur freight'!$B$3:$B$1976=B86)*('Sulphur freight'!$D$3:$D$1976=D86)*('Sulphur freight'!$G$3:$G$1976))/SUMPRODUCT(('Sulphur freight'!$B$3:$B$1976=B86)*('Sulphur freight'!$D$3:$D$1976=D86)*1))</f>
        <v>16.8</v>
      </c>
      <c r="P86" s="78">
        <v>20</v>
      </c>
      <c r="R86" s="78" t="str">
        <f t="shared" si="16"/>
        <v xml:space="preserve"> </v>
      </c>
      <c r="S86" s="78">
        <f t="shared" si="17"/>
        <v>58.573122529644266</v>
      </c>
      <c r="T86" s="78" t="str">
        <f t="shared" si="12"/>
        <v/>
      </c>
      <c r="U86" s="78" t="str">
        <f t="shared" si="18"/>
        <v/>
      </c>
      <c r="V86" s="78">
        <f>IFERROR(I86+O86, "")</f>
        <v>62.599999999999994</v>
      </c>
      <c r="W86" s="78">
        <f t="shared" si="19"/>
        <v>207.5</v>
      </c>
      <c r="X86" s="78">
        <f t="shared" si="20"/>
        <v>38.658000000000001</v>
      </c>
      <c r="Y86" s="78">
        <f t="shared" si="21"/>
        <v>86.475000000000009</v>
      </c>
      <c r="AA86" s="88" t="str">
        <f t="shared" si="22"/>
        <v/>
      </c>
      <c r="AB86" s="77" t="str">
        <f t="shared" si="13"/>
        <v/>
      </c>
      <c r="AD86" s="88" t="str">
        <f t="shared" si="23"/>
        <v/>
      </c>
      <c r="AE86" s="77" t="str">
        <f t="shared" si="14"/>
        <v/>
      </c>
    </row>
    <row r="87" spans="2:31" x14ac:dyDescent="0.35">
      <c r="B87" s="2">
        <v>2009</v>
      </c>
      <c r="C87" s="2">
        <v>1</v>
      </c>
      <c r="D87" s="2">
        <v>2</v>
      </c>
      <c r="E87" s="78" t="str">
        <f>'CRU historical'!F86</f>
        <v xml:space="preserve"> </v>
      </c>
      <c r="F87" s="78">
        <f>'CRU historical'!I86</f>
        <v>23.75</v>
      </c>
      <c r="G87" s="78" t="str">
        <f>'CRU historical'!L86</f>
        <v xml:space="preserve"> </v>
      </c>
      <c r="H87" s="78" t="str">
        <f>'CRU historical'!O86</f>
        <v xml:space="preserve"> </v>
      </c>
      <c r="I87" s="78">
        <f>'CRU historical'!R86</f>
        <v>49.5</v>
      </c>
      <c r="J87" s="78">
        <f>AVERAGE('CRU historical'!U86, 'CRU historical'!X86, 'CRU historical'!AA86, 'CRU historical'!AD86)</f>
        <v>27.5</v>
      </c>
      <c r="L87" s="78" cm="1">
        <f t="array" ref="L87">IFERROR(SUMPRODUCT(('Sulphuric Acid freights'!$B$3:$B$513=B87)*('Sulphuric Acid freights'!$D$3:$D$513=D87)*('Sulphuric Acid freights'!$P$3:$P$513))/SUMPRODUCT(('Sulphuric Acid freights'!$B$3:$B$513=B87)*('Sulphuric Acid freights'!$D$3:$D$513=D87)*1), AVERAGE('Sulphuric Acid freights'!$P$3:$P$513))*2/3</f>
        <v>54.110671936758898</v>
      </c>
      <c r="M87" s="78" cm="1">
        <f t="array" ref="M87">IFERROR(SUMPRODUCT(('Sulphuric Acid freights'!$B$3:$B$513=B87)*('Sulphuric Acid freights'!$D$3:$D$513=D87)*('Sulphuric Acid freights'!$M$3:$M$513))/SUMPRODUCT(('Sulphuric Acid freights'!$B$3:$B$513=B87)*('Sulphuric Acid freights'!$D$3:$D$513=D87)*1)*2/3, AVERAGE('Sulphuric Acid freights'!$M$3:$M$513))</f>
        <v>23.573122529644269</v>
      </c>
      <c r="N87" s="78">
        <f t="shared" si="15"/>
        <v>48.699604743083007</v>
      </c>
      <c r="O87" s="78" cm="1">
        <f t="array" ref="O87">IF(SUMPRODUCT(('Sulphur freight'!$B$3:$B$1976=B87)*('Sulphur freight'!$D$3:$D$1976=D87)*('Sulphur freight'!$G$3:$G$1976))/SUMPRODUCT(('Sulphur freight'!$B$3:$B$1976=B87)*('Sulphur freight'!$D$3:$D$1976=D87)*1)=0, AVERAGE('Sulphur freight'!$G$3:$G$1976),SUMPRODUCT(('Sulphur freight'!$B$3:$B$1976=B87)*('Sulphur freight'!$D$3:$D$1976=D87)*('Sulphur freight'!$G$3:$G$1976))/SUMPRODUCT(('Sulphur freight'!$B$3:$B$1976=B87)*('Sulphur freight'!$D$3:$D$1976=D87)*1))</f>
        <v>19.5</v>
      </c>
      <c r="P87" s="78">
        <v>20</v>
      </c>
      <c r="R87" s="78" t="str">
        <f t="shared" si="16"/>
        <v xml:space="preserve"> </v>
      </c>
      <c r="S87" s="78">
        <f t="shared" si="17"/>
        <v>47.323122529644266</v>
      </c>
      <c r="T87" s="78" t="str">
        <f t="shared" si="12"/>
        <v/>
      </c>
      <c r="U87" s="78" t="str">
        <f t="shared" si="18"/>
        <v/>
      </c>
      <c r="V87" s="78">
        <f>IFERROR(I87+O87, "")</f>
        <v>69</v>
      </c>
      <c r="W87" s="78">
        <f t="shared" si="19"/>
        <v>47.5</v>
      </c>
      <c r="X87" s="78">
        <f t="shared" si="20"/>
        <v>40.769999999999996</v>
      </c>
      <c r="Y87" s="78">
        <f t="shared" si="21"/>
        <v>33.674999999999997</v>
      </c>
      <c r="AA87" s="88" t="str">
        <f t="shared" si="22"/>
        <v/>
      </c>
      <c r="AB87" s="77" t="str">
        <f t="shared" si="13"/>
        <v/>
      </c>
      <c r="AD87" s="88" t="str">
        <f t="shared" si="23"/>
        <v/>
      </c>
      <c r="AE87" s="77" t="str">
        <f t="shared" si="14"/>
        <v/>
      </c>
    </row>
    <row r="88" spans="2:31" x14ac:dyDescent="0.35">
      <c r="B88" s="2">
        <v>2009</v>
      </c>
      <c r="C88" s="2">
        <v>1</v>
      </c>
      <c r="D88" s="2">
        <v>3</v>
      </c>
      <c r="E88" s="78" t="str">
        <f>'CRU historical'!F87</f>
        <v xml:space="preserve"> </v>
      </c>
      <c r="F88" s="78">
        <f>'CRU historical'!I87</f>
        <v>10</v>
      </c>
      <c r="G88" s="78" t="str">
        <f>'CRU historical'!L87</f>
        <v xml:space="preserve"> </v>
      </c>
      <c r="H88" s="78" t="str">
        <f>'CRU historical'!O87</f>
        <v xml:space="preserve"> </v>
      </c>
      <c r="I88" s="78">
        <f>'CRU historical'!R87</f>
        <v>48.25</v>
      </c>
      <c r="J88" s="78">
        <f>AVERAGE('CRU historical'!U87, 'CRU historical'!X87, 'CRU historical'!AA87, 'CRU historical'!AD87)</f>
        <v>34</v>
      </c>
      <c r="L88" s="78" cm="1">
        <f t="array" ref="L88">IFERROR(SUMPRODUCT(('Sulphuric Acid freights'!$B$3:$B$513=B88)*('Sulphuric Acid freights'!$D$3:$D$513=D88)*('Sulphuric Acid freights'!$P$3:$P$513))/SUMPRODUCT(('Sulphuric Acid freights'!$B$3:$B$513=B88)*('Sulphuric Acid freights'!$D$3:$D$513=D88)*1), AVERAGE('Sulphuric Acid freights'!$P$3:$P$513))*2/3</f>
        <v>54.110671936758898</v>
      </c>
      <c r="M88" s="78" cm="1">
        <f t="array" ref="M88">IFERROR(SUMPRODUCT(('Sulphuric Acid freights'!$B$3:$B$513=B88)*('Sulphuric Acid freights'!$D$3:$D$513=D88)*('Sulphuric Acid freights'!$M$3:$M$513))/SUMPRODUCT(('Sulphuric Acid freights'!$B$3:$B$513=B88)*('Sulphuric Acid freights'!$D$3:$D$513=D88)*1)*2/3, AVERAGE('Sulphuric Acid freights'!$M$3:$M$513))</f>
        <v>23.573122529644269</v>
      </c>
      <c r="N88" s="78">
        <f t="shared" si="15"/>
        <v>48.699604743083007</v>
      </c>
      <c r="O88" s="78" cm="1">
        <f t="array" ref="O88">IF(SUMPRODUCT(('Sulphur freight'!$B$3:$B$1976=B88)*('Sulphur freight'!$D$3:$D$1976=D88)*('Sulphur freight'!$G$3:$G$1976))/SUMPRODUCT(('Sulphur freight'!$B$3:$B$1976=B88)*('Sulphur freight'!$D$3:$D$1976=D88)*1)=0, AVERAGE('Sulphur freight'!$G$3:$G$1976),SUMPRODUCT(('Sulphur freight'!$B$3:$B$1976=B88)*('Sulphur freight'!$D$3:$D$1976=D88)*('Sulphur freight'!$G$3:$G$1976))/SUMPRODUCT(('Sulphur freight'!$B$3:$B$1976=B88)*('Sulphur freight'!$D$3:$D$1976=D88)*1))</f>
        <v>19</v>
      </c>
      <c r="P88" s="78">
        <v>20</v>
      </c>
      <c r="R88" s="78" t="str">
        <f t="shared" si="16"/>
        <v xml:space="preserve"> </v>
      </c>
      <c r="S88" s="78">
        <f t="shared" si="17"/>
        <v>33.573122529644266</v>
      </c>
      <c r="T88" s="78" t="str">
        <f t="shared" si="12"/>
        <v/>
      </c>
      <c r="U88" s="78" t="str">
        <f t="shared" si="18"/>
        <v/>
      </c>
      <c r="V88" s="78">
        <f>IFERROR(I88+O88, "")</f>
        <v>67.25</v>
      </c>
      <c r="W88" s="78">
        <f t="shared" si="19"/>
        <v>54</v>
      </c>
      <c r="X88" s="78">
        <f t="shared" si="20"/>
        <v>40.192500000000003</v>
      </c>
      <c r="Y88" s="78">
        <f t="shared" si="21"/>
        <v>35.82</v>
      </c>
      <c r="AA88" s="88" t="str">
        <f t="shared" si="22"/>
        <v/>
      </c>
      <c r="AB88" s="77" t="str">
        <f t="shared" si="13"/>
        <v/>
      </c>
      <c r="AD88" s="88" t="str">
        <f t="shared" si="23"/>
        <v/>
      </c>
      <c r="AE88" s="77" t="str">
        <f t="shared" si="14"/>
        <v/>
      </c>
    </row>
    <row r="89" spans="2:31" x14ac:dyDescent="0.35">
      <c r="B89" s="2">
        <v>2009</v>
      </c>
      <c r="C89" s="2">
        <v>2</v>
      </c>
      <c r="D89" s="2">
        <v>4</v>
      </c>
      <c r="E89" s="78" t="str">
        <f>'CRU historical'!F88</f>
        <v xml:space="preserve"> </v>
      </c>
      <c r="F89" s="78">
        <f>'CRU historical'!I88</f>
        <v>8</v>
      </c>
      <c r="G89" s="78" t="str">
        <f>'CRU historical'!L88</f>
        <v xml:space="preserve"> </v>
      </c>
      <c r="H89" s="78" t="str">
        <f>'CRU historical'!O88</f>
        <v xml:space="preserve"> </v>
      </c>
      <c r="I89" s="78">
        <f>'CRU historical'!R88</f>
        <v>52.2</v>
      </c>
      <c r="J89" s="78">
        <f>AVERAGE('CRU historical'!U88, 'CRU historical'!X88, 'CRU historical'!AA88, 'CRU historical'!AD88)</f>
        <v>35.5</v>
      </c>
      <c r="L89" s="78" cm="1">
        <f t="array" ref="L89">IFERROR(SUMPRODUCT(('Sulphuric Acid freights'!$B$3:$B$513=B89)*('Sulphuric Acid freights'!$D$3:$D$513=D89)*('Sulphuric Acid freights'!$P$3:$P$513))/SUMPRODUCT(('Sulphuric Acid freights'!$B$3:$B$513=B89)*('Sulphuric Acid freights'!$D$3:$D$513=D89)*1), AVERAGE('Sulphuric Acid freights'!$P$3:$P$513))*2/3</f>
        <v>54.110671936758898</v>
      </c>
      <c r="M89" s="78" cm="1">
        <f t="array" ref="M89">IFERROR(SUMPRODUCT(('Sulphuric Acid freights'!$B$3:$B$513=B89)*('Sulphuric Acid freights'!$D$3:$D$513=D89)*('Sulphuric Acid freights'!$M$3:$M$513))/SUMPRODUCT(('Sulphuric Acid freights'!$B$3:$B$513=B89)*('Sulphuric Acid freights'!$D$3:$D$513=D89)*1)*2/3, AVERAGE('Sulphuric Acid freights'!$M$3:$M$513))</f>
        <v>23.573122529644269</v>
      </c>
      <c r="N89" s="78">
        <f t="shared" si="15"/>
        <v>48.699604743083007</v>
      </c>
      <c r="O89" s="78" cm="1">
        <f t="array" ref="O89">IF(SUMPRODUCT(('Sulphur freight'!$B$3:$B$1976=B89)*('Sulphur freight'!$D$3:$D$1976=D89)*('Sulphur freight'!$G$3:$G$1976))/SUMPRODUCT(('Sulphur freight'!$B$3:$B$1976=B89)*('Sulphur freight'!$D$3:$D$1976=D89)*1)=0, AVERAGE('Sulphur freight'!$G$3:$G$1976),SUMPRODUCT(('Sulphur freight'!$B$3:$B$1976=B89)*('Sulphur freight'!$D$3:$D$1976=D89)*('Sulphur freight'!$G$3:$G$1976))/SUMPRODUCT(('Sulphur freight'!$B$3:$B$1976=B89)*('Sulphur freight'!$D$3:$D$1976=D89)*1))</f>
        <v>14.8</v>
      </c>
      <c r="P89" s="78">
        <v>20</v>
      </c>
      <c r="R89" s="78" t="str">
        <f t="shared" si="16"/>
        <v xml:space="preserve"> </v>
      </c>
      <c r="S89" s="78">
        <f t="shared" si="17"/>
        <v>31.573122529644269</v>
      </c>
      <c r="T89" s="78" t="str">
        <f t="shared" si="12"/>
        <v/>
      </c>
      <c r="U89" s="78" t="str">
        <f t="shared" si="18"/>
        <v/>
      </c>
      <c r="V89" s="78">
        <f>IFERROR(I89+O89, "")</f>
        <v>67</v>
      </c>
      <c r="W89" s="78">
        <f t="shared" si="19"/>
        <v>55.5</v>
      </c>
      <c r="X89" s="78">
        <f t="shared" si="20"/>
        <v>40.11</v>
      </c>
      <c r="Y89" s="78">
        <f t="shared" si="21"/>
        <v>36.314999999999998</v>
      </c>
      <c r="AA89" s="88" t="str">
        <f t="shared" si="22"/>
        <v/>
      </c>
      <c r="AB89" s="77" t="str">
        <f t="shared" si="13"/>
        <v/>
      </c>
      <c r="AD89" s="88" t="str">
        <f t="shared" si="23"/>
        <v/>
      </c>
      <c r="AE89" s="77" t="str">
        <f t="shared" si="14"/>
        <v/>
      </c>
    </row>
    <row r="90" spans="2:31" x14ac:dyDescent="0.35">
      <c r="B90" s="2">
        <v>2009</v>
      </c>
      <c r="C90" s="2">
        <v>2</v>
      </c>
      <c r="D90" s="2">
        <v>5</v>
      </c>
      <c r="E90" s="78" t="str">
        <f>'CRU historical'!F89</f>
        <v xml:space="preserve"> </v>
      </c>
      <c r="F90" s="78">
        <f>'CRU historical'!I89</f>
        <v>8</v>
      </c>
      <c r="G90" s="78" t="str">
        <f>'CRU historical'!L89</f>
        <v xml:space="preserve"> </v>
      </c>
      <c r="H90" s="78" t="str">
        <f>'CRU historical'!O89</f>
        <v xml:space="preserve"> </v>
      </c>
      <c r="I90" s="78">
        <f>'CRU historical'!R89</f>
        <v>45</v>
      </c>
      <c r="J90" s="78">
        <f>AVERAGE('CRU historical'!U89, 'CRU historical'!X89, 'CRU historical'!AA89, 'CRU historical'!AD89)</f>
        <v>35.5</v>
      </c>
      <c r="L90" s="78" cm="1">
        <f t="array" ref="L90">IFERROR(SUMPRODUCT(('Sulphuric Acid freights'!$B$3:$B$513=B90)*('Sulphuric Acid freights'!$D$3:$D$513=D90)*('Sulphuric Acid freights'!$P$3:$P$513))/SUMPRODUCT(('Sulphuric Acid freights'!$B$3:$B$513=B90)*('Sulphuric Acid freights'!$D$3:$D$513=D90)*1), AVERAGE('Sulphuric Acid freights'!$P$3:$P$513))*2/3</f>
        <v>54.110671936758898</v>
      </c>
      <c r="M90" s="78" cm="1">
        <f t="array" ref="M90">IFERROR(SUMPRODUCT(('Sulphuric Acid freights'!$B$3:$B$513=B90)*('Sulphuric Acid freights'!$D$3:$D$513=D90)*('Sulphuric Acid freights'!$M$3:$M$513))/SUMPRODUCT(('Sulphuric Acid freights'!$B$3:$B$513=B90)*('Sulphuric Acid freights'!$D$3:$D$513=D90)*1)*2/3, AVERAGE('Sulphuric Acid freights'!$M$3:$M$513))</f>
        <v>23.573122529644269</v>
      </c>
      <c r="N90" s="78">
        <f t="shared" si="15"/>
        <v>48.699604743083007</v>
      </c>
      <c r="O90" s="78" cm="1">
        <f t="array" ref="O90">IF(SUMPRODUCT(('Sulphur freight'!$B$3:$B$1976=B90)*('Sulphur freight'!$D$3:$D$1976=D90)*('Sulphur freight'!$G$3:$G$1976))/SUMPRODUCT(('Sulphur freight'!$B$3:$B$1976=B90)*('Sulphur freight'!$D$3:$D$1976=D90)*1)=0, AVERAGE('Sulphur freight'!$G$3:$G$1976),SUMPRODUCT(('Sulphur freight'!$B$3:$B$1976=B90)*('Sulphur freight'!$D$3:$D$1976=D90)*('Sulphur freight'!$G$3:$G$1976))/SUMPRODUCT(('Sulphur freight'!$B$3:$B$1976=B90)*('Sulphur freight'!$D$3:$D$1976=D90)*1))</f>
        <v>16</v>
      </c>
      <c r="P90" s="78">
        <v>20</v>
      </c>
      <c r="R90" s="78" t="str">
        <f t="shared" si="16"/>
        <v xml:space="preserve"> </v>
      </c>
      <c r="S90" s="78">
        <f t="shared" si="17"/>
        <v>31.573122529644269</v>
      </c>
      <c r="T90" s="78" t="str">
        <f t="shared" si="12"/>
        <v/>
      </c>
      <c r="U90" s="78" t="str">
        <f t="shared" si="18"/>
        <v/>
      </c>
      <c r="V90" s="78">
        <f>IFERROR(I90+O90, "")</f>
        <v>61</v>
      </c>
      <c r="W90" s="78">
        <f t="shared" si="19"/>
        <v>55.5</v>
      </c>
      <c r="X90" s="78">
        <f t="shared" si="20"/>
        <v>38.130000000000003</v>
      </c>
      <c r="Y90" s="78">
        <f t="shared" si="21"/>
        <v>36.314999999999998</v>
      </c>
      <c r="AA90" s="88" t="str">
        <f t="shared" si="22"/>
        <v/>
      </c>
      <c r="AB90" s="77" t="str">
        <f t="shared" si="13"/>
        <v/>
      </c>
      <c r="AD90" s="88" t="str">
        <f t="shared" si="23"/>
        <v/>
      </c>
      <c r="AE90" s="77" t="str">
        <f t="shared" si="14"/>
        <v/>
      </c>
    </row>
    <row r="91" spans="2:31" x14ac:dyDescent="0.35">
      <c r="B91" s="2">
        <v>2009</v>
      </c>
      <c r="C91" s="2">
        <v>2</v>
      </c>
      <c r="D91" s="2">
        <v>6</v>
      </c>
      <c r="E91" s="78" t="str">
        <f>'CRU historical'!F90</f>
        <v xml:space="preserve"> </v>
      </c>
      <c r="F91" s="78">
        <f>'CRU historical'!I90</f>
        <v>4.75</v>
      </c>
      <c r="G91" s="78" t="str">
        <f>'CRU historical'!L90</f>
        <v xml:space="preserve"> </v>
      </c>
      <c r="H91" s="78" t="str">
        <f>'CRU historical'!O90</f>
        <v xml:space="preserve"> </v>
      </c>
      <c r="I91" s="78">
        <f>'CRU historical'!R90</f>
        <v>41.75</v>
      </c>
      <c r="J91" s="78">
        <f>AVERAGE('CRU historical'!U90, 'CRU historical'!X90, 'CRU historical'!AA90, 'CRU historical'!AD90)</f>
        <v>34.5</v>
      </c>
      <c r="L91" s="78" cm="1">
        <f t="array" ref="L91">IFERROR(SUMPRODUCT(('Sulphuric Acid freights'!$B$3:$B$513=B91)*('Sulphuric Acid freights'!$D$3:$D$513=D91)*('Sulphuric Acid freights'!$P$3:$P$513))/SUMPRODUCT(('Sulphuric Acid freights'!$B$3:$B$513=B91)*('Sulphuric Acid freights'!$D$3:$D$513=D91)*1), AVERAGE('Sulphuric Acid freights'!$P$3:$P$513))*2/3</f>
        <v>54.110671936758898</v>
      </c>
      <c r="M91" s="78" cm="1">
        <f t="array" ref="M91">IFERROR(SUMPRODUCT(('Sulphuric Acid freights'!$B$3:$B$513=B91)*('Sulphuric Acid freights'!$D$3:$D$513=D91)*('Sulphuric Acid freights'!$M$3:$M$513))/SUMPRODUCT(('Sulphuric Acid freights'!$B$3:$B$513=B91)*('Sulphuric Acid freights'!$D$3:$D$513=D91)*1)*2/3, AVERAGE('Sulphuric Acid freights'!$M$3:$M$513))</f>
        <v>23.573122529644269</v>
      </c>
      <c r="N91" s="78">
        <f t="shared" si="15"/>
        <v>48.699604743083007</v>
      </c>
      <c r="O91" s="78" cm="1">
        <f t="array" ref="O91">IF(SUMPRODUCT(('Sulphur freight'!$B$3:$B$1976=B91)*('Sulphur freight'!$D$3:$D$1976=D91)*('Sulphur freight'!$G$3:$G$1976))/SUMPRODUCT(('Sulphur freight'!$B$3:$B$1976=B91)*('Sulphur freight'!$D$3:$D$1976=D91)*1)=0, AVERAGE('Sulphur freight'!$G$3:$G$1976),SUMPRODUCT(('Sulphur freight'!$B$3:$B$1976=B91)*('Sulphur freight'!$D$3:$D$1976=D91)*('Sulphur freight'!$G$3:$G$1976))/SUMPRODUCT(('Sulphur freight'!$B$3:$B$1976=B91)*('Sulphur freight'!$D$3:$D$1976=D91)*1))</f>
        <v>22.75</v>
      </c>
      <c r="P91" s="78">
        <v>20</v>
      </c>
      <c r="R91" s="78" t="str">
        <f t="shared" si="16"/>
        <v xml:space="preserve"> </v>
      </c>
      <c r="S91" s="78">
        <f t="shared" si="17"/>
        <v>28.323122529644269</v>
      </c>
      <c r="T91" s="78" t="str">
        <f t="shared" si="12"/>
        <v/>
      </c>
      <c r="U91" s="78" t="str">
        <f t="shared" si="18"/>
        <v/>
      </c>
      <c r="V91" s="78">
        <f>IFERROR(I91+O91, "")</f>
        <v>64.5</v>
      </c>
      <c r="W91" s="78">
        <f t="shared" si="19"/>
        <v>54.5</v>
      </c>
      <c r="X91" s="78">
        <f t="shared" si="20"/>
        <v>39.284999999999997</v>
      </c>
      <c r="Y91" s="78">
        <f t="shared" si="21"/>
        <v>35.984999999999999</v>
      </c>
      <c r="AA91" s="88" t="str">
        <f t="shared" si="22"/>
        <v/>
      </c>
      <c r="AB91" s="77" t="str">
        <f t="shared" si="13"/>
        <v/>
      </c>
      <c r="AD91" s="88" t="str">
        <f t="shared" si="23"/>
        <v/>
      </c>
      <c r="AE91" s="77" t="str">
        <f t="shared" si="14"/>
        <v/>
      </c>
    </row>
    <row r="92" spans="2:31" x14ac:dyDescent="0.35">
      <c r="B92" s="2">
        <v>2009</v>
      </c>
      <c r="C92" s="2">
        <v>3</v>
      </c>
      <c r="D92" s="2">
        <v>7</v>
      </c>
      <c r="E92" s="78" t="str">
        <f>'CRU historical'!F91</f>
        <v xml:space="preserve"> </v>
      </c>
      <c r="F92" s="78">
        <f>'CRU historical'!I91</f>
        <v>-5</v>
      </c>
      <c r="G92" s="78" t="str">
        <f>'CRU historical'!L91</f>
        <v xml:space="preserve"> </v>
      </c>
      <c r="H92" s="78" t="str">
        <f>'CRU historical'!O91</f>
        <v xml:space="preserve"> </v>
      </c>
      <c r="I92" s="78">
        <f>'CRU historical'!R91</f>
        <v>33</v>
      </c>
      <c r="J92" s="78">
        <f>AVERAGE('CRU historical'!U91, 'CRU historical'!X91, 'CRU historical'!AA91, 'CRU historical'!AD91)</f>
        <v>36.9</v>
      </c>
      <c r="L92" s="78" cm="1">
        <f t="array" ref="L92">IFERROR(SUMPRODUCT(('Sulphuric Acid freights'!$B$3:$B$513=B92)*('Sulphuric Acid freights'!$D$3:$D$513=D92)*('Sulphuric Acid freights'!$P$3:$P$513))/SUMPRODUCT(('Sulphuric Acid freights'!$B$3:$B$513=B92)*('Sulphuric Acid freights'!$D$3:$D$513=D92)*1), AVERAGE('Sulphuric Acid freights'!$P$3:$P$513))*2/3</f>
        <v>54.110671936758898</v>
      </c>
      <c r="M92" s="78" cm="1">
        <f t="array" ref="M92">IFERROR(SUMPRODUCT(('Sulphuric Acid freights'!$B$3:$B$513=B92)*('Sulphuric Acid freights'!$D$3:$D$513=D92)*('Sulphuric Acid freights'!$M$3:$M$513))/SUMPRODUCT(('Sulphuric Acid freights'!$B$3:$B$513=B92)*('Sulphuric Acid freights'!$D$3:$D$513=D92)*1)*2/3, AVERAGE('Sulphuric Acid freights'!$M$3:$M$513))</f>
        <v>23.573122529644269</v>
      </c>
      <c r="N92" s="78">
        <f t="shared" si="15"/>
        <v>48.699604743083007</v>
      </c>
      <c r="O92" s="78" cm="1">
        <f t="array" ref="O92">IF(SUMPRODUCT(('Sulphur freight'!$B$3:$B$1976=B92)*('Sulphur freight'!$D$3:$D$1976=D92)*('Sulphur freight'!$G$3:$G$1976))/SUMPRODUCT(('Sulphur freight'!$B$3:$B$1976=B92)*('Sulphur freight'!$D$3:$D$1976=D92)*1)=0, AVERAGE('Sulphur freight'!$G$3:$G$1976),SUMPRODUCT(('Sulphur freight'!$B$3:$B$1976=B92)*('Sulphur freight'!$D$3:$D$1976=D92)*('Sulphur freight'!$G$3:$G$1976))/SUMPRODUCT(('Sulphur freight'!$B$3:$B$1976=B92)*('Sulphur freight'!$D$3:$D$1976=D92)*1))</f>
        <v>23.6</v>
      </c>
      <c r="P92" s="78">
        <v>20</v>
      </c>
      <c r="R92" s="78" t="str">
        <f t="shared" si="16"/>
        <v xml:space="preserve"> </v>
      </c>
      <c r="S92" s="78">
        <f t="shared" si="17"/>
        <v>18.573122529644269</v>
      </c>
      <c r="T92" s="78" t="str">
        <f t="shared" si="12"/>
        <v/>
      </c>
      <c r="U92" s="78" t="str">
        <f t="shared" si="18"/>
        <v/>
      </c>
      <c r="V92" s="78">
        <f>IFERROR(I92+O92, "")</f>
        <v>56.6</v>
      </c>
      <c r="W92" s="78">
        <f t="shared" si="19"/>
        <v>56.9</v>
      </c>
      <c r="X92" s="78">
        <f t="shared" si="20"/>
        <v>36.677999999999997</v>
      </c>
      <c r="Y92" s="78">
        <f t="shared" si="21"/>
        <v>36.777000000000001</v>
      </c>
      <c r="AA92" s="88" t="str">
        <f t="shared" si="22"/>
        <v/>
      </c>
      <c r="AB92" s="77" t="str">
        <f t="shared" si="13"/>
        <v/>
      </c>
      <c r="AD92" s="88" t="str">
        <f t="shared" si="23"/>
        <v/>
      </c>
      <c r="AE92" s="77" t="str">
        <f t="shared" si="14"/>
        <v/>
      </c>
    </row>
    <row r="93" spans="2:31" x14ac:dyDescent="0.35">
      <c r="B93" s="2">
        <v>2009</v>
      </c>
      <c r="C93" s="2">
        <v>3</v>
      </c>
      <c r="D93" s="2">
        <v>8</v>
      </c>
      <c r="E93" s="78" t="str">
        <f>'CRU historical'!F92</f>
        <v xml:space="preserve"> </v>
      </c>
      <c r="F93" s="78">
        <f>'CRU historical'!I92</f>
        <v>-5</v>
      </c>
      <c r="G93" s="78" t="str">
        <f>'CRU historical'!L92</f>
        <v xml:space="preserve"> </v>
      </c>
      <c r="H93" s="78" t="str">
        <f>'CRU historical'!O92</f>
        <v xml:space="preserve"> </v>
      </c>
      <c r="I93" s="78">
        <f>'CRU historical'!R92</f>
        <v>34.75</v>
      </c>
      <c r="J93" s="78">
        <f>AVERAGE('CRU historical'!U92, 'CRU historical'!X92, 'CRU historical'!AA92, 'CRU historical'!AD92)</f>
        <v>37.5</v>
      </c>
      <c r="L93" s="78" cm="1">
        <f t="array" ref="L93">IFERROR(SUMPRODUCT(('Sulphuric Acid freights'!$B$3:$B$513=B93)*('Sulphuric Acid freights'!$D$3:$D$513=D93)*('Sulphuric Acid freights'!$P$3:$P$513))/SUMPRODUCT(('Sulphuric Acid freights'!$B$3:$B$513=B93)*('Sulphuric Acid freights'!$D$3:$D$513=D93)*1), AVERAGE('Sulphuric Acid freights'!$P$3:$P$513))*2/3</f>
        <v>54.110671936758898</v>
      </c>
      <c r="M93" s="78" cm="1">
        <f t="array" ref="M93">IFERROR(SUMPRODUCT(('Sulphuric Acid freights'!$B$3:$B$513=B93)*('Sulphuric Acid freights'!$D$3:$D$513=D93)*('Sulphuric Acid freights'!$M$3:$M$513))/SUMPRODUCT(('Sulphuric Acid freights'!$B$3:$B$513=B93)*('Sulphuric Acid freights'!$D$3:$D$513=D93)*1)*2/3, AVERAGE('Sulphuric Acid freights'!$M$3:$M$513))</f>
        <v>23.573122529644269</v>
      </c>
      <c r="N93" s="78">
        <f t="shared" si="15"/>
        <v>48.699604743083007</v>
      </c>
      <c r="O93" s="78" cm="1">
        <f t="array" ref="O93">IF(SUMPRODUCT(('Sulphur freight'!$B$3:$B$1976=B93)*('Sulphur freight'!$D$3:$D$1976=D93)*('Sulphur freight'!$G$3:$G$1976))/SUMPRODUCT(('Sulphur freight'!$B$3:$B$1976=B93)*('Sulphur freight'!$D$3:$D$1976=D93)*1)=0, AVERAGE('Sulphur freight'!$G$3:$G$1976),SUMPRODUCT(('Sulphur freight'!$B$3:$B$1976=B93)*('Sulphur freight'!$D$3:$D$1976=D93)*('Sulphur freight'!$G$3:$G$1976))/SUMPRODUCT(('Sulphur freight'!$B$3:$B$1976=B93)*('Sulphur freight'!$D$3:$D$1976=D93)*1))</f>
        <v>24.5</v>
      </c>
      <c r="P93" s="78">
        <v>20</v>
      </c>
      <c r="R93" s="78" t="str">
        <f t="shared" si="16"/>
        <v xml:space="preserve"> </v>
      </c>
      <c r="S93" s="78">
        <f t="shared" si="17"/>
        <v>18.573122529644269</v>
      </c>
      <c r="T93" s="78" t="str">
        <f t="shared" si="12"/>
        <v/>
      </c>
      <c r="U93" s="78" t="str">
        <f t="shared" si="18"/>
        <v/>
      </c>
      <c r="V93" s="78">
        <f>IFERROR(I93+O93, "")</f>
        <v>59.25</v>
      </c>
      <c r="W93" s="78">
        <f t="shared" si="19"/>
        <v>57.5</v>
      </c>
      <c r="X93" s="78">
        <f t="shared" si="20"/>
        <v>37.552500000000002</v>
      </c>
      <c r="Y93" s="78">
        <f t="shared" si="21"/>
        <v>36.975000000000001</v>
      </c>
      <c r="AA93" s="88" t="str">
        <f t="shared" si="22"/>
        <v/>
      </c>
      <c r="AB93" s="77" t="str">
        <f t="shared" si="13"/>
        <v/>
      </c>
      <c r="AD93" s="88" t="str">
        <f t="shared" si="23"/>
        <v/>
      </c>
      <c r="AE93" s="77" t="str">
        <f t="shared" si="14"/>
        <v/>
      </c>
    </row>
    <row r="94" spans="2:31" x14ac:dyDescent="0.35">
      <c r="B94" s="2">
        <v>2009</v>
      </c>
      <c r="C94" s="2">
        <v>3</v>
      </c>
      <c r="D94" s="2">
        <v>9</v>
      </c>
      <c r="E94" s="78" t="str">
        <f>'CRU historical'!F93</f>
        <v xml:space="preserve"> </v>
      </c>
      <c r="F94" s="78">
        <f>'CRU historical'!I93</f>
        <v>0</v>
      </c>
      <c r="G94" s="78" t="str">
        <f>'CRU historical'!L93</f>
        <v xml:space="preserve"> </v>
      </c>
      <c r="H94" s="78" t="str">
        <f>'CRU historical'!O93</f>
        <v xml:space="preserve"> </v>
      </c>
      <c r="I94" s="78">
        <f>'CRU historical'!R93</f>
        <v>40</v>
      </c>
      <c r="J94" s="78">
        <f>AVERAGE('CRU historical'!U93, 'CRU historical'!X93, 'CRU historical'!AA93, 'CRU historical'!AD93)</f>
        <v>37.5</v>
      </c>
      <c r="L94" s="78" cm="1">
        <f t="array" ref="L94">IFERROR(SUMPRODUCT(('Sulphuric Acid freights'!$B$3:$B$513=B94)*('Sulphuric Acid freights'!$D$3:$D$513=D94)*('Sulphuric Acid freights'!$P$3:$P$513))/SUMPRODUCT(('Sulphuric Acid freights'!$B$3:$B$513=B94)*('Sulphuric Acid freights'!$D$3:$D$513=D94)*1), AVERAGE('Sulphuric Acid freights'!$P$3:$P$513))*2/3</f>
        <v>54.110671936758898</v>
      </c>
      <c r="M94" s="78" cm="1">
        <f t="array" ref="M94">IFERROR(SUMPRODUCT(('Sulphuric Acid freights'!$B$3:$B$513=B94)*('Sulphuric Acid freights'!$D$3:$D$513=D94)*('Sulphuric Acid freights'!$M$3:$M$513))/SUMPRODUCT(('Sulphuric Acid freights'!$B$3:$B$513=B94)*('Sulphuric Acid freights'!$D$3:$D$513=D94)*1)*2/3, AVERAGE('Sulphuric Acid freights'!$M$3:$M$513))</f>
        <v>23.573122529644269</v>
      </c>
      <c r="N94" s="78">
        <f t="shared" si="15"/>
        <v>48.699604743083007</v>
      </c>
      <c r="O94" s="78" cm="1">
        <f t="array" ref="O94">IF(SUMPRODUCT(('Sulphur freight'!$B$3:$B$1976=B94)*('Sulphur freight'!$D$3:$D$1976=D94)*('Sulphur freight'!$G$3:$G$1976))/SUMPRODUCT(('Sulphur freight'!$B$3:$B$1976=B94)*('Sulphur freight'!$D$3:$D$1976=D94)*1)=0, AVERAGE('Sulphur freight'!$G$3:$G$1976),SUMPRODUCT(('Sulphur freight'!$B$3:$B$1976=B94)*('Sulphur freight'!$D$3:$D$1976=D94)*('Sulphur freight'!$G$3:$G$1976))/SUMPRODUCT(('Sulphur freight'!$B$3:$B$1976=B94)*('Sulphur freight'!$D$3:$D$1976=D94)*1))</f>
        <v>22.75</v>
      </c>
      <c r="P94" s="78">
        <v>20</v>
      </c>
      <c r="R94" s="78" t="str">
        <f t="shared" si="16"/>
        <v xml:space="preserve"> </v>
      </c>
      <c r="S94" s="78" t="str">
        <f t="shared" si="17"/>
        <v/>
      </c>
      <c r="T94" s="78" t="str">
        <f t="shared" si="12"/>
        <v/>
      </c>
      <c r="U94" s="78" t="str">
        <f t="shared" si="18"/>
        <v/>
      </c>
      <c r="V94" s="78">
        <f>IFERROR(I94+O94, "")</f>
        <v>62.75</v>
      </c>
      <c r="W94" s="78">
        <f t="shared" si="19"/>
        <v>57.5</v>
      </c>
      <c r="X94" s="78">
        <f t="shared" si="20"/>
        <v>38.707499999999996</v>
      </c>
      <c r="Y94" s="78">
        <f t="shared" si="21"/>
        <v>36.975000000000001</v>
      </c>
      <c r="AA94" s="88" t="str">
        <f t="shared" si="22"/>
        <v/>
      </c>
      <c r="AB94" s="77" t="str">
        <f t="shared" si="13"/>
        <v/>
      </c>
      <c r="AD94" s="88" t="str">
        <f t="shared" si="23"/>
        <v/>
      </c>
      <c r="AE94" s="77" t="str">
        <f t="shared" si="14"/>
        <v/>
      </c>
    </row>
    <row r="95" spans="2:31" x14ac:dyDescent="0.35">
      <c r="B95" s="2">
        <v>2009</v>
      </c>
      <c r="C95" s="2">
        <v>4</v>
      </c>
      <c r="D95" s="2">
        <v>10</v>
      </c>
      <c r="E95" s="78" t="str">
        <f>'CRU historical'!F94</f>
        <v xml:space="preserve"> </v>
      </c>
      <c r="F95" s="78">
        <f>'CRU historical'!I94</f>
        <v>-5.2</v>
      </c>
      <c r="G95" s="78" t="str">
        <f>'CRU historical'!L94</f>
        <v xml:space="preserve"> </v>
      </c>
      <c r="H95" s="78" t="str">
        <f>'CRU historical'!O94</f>
        <v xml:space="preserve"> </v>
      </c>
      <c r="I95" s="78">
        <f>'CRU historical'!R94</f>
        <v>44.6</v>
      </c>
      <c r="J95" s="78">
        <f>AVERAGE('CRU historical'!U94, 'CRU historical'!X94, 'CRU historical'!AA94, 'CRU historical'!AD94)</f>
        <v>37.5</v>
      </c>
      <c r="L95" s="78" cm="1">
        <f t="array" ref="L95">IFERROR(SUMPRODUCT(('Sulphuric Acid freights'!$B$3:$B$513=B95)*('Sulphuric Acid freights'!$D$3:$D$513=D95)*('Sulphuric Acid freights'!$P$3:$P$513))/SUMPRODUCT(('Sulphuric Acid freights'!$B$3:$B$513=B95)*('Sulphuric Acid freights'!$D$3:$D$513=D95)*1), AVERAGE('Sulphuric Acid freights'!$P$3:$P$513))*2/3</f>
        <v>54.110671936758898</v>
      </c>
      <c r="M95" s="78" cm="1">
        <f t="array" ref="M95">IFERROR(SUMPRODUCT(('Sulphuric Acid freights'!$B$3:$B$513=B95)*('Sulphuric Acid freights'!$D$3:$D$513=D95)*('Sulphuric Acid freights'!$M$3:$M$513))/SUMPRODUCT(('Sulphuric Acid freights'!$B$3:$B$513=B95)*('Sulphuric Acid freights'!$D$3:$D$513=D95)*1)*2/3, AVERAGE('Sulphuric Acid freights'!$M$3:$M$513))</f>
        <v>23.573122529644269</v>
      </c>
      <c r="N95" s="78">
        <f t="shared" si="15"/>
        <v>48.699604743083007</v>
      </c>
      <c r="O95" s="78" cm="1">
        <f t="array" ref="O95">IF(SUMPRODUCT(('Sulphur freight'!$B$3:$B$1976=B95)*('Sulphur freight'!$D$3:$D$1976=D95)*('Sulphur freight'!$G$3:$G$1976))/SUMPRODUCT(('Sulphur freight'!$B$3:$B$1976=B95)*('Sulphur freight'!$D$3:$D$1976=D95)*1)=0, AVERAGE('Sulphur freight'!$G$3:$G$1976),SUMPRODUCT(('Sulphur freight'!$B$3:$B$1976=B95)*('Sulphur freight'!$D$3:$D$1976=D95)*('Sulphur freight'!$G$3:$G$1976))/SUMPRODUCT(('Sulphur freight'!$B$3:$B$1976=B95)*('Sulphur freight'!$D$3:$D$1976=D95)*1))</f>
        <v>22.6</v>
      </c>
      <c r="P95" s="78">
        <v>20</v>
      </c>
      <c r="R95" s="78" t="str">
        <f t="shared" si="16"/>
        <v xml:space="preserve"> </v>
      </c>
      <c r="S95" s="78">
        <f t="shared" si="17"/>
        <v>18.37312252964427</v>
      </c>
      <c r="T95" s="78" t="str">
        <f t="shared" si="12"/>
        <v/>
      </c>
      <c r="U95" s="78" t="str">
        <f t="shared" si="18"/>
        <v/>
      </c>
      <c r="V95" s="78">
        <f>IFERROR(I95+O95, "")</f>
        <v>67.2</v>
      </c>
      <c r="W95" s="78">
        <f t="shared" si="19"/>
        <v>57.5</v>
      </c>
      <c r="X95" s="78">
        <f t="shared" si="20"/>
        <v>40.176000000000002</v>
      </c>
      <c r="Y95" s="78">
        <f t="shared" si="21"/>
        <v>36.975000000000001</v>
      </c>
      <c r="AA95" s="88" t="str">
        <f t="shared" si="22"/>
        <v/>
      </c>
      <c r="AB95" s="77" t="str">
        <f t="shared" si="13"/>
        <v/>
      </c>
      <c r="AD95" s="88" t="str">
        <f t="shared" si="23"/>
        <v/>
      </c>
      <c r="AE95" s="77" t="str">
        <f t="shared" si="14"/>
        <v/>
      </c>
    </row>
    <row r="96" spans="2:31" x14ac:dyDescent="0.35">
      <c r="B96" s="2">
        <v>2009</v>
      </c>
      <c r="C96" s="2">
        <v>4</v>
      </c>
      <c r="D96" s="2">
        <v>11</v>
      </c>
      <c r="E96" s="78" t="str">
        <f>'CRU historical'!F95</f>
        <v xml:space="preserve"> </v>
      </c>
      <c r="F96" s="78">
        <f>'CRU historical'!I95</f>
        <v>-13</v>
      </c>
      <c r="G96" s="78" t="str">
        <f>'CRU historical'!L95</f>
        <v xml:space="preserve"> </v>
      </c>
      <c r="H96" s="78" t="str">
        <f>'CRU historical'!O95</f>
        <v xml:space="preserve"> </v>
      </c>
      <c r="I96" s="78">
        <f>'CRU historical'!R95</f>
        <v>55.75</v>
      </c>
      <c r="J96" s="78">
        <f>AVERAGE('CRU historical'!U95, 'CRU historical'!X95, 'CRU historical'!AA95, 'CRU historical'!AD95)</f>
        <v>37.5</v>
      </c>
      <c r="L96" s="78" cm="1">
        <f t="array" ref="L96">IFERROR(SUMPRODUCT(('Sulphuric Acid freights'!$B$3:$B$513=B96)*('Sulphuric Acid freights'!$D$3:$D$513=D96)*('Sulphuric Acid freights'!$P$3:$P$513))/SUMPRODUCT(('Sulphuric Acid freights'!$B$3:$B$513=B96)*('Sulphuric Acid freights'!$D$3:$D$513=D96)*1), AVERAGE('Sulphuric Acid freights'!$P$3:$P$513))*2/3</f>
        <v>54.110671936758898</v>
      </c>
      <c r="M96" s="78" cm="1">
        <f t="array" ref="M96">IFERROR(SUMPRODUCT(('Sulphuric Acid freights'!$B$3:$B$513=B96)*('Sulphuric Acid freights'!$D$3:$D$513=D96)*('Sulphuric Acid freights'!$M$3:$M$513))/SUMPRODUCT(('Sulphuric Acid freights'!$B$3:$B$513=B96)*('Sulphuric Acid freights'!$D$3:$D$513=D96)*1)*2/3, AVERAGE('Sulphuric Acid freights'!$M$3:$M$513))</f>
        <v>23.573122529644269</v>
      </c>
      <c r="N96" s="78">
        <f t="shared" si="15"/>
        <v>48.699604743083007</v>
      </c>
      <c r="O96" s="78" cm="1">
        <f t="array" ref="O96">IF(SUMPRODUCT(('Sulphur freight'!$B$3:$B$1976=B96)*('Sulphur freight'!$D$3:$D$1976=D96)*('Sulphur freight'!$G$3:$G$1976))/SUMPRODUCT(('Sulphur freight'!$B$3:$B$1976=B96)*('Sulphur freight'!$D$3:$D$1976=D96)*1)=0, AVERAGE('Sulphur freight'!$G$3:$G$1976),SUMPRODUCT(('Sulphur freight'!$B$3:$B$1976=B96)*('Sulphur freight'!$D$3:$D$1976=D96)*('Sulphur freight'!$G$3:$G$1976))/SUMPRODUCT(('Sulphur freight'!$B$3:$B$1976=B96)*('Sulphur freight'!$D$3:$D$1976=D96)*1))</f>
        <v>25.25</v>
      </c>
      <c r="P96" s="78">
        <v>20</v>
      </c>
      <c r="R96" s="78" t="str">
        <f t="shared" si="16"/>
        <v xml:space="preserve"> </v>
      </c>
      <c r="S96" s="78">
        <f t="shared" si="17"/>
        <v>10.573122529644269</v>
      </c>
      <c r="T96" s="78" t="str">
        <f t="shared" si="12"/>
        <v/>
      </c>
      <c r="U96" s="78" t="str">
        <f t="shared" si="18"/>
        <v/>
      </c>
      <c r="V96" s="78">
        <f>IFERROR(I96+O96, "")</f>
        <v>81</v>
      </c>
      <c r="W96" s="78">
        <f t="shared" si="19"/>
        <v>57.5</v>
      </c>
      <c r="X96" s="78">
        <f t="shared" si="20"/>
        <v>44.730000000000004</v>
      </c>
      <c r="Y96" s="78">
        <f t="shared" si="21"/>
        <v>36.975000000000001</v>
      </c>
      <c r="AA96" s="88" t="str">
        <f t="shared" si="22"/>
        <v/>
      </c>
      <c r="AB96" s="77" t="str">
        <f t="shared" si="13"/>
        <v/>
      </c>
      <c r="AD96" s="88" t="str">
        <f t="shared" si="23"/>
        <v/>
      </c>
      <c r="AE96" s="77" t="str">
        <f t="shared" si="14"/>
        <v/>
      </c>
    </row>
    <row r="97" spans="2:31" x14ac:dyDescent="0.35">
      <c r="B97" s="2">
        <v>2009</v>
      </c>
      <c r="C97" s="2">
        <v>4</v>
      </c>
      <c r="D97" s="2">
        <v>12</v>
      </c>
      <c r="E97" s="78" t="str">
        <f>'CRU historical'!F96</f>
        <v xml:space="preserve"> </v>
      </c>
      <c r="F97" s="78">
        <f>'CRU historical'!I96</f>
        <v>-0.6</v>
      </c>
      <c r="G97" s="78" t="str">
        <f>'CRU historical'!L96</f>
        <v xml:space="preserve"> </v>
      </c>
      <c r="H97" s="78" t="str">
        <f>'CRU historical'!O96</f>
        <v xml:space="preserve"> </v>
      </c>
      <c r="I97" s="78">
        <f>'CRU historical'!R96</f>
        <v>68.2</v>
      </c>
      <c r="J97" s="78">
        <f>AVERAGE('CRU historical'!U96, 'CRU historical'!X96, 'CRU historical'!AA96, 'CRU historical'!AD96)</f>
        <v>37.5</v>
      </c>
      <c r="L97" s="78" cm="1">
        <f t="array" ref="L97">IFERROR(SUMPRODUCT(('Sulphuric Acid freights'!$B$3:$B$513=B97)*('Sulphuric Acid freights'!$D$3:$D$513=D97)*('Sulphuric Acid freights'!$P$3:$P$513))/SUMPRODUCT(('Sulphuric Acid freights'!$B$3:$B$513=B97)*('Sulphuric Acid freights'!$D$3:$D$513=D97)*1), AVERAGE('Sulphuric Acid freights'!$P$3:$P$513))*2/3</f>
        <v>54.110671936758898</v>
      </c>
      <c r="M97" s="78" cm="1">
        <f t="array" ref="M97">IFERROR(SUMPRODUCT(('Sulphuric Acid freights'!$B$3:$B$513=B97)*('Sulphuric Acid freights'!$D$3:$D$513=D97)*('Sulphuric Acid freights'!$M$3:$M$513))/SUMPRODUCT(('Sulphuric Acid freights'!$B$3:$B$513=B97)*('Sulphuric Acid freights'!$D$3:$D$513=D97)*1)*2/3, AVERAGE('Sulphuric Acid freights'!$M$3:$M$513))</f>
        <v>23.573122529644269</v>
      </c>
      <c r="N97" s="78">
        <f t="shared" si="15"/>
        <v>48.699604743083007</v>
      </c>
      <c r="O97" s="78" cm="1">
        <f t="array" ref="O97">IF(SUMPRODUCT(('Sulphur freight'!$B$3:$B$1976=B97)*('Sulphur freight'!$D$3:$D$1976=D97)*('Sulphur freight'!$G$3:$G$1976))/SUMPRODUCT(('Sulphur freight'!$B$3:$B$1976=B97)*('Sulphur freight'!$D$3:$D$1976=D97)*1)=0, AVERAGE('Sulphur freight'!$G$3:$G$1976),SUMPRODUCT(('Sulphur freight'!$B$3:$B$1976=B97)*('Sulphur freight'!$D$3:$D$1976=D97)*('Sulphur freight'!$G$3:$G$1976))/SUMPRODUCT(('Sulphur freight'!$B$3:$B$1976=B97)*('Sulphur freight'!$D$3:$D$1976=D97)*1))</f>
        <v>28.5</v>
      </c>
      <c r="P97" s="78">
        <v>20</v>
      </c>
      <c r="R97" s="78" t="str">
        <f t="shared" si="16"/>
        <v xml:space="preserve"> </v>
      </c>
      <c r="S97" s="78">
        <f t="shared" si="17"/>
        <v>22.973122529644268</v>
      </c>
      <c r="T97" s="78" t="str">
        <f t="shared" si="12"/>
        <v/>
      </c>
      <c r="U97" s="78" t="str">
        <f t="shared" si="18"/>
        <v/>
      </c>
      <c r="V97" s="78">
        <f>IFERROR(I97+O97, "")</f>
        <v>96.7</v>
      </c>
      <c r="W97" s="78">
        <f t="shared" si="19"/>
        <v>57.5</v>
      </c>
      <c r="X97" s="78">
        <f t="shared" si="20"/>
        <v>49.911000000000001</v>
      </c>
      <c r="Y97" s="78">
        <f t="shared" si="21"/>
        <v>36.975000000000001</v>
      </c>
      <c r="AA97" s="88" t="str">
        <f t="shared" si="22"/>
        <v/>
      </c>
      <c r="AB97" s="77" t="str">
        <f t="shared" si="13"/>
        <v/>
      </c>
      <c r="AD97" s="88" t="str">
        <f t="shared" si="23"/>
        <v/>
      </c>
      <c r="AE97" s="77" t="str">
        <f t="shared" si="14"/>
        <v/>
      </c>
    </row>
    <row r="98" spans="2:31" x14ac:dyDescent="0.35">
      <c r="B98" s="2">
        <v>2010</v>
      </c>
      <c r="C98" s="2">
        <v>1</v>
      </c>
      <c r="D98" s="2">
        <v>1</v>
      </c>
      <c r="E98" s="78" t="str">
        <f>'CRU historical'!F97</f>
        <v xml:space="preserve"> </v>
      </c>
      <c r="F98" s="78">
        <f>'CRU historical'!I97</f>
        <v>20</v>
      </c>
      <c r="G98" s="78" t="str">
        <f>'CRU historical'!L97</f>
        <v xml:space="preserve"> </v>
      </c>
      <c r="H98" s="78" t="str">
        <f>'CRU historical'!O97</f>
        <v xml:space="preserve"> </v>
      </c>
      <c r="I98" s="78">
        <f>'CRU historical'!R97</f>
        <v>122.75</v>
      </c>
      <c r="J98" s="78">
        <f>AVERAGE('CRU historical'!U97, 'CRU historical'!X97, 'CRU historical'!AA97, 'CRU historical'!AD97)</f>
        <v>63.875</v>
      </c>
      <c r="L98" s="78" cm="1">
        <f t="array" ref="L98">IFERROR(SUMPRODUCT(('Sulphuric Acid freights'!$B$3:$B$513=B98)*('Sulphuric Acid freights'!$D$3:$D$513=D98)*('Sulphuric Acid freights'!$P$3:$P$513))/SUMPRODUCT(('Sulphuric Acid freights'!$B$3:$B$513=B98)*('Sulphuric Acid freights'!$D$3:$D$513=D98)*1), AVERAGE('Sulphuric Acid freights'!$P$3:$P$513))*2/3</f>
        <v>54.110671936758898</v>
      </c>
      <c r="M98" s="78" cm="1">
        <f t="array" ref="M98">IFERROR(SUMPRODUCT(('Sulphuric Acid freights'!$B$3:$B$513=B98)*('Sulphuric Acid freights'!$D$3:$D$513=D98)*('Sulphuric Acid freights'!$M$3:$M$513))/SUMPRODUCT(('Sulphuric Acid freights'!$B$3:$B$513=B98)*('Sulphuric Acid freights'!$D$3:$D$513=D98)*1)*2/3, AVERAGE('Sulphuric Acid freights'!$M$3:$M$513))</f>
        <v>23.573122529644269</v>
      </c>
      <c r="N98" s="78">
        <f t="shared" si="15"/>
        <v>48.699604743083007</v>
      </c>
      <c r="O98" s="78" cm="1">
        <f t="array" ref="O98">IF(SUMPRODUCT(('Sulphur freight'!$B$3:$B$1976=B98)*('Sulphur freight'!$D$3:$D$1976=D98)*('Sulphur freight'!$G$3:$G$1976))/SUMPRODUCT(('Sulphur freight'!$B$3:$B$1976=B98)*('Sulphur freight'!$D$3:$D$1976=D98)*1)=0, AVERAGE('Sulphur freight'!$G$3:$G$1976),SUMPRODUCT(('Sulphur freight'!$B$3:$B$1976=B98)*('Sulphur freight'!$D$3:$D$1976=D98)*('Sulphur freight'!$G$3:$G$1976))/SUMPRODUCT(('Sulphur freight'!$B$3:$B$1976=B98)*('Sulphur freight'!$D$3:$D$1976=D98)*1))</f>
        <v>30.25</v>
      </c>
      <c r="P98" s="78">
        <v>20</v>
      </c>
      <c r="R98" s="78" t="str">
        <f t="shared" si="16"/>
        <v xml:space="preserve"> </v>
      </c>
      <c r="S98" s="78">
        <f t="shared" si="17"/>
        <v>43.573122529644266</v>
      </c>
      <c r="T98" s="78" t="str">
        <f t="shared" si="12"/>
        <v/>
      </c>
      <c r="U98" s="78" t="str">
        <f t="shared" si="18"/>
        <v/>
      </c>
      <c r="V98" s="78">
        <f>IFERROR(I98+O98, "")</f>
        <v>153</v>
      </c>
      <c r="W98" s="78">
        <f t="shared" si="19"/>
        <v>83.875</v>
      </c>
      <c r="X98" s="78">
        <f t="shared" si="20"/>
        <v>68.490000000000009</v>
      </c>
      <c r="Y98" s="78">
        <f t="shared" si="21"/>
        <v>45.678750000000001</v>
      </c>
      <c r="AA98" s="88" t="str">
        <f t="shared" si="22"/>
        <v/>
      </c>
      <c r="AB98" s="77" t="str">
        <f t="shared" si="13"/>
        <v/>
      </c>
      <c r="AD98" s="88" t="str">
        <f t="shared" si="23"/>
        <v/>
      </c>
      <c r="AE98" s="77" t="str">
        <f t="shared" si="14"/>
        <v/>
      </c>
    </row>
    <row r="99" spans="2:31" x14ac:dyDescent="0.35">
      <c r="B99" s="2">
        <v>2010</v>
      </c>
      <c r="C99" s="2">
        <v>1</v>
      </c>
      <c r="D99" s="2">
        <v>2</v>
      </c>
      <c r="E99" s="78" t="str">
        <f>'CRU historical'!F98</f>
        <v xml:space="preserve"> </v>
      </c>
      <c r="F99" s="78">
        <f>'CRU historical'!I98</f>
        <v>47.5</v>
      </c>
      <c r="G99" s="78" t="str">
        <f>'CRU historical'!L98</f>
        <v xml:space="preserve"> </v>
      </c>
      <c r="H99" s="78" t="str">
        <f>'CRU historical'!O98</f>
        <v xml:space="preserve"> </v>
      </c>
      <c r="I99" s="78">
        <f>'CRU historical'!R98</f>
        <v>167</v>
      </c>
      <c r="J99" s="78">
        <f>AVERAGE('CRU historical'!U98, 'CRU historical'!X98, 'CRU historical'!AA98, 'CRU historical'!AD98)</f>
        <v>67.625</v>
      </c>
      <c r="L99" s="78" cm="1">
        <f t="array" ref="L99">IFERROR(SUMPRODUCT(('Sulphuric Acid freights'!$B$3:$B$513=B99)*('Sulphuric Acid freights'!$D$3:$D$513=D99)*('Sulphuric Acid freights'!$P$3:$P$513))/SUMPRODUCT(('Sulphuric Acid freights'!$B$3:$B$513=B99)*('Sulphuric Acid freights'!$D$3:$D$513=D99)*1), AVERAGE('Sulphuric Acid freights'!$P$3:$P$513))*2/3</f>
        <v>54.110671936758898</v>
      </c>
      <c r="M99" s="78" cm="1">
        <f t="array" ref="M99">IFERROR(SUMPRODUCT(('Sulphuric Acid freights'!$B$3:$B$513=B99)*('Sulphuric Acid freights'!$D$3:$D$513=D99)*('Sulphuric Acid freights'!$M$3:$M$513))/SUMPRODUCT(('Sulphuric Acid freights'!$B$3:$B$513=B99)*('Sulphuric Acid freights'!$D$3:$D$513=D99)*1)*2/3, AVERAGE('Sulphuric Acid freights'!$M$3:$M$513))</f>
        <v>23.573122529644269</v>
      </c>
      <c r="N99" s="78">
        <f t="shared" si="15"/>
        <v>48.699604743083007</v>
      </c>
      <c r="O99" s="78" cm="1">
        <f t="array" ref="O99">IF(SUMPRODUCT(('Sulphur freight'!$B$3:$B$1976=B99)*('Sulphur freight'!$D$3:$D$1976=D99)*('Sulphur freight'!$G$3:$G$1976))/SUMPRODUCT(('Sulphur freight'!$B$3:$B$1976=B99)*('Sulphur freight'!$D$3:$D$1976=D99)*1)=0, AVERAGE('Sulphur freight'!$G$3:$G$1976),SUMPRODUCT(('Sulphur freight'!$B$3:$B$1976=B99)*('Sulphur freight'!$D$3:$D$1976=D99)*('Sulphur freight'!$G$3:$G$1976))/SUMPRODUCT(('Sulphur freight'!$B$3:$B$1976=B99)*('Sulphur freight'!$D$3:$D$1976=D99)*1))</f>
        <v>28.25</v>
      </c>
      <c r="P99" s="78">
        <v>20</v>
      </c>
      <c r="R99" s="78" t="str">
        <f t="shared" si="16"/>
        <v xml:space="preserve"> </v>
      </c>
      <c r="S99" s="78">
        <f t="shared" si="17"/>
        <v>71.073122529644266</v>
      </c>
      <c r="T99" s="78" t="str">
        <f t="shared" si="12"/>
        <v/>
      </c>
      <c r="U99" s="78" t="str">
        <f t="shared" si="18"/>
        <v/>
      </c>
      <c r="V99" s="78">
        <f>IFERROR(I99+O99, "")</f>
        <v>195.25</v>
      </c>
      <c r="W99" s="78">
        <f t="shared" si="19"/>
        <v>87.625</v>
      </c>
      <c r="X99" s="78">
        <f t="shared" si="20"/>
        <v>82.432500000000005</v>
      </c>
      <c r="Y99" s="78">
        <f t="shared" si="21"/>
        <v>46.916250000000005</v>
      </c>
      <c r="AA99" s="88" t="str">
        <f t="shared" si="22"/>
        <v/>
      </c>
      <c r="AB99" s="77" t="str">
        <f t="shared" si="13"/>
        <v/>
      </c>
      <c r="AD99" s="88" t="str">
        <f t="shared" si="23"/>
        <v/>
      </c>
      <c r="AE99" s="77" t="str">
        <f t="shared" si="14"/>
        <v/>
      </c>
    </row>
    <row r="100" spans="2:31" x14ac:dyDescent="0.35">
      <c r="B100" s="2">
        <v>2010</v>
      </c>
      <c r="C100" s="2">
        <v>1</v>
      </c>
      <c r="D100" s="2">
        <v>3</v>
      </c>
      <c r="E100" s="78" t="str">
        <f>'CRU historical'!F99</f>
        <v xml:space="preserve"> </v>
      </c>
      <c r="F100" s="78">
        <f>'CRU historical'!I99</f>
        <v>50</v>
      </c>
      <c r="G100" s="78" t="str">
        <f>'CRU historical'!L99</f>
        <v xml:space="preserve"> </v>
      </c>
      <c r="H100" s="78" t="str">
        <f>'CRU historical'!O99</f>
        <v xml:space="preserve"> </v>
      </c>
      <c r="I100" s="78">
        <f>'CRU historical'!R99</f>
        <v>181</v>
      </c>
      <c r="J100" s="78">
        <f>AVERAGE('CRU historical'!U99, 'CRU historical'!X99, 'CRU historical'!AA99, 'CRU historical'!AD99)</f>
        <v>67</v>
      </c>
      <c r="L100" s="78" cm="1">
        <f t="array" ref="L100">IFERROR(SUMPRODUCT(('Sulphuric Acid freights'!$B$3:$B$513=B100)*('Sulphuric Acid freights'!$D$3:$D$513=D100)*('Sulphuric Acid freights'!$P$3:$P$513))/SUMPRODUCT(('Sulphuric Acid freights'!$B$3:$B$513=B100)*('Sulphuric Acid freights'!$D$3:$D$513=D100)*1), AVERAGE('Sulphuric Acid freights'!$P$3:$P$513))*2/3</f>
        <v>54.110671936758898</v>
      </c>
      <c r="M100" s="78" cm="1">
        <f t="array" ref="M100">IFERROR(SUMPRODUCT(('Sulphuric Acid freights'!$B$3:$B$513=B100)*('Sulphuric Acid freights'!$D$3:$D$513=D100)*('Sulphuric Acid freights'!$M$3:$M$513))/SUMPRODUCT(('Sulphuric Acid freights'!$B$3:$B$513=B100)*('Sulphuric Acid freights'!$D$3:$D$513=D100)*1)*2/3, AVERAGE('Sulphuric Acid freights'!$M$3:$M$513))</f>
        <v>23.573122529644269</v>
      </c>
      <c r="N100" s="78">
        <f t="shared" si="15"/>
        <v>48.699604743083007</v>
      </c>
      <c r="O100" s="78" cm="1">
        <f t="array" ref="O100">IF(SUMPRODUCT(('Sulphur freight'!$B$3:$B$1976=B100)*('Sulphur freight'!$D$3:$D$1976=D100)*('Sulphur freight'!$G$3:$G$1976))/SUMPRODUCT(('Sulphur freight'!$B$3:$B$1976=B100)*('Sulphur freight'!$D$3:$D$1976=D100)*1)=0, AVERAGE('Sulphur freight'!$G$3:$G$1976),SUMPRODUCT(('Sulphur freight'!$B$3:$B$1976=B100)*('Sulphur freight'!$D$3:$D$1976=D100)*('Sulphur freight'!$G$3:$G$1976))/SUMPRODUCT(('Sulphur freight'!$B$3:$B$1976=B100)*('Sulphur freight'!$D$3:$D$1976=D100)*1))</f>
        <v>33.25</v>
      </c>
      <c r="P100" s="78">
        <v>20</v>
      </c>
      <c r="R100" s="78" t="str">
        <f t="shared" si="16"/>
        <v xml:space="preserve"> </v>
      </c>
      <c r="S100" s="78">
        <f t="shared" si="17"/>
        <v>73.573122529644266</v>
      </c>
      <c r="T100" s="78" t="str">
        <f t="shared" si="12"/>
        <v/>
      </c>
      <c r="U100" s="78" t="str">
        <f t="shared" si="18"/>
        <v/>
      </c>
      <c r="V100" s="78">
        <f>IFERROR(I100+O100, "")</f>
        <v>214.25</v>
      </c>
      <c r="W100" s="78">
        <f t="shared" si="19"/>
        <v>87</v>
      </c>
      <c r="X100" s="78">
        <f t="shared" si="20"/>
        <v>88.702500000000001</v>
      </c>
      <c r="Y100" s="78">
        <f t="shared" si="21"/>
        <v>46.71</v>
      </c>
      <c r="AA100" s="88" t="str">
        <f t="shared" si="22"/>
        <v/>
      </c>
      <c r="AB100" s="77" t="str">
        <f t="shared" si="13"/>
        <v/>
      </c>
      <c r="AD100" s="88" t="str">
        <f t="shared" si="23"/>
        <v/>
      </c>
      <c r="AE100" s="77" t="str">
        <f t="shared" si="14"/>
        <v/>
      </c>
    </row>
    <row r="101" spans="2:31" x14ac:dyDescent="0.35">
      <c r="B101" s="2">
        <v>2010</v>
      </c>
      <c r="C101" s="2">
        <v>2</v>
      </c>
      <c r="D101" s="2">
        <v>4</v>
      </c>
      <c r="E101" s="78" t="str">
        <f>'CRU historical'!F100</f>
        <v xml:space="preserve"> </v>
      </c>
      <c r="F101" s="78">
        <f>'CRU historical'!I100</f>
        <v>50</v>
      </c>
      <c r="G101" s="78" t="str">
        <f>'CRU historical'!L100</f>
        <v xml:space="preserve"> </v>
      </c>
      <c r="H101" s="78" t="str">
        <f>'CRU historical'!O100</f>
        <v xml:space="preserve"> </v>
      </c>
      <c r="I101" s="78">
        <f>'CRU historical'!R100</f>
        <v>178.6</v>
      </c>
      <c r="J101" s="78">
        <f>AVERAGE('CRU historical'!U100, 'CRU historical'!X100, 'CRU historical'!AA100, 'CRU historical'!AD100)</f>
        <v>67</v>
      </c>
      <c r="L101" s="78" cm="1">
        <f t="array" ref="L101">IFERROR(SUMPRODUCT(('Sulphuric Acid freights'!$B$3:$B$513=B101)*('Sulphuric Acid freights'!$D$3:$D$513=D101)*('Sulphuric Acid freights'!$P$3:$P$513))/SUMPRODUCT(('Sulphuric Acid freights'!$B$3:$B$513=B101)*('Sulphuric Acid freights'!$D$3:$D$513=D101)*1), AVERAGE('Sulphuric Acid freights'!$P$3:$P$513))*2/3</f>
        <v>54.110671936758898</v>
      </c>
      <c r="M101" s="78" cm="1">
        <f t="array" ref="M101">IFERROR(SUMPRODUCT(('Sulphuric Acid freights'!$B$3:$B$513=B101)*('Sulphuric Acid freights'!$D$3:$D$513=D101)*('Sulphuric Acid freights'!$M$3:$M$513))/SUMPRODUCT(('Sulphuric Acid freights'!$B$3:$B$513=B101)*('Sulphuric Acid freights'!$D$3:$D$513=D101)*1)*2/3, AVERAGE('Sulphuric Acid freights'!$M$3:$M$513))</f>
        <v>23.573122529644269</v>
      </c>
      <c r="N101" s="78">
        <f t="shared" si="15"/>
        <v>48.699604743083007</v>
      </c>
      <c r="O101" s="78" cm="1">
        <f t="array" ref="O101">IF(SUMPRODUCT(('Sulphur freight'!$B$3:$B$1976=B101)*('Sulphur freight'!$D$3:$D$1976=D101)*('Sulphur freight'!$G$3:$G$1976))/SUMPRODUCT(('Sulphur freight'!$B$3:$B$1976=B101)*('Sulphur freight'!$D$3:$D$1976=D101)*1)=0, AVERAGE('Sulphur freight'!$G$3:$G$1976),SUMPRODUCT(('Sulphur freight'!$B$3:$B$1976=B101)*('Sulphur freight'!$D$3:$D$1976=D101)*('Sulphur freight'!$G$3:$G$1976))/SUMPRODUCT(('Sulphur freight'!$B$3:$B$1976=B101)*('Sulphur freight'!$D$3:$D$1976=D101)*1))</f>
        <v>31.8</v>
      </c>
      <c r="P101" s="78">
        <v>20</v>
      </c>
      <c r="R101" s="78" t="str">
        <f t="shared" si="16"/>
        <v xml:space="preserve"> </v>
      </c>
      <c r="S101" s="78">
        <f t="shared" si="17"/>
        <v>73.573122529644266</v>
      </c>
      <c r="T101" s="78" t="str">
        <f t="shared" si="12"/>
        <v/>
      </c>
      <c r="U101" s="78" t="str">
        <f t="shared" si="18"/>
        <v/>
      </c>
      <c r="V101" s="78">
        <f>IFERROR(I101+O101, "")</f>
        <v>210.4</v>
      </c>
      <c r="W101" s="78">
        <f t="shared" si="19"/>
        <v>87</v>
      </c>
      <c r="X101" s="78">
        <f t="shared" si="20"/>
        <v>87.432000000000002</v>
      </c>
      <c r="Y101" s="78">
        <f t="shared" si="21"/>
        <v>46.71</v>
      </c>
      <c r="AA101" s="88" t="str">
        <f t="shared" si="22"/>
        <v/>
      </c>
      <c r="AB101" s="77" t="str">
        <f t="shared" si="13"/>
        <v/>
      </c>
      <c r="AD101" s="88" t="str">
        <f t="shared" si="23"/>
        <v/>
      </c>
      <c r="AE101" s="77" t="str">
        <f t="shared" si="14"/>
        <v/>
      </c>
    </row>
    <row r="102" spans="2:31" x14ac:dyDescent="0.35">
      <c r="B102" s="2">
        <v>2010</v>
      </c>
      <c r="C102" s="2">
        <v>2</v>
      </c>
      <c r="D102" s="2">
        <v>5</v>
      </c>
      <c r="E102" s="78" t="str">
        <f>'CRU historical'!F101</f>
        <v xml:space="preserve"> </v>
      </c>
      <c r="F102" s="78">
        <f>'CRU historical'!I101</f>
        <v>50</v>
      </c>
      <c r="G102" s="78" t="str">
        <f>'CRU historical'!L101</f>
        <v xml:space="preserve"> </v>
      </c>
      <c r="H102" s="78" t="str">
        <f>'CRU historical'!O101</f>
        <v xml:space="preserve"> </v>
      </c>
      <c r="I102" s="78">
        <f>'CRU historical'!R101</f>
        <v>121.5</v>
      </c>
      <c r="J102" s="78">
        <f>AVERAGE('CRU historical'!U101, 'CRU historical'!X101, 'CRU historical'!AA101, 'CRU historical'!AD101)</f>
        <v>67.625</v>
      </c>
      <c r="L102" s="78" cm="1">
        <f t="array" ref="L102">IFERROR(SUMPRODUCT(('Sulphuric Acid freights'!$B$3:$B$513=B102)*('Sulphuric Acid freights'!$D$3:$D$513=D102)*('Sulphuric Acid freights'!$P$3:$P$513))/SUMPRODUCT(('Sulphuric Acid freights'!$B$3:$B$513=B102)*('Sulphuric Acid freights'!$D$3:$D$513=D102)*1), AVERAGE('Sulphuric Acid freights'!$P$3:$P$513))*2/3</f>
        <v>54.110671936758898</v>
      </c>
      <c r="M102" s="78" cm="1">
        <f t="array" ref="M102">IFERROR(SUMPRODUCT(('Sulphuric Acid freights'!$B$3:$B$513=B102)*('Sulphuric Acid freights'!$D$3:$D$513=D102)*('Sulphuric Acid freights'!$M$3:$M$513))/SUMPRODUCT(('Sulphuric Acid freights'!$B$3:$B$513=B102)*('Sulphuric Acid freights'!$D$3:$D$513=D102)*1)*2/3, AVERAGE('Sulphuric Acid freights'!$M$3:$M$513))</f>
        <v>23.573122529644269</v>
      </c>
      <c r="N102" s="78">
        <f t="shared" si="15"/>
        <v>48.699604743083007</v>
      </c>
      <c r="O102" s="78" cm="1">
        <f t="array" ref="O102">IF(SUMPRODUCT(('Sulphur freight'!$B$3:$B$1976=B102)*('Sulphur freight'!$D$3:$D$1976=D102)*('Sulphur freight'!$G$3:$G$1976))/SUMPRODUCT(('Sulphur freight'!$B$3:$B$1976=B102)*('Sulphur freight'!$D$3:$D$1976=D102)*1)=0, AVERAGE('Sulphur freight'!$G$3:$G$1976),SUMPRODUCT(('Sulphur freight'!$B$3:$B$1976=B102)*('Sulphur freight'!$D$3:$D$1976=D102)*('Sulphur freight'!$G$3:$G$1976))/SUMPRODUCT(('Sulphur freight'!$B$3:$B$1976=B102)*('Sulphur freight'!$D$3:$D$1976=D102)*1))</f>
        <v>32.5</v>
      </c>
      <c r="P102" s="78">
        <v>20</v>
      </c>
      <c r="R102" s="78" t="str">
        <f t="shared" si="16"/>
        <v xml:space="preserve"> </v>
      </c>
      <c r="S102" s="78">
        <f t="shared" si="17"/>
        <v>73.573122529644266</v>
      </c>
      <c r="T102" s="78" t="str">
        <f t="shared" si="12"/>
        <v/>
      </c>
      <c r="U102" s="78" t="str">
        <f t="shared" si="18"/>
        <v/>
      </c>
      <c r="V102" s="78">
        <f>IFERROR(I102+O102, "")</f>
        <v>154</v>
      </c>
      <c r="W102" s="78">
        <f t="shared" si="19"/>
        <v>87.625</v>
      </c>
      <c r="X102" s="78">
        <f t="shared" si="20"/>
        <v>68.819999999999993</v>
      </c>
      <c r="Y102" s="78">
        <f t="shared" si="21"/>
        <v>46.916250000000005</v>
      </c>
      <c r="AA102" s="88" t="str">
        <f t="shared" si="22"/>
        <v/>
      </c>
      <c r="AB102" s="77" t="str">
        <f t="shared" si="13"/>
        <v/>
      </c>
      <c r="AD102" s="88" t="str">
        <f t="shared" si="23"/>
        <v/>
      </c>
      <c r="AE102" s="77" t="str">
        <f t="shared" si="14"/>
        <v/>
      </c>
    </row>
    <row r="103" spans="2:31" x14ac:dyDescent="0.35">
      <c r="B103" s="2">
        <v>2010</v>
      </c>
      <c r="C103" s="2">
        <v>2</v>
      </c>
      <c r="D103" s="2">
        <v>6</v>
      </c>
      <c r="E103" s="78" t="str">
        <f>'CRU historical'!F102</f>
        <v xml:space="preserve"> </v>
      </c>
      <c r="F103" s="78">
        <f>'CRU historical'!I102</f>
        <v>50</v>
      </c>
      <c r="G103" s="78" t="str">
        <f>'CRU historical'!L102</f>
        <v xml:space="preserve"> </v>
      </c>
      <c r="H103" s="78" t="str">
        <f>'CRU historical'!O102</f>
        <v xml:space="preserve"> </v>
      </c>
      <c r="I103" s="78">
        <f>'CRU historical'!R102</f>
        <v>80.75</v>
      </c>
      <c r="J103" s="78">
        <f>AVERAGE('CRU historical'!U102, 'CRU historical'!X102, 'CRU historical'!AA102, 'CRU historical'!AD102)</f>
        <v>69.5</v>
      </c>
      <c r="L103" s="78" cm="1">
        <f t="array" ref="L103">IFERROR(SUMPRODUCT(('Sulphuric Acid freights'!$B$3:$B$513=B103)*('Sulphuric Acid freights'!$D$3:$D$513=D103)*('Sulphuric Acid freights'!$P$3:$P$513))/SUMPRODUCT(('Sulphuric Acid freights'!$B$3:$B$513=B103)*('Sulphuric Acid freights'!$D$3:$D$513=D103)*1), AVERAGE('Sulphuric Acid freights'!$P$3:$P$513))*2/3</f>
        <v>54.110671936758898</v>
      </c>
      <c r="M103" s="78" cm="1">
        <f t="array" ref="M103">IFERROR(SUMPRODUCT(('Sulphuric Acid freights'!$B$3:$B$513=B103)*('Sulphuric Acid freights'!$D$3:$D$513=D103)*('Sulphuric Acid freights'!$M$3:$M$513))/SUMPRODUCT(('Sulphuric Acid freights'!$B$3:$B$513=B103)*('Sulphuric Acid freights'!$D$3:$D$513=D103)*1)*2/3, AVERAGE('Sulphuric Acid freights'!$M$3:$M$513))</f>
        <v>23.573122529644269</v>
      </c>
      <c r="N103" s="78">
        <f t="shared" si="15"/>
        <v>48.699604743083007</v>
      </c>
      <c r="O103" s="78" cm="1">
        <f t="array" ref="O103">IF(SUMPRODUCT(('Sulphur freight'!$B$3:$B$1976=B103)*('Sulphur freight'!$D$3:$D$1976=D103)*('Sulphur freight'!$G$3:$G$1976))/SUMPRODUCT(('Sulphur freight'!$B$3:$B$1976=B103)*('Sulphur freight'!$D$3:$D$1976=D103)*1)=0, AVERAGE('Sulphur freight'!$G$3:$G$1976),SUMPRODUCT(('Sulphur freight'!$B$3:$B$1976=B103)*('Sulphur freight'!$D$3:$D$1976=D103)*('Sulphur freight'!$G$3:$G$1976))/SUMPRODUCT(('Sulphur freight'!$B$3:$B$1976=B103)*('Sulphur freight'!$D$3:$D$1976=D103)*1))</f>
        <v>27</v>
      </c>
      <c r="P103" s="78">
        <v>20</v>
      </c>
      <c r="R103" s="78" t="str">
        <f t="shared" si="16"/>
        <v xml:space="preserve"> </v>
      </c>
      <c r="S103" s="78">
        <f t="shared" si="17"/>
        <v>73.573122529644266</v>
      </c>
      <c r="T103" s="78" t="str">
        <f t="shared" si="12"/>
        <v/>
      </c>
      <c r="U103" s="78" t="str">
        <f t="shared" si="18"/>
        <v/>
      </c>
      <c r="V103" s="78">
        <f>IFERROR(I103+O103, "")</f>
        <v>107.75</v>
      </c>
      <c r="W103" s="78">
        <f t="shared" si="19"/>
        <v>89.5</v>
      </c>
      <c r="X103" s="78">
        <f t="shared" si="20"/>
        <v>53.557500000000005</v>
      </c>
      <c r="Y103" s="78">
        <f t="shared" si="21"/>
        <v>47.534999999999997</v>
      </c>
      <c r="AA103" s="88" t="str">
        <f t="shared" si="22"/>
        <v/>
      </c>
      <c r="AB103" s="77" t="str">
        <f t="shared" si="13"/>
        <v/>
      </c>
      <c r="AD103" s="88" t="str">
        <f t="shared" si="23"/>
        <v/>
      </c>
      <c r="AE103" s="77" t="str">
        <f t="shared" si="14"/>
        <v/>
      </c>
    </row>
    <row r="104" spans="2:31" x14ac:dyDescent="0.35">
      <c r="B104" s="2">
        <v>2010</v>
      </c>
      <c r="C104" s="2">
        <v>3</v>
      </c>
      <c r="D104" s="2">
        <v>7</v>
      </c>
      <c r="E104" s="78" t="str">
        <f>'CRU historical'!F103</f>
        <v xml:space="preserve"> </v>
      </c>
      <c r="F104" s="78">
        <f>'CRU historical'!I103</f>
        <v>50</v>
      </c>
      <c r="G104" s="78" t="str">
        <f>'CRU historical'!L103</f>
        <v xml:space="preserve"> </v>
      </c>
      <c r="H104" s="78" t="str">
        <f>'CRU historical'!O103</f>
        <v xml:space="preserve"> </v>
      </c>
      <c r="I104" s="78">
        <f>'CRU historical'!R103</f>
        <v>66.599999999999994</v>
      </c>
      <c r="J104" s="78">
        <f>AVERAGE('CRU historical'!U103, 'CRU historical'!X103, 'CRU historical'!AA103, 'CRU historical'!AD103)</f>
        <v>70.099999999999994</v>
      </c>
      <c r="L104" s="78" cm="1">
        <f t="array" ref="L104">IFERROR(SUMPRODUCT(('Sulphuric Acid freights'!$B$3:$B$513=B104)*('Sulphuric Acid freights'!$D$3:$D$513=D104)*('Sulphuric Acid freights'!$P$3:$P$513))/SUMPRODUCT(('Sulphuric Acid freights'!$B$3:$B$513=B104)*('Sulphuric Acid freights'!$D$3:$D$513=D104)*1), AVERAGE('Sulphuric Acid freights'!$P$3:$P$513))*2/3</f>
        <v>54.110671936758898</v>
      </c>
      <c r="M104" s="78" cm="1">
        <f t="array" ref="M104">IFERROR(SUMPRODUCT(('Sulphuric Acid freights'!$B$3:$B$513=B104)*('Sulphuric Acid freights'!$D$3:$D$513=D104)*('Sulphuric Acid freights'!$M$3:$M$513))/SUMPRODUCT(('Sulphuric Acid freights'!$B$3:$B$513=B104)*('Sulphuric Acid freights'!$D$3:$D$513=D104)*1)*2/3, AVERAGE('Sulphuric Acid freights'!$M$3:$M$513))</f>
        <v>23.573122529644269</v>
      </c>
      <c r="N104" s="78">
        <f t="shared" si="15"/>
        <v>48.699604743083007</v>
      </c>
      <c r="O104" s="78" cm="1">
        <f t="array" ref="O104">IF(SUMPRODUCT(('Sulphur freight'!$B$3:$B$1976=B104)*('Sulphur freight'!$D$3:$D$1976=D104)*('Sulphur freight'!$G$3:$G$1976))/SUMPRODUCT(('Sulphur freight'!$B$3:$B$1976=B104)*('Sulphur freight'!$D$3:$D$1976=D104)*1)=0, AVERAGE('Sulphur freight'!$G$3:$G$1976),SUMPRODUCT(('Sulphur freight'!$B$3:$B$1976=B104)*('Sulphur freight'!$D$3:$D$1976=D104)*('Sulphur freight'!$G$3:$G$1976))/SUMPRODUCT(('Sulphur freight'!$B$3:$B$1976=B104)*('Sulphur freight'!$D$3:$D$1976=D104)*1))</f>
        <v>24.4</v>
      </c>
      <c r="P104" s="78">
        <v>20</v>
      </c>
      <c r="R104" s="78" t="str">
        <f t="shared" si="16"/>
        <v xml:space="preserve"> </v>
      </c>
      <c r="S104" s="78">
        <f t="shared" si="17"/>
        <v>73.573122529644266</v>
      </c>
      <c r="T104" s="78" t="str">
        <f t="shared" si="12"/>
        <v/>
      </c>
      <c r="U104" s="78" t="str">
        <f t="shared" si="18"/>
        <v/>
      </c>
      <c r="V104" s="78">
        <f>IFERROR(I104+O104, "")</f>
        <v>91</v>
      </c>
      <c r="W104" s="78">
        <f t="shared" si="19"/>
        <v>90.1</v>
      </c>
      <c r="X104" s="78">
        <f t="shared" si="20"/>
        <v>48.03</v>
      </c>
      <c r="Y104" s="78">
        <f t="shared" si="21"/>
        <v>47.733000000000004</v>
      </c>
      <c r="AA104" s="88" t="str">
        <f t="shared" si="22"/>
        <v/>
      </c>
      <c r="AB104" s="77" t="str">
        <f t="shared" si="13"/>
        <v/>
      </c>
      <c r="AD104" s="88" t="str">
        <f t="shared" si="23"/>
        <v/>
      </c>
      <c r="AE104" s="77" t="str">
        <f t="shared" si="14"/>
        <v/>
      </c>
    </row>
    <row r="105" spans="2:31" x14ac:dyDescent="0.35">
      <c r="B105" s="2">
        <v>2010</v>
      </c>
      <c r="C105" s="2">
        <v>3</v>
      </c>
      <c r="D105" s="2">
        <v>8</v>
      </c>
      <c r="E105" s="78" t="str">
        <f>'CRU historical'!F104</f>
        <v xml:space="preserve"> </v>
      </c>
      <c r="F105" s="78">
        <f>'CRU historical'!I104</f>
        <v>51.25</v>
      </c>
      <c r="G105" s="78" t="str">
        <f>'CRU historical'!L104</f>
        <v xml:space="preserve"> </v>
      </c>
      <c r="H105" s="78" t="str">
        <f>'CRU historical'!O104</f>
        <v xml:space="preserve"> </v>
      </c>
      <c r="I105" s="78">
        <f>'CRU historical'!R104</f>
        <v>123</v>
      </c>
      <c r="J105" s="78">
        <f>AVERAGE('CRU historical'!U104, 'CRU historical'!X104, 'CRU historical'!AA104, 'CRU historical'!AD104)</f>
        <v>70.125</v>
      </c>
      <c r="L105" s="78" cm="1">
        <f t="array" ref="L105">IFERROR(SUMPRODUCT(('Sulphuric Acid freights'!$B$3:$B$513=B105)*('Sulphuric Acid freights'!$D$3:$D$513=D105)*('Sulphuric Acid freights'!$P$3:$P$513))/SUMPRODUCT(('Sulphuric Acid freights'!$B$3:$B$513=B105)*('Sulphuric Acid freights'!$D$3:$D$513=D105)*1), AVERAGE('Sulphuric Acid freights'!$P$3:$P$513))*2/3</f>
        <v>54.110671936758898</v>
      </c>
      <c r="M105" s="78" cm="1">
        <f t="array" ref="M105">IFERROR(SUMPRODUCT(('Sulphuric Acid freights'!$B$3:$B$513=B105)*('Sulphuric Acid freights'!$D$3:$D$513=D105)*('Sulphuric Acid freights'!$M$3:$M$513))/SUMPRODUCT(('Sulphuric Acid freights'!$B$3:$B$513=B105)*('Sulphuric Acid freights'!$D$3:$D$513=D105)*1)*2/3, AVERAGE('Sulphuric Acid freights'!$M$3:$M$513))</f>
        <v>23.573122529644269</v>
      </c>
      <c r="N105" s="78">
        <f t="shared" si="15"/>
        <v>48.699604743083007</v>
      </c>
      <c r="O105" s="78" cm="1">
        <f t="array" ref="O105">IF(SUMPRODUCT(('Sulphur freight'!$B$3:$B$1976=B105)*('Sulphur freight'!$D$3:$D$1976=D105)*('Sulphur freight'!$G$3:$G$1976))/SUMPRODUCT(('Sulphur freight'!$B$3:$B$1976=B105)*('Sulphur freight'!$D$3:$D$1976=D105)*1)=0, AVERAGE('Sulphur freight'!$G$3:$G$1976),SUMPRODUCT(('Sulphur freight'!$B$3:$B$1976=B105)*('Sulphur freight'!$D$3:$D$1976=D105)*('Sulphur freight'!$G$3:$G$1976))/SUMPRODUCT(('Sulphur freight'!$B$3:$B$1976=B105)*('Sulphur freight'!$D$3:$D$1976=D105)*1))</f>
        <v>28.25</v>
      </c>
      <c r="P105" s="78">
        <v>20</v>
      </c>
      <c r="R105" s="78" t="str">
        <f t="shared" si="16"/>
        <v xml:space="preserve"> </v>
      </c>
      <c r="S105" s="78">
        <f t="shared" si="17"/>
        <v>74.823122529644266</v>
      </c>
      <c r="T105" s="78" t="str">
        <f t="shared" si="12"/>
        <v/>
      </c>
      <c r="U105" s="78" t="str">
        <f t="shared" si="18"/>
        <v/>
      </c>
      <c r="V105" s="78">
        <f>IFERROR(I105+O105, "")</f>
        <v>151.25</v>
      </c>
      <c r="W105" s="78">
        <f t="shared" si="19"/>
        <v>90.125</v>
      </c>
      <c r="X105" s="78">
        <f t="shared" si="20"/>
        <v>67.912499999999994</v>
      </c>
      <c r="Y105" s="78">
        <f t="shared" si="21"/>
        <v>47.741250000000001</v>
      </c>
      <c r="AA105" s="88" t="str">
        <f t="shared" si="22"/>
        <v/>
      </c>
      <c r="AB105" s="77" t="str">
        <f t="shared" si="13"/>
        <v/>
      </c>
      <c r="AD105" s="88" t="str">
        <f t="shared" si="23"/>
        <v/>
      </c>
      <c r="AE105" s="77" t="str">
        <f t="shared" si="14"/>
        <v/>
      </c>
    </row>
    <row r="106" spans="2:31" x14ac:dyDescent="0.35">
      <c r="B106" s="2">
        <v>2010</v>
      </c>
      <c r="C106" s="2">
        <v>3</v>
      </c>
      <c r="D106" s="2">
        <v>9</v>
      </c>
      <c r="E106" s="78" t="str">
        <f>'CRU historical'!F105</f>
        <v xml:space="preserve"> </v>
      </c>
      <c r="F106" s="78">
        <f>'CRU historical'!I105</f>
        <v>55</v>
      </c>
      <c r="G106" s="78" t="str">
        <f>'CRU historical'!L105</f>
        <v xml:space="preserve"> </v>
      </c>
      <c r="H106" s="78" t="str">
        <f>'CRU historical'!O105</f>
        <v xml:space="preserve"> </v>
      </c>
      <c r="I106" s="78">
        <f>'CRU historical'!R105</f>
        <v>148.4</v>
      </c>
      <c r="J106" s="78">
        <f>AVERAGE('CRU historical'!U105, 'CRU historical'!X105, 'CRU historical'!AA105, 'CRU historical'!AD105)</f>
        <v>72</v>
      </c>
      <c r="L106" s="78" cm="1">
        <f t="array" ref="L106">IFERROR(SUMPRODUCT(('Sulphuric Acid freights'!$B$3:$B$513=B106)*('Sulphuric Acid freights'!$D$3:$D$513=D106)*('Sulphuric Acid freights'!$P$3:$P$513))/SUMPRODUCT(('Sulphuric Acid freights'!$B$3:$B$513=B106)*('Sulphuric Acid freights'!$D$3:$D$513=D106)*1), AVERAGE('Sulphuric Acid freights'!$P$3:$P$513))*2/3</f>
        <v>54.110671936758898</v>
      </c>
      <c r="M106" s="78" cm="1">
        <f t="array" ref="M106">IFERROR(SUMPRODUCT(('Sulphuric Acid freights'!$B$3:$B$513=B106)*('Sulphuric Acid freights'!$D$3:$D$513=D106)*('Sulphuric Acid freights'!$M$3:$M$513))/SUMPRODUCT(('Sulphuric Acid freights'!$B$3:$B$513=B106)*('Sulphuric Acid freights'!$D$3:$D$513=D106)*1)*2/3, AVERAGE('Sulphuric Acid freights'!$M$3:$M$513))</f>
        <v>23.573122529644269</v>
      </c>
      <c r="N106" s="78">
        <f t="shared" si="15"/>
        <v>48.699604743083007</v>
      </c>
      <c r="O106" s="78" cm="1">
        <f t="array" ref="O106">IF(SUMPRODUCT(('Sulphur freight'!$B$3:$B$1976=B106)*('Sulphur freight'!$D$3:$D$1976=D106)*('Sulphur freight'!$G$3:$G$1976))/SUMPRODUCT(('Sulphur freight'!$B$3:$B$1976=B106)*('Sulphur freight'!$D$3:$D$1976=D106)*1)=0, AVERAGE('Sulphur freight'!$G$3:$G$1976),SUMPRODUCT(('Sulphur freight'!$B$3:$B$1976=B106)*('Sulphur freight'!$D$3:$D$1976=D106)*('Sulphur freight'!$G$3:$G$1976))/SUMPRODUCT(('Sulphur freight'!$B$3:$B$1976=B106)*('Sulphur freight'!$D$3:$D$1976=D106)*1))</f>
        <v>29.6</v>
      </c>
      <c r="P106" s="78">
        <v>20</v>
      </c>
      <c r="R106" s="78" t="str">
        <f t="shared" si="16"/>
        <v xml:space="preserve"> </v>
      </c>
      <c r="S106" s="78">
        <f t="shared" si="17"/>
        <v>78.573122529644266</v>
      </c>
      <c r="T106" s="78" t="str">
        <f t="shared" si="12"/>
        <v/>
      </c>
      <c r="U106" s="78" t="str">
        <f t="shared" si="18"/>
        <v/>
      </c>
      <c r="V106" s="78">
        <f>IFERROR(I106+O106, "")</f>
        <v>178</v>
      </c>
      <c r="W106" s="78">
        <f t="shared" si="19"/>
        <v>92</v>
      </c>
      <c r="X106" s="78">
        <f t="shared" si="20"/>
        <v>76.740000000000009</v>
      </c>
      <c r="Y106" s="78">
        <f t="shared" si="21"/>
        <v>48.36</v>
      </c>
      <c r="AA106" s="88" t="str">
        <f t="shared" si="22"/>
        <v/>
      </c>
      <c r="AB106" s="77" t="str">
        <f t="shared" si="13"/>
        <v/>
      </c>
      <c r="AD106" s="88" t="str">
        <f t="shared" si="23"/>
        <v/>
      </c>
      <c r="AE106" s="77" t="str">
        <f t="shared" si="14"/>
        <v/>
      </c>
    </row>
    <row r="107" spans="2:31" x14ac:dyDescent="0.35">
      <c r="B107" s="2">
        <v>2010</v>
      </c>
      <c r="C107" s="2">
        <v>4</v>
      </c>
      <c r="D107" s="2">
        <v>10</v>
      </c>
      <c r="E107" s="78" t="str">
        <f>'CRU historical'!F106</f>
        <v xml:space="preserve"> </v>
      </c>
      <c r="F107" s="78">
        <f>'CRU historical'!I106</f>
        <v>55</v>
      </c>
      <c r="G107" s="78" t="str">
        <f>'CRU historical'!L106</f>
        <v xml:space="preserve"> </v>
      </c>
      <c r="H107" s="78" t="str">
        <f>'CRU historical'!O106</f>
        <v xml:space="preserve"> </v>
      </c>
      <c r="I107" s="78">
        <f>'CRU historical'!R106</f>
        <v>165.25</v>
      </c>
      <c r="J107" s="78">
        <f>AVERAGE('CRU historical'!U106, 'CRU historical'!X106, 'CRU historical'!AA106, 'CRU historical'!AD106)</f>
        <v>72</v>
      </c>
      <c r="L107" s="78" cm="1">
        <f t="array" ref="L107">IFERROR(SUMPRODUCT(('Sulphuric Acid freights'!$B$3:$B$513=B107)*('Sulphuric Acid freights'!$D$3:$D$513=D107)*('Sulphuric Acid freights'!$P$3:$P$513))/SUMPRODUCT(('Sulphuric Acid freights'!$B$3:$B$513=B107)*('Sulphuric Acid freights'!$D$3:$D$513=D107)*1), AVERAGE('Sulphuric Acid freights'!$P$3:$P$513))*2/3</f>
        <v>54.110671936758898</v>
      </c>
      <c r="M107" s="78" cm="1">
        <f t="array" ref="M107">IFERROR(SUMPRODUCT(('Sulphuric Acid freights'!$B$3:$B$513=B107)*('Sulphuric Acid freights'!$D$3:$D$513=D107)*('Sulphuric Acid freights'!$M$3:$M$513))/SUMPRODUCT(('Sulphuric Acid freights'!$B$3:$B$513=B107)*('Sulphuric Acid freights'!$D$3:$D$513=D107)*1)*2/3, AVERAGE('Sulphuric Acid freights'!$M$3:$M$513))</f>
        <v>23.573122529644269</v>
      </c>
      <c r="N107" s="78">
        <f t="shared" si="15"/>
        <v>48.699604743083007</v>
      </c>
      <c r="O107" s="78" cm="1">
        <f t="array" ref="O107">IF(SUMPRODUCT(('Sulphur freight'!$B$3:$B$1976=B107)*('Sulphur freight'!$D$3:$D$1976=D107)*('Sulphur freight'!$G$3:$G$1976))/SUMPRODUCT(('Sulphur freight'!$B$3:$B$1976=B107)*('Sulphur freight'!$D$3:$D$1976=D107)*1)=0, AVERAGE('Sulphur freight'!$G$3:$G$1976),SUMPRODUCT(('Sulphur freight'!$B$3:$B$1976=B107)*('Sulphur freight'!$D$3:$D$1976=D107)*('Sulphur freight'!$G$3:$G$1976))/SUMPRODUCT(('Sulphur freight'!$B$3:$B$1976=B107)*('Sulphur freight'!$D$3:$D$1976=D107)*1))</f>
        <v>28.25</v>
      </c>
      <c r="P107" s="78">
        <v>20</v>
      </c>
      <c r="R107" s="78" t="str">
        <f t="shared" si="16"/>
        <v xml:space="preserve"> </v>
      </c>
      <c r="S107" s="78">
        <f t="shared" si="17"/>
        <v>78.573122529644266</v>
      </c>
      <c r="T107" s="78" t="str">
        <f t="shared" si="12"/>
        <v/>
      </c>
      <c r="U107" s="78" t="str">
        <f t="shared" si="18"/>
        <v/>
      </c>
      <c r="V107" s="78">
        <f>IFERROR(I107+O107, "")</f>
        <v>193.5</v>
      </c>
      <c r="W107" s="78">
        <f t="shared" si="19"/>
        <v>92</v>
      </c>
      <c r="X107" s="78">
        <f t="shared" si="20"/>
        <v>81.855000000000004</v>
      </c>
      <c r="Y107" s="78">
        <f t="shared" si="21"/>
        <v>48.36</v>
      </c>
      <c r="AA107" s="88" t="str">
        <f t="shared" si="22"/>
        <v/>
      </c>
      <c r="AB107" s="77" t="str">
        <f t="shared" si="13"/>
        <v/>
      </c>
      <c r="AD107" s="88" t="str">
        <f t="shared" si="23"/>
        <v/>
      </c>
      <c r="AE107" s="77" t="str">
        <f t="shared" si="14"/>
        <v/>
      </c>
    </row>
    <row r="108" spans="2:31" x14ac:dyDescent="0.35">
      <c r="B108" s="2">
        <v>2010</v>
      </c>
      <c r="C108" s="2">
        <v>4</v>
      </c>
      <c r="D108" s="2">
        <v>11</v>
      </c>
      <c r="E108" s="78" t="str">
        <f>'CRU historical'!F107</f>
        <v xml:space="preserve"> </v>
      </c>
      <c r="F108" s="78">
        <f>'CRU historical'!I107</f>
        <v>70</v>
      </c>
      <c r="G108" s="78" t="str">
        <f>'CRU historical'!L107</f>
        <v xml:space="preserve"> </v>
      </c>
      <c r="H108" s="78" t="str">
        <f>'CRU historical'!O107</f>
        <v xml:space="preserve"> </v>
      </c>
      <c r="I108" s="78">
        <f>'CRU historical'!R107</f>
        <v>172.5</v>
      </c>
      <c r="J108" s="78">
        <f>AVERAGE('CRU historical'!U107, 'CRU historical'!X107, 'CRU historical'!AA107, 'CRU historical'!AD107)</f>
        <v>89.666666666666671</v>
      </c>
      <c r="L108" s="78" cm="1">
        <f t="array" ref="L108">IFERROR(SUMPRODUCT(('Sulphuric Acid freights'!$B$3:$B$513=B108)*('Sulphuric Acid freights'!$D$3:$D$513=D108)*('Sulphuric Acid freights'!$P$3:$P$513))/SUMPRODUCT(('Sulphuric Acid freights'!$B$3:$B$513=B108)*('Sulphuric Acid freights'!$D$3:$D$513=D108)*1), AVERAGE('Sulphuric Acid freights'!$P$3:$P$513))*2/3</f>
        <v>54.110671936758898</v>
      </c>
      <c r="M108" s="78" cm="1">
        <f t="array" ref="M108">IFERROR(SUMPRODUCT(('Sulphuric Acid freights'!$B$3:$B$513=B108)*('Sulphuric Acid freights'!$D$3:$D$513=D108)*('Sulphuric Acid freights'!$M$3:$M$513))/SUMPRODUCT(('Sulphuric Acid freights'!$B$3:$B$513=B108)*('Sulphuric Acid freights'!$D$3:$D$513=D108)*1)*2/3, AVERAGE('Sulphuric Acid freights'!$M$3:$M$513))</f>
        <v>23.573122529644269</v>
      </c>
      <c r="N108" s="78">
        <f t="shared" si="15"/>
        <v>48.699604743083007</v>
      </c>
      <c r="O108" s="78" cm="1">
        <f t="array" ref="O108">IF(SUMPRODUCT(('Sulphur freight'!$B$3:$B$1976=B108)*('Sulphur freight'!$D$3:$D$1976=D108)*('Sulphur freight'!$G$3:$G$1976))/SUMPRODUCT(('Sulphur freight'!$B$3:$B$1976=B108)*('Sulphur freight'!$D$3:$D$1976=D108)*1)=0, AVERAGE('Sulphur freight'!$G$3:$G$1976),SUMPRODUCT(('Sulphur freight'!$B$3:$B$1976=B108)*('Sulphur freight'!$D$3:$D$1976=D108)*('Sulphur freight'!$G$3:$G$1976))/SUMPRODUCT(('Sulphur freight'!$B$3:$B$1976=B108)*('Sulphur freight'!$D$3:$D$1976=D108)*1))</f>
        <v>26.75</v>
      </c>
      <c r="P108" s="78">
        <v>20</v>
      </c>
      <c r="R108" s="78" t="str">
        <f t="shared" si="16"/>
        <v xml:space="preserve"> </v>
      </c>
      <c r="S108" s="78">
        <f t="shared" si="17"/>
        <v>93.573122529644266</v>
      </c>
      <c r="T108" s="78" t="str">
        <f t="shared" si="12"/>
        <v/>
      </c>
      <c r="U108" s="78" t="str">
        <f t="shared" si="18"/>
        <v/>
      </c>
      <c r="V108" s="78">
        <f>IFERROR(I108+O108, "")</f>
        <v>199.25</v>
      </c>
      <c r="W108" s="78">
        <f t="shared" si="19"/>
        <v>109.66666666666667</v>
      </c>
      <c r="X108" s="78">
        <f t="shared" si="20"/>
        <v>83.752499999999998</v>
      </c>
      <c r="Y108" s="78">
        <f t="shared" si="21"/>
        <v>54.190000000000005</v>
      </c>
      <c r="AA108" s="88" t="str">
        <f t="shared" si="22"/>
        <v/>
      </c>
      <c r="AB108" s="77" t="str">
        <f t="shared" si="13"/>
        <v/>
      </c>
      <c r="AD108" s="88" t="str">
        <f t="shared" si="23"/>
        <v/>
      </c>
      <c r="AE108" s="77" t="str">
        <f t="shared" si="14"/>
        <v/>
      </c>
    </row>
    <row r="109" spans="2:31" x14ac:dyDescent="0.35">
      <c r="B109" s="2">
        <v>2010</v>
      </c>
      <c r="C109" s="2">
        <v>4</v>
      </c>
      <c r="D109" s="2">
        <v>12</v>
      </c>
      <c r="E109" s="78" t="str">
        <f>'CRU historical'!F108</f>
        <v xml:space="preserve"> </v>
      </c>
      <c r="F109" s="78">
        <f>'CRU historical'!I108</f>
        <v>75</v>
      </c>
      <c r="G109" s="78" t="str">
        <f>'CRU historical'!L108</f>
        <v xml:space="preserve"> </v>
      </c>
      <c r="H109" s="78" t="str">
        <f>'CRU historical'!O108</f>
        <v xml:space="preserve"> </v>
      </c>
      <c r="I109" s="78">
        <f>'CRU historical'!R108</f>
        <v>159</v>
      </c>
      <c r="J109" s="78">
        <f>AVERAGE('CRU historical'!U108, 'CRU historical'!X108, 'CRU historical'!AA108, 'CRU historical'!AD108)</f>
        <v>89.666666666666671</v>
      </c>
      <c r="L109" s="78" cm="1">
        <f t="array" ref="L109">IFERROR(SUMPRODUCT(('Sulphuric Acid freights'!$B$3:$B$513=B109)*('Sulphuric Acid freights'!$D$3:$D$513=D109)*('Sulphuric Acid freights'!$P$3:$P$513))/SUMPRODUCT(('Sulphuric Acid freights'!$B$3:$B$513=B109)*('Sulphuric Acid freights'!$D$3:$D$513=D109)*1), AVERAGE('Sulphuric Acid freights'!$P$3:$P$513))*2/3</f>
        <v>54.110671936758898</v>
      </c>
      <c r="M109" s="78" cm="1">
        <f t="array" ref="M109">IFERROR(SUMPRODUCT(('Sulphuric Acid freights'!$B$3:$B$513=B109)*('Sulphuric Acid freights'!$D$3:$D$513=D109)*('Sulphuric Acid freights'!$M$3:$M$513))/SUMPRODUCT(('Sulphuric Acid freights'!$B$3:$B$513=B109)*('Sulphuric Acid freights'!$D$3:$D$513=D109)*1)*2/3, AVERAGE('Sulphuric Acid freights'!$M$3:$M$513))</f>
        <v>23.573122529644269</v>
      </c>
      <c r="N109" s="78">
        <f t="shared" si="15"/>
        <v>48.699604743083007</v>
      </c>
      <c r="O109" s="78" cm="1">
        <f t="array" ref="O109">IF(SUMPRODUCT(('Sulphur freight'!$B$3:$B$1976=B109)*('Sulphur freight'!$D$3:$D$1976=D109)*('Sulphur freight'!$G$3:$G$1976))/SUMPRODUCT(('Sulphur freight'!$B$3:$B$1976=B109)*('Sulphur freight'!$D$3:$D$1976=D109)*1)=0, AVERAGE('Sulphur freight'!$G$3:$G$1976),SUMPRODUCT(('Sulphur freight'!$B$3:$B$1976=B109)*('Sulphur freight'!$D$3:$D$1976=D109)*('Sulphur freight'!$G$3:$G$1976))/SUMPRODUCT(('Sulphur freight'!$B$3:$B$1976=B109)*('Sulphur freight'!$D$3:$D$1976=D109)*1))</f>
        <v>27</v>
      </c>
      <c r="P109" s="78">
        <v>20</v>
      </c>
      <c r="R109" s="78" t="str">
        <f t="shared" si="16"/>
        <v xml:space="preserve"> </v>
      </c>
      <c r="S109" s="78">
        <f t="shared" si="17"/>
        <v>98.573122529644266</v>
      </c>
      <c r="T109" s="78" t="str">
        <f t="shared" si="12"/>
        <v/>
      </c>
      <c r="U109" s="78" t="str">
        <f t="shared" si="18"/>
        <v/>
      </c>
      <c r="V109" s="78">
        <f>IFERROR(I109+O109, "")</f>
        <v>186</v>
      </c>
      <c r="W109" s="78">
        <f t="shared" si="19"/>
        <v>109.66666666666667</v>
      </c>
      <c r="X109" s="78">
        <f t="shared" si="20"/>
        <v>79.38</v>
      </c>
      <c r="Y109" s="78">
        <f t="shared" si="21"/>
        <v>54.190000000000005</v>
      </c>
      <c r="AA109" s="88" t="str">
        <f t="shared" si="22"/>
        <v/>
      </c>
      <c r="AB109" s="77" t="str">
        <f t="shared" si="13"/>
        <v/>
      </c>
      <c r="AD109" s="88" t="str">
        <f t="shared" si="23"/>
        <v/>
      </c>
      <c r="AE109" s="77" t="str">
        <f t="shared" si="14"/>
        <v/>
      </c>
    </row>
    <row r="110" spans="2:31" x14ac:dyDescent="0.35">
      <c r="B110" s="2">
        <v>2011</v>
      </c>
      <c r="C110" s="2">
        <v>1</v>
      </c>
      <c r="D110" s="2">
        <v>1</v>
      </c>
      <c r="E110" s="78" t="str">
        <f>'CRU historical'!F109</f>
        <v xml:space="preserve"> </v>
      </c>
      <c r="F110" s="78">
        <f>'CRU historical'!I109</f>
        <v>76.25</v>
      </c>
      <c r="G110" s="78" t="str">
        <f>'CRU historical'!L109</f>
        <v xml:space="preserve"> </v>
      </c>
      <c r="H110" s="78" t="str">
        <f>'CRU historical'!O109</f>
        <v xml:space="preserve"> </v>
      </c>
      <c r="I110" s="78">
        <f>'CRU historical'!R109</f>
        <v>156.25</v>
      </c>
      <c r="J110" s="78">
        <f>AVERAGE('CRU historical'!U109, 'CRU historical'!X109, 'CRU historical'!AA109, 'CRU historical'!AD109)</f>
        <v>132.41666666666666</v>
      </c>
      <c r="L110" s="78" cm="1">
        <f t="array" ref="L110">IFERROR(SUMPRODUCT(('Sulphuric Acid freights'!$B$3:$B$513=B110)*('Sulphuric Acid freights'!$D$3:$D$513=D110)*('Sulphuric Acid freights'!$P$3:$P$513))/SUMPRODUCT(('Sulphuric Acid freights'!$B$3:$B$513=B110)*('Sulphuric Acid freights'!$D$3:$D$513=D110)*1), AVERAGE('Sulphuric Acid freights'!$P$3:$P$513))*2/3</f>
        <v>54.110671936758898</v>
      </c>
      <c r="M110" s="78" cm="1">
        <f t="array" ref="M110">IFERROR(SUMPRODUCT(('Sulphuric Acid freights'!$B$3:$B$513=B110)*('Sulphuric Acid freights'!$D$3:$D$513=D110)*('Sulphuric Acid freights'!$M$3:$M$513))/SUMPRODUCT(('Sulphuric Acid freights'!$B$3:$B$513=B110)*('Sulphuric Acid freights'!$D$3:$D$513=D110)*1)*2/3, AVERAGE('Sulphuric Acid freights'!$M$3:$M$513))</f>
        <v>23.573122529644269</v>
      </c>
      <c r="N110" s="78">
        <f t="shared" si="15"/>
        <v>48.699604743083007</v>
      </c>
      <c r="O110" s="78" cm="1">
        <f t="array" ref="O110">IF(SUMPRODUCT(('Sulphur freight'!$B$3:$B$1976=B110)*('Sulphur freight'!$D$3:$D$1976=D110)*('Sulphur freight'!$G$3:$G$1976))/SUMPRODUCT(('Sulphur freight'!$B$3:$B$1976=B110)*('Sulphur freight'!$D$3:$D$1976=D110)*1)=0, AVERAGE('Sulphur freight'!$G$3:$G$1976),SUMPRODUCT(('Sulphur freight'!$B$3:$B$1976=B110)*('Sulphur freight'!$D$3:$D$1976=D110)*('Sulphur freight'!$G$3:$G$1976))/SUMPRODUCT(('Sulphur freight'!$B$3:$B$1976=B110)*('Sulphur freight'!$D$3:$D$1976=D110)*1))</f>
        <v>26.5</v>
      </c>
      <c r="P110" s="78">
        <v>20</v>
      </c>
      <c r="R110" s="78" t="str">
        <f t="shared" si="16"/>
        <v xml:space="preserve"> </v>
      </c>
      <c r="S110" s="78">
        <f t="shared" si="17"/>
        <v>99.823122529644266</v>
      </c>
      <c r="T110" s="78" t="str">
        <f t="shared" si="12"/>
        <v/>
      </c>
      <c r="U110" s="78" t="str">
        <f t="shared" si="18"/>
        <v/>
      </c>
      <c r="V110" s="78">
        <f>IFERROR(I110+O110, "")</f>
        <v>182.75</v>
      </c>
      <c r="W110" s="78">
        <f t="shared" si="19"/>
        <v>152.41666666666666</v>
      </c>
      <c r="X110" s="78">
        <f t="shared" si="20"/>
        <v>78.307500000000005</v>
      </c>
      <c r="Y110" s="78">
        <f t="shared" si="21"/>
        <v>68.297499999999999</v>
      </c>
      <c r="AA110" s="88" t="str">
        <f t="shared" si="22"/>
        <v/>
      </c>
      <c r="AB110" s="77" t="str">
        <f t="shared" si="13"/>
        <v/>
      </c>
      <c r="AD110" s="88" t="str">
        <f t="shared" si="23"/>
        <v/>
      </c>
      <c r="AE110" s="77" t="str">
        <f t="shared" si="14"/>
        <v/>
      </c>
    </row>
    <row r="111" spans="2:31" x14ac:dyDescent="0.35">
      <c r="B111" s="2">
        <v>2011</v>
      </c>
      <c r="C111" s="2">
        <v>1</v>
      </c>
      <c r="D111" s="2">
        <v>2</v>
      </c>
      <c r="E111" s="78" t="str">
        <f>'CRU historical'!F110</f>
        <v xml:space="preserve"> </v>
      </c>
      <c r="F111" s="78">
        <f>'CRU historical'!I110</f>
        <v>80</v>
      </c>
      <c r="G111" s="78" t="str">
        <f>'CRU historical'!L110</f>
        <v xml:space="preserve"> </v>
      </c>
      <c r="H111" s="78" t="str">
        <f>'CRU historical'!O110</f>
        <v xml:space="preserve"> </v>
      </c>
      <c r="I111" s="78">
        <f>'CRU historical'!R110</f>
        <v>184.75</v>
      </c>
      <c r="J111" s="78">
        <f>AVERAGE('CRU historical'!U110, 'CRU historical'!X110, 'CRU historical'!AA110, 'CRU historical'!AD110)</f>
        <v>150.66666666666666</v>
      </c>
      <c r="L111" s="78" cm="1">
        <f t="array" ref="L111">IFERROR(SUMPRODUCT(('Sulphuric Acid freights'!$B$3:$B$513=B111)*('Sulphuric Acid freights'!$D$3:$D$513=D111)*('Sulphuric Acid freights'!$P$3:$P$513))/SUMPRODUCT(('Sulphuric Acid freights'!$B$3:$B$513=B111)*('Sulphuric Acid freights'!$D$3:$D$513=D111)*1), AVERAGE('Sulphuric Acid freights'!$P$3:$P$513))*2/3</f>
        <v>54.110671936758898</v>
      </c>
      <c r="M111" s="78" cm="1">
        <f t="array" ref="M111">IFERROR(SUMPRODUCT(('Sulphuric Acid freights'!$B$3:$B$513=B111)*('Sulphuric Acid freights'!$D$3:$D$513=D111)*('Sulphuric Acid freights'!$M$3:$M$513))/SUMPRODUCT(('Sulphuric Acid freights'!$B$3:$B$513=B111)*('Sulphuric Acid freights'!$D$3:$D$513=D111)*1)*2/3, AVERAGE('Sulphuric Acid freights'!$M$3:$M$513))</f>
        <v>23.573122529644269</v>
      </c>
      <c r="N111" s="78">
        <f t="shared" si="15"/>
        <v>48.699604743083007</v>
      </c>
      <c r="O111" s="78" cm="1">
        <f t="array" ref="O111">IF(SUMPRODUCT(('Sulphur freight'!$B$3:$B$1976=B111)*('Sulphur freight'!$D$3:$D$1976=D111)*('Sulphur freight'!$G$3:$G$1976))/SUMPRODUCT(('Sulphur freight'!$B$3:$B$1976=B111)*('Sulphur freight'!$D$3:$D$1976=D111)*1)=0, AVERAGE('Sulphur freight'!$G$3:$G$1976),SUMPRODUCT(('Sulphur freight'!$B$3:$B$1976=B111)*('Sulphur freight'!$D$3:$D$1976=D111)*('Sulphur freight'!$G$3:$G$1976))/SUMPRODUCT(('Sulphur freight'!$B$3:$B$1976=B111)*('Sulphur freight'!$D$3:$D$1976=D111)*1))</f>
        <v>26.75</v>
      </c>
      <c r="P111" s="78">
        <v>20</v>
      </c>
      <c r="R111" s="78" t="str">
        <f t="shared" si="16"/>
        <v xml:space="preserve"> </v>
      </c>
      <c r="S111" s="78">
        <f t="shared" si="17"/>
        <v>103.57312252964427</v>
      </c>
      <c r="T111" s="78" t="str">
        <f t="shared" si="12"/>
        <v/>
      </c>
      <c r="U111" s="78" t="str">
        <f t="shared" si="18"/>
        <v/>
      </c>
      <c r="V111" s="78">
        <f>IFERROR(I111+O111, "")</f>
        <v>211.5</v>
      </c>
      <c r="W111" s="78">
        <f t="shared" si="19"/>
        <v>170.66666666666666</v>
      </c>
      <c r="X111" s="78">
        <f t="shared" si="20"/>
        <v>87.795000000000002</v>
      </c>
      <c r="Y111" s="78">
        <f t="shared" si="21"/>
        <v>74.319999999999993</v>
      </c>
      <c r="AA111" s="88" t="str">
        <f t="shared" si="22"/>
        <v/>
      </c>
      <c r="AB111" s="77" t="str">
        <f t="shared" si="13"/>
        <v/>
      </c>
      <c r="AD111" s="88" t="str">
        <f t="shared" si="23"/>
        <v/>
      </c>
      <c r="AE111" s="77" t="str">
        <f t="shared" si="14"/>
        <v/>
      </c>
    </row>
    <row r="112" spans="2:31" x14ac:dyDescent="0.35">
      <c r="B112" s="2">
        <v>2011</v>
      </c>
      <c r="C112" s="2">
        <v>1</v>
      </c>
      <c r="D112" s="2">
        <v>3</v>
      </c>
      <c r="E112" s="78" t="str">
        <f>'CRU historical'!F111</f>
        <v xml:space="preserve"> </v>
      </c>
      <c r="F112" s="78">
        <f>'CRU historical'!I111</f>
        <v>83</v>
      </c>
      <c r="G112" s="78" t="str">
        <f>'CRU historical'!L111</f>
        <v xml:space="preserve"> </v>
      </c>
      <c r="H112" s="78" t="str">
        <f>'CRU historical'!O111</f>
        <v xml:space="preserve"> </v>
      </c>
      <c r="I112" s="78">
        <f>'CRU historical'!R111</f>
        <v>196.8</v>
      </c>
      <c r="J112" s="78">
        <f>AVERAGE('CRU historical'!U111, 'CRU historical'!X111, 'CRU historical'!AA111, 'CRU historical'!AD111)</f>
        <v>174.5</v>
      </c>
      <c r="L112" s="78" cm="1">
        <f t="array" ref="L112">IFERROR(SUMPRODUCT(('Sulphuric Acid freights'!$B$3:$B$513=B112)*('Sulphuric Acid freights'!$D$3:$D$513=D112)*('Sulphuric Acid freights'!$P$3:$P$513))/SUMPRODUCT(('Sulphuric Acid freights'!$B$3:$B$513=B112)*('Sulphuric Acid freights'!$D$3:$D$513=D112)*1), AVERAGE('Sulphuric Acid freights'!$P$3:$P$513))*2/3</f>
        <v>54.110671936758898</v>
      </c>
      <c r="M112" s="78" cm="1">
        <f t="array" ref="M112">IFERROR(SUMPRODUCT(('Sulphuric Acid freights'!$B$3:$B$513=B112)*('Sulphuric Acid freights'!$D$3:$D$513=D112)*('Sulphuric Acid freights'!$M$3:$M$513))/SUMPRODUCT(('Sulphuric Acid freights'!$B$3:$B$513=B112)*('Sulphuric Acid freights'!$D$3:$D$513=D112)*1)*2/3, AVERAGE('Sulphuric Acid freights'!$M$3:$M$513))</f>
        <v>23.573122529644269</v>
      </c>
      <c r="N112" s="78">
        <f t="shared" si="15"/>
        <v>48.699604743083007</v>
      </c>
      <c r="O112" s="78" cm="1">
        <f t="array" ref="O112">IF(SUMPRODUCT(('Sulphur freight'!$B$3:$B$1976=B112)*('Sulphur freight'!$D$3:$D$1976=D112)*('Sulphur freight'!$G$3:$G$1976))/SUMPRODUCT(('Sulphur freight'!$B$3:$B$1976=B112)*('Sulphur freight'!$D$3:$D$1976=D112)*1)=0, AVERAGE('Sulphur freight'!$G$3:$G$1976),SUMPRODUCT(('Sulphur freight'!$B$3:$B$1976=B112)*('Sulphur freight'!$D$3:$D$1976=D112)*('Sulphur freight'!$G$3:$G$1976))/SUMPRODUCT(('Sulphur freight'!$B$3:$B$1976=B112)*('Sulphur freight'!$D$3:$D$1976=D112)*1))</f>
        <v>29.2</v>
      </c>
      <c r="P112" s="78">
        <v>20</v>
      </c>
      <c r="R112" s="78" t="str">
        <f t="shared" si="16"/>
        <v xml:space="preserve"> </v>
      </c>
      <c r="S112" s="78">
        <f t="shared" si="17"/>
        <v>106.57312252964427</v>
      </c>
      <c r="T112" s="78" t="str">
        <f t="shared" si="12"/>
        <v/>
      </c>
      <c r="U112" s="78" t="str">
        <f t="shared" si="18"/>
        <v/>
      </c>
      <c r="V112" s="78">
        <f>IFERROR(I112+O112, "")</f>
        <v>226</v>
      </c>
      <c r="W112" s="78">
        <f t="shared" si="19"/>
        <v>194.5</v>
      </c>
      <c r="X112" s="78">
        <f t="shared" si="20"/>
        <v>92.58</v>
      </c>
      <c r="Y112" s="78">
        <f t="shared" si="21"/>
        <v>82.185000000000002</v>
      </c>
      <c r="AA112" s="88" t="str">
        <f t="shared" si="22"/>
        <v/>
      </c>
      <c r="AB112" s="77" t="str">
        <f t="shared" si="13"/>
        <v/>
      </c>
      <c r="AD112" s="88" t="str">
        <f t="shared" si="23"/>
        <v/>
      </c>
      <c r="AE112" s="77" t="str">
        <f t="shared" si="14"/>
        <v/>
      </c>
    </row>
    <row r="113" spans="2:31" x14ac:dyDescent="0.35">
      <c r="B113" s="2">
        <v>2011</v>
      </c>
      <c r="C113" s="2">
        <v>2</v>
      </c>
      <c r="D113" s="2">
        <v>4</v>
      </c>
      <c r="E113" s="78" t="str">
        <f>'CRU historical'!F112</f>
        <v xml:space="preserve"> </v>
      </c>
      <c r="F113" s="78">
        <f>'CRU historical'!I112</f>
        <v>95</v>
      </c>
      <c r="G113" s="78" t="str">
        <f>'CRU historical'!L112</f>
        <v xml:space="preserve"> </v>
      </c>
      <c r="H113" s="78" t="str">
        <f>'CRU historical'!O112</f>
        <v xml:space="preserve"> </v>
      </c>
      <c r="I113" s="78">
        <f>'CRU historical'!R112</f>
        <v>200.25</v>
      </c>
      <c r="J113" s="78">
        <f>AVERAGE('CRU historical'!U112, 'CRU historical'!X112, 'CRU historical'!AA112, 'CRU historical'!AD112)</f>
        <v>191</v>
      </c>
      <c r="L113" s="78" cm="1">
        <f t="array" ref="L113">IFERROR(SUMPRODUCT(('Sulphuric Acid freights'!$B$3:$B$513=B113)*('Sulphuric Acid freights'!$D$3:$D$513=D113)*('Sulphuric Acid freights'!$P$3:$P$513))/SUMPRODUCT(('Sulphuric Acid freights'!$B$3:$B$513=B113)*('Sulphuric Acid freights'!$D$3:$D$513=D113)*1), AVERAGE('Sulphuric Acid freights'!$P$3:$P$513))*2/3</f>
        <v>54.110671936758898</v>
      </c>
      <c r="M113" s="78" cm="1">
        <f t="array" ref="M113">IFERROR(SUMPRODUCT(('Sulphuric Acid freights'!$B$3:$B$513=B113)*('Sulphuric Acid freights'!$D$3:$D$513=D113)*('Sulphuric Acid freights'!$M$3:$M$513))/SUMPRODUCT(('Sulphuric Acid freights'!$B$3:$B$513=B113)*('Sulphuric Acid freights'!$D$3:$D$513=D113)*1)*2/3, AVERAGE('Sulphuric Acid freights'!$M$3:$M$513))</f>
        <v>23.573122529644269</v>
      </c>
      <c r="N113" s="78">
        <f t="shared" si="15"/>
        <v>48.699604743083007</v>
      </c>
      <c r="O113" s="78" cm="1">
        <f t="array" ref="O113">IF(SUMPRODUCT(('Sulphur freight'!$B$3:$B$1976=B113)*('Sulphur freight'!$D$3:$D$1976=D113)*('Sulphur freight'!$G$3:$G$1976))/SUMPRODUCT(('Sulphur freight'!$B$3:$B$1976=B113)*('Sulphur freight'!$D$3:$D$1976=D113)*1)=0, AVERAGE('Sulphur freight'!$G$3:$G$1976),SUMPRODUCT(('Sulphur freight'!$B$3:$B$1976=B113)*('Sulphur freight'!$D$3:$D$1976=D113)*('Sulphur freight'!$G$3:$G$1976))/SUMPRODUCT(('Sulphur freight'!$B$3:$B$1976=B113)*('Sulphur freight'!$D$3:$D$1976=D113)*1))</f>
        <v>32</v>
      </c>
      <c r="P113" s="78">
        <v>20</v>
      </c>
      <c r="R113" s="78" t="str">
        <f t="shared" si="16"/>
        <v xml:space="preserve"> </v>
      </c>
      <c r="S113" s="78">
        <f t="shared" si="17"/>
        <v>118.57312252964427</v>
      </c>
      <c r="T113" s="78" t="str">
        <f t="shared" si="12"/>
        <v/>
      </c>
      <c r="U113" s="78" t="str">
        <f t="shared" si="18"/>
        <v/>
      </c>
      <c r="V113" s="78">
        <f>IFERROR(I113+O113, "")</f>
        <v>232.25</v>
      </c>
      <c r="W113" s="78">
        <f t="shared" si="19"/>
        <v>211</v>
      </c>
      <c r="X113" s="78">
        <f t="shared" si="20"/>
        <v>94.642499999999998</v>
      </c>
      <c r="Y113" s="78">
        <f t="shared" si="21"/>
        <v>87.63000000000001</v>
      </c>
      <c r="AA113" s="88" t="str">
        <f t="shared" si="22"/>
        <v/>
      </c>
      <c r="AB113" s="77" t="str">
        <f t="shared" si="13"/>
        <v/>
      </c>
      <c r="AD113" s="88" t="str">
        <f t="shared" si="23"/>
        <v/>
      </c>
      <c r="AE113" s="77" t="str">
        <f t="shared" si="14"/>
        <v/>
      </c>
    </row>
    <row r="114" spans="2:31" x14ac:dyDescent="0.35">
      <c r="B114" s="2">
        <v>2011</v>
      </c>
      <c r="C114" s="2">
        <v>2</v>
      </c>
      <c r="D114" s="2">
        <v>5</v>
      </c>
      <c r="E114" s="78" t="str">
        <f>'CRU historical'!F113</f>
        <v xml:space="preserve"> </v>
      </c>
      <c r="F114" s="78">
        <f>'CRU historical'!I113</f>
        <v>95</v>
      </c>
      <c r="G114" s="78" t="str">
        <f>'CRU historical'!L113</f>
        <v xml:space="preserve"> </v>
      </c>
      <c r="H114" s="78" t="str">
        <f>'CRU historical'!O113</f>
        <v xml:space="preserve"> </v>
      </c>
      <c r="I114" s="78">
        <f>'CRU historical'!R113</f>
        <v>212</v>
      </c>
      <c r="J114" s="78">
        <f>AVERAGE('CRU historical'!U113, 'CRU historical'!X113, 'CRU historical'!AA113, 'CRU historical'!AD113)</f>
        <v>196.5</v>
      </c>
      <c r="L114" s="78" cm="1">
        <f t="array" ref="L114">IFERROR(SUMPRODUCT(('Sulphuric Acid freights'!$B$3:$B$513=B114)*('Sulphuric Acid freights'!$D$3:$D$513=D114)*('Sulphuric Acid freights'!$P$3:$P$513))/SUMPRODUCT(('Sulphuric Acid freights'!$B$3:$B$513=B114)*('Sulphuric Acid freights'!$D$3:$D$513=D114)*1), AVERAGE('Sulphuric Acid freights'!$P$3:$P$513))*2/3</f>
        <v>54.110671936758898</v>
      </c>
      <c r="M114" s="78" cm="1">
        <f t="array" ref="M114">IFERROR(SUMPRODUCT(('Sulphuric Acid freights'!$B$3:$B$513=B114)*('Sulphuric Acid freights'!$D$3:$D$513=D114)*('Sulphuric Acid freights'!$M$3:$M$513))/SUMPRODUCT(('Sulphuric Acid freights'!$B$3:$B$513=B114)*('Sulphuric Acid freights'!$D$3:$D$513=D114)*1)*2/3, AVERAGE('Sulphuric Acid freights'!$M$3:$M$513))</f>
        <v>23.573122529644269</v>
      </c>
      <c r="N114" s="78">
        <f t="shared" si="15"/>
        <v>48.699604743083007</v>
      </c>
      <c r="O114" s="78" cm="1">
        <f t="array" ref="O114">IF(SUMPRODUCT(('Sulphur freight'!$B$3:$B$1976=B114)*('Sulphur freight'!$D$3:$D$1976=D114)*('Sulphur freight'!$G$3:$G$1976))/SUMPRODUCT(('Sulphur freight'!$B$3:$B$1976=B114)*('Sulphur freight'!$D$3:$D$1976=D114)*1)=0, AVERAGE('Sulphur freight'!$G$3:$G$1976),SUMPRODUCT(('Sulphur freight'!$B$3:$B$1976=B114)*('Sulphur freight'!$D$3:$D$1976=D114)*('Sulphur freight'!$G$3:$G$1976))/SUMPRODUCT(('Sulphur freight'!$B$3:$B$1976=B114)*('Sulphur freight'!$D$3:$D$1976=D114)*1))</f>
        <v>32.75</v>
      </c>
      <c r="P114" s="78">
        <v>20</v>
      </c>
      <c r="R114" s="78" t="str">
        <f t="shared" si="16"/>
        <v xml:space="preserve"> </v>
      </c>
      <c r="S114" s="78">
        <f t="shared" si="17"/>
        <v>118.57312252964427</v>
      </c>
      <c r="T114" s="78" t="str">
        <f t="shared" si="12"/>
        <v/>
      </c>
      <c r="U114" s="78" t="str">
        <f t="shared" si="18"/>
        <v/>
      </c>
      <c r="V114" s="78">
        <f>IFERROR(I114+O114, "")</f>
        <v>244.75</v>
      </c>
      <c r="W114" s="78">
        <f t="shared" si="19"/>
        <v>216.5</v>
      </c>
      <c r="X114" s="78">
        <f t="shared" si="20"/>
        <v>98.767499999999998</v>
      </c>
      <c r="Y114" s="78">
        <f t="shared" si="21"/>
        <v>89.445000000000007</v>
      </c>
      <c r="AA114" s="88" t="str">
        <f t="shared" si="22"/>
        <v/>
      </c>
      <c r="AB114" s="77" t="str">
        <f t="shared" si="13"/>
        <v/>
      </c>
      <c r="AD114" s="88" t="str">
        <f t="shared" si="23"/>
        <v/>
      </c>
      <c r="AE114" s="77" t="str">
        <f t="shared" si="14"/>
        <v/>
      </c>
    </row>
    <row r="115" spans="2:31" x14ac:dyDescent="0.35">
      <c r="B115" s="2">
        <v>2011</v>
      </c>
      <c r="C115" s="2">
        <v>2</v>
      </c>
      <c r="D115" s="2">
        <v>6</v>
      </c>
      <c r="E115" s="78" t="str">
        <f>'CRU historical'!F114</f>
        <v xml:space="preserve"> </v>
      </c>
      <c r="F115" s="78">
        <f>'CRU historical'!I114</f>
        <v>99</v>
      </c>
      <c r="G115" s="78" t="str">
        <f>'CRU historical'!L114</f>
        <v xml:space="preserve"> </v>
      </c>
      <c r="H115" s="78" t="str">
        <f>'CRU historical'!O114</f>
        <v xml:space="preserve"> </v>
      </c>
      <c r="I115" s="78">
        <f>'CRU historical'!R114</f>
        <v>220</v>
      </c>
      <c r="J115" s="78">
        <f>AVERAGE('CRU historical'!U114, 'CRU historical'!X114, 'CRU historical'!AA114, 'CRU historical'!AD114)</f>
        <v>196.5</v>
      </c>
      <c r="L115" s="78" cm="1">
        <f t="array" ref="L115">IFERROR(SUMPRODUCT(('Sulphuric Acid freights'!$B$3:$B$513=B115)*('Sulphuric Acid freights'!$D$3:$D$513=D115)*('Sulphuric Acid freights'!$P$3:$P$513))/SUMPRODUCT(('Sulphuric Acid freights'!$B$3:$B$513=B115)*('Sulphuric Acid freights'!$D$3:$D$513=D115)*1), AVERAGE('Sulphuric Acid freights'!$P$3:$P$513))*2/3</f>
        <v>54.110671936758898</v>
      </c>
      <c r="M115" s="78" cm="1">
        <f t="array" ref="M115">IFERROR(SUMPRODUCT(('Sulphuric Acid freights'!$B$3:$B$513=B115)*('Sulphuric Acid freights'!$D$3:$D$513=D115)*('Sulphuric Acid freights'!$M$3:$M$513))/SUMPRODUCT(('Sulphuric Acid freights'!$B$3:$B$513=B115)*('Sulphuric Acid freights'!$D$3:$D$513=D115)*1)*2/3, AVERAGE('Sulphuric Acid freights'!$M$3:$M$513))</f>
        <v>23.573122529644269</v>
      </c>
      <c r="N115" s="78">
        <f t="shared" si="15"/>
        <v>48.699604743083007</v>
      </c>
      <c r="O115" s="78" cm="1">
        <f t="array" ref="O115">IF(SUMPRODUCT(('Sulphur freight'!$B$3:$B$1976=B115)*('Sulphur freight'!$D$3:$D$1976=D115)*('Sulphur freight'!$G$3:$G$1976))/SUMPRODUCT(('Sulphur freight'!$B$3:$B$1976=B115)*('Sulphur freight'!$D$3:$D$1976=D115)*1)=0, AVERAGE('Sulphur freight'!$G$3:$G$1976),SUMPRODUCT(('Sulphur freight'!$B$3:$B$1976=B115)*('Sulphur freight'!$D$3:$D$1976=D115)*('Sulphur freight'!$G$3:$G$1976))/SUMPRODUCT(('Sulphur freight'!$B$3:$B$1976=B115)*('Sulphur freight'!$D$3:$D$1976=D115)*1))</f>
        <v>33</v>
      </c>
      <c r="P115" s="78">
        <v>20</v>
      </c>
      <c r="R115" s="78" t="str">
        <f t="shared" si="16"/>
        <v xml:space="preserve"> </v>
      </c>
      <c r="S115" s="78">
        <f t="shared" si="17"/>
        <v>122.57312252964427</v>
      </c>
      <c r="T115" s="78" t="str">
        <f t="shared" si="12"/>
        <v/>
      </c>
      <c r="U115" s="78" t="str">
        <f t="shared" si="18"/>
        <v/>
      </c>
      <c r="V115" s="78">
        <f>IFERROR(I115+O115, "")</f>
        <v>253</v>
      </c>
      <c r="W115" s="78">
        <f t="shared" si="19"/>
        <v>216.5</v>
      </c>
      <c r="X115" s="78">
        <f t="shared" si="20"/>
        <v>101.49000000000001</v>
      </c>
      <c r="Y115" s="78">
        <f t="shared" si="21"/>
        <v>89.445000000000007</v>
      </c>
      <c r="AA115" s="88" t="str">
        <f t="shared" si="22"/>
        <v/>
      </c>
      <c r="AB115" s="77" t="str">
        <f t="shared" si="13"/>
        <v/>
      </c>
      <c r="AD115" s="88" t="str">
        <f t="shared" si="23"/>
        <v/>
      </c>
      <c r="AE115" s="77" t="str">
        <f t="shared" si="14"/>
        <v/>
      </c>
    </row>
    <row r="116" spans="2:31" x14ac:dyDescent="0.35">
      <c r="B116" s="2">
        <v>2011</v>
      </c>
      <c r="C116" s="2">
        <v>3</v>
      </c>
      <c r="D116" s="2">
        <v>7</v>
      </c>
      <c r="E116" s="78" t="str">
        <f>'CRU historical'!F115</f>
        <v xml:space="preserve"> </v>
      </c>
      <c r="F116" s="78">
        <f>'CRU historical'!I115</f>
        <v>101.25</v>
      </c>
      <c r="G116" s="78" t="str">
        <f>'CRU historical'!L115</f>
        <v xml:space="preserve"> </v>
      </c>
      <c r="H116" s="78" t="str">
        <f>'CRU historical'!O115</f>
        <v xml:space="preserve"> </v>
      </c>
      <c r="I116" s="78">
        <f>'CRU historical'!R115</f>
        <v>199.5</v>
      </c>
      <c r="J116" s="78">
        <f>AVERAGE('CRU historical'!U115, 'CRU historical'!X115, 'CRU historical'!AA115, 'CRU historical'!AD115)</f>
        <v>196.5</v>
      </c>
      <c r="L116" s="78" cm="1">
        <f t="array" ref="L116">IFERROR(SUMPRODUCT(('Sulphuric Acid freights'!$B$3:$B$513=B116)*('Sulphuric Acid freights'!$D$3:$D$513=D116)*('Sulphuric Acid freights'!$P$3:$P$513))/SUMPRODUCT(('Sulphuric Acid freights'!$B$3:$B$513=B116)*('Sulphuric Acid freights'!$D$3:$D$513=D116)*1), AVERAGE('Sulphuric Acid freights'!$P$3:$P$513))*2/3</f>
        <v>54.110671936758898</v>
      </c>
      <c r="M116" s="78" cm="1">
        <f t="array" ref="M116">IFERROR(SUMPRODUCT(('Sulphuric Acid freights'!$B$3:$B$513=B116)*('Sulphuric Acid freights'!$D$3:$D$513=D116)*('Sulphuric Acid freights'!$M$3:$M$513))/SUMPRODUCT(('Sulphuric Acid freights'!$B$3:$B$513=B116)*('Sulphuric Acid freights'!$D$3:$D$513=D116)*1)*2/3, AVERAGE('Sulphuric Acid freights'!$M$3:$M$513))</f>
        <v>23.573122529644269</v>
      </c>
      <c r="N116" s="78">
        <f t="shared" si="15"/>
        <v>48.699604743083007</v>
      </c>
      <c r="O116" s="78" cm="1">
        <f t="array" ref="O116">IF(SUMPRODUCT(('Sulphur freight'!$B$3:$B$1976=B116)*('Sulphur freight'!$D$3:$D$1976=D116)*('Sulphur freight'!$G$3:$G$1976))/SUMPRODUCT(('Sulphur freight'!$B$3:$B$1976=B116)*('Sulphur freight'!$D$3:$D$1976=D116)*1)=0, AVERAGE('Sulphur freight'!$G$3:$G$1976),SUMPRODUCT(('Sulphur freight'!$B$3:$B$1976=B116)*('Sulphur freight'!$D$3:$D$1976=D116)*('Sulphur freight'!$G$3:$G$1976))/SUMPRODUCT(('Sulphur freight'!$B$3:$B$1976=B116)*('Sulphur freight'!$D$3:$D$1976=D116)*1))</f>
        <v>31</v>
      </c>
      <c r="P116" s="78">
        <v>20</v>
      </c>
      <c r="R116" s="78" t="str">
        <f t="shared" si="16"/>
        <v xml:space="preserve"> </v>
      </c>
      <c r="S116" s="78">
        <f t="shared" si="17"/>
        <v>124.82312252964427</v>
      </c>
      <c r="T116" s="78" t="str">
        <f t="shared" si="12"/>
        <v/>
      </c>
      <c r="U116" s="78" t="str">
        <f t="shared" si="18"/>
        <v/>
      </c>
      <c r="V116" s="78">
        <f>IFERROR(I116+O116, "")</f>
        <v>230.5</v>
      </c>
      <c r="W116" s="78">
        <f t="shared" si="19"/>
        <v>216.5</v>
      </c>
      <c r="X116" s="78">
        <f t="shared" si="20"/>
        <v>94.064999999999998</v>
      </c>
      <c r="Y116" s="78">
        <f t="shared" si="21"/>
        <v>89.445000000000007</v>
      </c>
      <c r="AA116" s="88" t="str">
        <f t="shared" si="22"/>
        <v/>
      </c>
      <c r="AB116" s="77" t="str">
        <f t="shared" si="13"/>
        <v/>
      </c>
      <c r="AD116" s="88" t="str">
        <f t="shared" si="23"/>
        <v/>
      </c>
      <c r="AE116" s="77" t="str">
        <f t="shared" si="14"/>
        <v/>
      </c>
    </row>
    <row r="117" spans="2:31" x14ac:dyDescent="0.35">
      <c r="B117" s="2">
        <v>2011</v>
      </c>
      <c r="C117" s="2">
        <v>3</v>
      </c>
      <c r="D117" s="2">
        <v>8</v>
      </c>
      <c r="E117" s="78" t="str">
        <f>'CRU historical'!F116</f>
        <v xml:space="preserve"> </v>
      </c>
      <c r="F117" s="78">
        <f>'CRU historical'!I116</f>
        <v>105</v>
      </c>
      <c r="G117" s="78" t="str">
        <f>'CRU historical'!L116</f>
        <v xml:space="preserve"> </v>
      </c>
      <c r="H117" s="78" t="str">
        <f>'CRU historical'!O116</f>
        <v xml:space="preserve"> </v>
      </c>
      <c r="I117" s="78">
        <f>'CRU historical'!R116</f>
        <v>202.5</v>
      </c>
      <c r="J117" s="78">
        <f>AVERAGE('CRU historical'!U116, 'CRU historical'!X116, 'CRU historical'!AA116, 'CRU historical'!AD116)</f>
        <v>202.125</v>
      </c>
      <c r="L117" s="78" cm="1">
        <f t="array" ref="L117">IFERROR(SUMPRODUCT(('Sulphuric Acid freights'!$B$3:$B$513=B117)*('Sulphuric Acid freights'!$D$3:$D$513=D117)*('Sulphuric Acid freights'!$P$3:$P$513))/SUMPRODUCT(('Sulphuric Acid freights'!$B$3:$B$513=B117)*('Sulphuric Acid freights'!$D$3:$D$513=D117)*1), AVERAGE('Sulphuric Acid freights'!$P$3:$P$513))*2/3</f>
        <v>54.110671936758898</v>
      </c>
      <c r="M117" s="78" cm="1">
        <f t="array" ref="M117">IFERROR(SUMPRODUCT(('Sulphuric Acid freights'!$B$3:$B$513=B117)*('Sulphuric Acid freights'!$D$3:$D$513=D117)*('Sulphuric Acid freights'!$M$3:$M$513))/SUMPRODUCT(('Sulphuric Acid freights'!$B$3:$B$513=B117)*('Sulphuric Acid freights'!$D$3:$D$513=D117)*1)*2/3, AVERAGE('Sulphuric Acid freights'!$M$3:$M$513))</f>
        <v>23.573122529644269</v>
      </c>
      <c r="N117" s="78">
        <f t="shared" si="15"/>
        <v>48.699604743083007</v>
      </c>
      <c r="O117" s="78" cm="1">
        <f t="array" ref="O117">IF(SUMPRODUCT(('Sulphur freight'!$B$3:$B$1976=B117)*('Sulphur freight'!$D$3:$D$1976=D117)*('Sulphur freight'!$G$3:$G$1976))/SUMPRODUCT(('Sulphur freight'!$B$3:$B$1976=B117)*('Sulphur freight'!$D$3:$D$1976=D117)*1)=0, AVERAGE('Sulphur freight'!$G$3:$G$1976),SUMPRODUCT(('Sulphur freight'!$B$3:$B$1976=B117)*('Sulphur freight'!$D$3:$D$1976=D117)*('Sulphur freight'!$G$3:$G$1976))/SUMPRODUCT(('Sulphur freight'!$B$3:$B$1976=B117)*('Sulphur freight'!$D$3:$D$1976=D117)*1))</f>
        <v>29.75</v>
      </c>
      <c r="P117" s="78">
        <v>20</v>
      </c>
      <c r="R117" s="78" t="str">
        <f t="shared" si="16"/>
        <v xml:space="preserve"> </v>
      </c>
      <c r="S117" s="78">
        <f t="shared" si="17"/>
        <v>128.57312252964428</v>
      </c>
      <c r="T117" s="78" t="str">
        <f t="shared" si="12"/>
        <v/>
      </c>
      <c r="U117" s="78" t="str">
        <f t="shared" si="18"/>
        <v/>
      </c>
      <c r="V117" s="78">
        <f>IFERROR(I117+O117, "")</f>
        <v>232.25</v>
      </c>
      <c r="W117" s="78">
        <f t="shared" si="19"/>
        <v>222.125</v>
      </c>
      <c r="X117" s="78">
        <f t="shared" si="20"/>
        <v>94.642499999999998</v>
      </c>
      <c r="Y117" s="78">
        <f t="shared" si="21"/>
        <v>91.30125000000001</v>
      </c>
      <c r="AA117" s="88" t="str">
        <f t="shared" si="22"/>
        <v/>
      </c>
      <c r="AB117" s="77" t="str">
        <f t="shared" si="13"/>
        <v/>
      </c>
      <c r="AD117" s="88" t="str">
        <f t="shared" si="23"/>
        <v/>
      </c>
      <c r="AE117" s="77" t="str">
        <f t="shared" si="14"/>
        <v/>
      </c>
    </row>
    <row r="118" spans="2:31" x14ac:dyDescent="0.35">
      <c r="B118" s="2">
        <v>2011</v>
      </c>
      <c r="C118" s="2">
        <v>3</v>
      </c>
      <c r="D118" s="2">
        <v>9</v>
      </c>
      <c r="E118" s="78" t="str">
        <f>'CRU historical'!F117</f>
        <v xml:space="preserve"> </v>
      </c>
      <c r="F118" s="78">
        <f>'CRU historical'!I117</f>
        <v>105</v>
      </c>
      <c r="G118" s="78" t="str">
        <f>'CRU historical'!L117</f>
        <v xml:space="preserve"> </v>
      </c>
      <c r="H118" s="78" t="str">
        <f>'CRU historical'!O117</f>
        <v xml:space="preserve"> </v>
      </c>
      <c r="I118" s="78">
        <f>'CRU historical'!R117</f>
        <v>215</v>
      </c>
      <c r="J118" s="78">
        <f>AVERAGE('CRU historical'!U117, 'CRU historical'!X117, 'CRU historical'!AA117, 'CRU historical'!AD117)</f>
        <v>204</v>
      </c>
      <c r="L118" s="78" cm="1">
        <f t="array" ref="L118">IFERROR(SUMPRODUCT(('Sulphuric Acid freights'!$B$3:$B$513=B118)*('Sulphuric Acid freights'!$D$3:$D$513=D118)*('Sulphuric Acid freights'!$P$3:$P$513))/SUMPRODUCT(('Sulphuric Acid freights'!$B$3:$B$513=B118)*('Sulphuric Acid freights'!$D$3:$D$513=D118)*1), AVERAGE('Sulphuric Acid freights'!$P$3:$P$513))*2/3</f>
        <v>54.110671936758898</v>
      </c>
      <c r="M118" s="78" cm="1">
        <f t="array" ref="M118">IFERROR(SUMPRODUCT(('Sulphuric Acid freights'!$B$3:$B$513=B118)*('Sulphuric Acid freights'!$D$3:$D$513=D118)*('Sulphuric Acid freights'!$M$3:$M$513))/SUMPRODUCT(('Sulphuric Acid freights'!$B$3:$B$513=B118)*('Sulphuric Acid freights'!$D$3:$D$513=D118)*1)*2/3, AVERAGE('Sulphuric Acid freights'!$M$3:$M$513))</f>
        <v>23.573122529644269</v>
      </c>
      <c r="N118" s="78">
        <f t="shared" si="15"/>
        <v>48.699604743083007</v>
      </c>
      <c r="O118" s="78" cm="1">
        <f t="array" ref="O118">IF(SUMPRODUCT(('Sulphur freight'!$B$3:$B$1976=B118)*('Sulphur freight'!$D$3:$D$1976=D118)*('Sulphur freight'!$G$3:$G$1976))/SUMPRODUCT(('Sulphur freight'!$B$3:$B$1976=B118)*('Sulphur freight'!$D$3:$D$1976=D118)*1)=0, AVERAGE('Sulphur freight'!$G$3:$G$1976),SUMPRODUCT(('Sulphur freight'!$B$3:$B$1976=B118)*('Sulphur freight'!$D$3:$D$1976=D118)*('Sulphur freight'!$G$3:$G$1976))/SUMPRODUCT(('Sulphur freight'!$B$3:$B$1976=B118)*('Sulphur freight'!$D$3:$D$1976=D118)*1))</f>
        <v>30</v>
      </c>
      <c r="P118" s="78">
        <v>20</v>
      </c>
      <c r="R118" s="78" t="str">
        <f t="shared" si="16"/>
        <v xml:space="preserve"> </v>
      </c>
      <c r="S118" s="78">
        <f t="shared" si="17"/>
        <v>128.57312252964428</v>
      </c>
      <c r="T118" s="78" t="str">
        <f t="shared" si="12"/>
        <v/>
      </c>
      <c r="U118" s="78" t="str">
        <f t="shared" si="18"/>
        <v/>
      </c>
      <c r="V118" s="78">
        <f>IFERROR(I118+O118, "")</f>
        <v>245</v>
      </c>
      <c r="W118" s="78">
        <f t="shared" si="19"/>
        <v>224</v>
      </c>
      <c r="X118" s="78">
        <f t="shared" si="20"/>
        <v>98.850000000000009</v>
      </c>
      <c r="Y118" s="78">
        <f t="shared" si="21"/>
        <v>91.92</v>
      </c>
      <c r="AA118" s="88" t="str">
        <f t="shared" si="22"/>
        <v/>
      </c>
      <c r="AB118" s="77" t="str">
        <f t="shared" si="13"/>
        <v/>
      </c>
      <c r="AD118" s="88" t="str">
        <f t="shared" si="23"/>
        <v/>
      </c>
      <c r="AE118" s="77" t="str">
        <f t="shared" si="14"/>
        <v/>
      </c>
    </row>
    <row r="119" spans="2:31" x14ac:dyDescent="0.35">
      <c r="B119" s="2">
        <v>2011</v>
      </c>
      <c r="C119" s="2">
        <v>4</v>
      </c>
      <c r="D119" s="2">
        <v>10</v>
      </c>
      <c r="E119" s="78" t="str">
        <f>'CRU historical'!F118</f>
        <v xml:space="preserve"> </v>
      </c>
      <c r="F119" s="78">
        <f>'CRU historical'!I118</f>
        <v>105</v>
      </c>
      <c r="G119" s="78" t="str">
        <f>'CRU historical'!L118</f>
        <v xml:space="preserve"> </v>
      </c>
      <c r="H119" s="78" t="str">
        <f>'CRU historical'!O118</f>
        <v xml:space="preserve"> </v>
      </c>
      <c r="I119" s="78">
        <f>'CRU historical'!R118</f>
        <v>215.75</v>
      </c>
      <c r="J119" s="78">
        <f>AVERAGE('CRU historical'!U118, 'CRU historical'!X118, 'CRU historical'!AA118, 'CRU historical'!AD118)</f>
        <v>239.25</v>
      </c>
      <c r="L119" s="78" cm="1">
        <f t="array" ref="L119">IFERROR(SUMPRODUCT(('Sulphuric Acid freights'!$B$3:$B$513=B119)*('Sulphuric Acid freights'!$D$3:$D$513=D119)*('Sulphuric Acid freights'!$P$3:$P$513))/SUMPRODUCT(('Sulphuric Acid freights'!$B$3:$B$513=B119)*('Sulphuric Acid freights'!$D$3:$D$513=D119)*1), AVERAGE('Sulphuric Acid freights'!$P$3:$P$513))*2/3</f>
        <v>54.110671936758898</v>
      </c>
      <c r="M119" s="78" cm="1">
        <f t="array" ref="M119">IFERROR(SUMPRODUCT(('Sulphuric Acid freights'!$B$3:$B$513=B119)*('Sulphuric Acid freights'!$D$3:$D$513=D119)*('Sulphuric Acid freights'!$M$3:$M$513))/SUMPRODUCT(('Sulphuric Acid freights'!$B$3:$B$513=B119)*('Sulphuric Acid freights'!$D$3:$D$513=D119)*1)*2/3, AVERAGE('Sulphuric Acid freights'!$M$3:$M$513))</f>
        <v>23.573122529644269</v>
      </c>
      <c r="N119" s="78">
        <f t="shared" si="15"/>
        <v>48.699604743083007</v>
      </c>
      <c r="O119" s="78" cm="1">
        <f t="array" ref="O119">IF(SUMPRODUCT(('Sulphur freight'!$B$3:$B$1976=B119)*('Sulphur freight'!$D$3:$D$1976=D119)*('Sulphur freight'!$G$3:$G$1976))/SUMPRODUCT(('Sulphur freight'!$B$3:$B$1976=B119)*('Sulphur freight'!$D$3:$D$1976=D119)*1)=0, AVERAGE('Sulphur freight'!$G$3:$G$1976),SUMPRODUCT(('Sulphur freight'!$B$3:$B$1976=B119)*('Sulphur freight'!$D$3:$D$1976=D119)*('Sulphur freight'!$G$3:$G$1976))/SUMPRODUCT(('Sulphur freight'!$B$3:$B$1976=B119)*('Sulphur freight'!$D$3:$D$1976=D119)*1))</f>
        <v>28.75</v>
      </c>
      <c r="P119" s="78">
        <v>20</v>
      </c>
      <c r="R119" s="78" t="str">
        <f t="shared" si="16"/>
        <v xml:space="preserve"> </v>
      </c>
      <c r="S119" s="78">
        <f t="shared" si="17"/>
        <v>128.57312252964428</v>
      </c>
      <c r="T119" s="78" t="str">
        <f t="shared" si="12"/>
        <v/>
      </c>
      <c r="U119" s="78" t="str">
        <f t="shared" si="18"/>
        <v/>
      </c>
      <c r="V119" s="78">
        <f>IFERROR(I119+O119, "")</f>
        <v>244.5</v>
      </c>
      <c r="W119" s="78">
        <f t="shared" si="19"/>
        <v>259.25</v>
      </c>
      <c r="X119" s="78">
        <f t="shared" si="20"/>
        <v>98.685000000000002</v>
      </c>
      <c r="Y119" s="78">
        <f t="shared" si="21"/>
        <v>103.55250000000001</v>
      </c>
      <c r="AA119" s="88" t="str">
        <f t="shared" si="22"/>
        <v/>
      </c>
      <c r="AB119" s="77" t="str">
        <f t="shared" si="13"/>
        <v/>
      </c>
      <c r="AD119" s="88" t="str">
        <f t="shared" si="23"/>
        <v/>
      </c>
      <c r="AE119" s="77" t="str">
        <f t="shared" si="14"/>
        <v/>
      </c>
    </row>
    <row r="120" spans="2:31" x14ac:dyDescent="0.35">
      <c r="B120" s="2">
        <v>2011</v>
      </c>
      <c r="C120" s="2">
        <v>4</v>
      </c>
      <c r="D120" s="2">
        <v>11</v>
      </c>
      <c r="E120" s="78" t="str">
        <f>'CRU historical'!F119</f>
        <v xml:space="preserve"> </v>
      </c>
      <c r="F120" s="78">
        <f>'CRU historical'!I119</f>
        <v>105</v>
      </c>
      <c r="G120" s="78" t="str">
        <f>'CRU historical'!L119</f>
        <v xml:space="preserve"> </v>
      </c>
      <c r="H120" s="78" t="str">
        <f>'CRU historical'!O119</f>
        <v xml:space="preserve"> </v>
      </c>
      <c r="I120" s="78">
        <f>'CRU historical'!R119</f>
        <v>204.75</v>
      </c>
      <c r="J120" s="78">
        <f>AVERAGE('CRU historical'!U119, 'CRU historical'!X119, 'CRU historical'!AA119, 'CRU historical'!AD119)</f>
        <v>243</v>
      </c>
      <c r="L120" s="78" cm="1">
        <f t="array" ref="L120">IFERROR(SUMPRODUCT(('Sulphuric Acid freights'!$B$3:$B$513=B120)*('Sulphuric Acid freights'!$D$3:$D$513=D120)*('Sulphuric Acid freights'!$P$3:$P$513))/SUMPRODUCT(('Sulphuric Acid freights'!$B$3:$B$513=B120)*('Sulphuric Acid freights'!$D$3:$D$513=D120)*1), AVERAGE('Sulphuric Acid freights'!$P$3:$P$513))*2/3</f>
        <v>54.110671936758898</v>
      </c>
      <c r="M120" s="78" cm="1">
        <f t="array" ref="M120">IFERROR(SUMPRODUCT(('Sulphuric Acid freights'!$B$3:$B$513=B120)*('Sulphuric Acid freights'!$D$3:$D$513=D120)*('Sulphuric Acid freights'!$M$3:$M$513))/SUMPRODUCT(('Sulphuric Acid freights'!$B$3:$B$513=B120)*('Sulphuric Acid freights'!$D$3:$D$513=D120)*1)*2/3, AVERAGE('Sulphuric Acid freights'!$M$3:$M$513))</f>
        <v>23.573122529644269</v>
      </c>
      <c r="N120" s="78">
        <f t="shared" si="15"/>
        <v>48.699604743083007</v>
      </c>
      <c r="O120" s="78" cm="1">
        <f t="array" ref="O120">IF(SUMPRODUCT(('Sulphur freight'!$B$3:$B$1976=B120)*('Sulphur freight'!$D$3:$D$1976=D120)*('Sulphur freight'!$G$3:$G$1976))/SUMPRODUCT(('Sulphur freight'!$B$3:$B$1976=B120)*('Sulphur freight'!$D$3:$D$1976=D120)*1)=0, AVERAGE('Sulphur freight'!$G$3:$G$1976),SUMPRODUCT(('Sulphur freight'!$B$3:$B$1976=B120)*('Sulphur freight'!$D$3:$D$1976=D120)*('Sulphur freight'!$G$3:$G$1976))/SUMPRODUCT(('Sulphur freight'!$B$3:$B$1976=B120)*('Sulphur freight'!$D$3:$D$1976=D120)*1))</f>
        <v>28.25</v>
      </c>
      <c r="P120" s="78">
        <v>20</v>
      </c>
      <c r="R120" s="78" t="str">
        <f t="shared" si="16"/>
        <v xml:space="preserve"> </v>
      </c>
      <c r="S120" s="78">
        <f t="shared" si="17"/>
        <v>128.57312252964428</v>
      </c>
      <c r="T120" s="78" t="str">
        <f t="shared" si="12"/>
        <v/>
      </c>
      <c r="U120" s="78" t="str">
        <f t="shared" si="18"/>
        <v/>
      </c>
      <c r="V120" s="78">
        <f>IFERROR(I120+O120, "")</f>
        <v>233</v>
      </c>
      <c r="W120" s="78">
        <f t="shared" si="19"/>
        <v>263</v>
      </c>
      <c r="X120" s="78">
        <f t="shared" si="20"/>
        <v>94.89</v>
      </c>
      <c r="Y120" s="78">
        <f t="shared" si="21"/>
        <v>104.79</v>
      </c>
      <c r="AA120" s="88" t="str">
        <f t="shared" si="22"/>
        <v/>
      </c>
      <c r="AB120" s="77" t="str">
        <f t="shared" si="13"/>
        <v/>
      </c>
      <c r="AD120" s="88" t="str">
        <f t="shared" si="23"/>
        <v/>
      </c>
      <c r="AE120" s="77" t="str">
        <f t="shared" si="14"/>
        <v/>
      </c>
    </row>
    <row r="121" spans="2:31" x14ac:dyDescent="0.35">
      <c r="B121" s="2">
        <v>2011</v>
      </c>
      <c r="C121" s="2">
        <v>4</v>
      </c>
      <c r="D121" s="2">
        <v>12</v>
      </c>
      <c r="E121" s="78" t="str">
        <f>'CRU historical'!F120</f>
        <v xml:space="preserve"> </v>
      </c>
      <c r="F121" s="78">
        <f>'CRU historical'!I120</f>
        <v>99</v>
      </c>
      <c r="G121" s="78" t="str">
        <f>'CRU historical'!L120</f>
        <v xml:space="preserve"> </v>
      </c>
      <c r="H121" s="78" t="str">
        <f>'CRU historical'!O120</f>
        <v xml:space="preserve"> </v>
      </c>
      <c r="I121" s="78">
        <f>'CRU historical'!R120</f>
        <v>190.8</v>
      </c>
      <c r="J121" s="78">
        <f>AVERAGE('CRU historical'!U120, 'CRU historical'!X120, 'CRU historical'!AA120, 'CRU historical'!AD120)</f>
        <v>243</v>
      </c>
      <c r="L121" s="78" cm="1">
        <f t="array" ref="L121">IFERROR(SUMPRODUCT(('Sulphuric Acid freights'!$B$3:$B$513=B121)*('Sulphuric Acid freights'!$D$3:$D$513=D121)*('Sulphuric Acid freights'!$P$3:$P$513))/SUMPRODUCT(('Sulphuric Acid freights'!$B$3:$B$513=B121)*('Sulphuric Acid freights'!$D$3:$D$513=D121)*1), AVERAGE('Sulphuric Acid freights'!$P$3:$P$513))*2/3</f>
        <v>54.110671936758898</v>
      </c>
      <c r="M121" s="78" cm="1">
        <f t="array" ref="M121">IFERROR(SUMPRODUCT(('Sulphuric Acid freights'!$B$3:$B$513=B121)*('Sulphuric Acid freights'!$D$3:$D$513=D121)*('Sulphuric Acid freights'!$M$3:$M$513))/SUMPRODUCT(('Sulphuric Acid freights'!$B$3:$B$513=B121)*('Sulphuric Acid freights'!$D$3:$D$513=D121)*1)*2/3, AVERAGE('Sulphuric Acid freights'!$M$3:$M$513))</f>
        <v>23.573122529644269</v>
      </c>
      <c r="N121" s="78">
        <f t="shared" si="15"/>
        <v>48.699604743083007</v>
      </c>
      <c r="O121" s="78" cm="1">
        <f t="array" ref="O121">IF(SUMPRODUCT(('Sulphur freight'!$B$3:$B$1976=B121)*('Sulphur freight'!$D$3:$D$1976=D121)*('Sulphur freight'!$G$3:$G$1976))/SUMPRODUCT(('Sulphur freight'!$B$3:$B$1976=B121)*('Sulphur freight'!$D$3:$D$1976=D121)*1)=0, AVERAGE('Sulphur freight'!$G$3:$G$1976),SUMPRODUCT(('Sulphur freight'!$B$3:$B$1976=B121)*('Sulphur freight'!$D$3:$D$1976=D121)*('Sulphur freight'!$G$3:$G$1976))/SUMPRODUCT(('Sulphur freight'!$B$3:$B$1976=B121)*('Sulphur freight'!$D$3:$D$1976=D121)*1))</f>
        <v>27.6</v>
      </c>
      <c r="P121" s="78">
        <v>20</v>
      </c>
      <c r="R121" s="78" t="str">
        <f t="shared" si="16"/>
        <v xml:space="preserve"> </v>
      </c>
      <c r="S121" s="78">
        <f t="shared" si="17"/>
        <v>122.57312252964427</v>
      </c>
      <c r="T121" s="78" t="str">
        <f t="shared" si="12"/>
        <v/>
      </c>
      <c r="U121" s="78" t="str">
        <f t="shared" si="18"/>
        <v/>
      </c>
      <c r="V121" s="78">
        <f>IFERROR(I121+O121, "")</f>
        <v>218.4</v>
      </c>
      <c r="W121" s="78">
        <f t="shared" si="19"/>
        <v>263</v>
      </c>
      <c r="X121" s="78">
        <f t="shared" si="20"/>
        <v>90.072000000000003</v>
      </c>
      <c r="Y121" s="78">
        <f t="shared" si="21"/>
        <v>104.79</v>
      </c>
      <c r="AA121" s="88" t="str">
        <f t="shared" si="22"/>
        <v/>
      </c>
      <c r="AB121" s="77" t="str">
        <f t="shared" si="13"/>
        <v/>
      </c>
      <c r="AD121" s="88" t="str">
        <f t="shared" si="23"/>
        <v/>
      </c>
      <c r="AE121" s="77" t="str">
        <f t="shared" si="14"/>
        <v/>
      </c>
    </row>
    <row r="122" spans="2:31" x14ac:dyDescent="0.35">
      <c r="B122" s="2">
        <v>2012</v>
      </c>
      <c r="C122" s="2">
        <v>1</v>
      </c>
      <c r="D122" s="2">
        <v>1</v>
      </c>
      <c r="E122" s="78" t="str">
        <f>'CRU historical'!F121</f>
        <v xml:space="preserve"> </v>
      </c>
      <c r="F122" s="78">
        <f>'CRU historical'!I121</f>
        <v>85</v>
      </c>
      <c r="G122" s="78" t="str">
        <f>'CRU historical'!L121</f>
        <v xml:space="preserve"> </v>
      </c>
      <c r="H122" s="78" t="str">
        <f>'CRU historical'!O121</f>
        <v xml:space="preserve"> </v>
      </c>
      <c r="I122" s="78">
        <f>'CRU historical'!R121</f>
        <v>174.25</v>
      </c>
      <c r="J122" s="78">
        <f>AVERAGE('CRU historical'!U121, 'CRU historical'!X121, 'CRU historical'!AA121, 'CRU historical'!AD121)</f>
        <v>248</v>
      </c>
      <c r="L122" s="78" cm="1">
        <f t="array" ref="L122">IFERROR(SUMPRODUCT(('Sulphuric Acid freights'!$B$3:$B$513=B122)*('Sulphuric Acid freights'!$D$3:$D$513=D122)*('Sulphuric Acid freights'!$P$3:$P$513))/SUMPRODUCT(('Sulphuric Acid freights'!$B$3:$B$513=B122)*('Sulphuric Acid freights'!$D$3:$D$513=D122)*1), AVERAGE('Sulphuric Acid freights'!$P$3:$P$513))*2/3</f>
        <v>54.110671936758898</v>
      </c>
      <c r="M122" s="78" cm="1">
        <f t="array" ref="M122">IFERROR(SUMPRODUCT(('Sulphuric Acid freights'!$B$3:$B$513=B122)*('Sulphuric Acid freights'!$D$3:$D$513=D122)*('Sulphuric Acid freights'!$M$3:$M$513))/SUMPRODUCT(('Sulphuric Acid freights'!$B$3:$B$513=B122)*('Sulphuric Acid freights'!$D$3:$D$513=D122)*1)*2/3, AVERAGE('Sulphuric Acid freights'!$M$3:$M$513))</f>
        <v>23.573122529644269</v>
      </c>
      <c r="N122" s="78">
        <f t="shared" si="15"/>
        <v>48.699604743083007</v>
      </c>
      <c r="O122" s="78" cm="1">
        <f t="array" ref="O122">IF(SUMPRODUCT(('Sulphur freight'!$B$3:$B$1976=B122)*('Sulphur freight'!$D$3:$D$1976=D122)*('Sulphur freight'!$G$3:$G$1976))/SUMPRODUCT(('Sulphur freight'!$B$3:$B$1976=B122)*('Sulphur freight'!$D$3:$D$1976=D122)*1)=0, AVERAGE('Sulphur freight'!$G$3:$G$1976),SUMPRODUCT(('Sulphur freight'!$B$3:$B$1976=B122)*('Sulphur freight'!$D$3:$D$1976=D122)*('Sulphur freight'!$G$3:$G$1976))/SUMPRODUCT(('Sulphur freight'!$B$3:$B$1976=B122)*('Sulphur freight'!$D$3:$D$1976=D122)*1))</f>
        <v>25.75</v>
      </c>
      <c r="P122" s="78">
        <v>20</v>
      </c>
      <c r="R122" s="78" t="str">
        <f t="shared" si="16"/>
        <v xml:space="preserve"> </v>
      </c>
      <c r="S122" s="78">
        <f t="shared" si="17"/>
        <v>108.57312252964427</v>
      </c>
      <c r="T122" s="78" t="str">
        <f t="shared" si="12"/>
        <v/>
      </c>
      <c r="U122" s="78" t="str">
        <f t="shared" si="18"/>
        <v/>
      </c>
      <c r="V122" s="78">
        <f>IFERROR(I122+O122, "")</f>
        <v>200</v>
      </c>
      <c r="W122" s="78">
        <f t="shared" si="19"/>
        <v>268</v>
      </c>
      <c r="X122" s="78">
        <f t="shared" si="20"/>
        <v>84</v>
      </c>
      <c r="Y122" s="78">
        <f t="shared" si="21"/>
        <v>106.44</v>
      </c>
      <c r="AA122" s="88" t="str">
        <f t="shared" si="22"/>
        <v/>
      </c>
      <c r="AB122" s="77" t="str">
        <f t="shared" si="13"/>
        <v/>
      </c>
      <c r="AD122" s="88" t="str">
        <f t="shared" si="23"/>
        <v/>
      </c>
      <c r="AE122" s="77" t="str">
        <f t="shared" si="14"/>
        <v/>
      </c>
    </row>
    <row r="123" spans="2:31" x14ac:dyDescent="0.35">
      <c r="B123" s="2">
        <v>2012</v>
      </c>
      <c r="C123" s="2">
        <v>1</v>
      </c>
      <c r="D123" s="2">
        <v>2</v>
      </c>
      <c r="E123" s="78" t="str">
        <f>'CRU historical'!F122</f>
        <v xml:space="preserve"> </v>
      </c>
      <c r="F123" s="78">
        <f>'CRU historical'!I122</f>
        <v>55</v>
      </c>
      <c r="G123" s="78" t="str">
        <f>'CRU historical'!L122</f>
        <v xml:space="preserve"> </v>
      </c>
      <c r="H123" s="78" t="str">
        <f>'CRU historical'!O122</f>
        <v xml:space="preserve"> </v>
      </c>
      <c r="I123" s="78">
        <f>'CRU historical'!R122</f>
        <v>168.5</v>
      </c>
      <c r="J123" s="78">
        <f>AVERAGE('CRU historical'!U122, 'CRU historical'!X122, 'CRU historical'!AA122, 'CRU historical'!AD122)</f>
        <v>229.75</v>
      </c>
      <c r="L123" s="78" cm="1">
        <f t="array" ref="L123">IFERROR(SUMPRODUCT(('Sulphuric Acid freights'!$B$3:$B$513=B123)*('Sulphuric Acid freights'!$D$3:$D$513=D123)*('Sulphuric Acid freights'!$P$3:$P$513))/SUMPRODUCT(('Sulphuric Acid freights'!$B$3:$B$513=B123)*('Sulphuric Acid freights'!$D$3:$D$513=D123)*1), AVERAGE('Sulphuric Acid freights'!$P$3:$P$513))*2/3</f>
        <v>54.110671936758898</v>
      </c>
      <c r="M123" s="78" cm="1">
        <f t="array" ref="M123">IFERROR(SUMPRODUCT(('Sulphuric Acid freights'!$B$3:$B$513=B123)*('Sulphuric Acid freights'!$D$3:$D$513=D123)*('Sulphuric Acid freights'!$M$3:$M$513))/SUMPRODUCT(('Sulphuric Acid freights'!$B$3:$B$513=B123)*('Sulphuric Acid freights'!$D$3:$D$513=D123)*1)*2/3, AVERAGE('Sulphuric Acid freights'!$M$3:$M$513))</f>
        <v>23.573122529644269</v>
      </c>
      <c r="N123" s="78">
        <f t="shared" si="15"/>
        <v>48.699604743083007</v>
      </c>
      <c r="O123" s="78" cm="1">
        <f t="array" ref="O123">IF(SUMPRODUCT(('Sulphur freight'!$B$3:$B$1976=B123)*('Sulphur freight'!$D$3:$D$1976=D123)*('Sulphur freight'!$G$3:$G$1976))/SUMPRODUCT(('Sulphur freight'!$B$3:$B$1976=B123)*('Sulphur freight'!$D$3:$D$1976=D123)*1)=0, AVERAGE('Sulphur freight'!$G$3:$G$1976),SUMPRODUCT(('Sulphur freight'!$B$3:$B$1976=B123)*('Sulphur freight'!$D$3:$D$1976=D123)*('Sulphur freight'!$G$3:$G$1976))/SUMPRODUCT(('Sulphur freight'!$B$3:$B$1976=B123)*('Sulphur freight'!$D$3:$D$1976=D123)*1))</f>
        <v>24.25</v>
      </c>
      <c r="P123" s="78">
        <v>20</v>
      </c>
      <c r="R123" s="78" t="str">
        <f t="shared" si="16"/>
        <v xml:space="preserve"> </v>
      </c>
      <c r="S123" s="78">
        <f t="shared" si="17"/>
        <v>78.573122529644266</v>
      </c>
      <c r="T123" s="78" t="str">
        <f t="shared" si="12"/>
        <v/>
      </c>
      <c r="U123" s="78" t="str">
        <f t="shared" si="18"/>
        <v/>
      </c>
      <c r="V123" s="78">
        <f>IFERROR(I123+O123, "")</f>
        <v>192.75</v>
      </c>
      <c r="W123" s="78">
        <f t="shared" si="19"/>
        <v>249.75</v>
      </c>
      <c r="X123" s="78">
        <f t="shared" si="20"/>
        <v>81.607500000000002</v>
      </c>
      <c r="Y123" s="78">
        <f t="shared" si="21"/>
        <v>100.4175</v>
      </c>
      <c r="AA123" s="88" t="str">
        <f t="shared" si="22"/>
        <v/>
      </c>
      <c r="AB123" s="77" t="str">
        <f t="shared" si="13"/>
        <v/>
      </c>
      <c r="AD123" s="88" t="str">
        <f t="shared" si="23"/>
        <v/>
      </c>
      <c r="AE123" s="77" t="str">
        <f t="shared" si="14"/>
        <v/>
      </c>
    </row>
    <row r="124" spans="2:31" x14ac:dyDescent="0.35">
      <c r="B124" s="2">
        <v>2012</v>
      </c>
      <c r="C124" s="2">
        <v>1</v>
      </c>
      <c r="D124" s="2">
        <v>3</v>
      </c>
      <c r="E124" s="78" t="str">
        <f>'CRU historical'!F123</f>
        <v xml:space="preserve"> </v>
      </c>
      <c r="F124" s="78">
        <f>'CRU historical'!I123</f>
        <v>35</v>
      </c>
      <c r="G124" s="78" t="str">
        <f>'CRU historical'!L123</f>
        <v xml:space="preserve"> </v>
      </c>
      <c r="H124" s="78" t="str">
        <f>'CRU historical'!O123</f>
        <v xml:space="preserve"> </v>
      </c>
      <c r="I124" s="78">
        <f>'CRU historical'!R123</f>
        <v>186</v>
      </c>
      <c r="J124" s="78">
        <f>AVERAGE('CRU historical'!U123, 'CRU historical'!X123, 'CRU historical'!AA123, 'CRU historical'!AD123)</f>
        <v>157.5</v>
      </c>
      <c r="L124" s="78" cm="1">
        <f t="array" ref="L124">IFERROR(SUMPRODUCT(('Sulphuric Acid freights'!$B$3:$B$513=B124)*('Sulphuric Acid freights'!$D$3:$D$513=D124)*('Sulphuric Acid freights'!$P$3:$P$513))/SUMPRODUCT(('Sulphuric Acid freights'!$B$3:$B$513=B124)*('Sulphuric Acid freights'!$D$3:$D$513=D124)*1), AVERAGE('Sulphuric Acid freights'!$P$3:$P$513))*2/3</f>
        <v>54.110671936758898</v>
      </c>
      <c r="M124" s="78" cm="1">
        <f t="array" ref="M124">IFERROR(SUMPRODUCT(('Sulphuric Acid freights'!$B$3:$B$513=B124)*('Sulphuric Acid freights'!$D$3:$D$513=D124)*('Sulphuric Acid freights'!$M$3:$M$513))/SUMPRODUCT(('Sulphuric Acid freights'!$B$3:$B$513=B124)*('Sulphuric Acid freights'!$D$3:$D$513=D124)*1)*2/3, AVERAGE('Sulphuric Acid freights'!$M$3:$M$513))</f>
        <v>23.573122529644269</v>
      </c>
      <c r="N124" s="78">
        <f t="shared" si="15"/>
        <v>48.699604743083007</v>
      </c>
      <c r="O124" s="78" cm="1">
        <f t="array" ref="O124">IF(SUMPRODUCT(('Sulphur freight'!$B$3:$B$1976=B124)*('Sulphur freight'!$D$3:$D$1976=D124)*('Sulphur freight'!$G$3:$G$1976))/SUMPRODUCT(('Sulphur freight'!$B$3:$B$1976=B124)*('Sulphur freight'!$D$3:$D$1976=D124)*1)=0, AVERAGE('Sulphur freight'!$G$3:$G$1976),SUMPRODUCT(('Sulphur freight'!$B$3:$B$1976=B124)*('Sulphur freight'!$D$3:$D$1976=D124)*('Sulphur freight'!$G$3:$G$1976))/SUMPRODUCT(('Sulphur freight'!$B$3:$B$1976=B124)*('Sulphur freight'!$D$3:$D$1976=D124)*1))</f>
        <v>27.2</v>
      </c>
      <c r="P124" s="78">
        <v>20</v>
      </c>
      <c r="R124" s="78" t="str">
        <f t="shared" si="16"/>
        <v xml:space="preserve"> </v>
      </c>
      <c r="S124" s="78">
        <f t="shared" si="17"/>
        <v>58.573122529644266</v>
      </c>
      <c r="T124" s="78" t="str">
        <f t="shared" si="12"/>
        <v/>
      </c>
      <c r="U124" s="78" t="str">
        <f t="shared" si="18"/>
        <v/>
      </c>
      <c r="V124" s="78">
        <f>IFERROR(I124+O124, "")</f>
        <v>213.2</v>
      </c>
      <c r="W124" s="78">
        <f t="shared" si="19"/>
        <v>177.5</v>
      </c>
      <c r="X124" s="78">
        <f t="shared" si="20"/>
        <v>88.355999999999995</v>
      </c>
      <c r="Y124" s="78">
        <f t="shared" si="21"/>
        <v>76.575000000000003</v>
      </c>
      <c r="AA124" s="88" t="str">
        <f t="shared" si="22"/>
        <v/>
      </c>
      <c r="AB124" s="77" t="str">
        <f t="shared" si="13"/>
        <v/>
      </c>
      <c r="AD124" s="88" t="str">
        <f t="shared" si="23"/>
        <v/>
      </c>
      <c r="AE124" s="77" t="str">
        <f t="shared" si="14"/>
        <v/>
      </c>
    </row>
    <row r="125" spans="2:31" x14ac:dyDescent="0.35">
      <c r="B125" s="2">
        <v>2012</v>
      </c>
      <c r="C125" s="2">
        <v>2</v>
      </c>
      <c r="D125" s="2">
        <v>4</v>
      </c>
      <c r="E125" s="78" t="str">
        <f>'CRU historical'!F124</f>
        <v xml:space="preserve"> </v>
      </c>
      <c r="F125" s="78">
        <f>'CRU historical'!I124</f>
        <v>35</v>
      </c>
      <c r="G125" s="78" t="str">
        <f>'CRU historical'!L124</f>
        <v xml:space="preserve"> </v>
      </c>
      <c r="H125" s="78" t="str">
        <f>'CRU historical'!O124</f>
        <v xml:space="preserve"> </v>
      </c>
      <c r="I125" s="78">
        <f>'CRU historical'!R124</f>
        <v>191.5</v>
      </c>
      <c r="J125" s="78">
        <f>AVERAGE('CRU historical'!U124, 'CRU historical'!X124, 'CRU historical'!AA124, 'CRU historical'!AD124)</f>
        <v>175.625</v>
      </c>
      <c r="L125" s="78" cm="1">
        <f t="array" ref="L125">IFERROR(SUMPRODUCT(('Sulphuric Acid freights'!$B$3:$B$513=B125)*('Sulphuric Acid freights'!$D$3:$D$513=D125)*('Sulphuric Acid freights'!$P$3:$P$513))/SUMPRODUCT(('Sulphuric Acid freights'!$B$3:$B$513=B125)*('Sulphuric Acid freights'!$D$3:$D$513=D125)*1), AVERAGE('Sulphuric Acid freights'!$P$3:$P$513))*2/3</f>
        <v>54.110671936758898</v>
      </c>
      <c r="M125" s="78" cm="1">
        <f t="array" ref="M125">IFERROR(SUMPRODUCT(('Sulphuric Acid freights'!$B$3:$B$513=B125)*('Sulphuric Acid freights'!$D$3:$D$513=D125)*('Sulphuric Acid freights'!$M$3:$M$513))/SUMPRODUCT(('Sulphuric Acid freights'!$B$3:$B$513=B125)*('Sulphuric Acid freights'!$D$3:$D$513=D125)*1)*2/3, AVERAGE('Sulphuric Acid freights'!$M$3:$M$513))</f>
        <v>23.573122529644269</v>
      </c>
      <c r="N125" s="78">
        <f t="shared" si="15"/>
        <v>48.699604743083007</v>
      </c>
      <c r="O125" s="78" cm="1">
        <f t="array" ref="O125">IF(SUMPRODUCT(('Sulphur freight'!$B$3:$B$1976=B125)*('Sulphur freight'!$D$3:$D$1976=D125)*('Sulphur freight'!$G$3:$G$1976))/SUMPRODUCT(('Sulphur freight'!$B$3:$B$1976=B125)*('Sulphur freight'!$D$3:$D$1976=D125)*1)=0, AVERAGE('Sulphur freight'!$G$3:$G$1976),SUMPRODUCT(('Sulphur freight'!$B$3:$B$1976=B125)*('Sulphur freight'!$D$3:$D$1976=D125)*('Sulphur freight'!$G$3:$G$1976))/SUMPRODUCT(('Sulphur freight'!$B$3:$B$1976=B125)*('Sulphur freight'!$D$3:$D$1976=D125)*1))</f>
        <v>28.5</v>
      </c>
      <c r="P125" s="78">
        <v>20</v>
      </c>
      <c r="R125" s="78" t="str">
        <f t="shared" si="16"/>
        <v xml:space="preserve"> </v>
      </c>
      <c r="S125" s="78">
        <f t="shared" si="17"/>
        <v>58.573122529644266</v>
      </c>
      <c r="T125" s="78" t="str">
        <f t="shared" si="12"/>
        <v/>
      </c>
      <c r="U125" s="78" t="str">
        <f t="shared" si="18"/>
        <v/>
      </c>
      <c r="V125" s="78">
        <f>IFERROR(I125+O125, "")</f>
        <v>220</v>
      </c>
      <c r="W125" s="78">
        <f t="shared" si="19"/>
        <v>195.625</v>
      </c>
      <c r="X125" s="78">
        <f t="shared" si="20"/>
        <v>90.600000000000009</v>
      </c>
      <c r="Y125" s="78">
        <f t="shared" si="21"/>
        <v>82.556250000000006</v>
      </c>
      <c r="AA125" s="88" t="str">
        <f t="shared" si="22"/>
        <v/>
      </c>
      <c r="AB125" s="77" t="str">
        <f t="shared" si="13"/>
        <v/>
      </c>
      <c r="AD125" s="88" t="str">
        <f t="shared" si="23"/>
        <v/>
      </c>
      <c r="AE125" s="77" t="str">
        <f t="shared" si="14"/>
        <v/>
      </c>
    </row>
    <row r="126" spans="2:31" x14ac:dyDescent="0.35">
      <c r="B126" s="2">
        <v>2012</v>
      </c>
      <c r="C126" s="2">
        <v>2</v>
      </c>
      <c r="D126" s="2">
        <v>5</v>
      </c>
      <c r="E126" s="78" t="str">
        <f>'CRU historical'!F125</f>
        <v xml:space="preserve"> </v>
      </c>
      <c r="F126" s="78">
        <f>'CRU historical'!I125</f>
        <v>37</v>
      </c>
      <c r="G126" s="78" t="str">
        <f>'CRU historical'!L125</f>
        <v xml:space="preserve"> </v>
      </c>
      <c r="H126" s="78" t="str">
        <f>'CRU historical'!O125</f>
        <v xml:space="preserve"> </v>
      </c>
      <c r="I126" s="78">
        <f>'CRU historical'!R125</f>
        <v>200</v>
      </c>
      <c r="J126" s="78">
        <f>AVERAGE('CRU historical'!U125, 'CRU historical'!X125, 'CRU historical'!AA125, 'CRU historical'!AD125)</f>
        <v>213</v>
      </c>
      <c r="L126" s="78" cm="1">
        <f t="array" ref="L126">IFERROR(SUMPRODUCT(('Sulphuric Acid freights'!$B$3:$B$513=B126)*('Sulphuric Acid freights'!$D$3:$D$513=D126)*('Sulphuric Acid freights'!$P$3:$P$513))/SUMPRODUCT(('Sulphuric Acid freights'!$B$3:$B$513=B126)*('Sulphuric Acid freights'!$D$3:$D$513=D126)*1), AVERAGE('Sulphuric Acid freights'!$P$3:$P$513))*2/3</f>
        <v>54.110671936758898</v>
      </c>
      <c r="M126" s="78" cm="1">
        <f t="array" ref="M126">IFERROR(SUMPRODUCT(('Sulphuric Acid freights'!$B$3:$B$513=B126)*('Sulphuric Acid freights'!$D$3:$D$513=D126)*('Sulphuric Acid freights'!$M$3:$M$513))/SUMPRODUCT(('Sulphuric Acid freights'!$B$3:$B$513=B126)*('Sulphuric Acid freights'!$D$3:$D$513=D126)*1)*2/3, AVERAGE('Sulphuric Acid freights'!$M$3:$M$513))</f>
        <v>23.573122529644269</v>
      </c>
      <c r="N126" s="78">
        <f t="shared" si="15"/>
        <v>48.699604743083007</v>
      </c>
      <c r="O126" s="78" cm="1">
        <f t="array" ref="O126">IF(SUMPRODUCT(('Sulphur freight'!$B$3:$B$1976=B126)*('Sulphur freight'!$D$3:$D$1976=D126)*('Sulphur freight'!$G$3:$G$1976))/SUMPRODUCT(('Sulphur freight'!$B$3:$B$1976=B126)*('Sulphur freight'!$D$3:$D$1976=D126)*1)=0, AVERAGE('Sulphur freight'!$G$3:$G$1976),SUMPRODUCT(('Sulphur freight'!$B$3:$B$1976=B126)*('Sulphur freight'!$D$3:$D$1976=D126)*('Sulphur freight'!$G$3:$G$1976))/SUMPRODUCT(('Sulphur freight'!$B$3:$B$1976=B126)*('Sulphur freight'!$D$3:$D$1976=D126)*1))</f>
        <v>28.6</v>
      </c>
      <c r="P126" s="78">
        <v>20</v>
      </c>
      <c r="R126" s="78" t="str">
        <f t="shared" si="16"/>
        <v xml:space="preserve"> </v>
      </c>
      <c r="S126" s="78">
        <f t="shared" si="17"/>
        <v>60.573122529644266</v>
      </c>
      <c r="T126" s="78" t="str">
        <f t="shared" si="12"/>
        <v/>
      </c>
      <c r="U126" s="78" t="str">
        <f t="shared" si="18"/>
        <v/>
      </c>
      <c r="V126" s="78">
        <f>IFERROR(I126+O126, "")</f>
        <v>228.6</v>
      </c>
      <c r="W126" s="78">
        <f t="shared" si="19"/>
        <v>233</v>
      </c>
      <c r="X126" s="78">
        <f t="shared" si="20"/>
        <v>93.438000000000002</v>
      </c>
      <c r="Y126" s="78">
        <f t="shared" si="21"/>
        <v>94.89</v>
      </c>
      <c r="AA126" s="88" t="str">
        <f t="shared" si="22"/>
        <v/>
      </c>
      <c r="AB126" s="77" t="str">
        <f t="shared" si="13"/>
        <v/>
      </c>
      <c r="AD126" s="88" t="str">
        <f t="shared" si="23"/>
        <v/>
      </c>
      <c r="AE126" s="77" t="str">
        <f t="shared" si="14"/>
        <v/>
      </c>
    </row>
    <row r="127" spans="2:31" x14ac:dyDescent="0.35">
      <c r="B127" s="2">
        <v>2012</v>
      </c>
      <c r="C127" s="2">
        <v>2</v>
      </c>
      <c r="D127" s="2">
        <v>6</v>
      </c>
      <c r="E127" s="78" t="str">
        <f>'CRU historical'!F126</f>
        <v xml:space="preserve"> </v>
      </c>
      <c r="F127" s="78">
        <f>'CRU historical'!I126</f>
        <v>50</v>
      </c>
      <c r="G127" s="78" t="str">
        <f>'CRU historical'!L126</f>
        <v xml:space="preserve"> </v>
      </c>
      <c r="H127" s="78" t="str">
        <f>'CRU historical'!O126</f>
        <v xml:space="preserve"> </v>
      </c>
      <c r="I127" s="78">
        <f>'CRU historical'!R126</f>
        <v>187.5</v>
      </c>
      <c r="J127" s="78">
        <f>AVERAGE('CRU historical'!U126, 'CRU historical'!X126, 'CRU historical'!AA126, 'CRU historical'!AD126)</f>
        <v>217.625</v>
      </c>
      <c r="L127" s="78" cm="1">
        <f t="array" ref="L127">IFERROR(SUMPRODUCT(('Sulphuric Acid freights'!$B$3:$B$513=B127)*('Sulphuric Acid freights'!$D$3:$D$513=D127)*('Sulphuric Acid freights'!$P$3:$P$513))/SUMPRODUCT(('Sulphuric Acid freights'!$B$3:$B$513=B127)*('Sulphuric Acid freights'!$D$3:$D$513=D127)*1), AVERAGE('Sulphuric Acid freights'!$P$3:$P$513))*2/3</f>
        <v>54.110671936758898</v>
      </c>
      <c r="M127" s="78" cm="1">
        <f t="array" ref="M127">IFERROR(SUMPRODUCT(('Sulphuric Acid freights'!$B$3:$B$513=B127)*('Sulphuric Acid freights'!$D$3:$D$513=D127)*('Sulphuric Acid freights'!$M$3:$M$513))/SUMPRODUCT(('Sulphuric Acid freights'!$B$3:$B$513=B127)*('Sulphuric Acid freights'!$D$3:$D$513=D127)*1)*2/3, AVERAGE('Sulphuric Acid freights'!$M$3:$M$513))</f>
        <v>23.573122529644269</v>
      </c>
      <c r="N127" s="78">
        <f t="shared" si="15"/>
        <v>48.699604743083007</v>
      </c>
      <c r="O127" s="78" cm="1">
        <f t="array" ref="O127">IF(SUMPRODUCT(('Sulphur freight'!$B$3:$B$1976=B127)*('Sulphur freight'!$D$3:$D$1976=D127)*('Sulphur freight'!$G$3:$G$1976))/SUMPRODUCT(('Sulphur freight'!$B$3:$B$1976=B127)*('Sulphur freight'!$D$3:$D$1976=D127)*1)=0, AVERAGE('Sulphur freight'!$G$3:$G$1976),SUMPRODUCT(('Sulphur freight'!$B$3:$B$1976=B127)*('Sulphur freight'!$D$3:$D$1976=D127)*('Sulphur freight'!$G$3:$G$1976))/SUMPRODUCT(('Sulphur freight'!$B$3:$B$1976=B127)*('Sulphur freight'!$D$3:$D$1976=D127)*1))</f>
        <v>26.5</v>
      </c>
      <c r="P127" s="78">
        <v>20</v>
      </c>
      <c r="R127" s="78" t="str">
        <f t="shared" si="16"/>
        <v xml:space="preserve"> </v>
      </c>
      <c r="S127" s="78">
        <f t="shared" si="17"/>
        <v>73.573122529644266</v>
      </c>
      <c r="T127" s="78" t="str">
        <f t="shared" si="12"/>
        <v/>
      </c>
      <c r="U127" s="78" t="str">
        <f t="shared" si="18"/>
        <v/>
      </c>
      <c r="V127" s="78">
        <f>IFERROR(I127+O127, "")</f>
        <v>214</v>
      </c>
      <c r="W127" s="78">
        <f t="shared" si="19"/>
        <v>237.625</v>
      </c>
      <c r="X127" s="78">
        <f t="shared" si="20"/>
        <v>88.62</v>
      </c>
      <c r="Y127" s="78">
        <f t="shared" si="21"/>
        <v>96.416250000000005</v>
      </c>
      <c r="AA127" s="88" t="str">
        <f t="shared" si="22"/>
        <v/>
      </c>
      <c r="AB127" s="77" t="str">
        <f t="shared" si="13"/>
        <v/>
      </c>
      <c r="AD127" s="88" t="str">
        <f t="shared" si="23"/>
        <v/>
      </c>
      <c r="AE127" s="77" t="str">
        <f t="shared" si="14"/>
        <v/>
      </c>
    </row>
    <row r="128" spans="2:31" x14ac:dyDescent="0.35">
      <c r="B128" s="2">
        <v>2012</v>
      </c>
      <c r="C128" s="2">
        <v>3</v>
      </c>
      <c r="D128" s="2">
        <v>7</v>
      </c>
      <c r="E128" s="78">
        <f>'CRU historical'!F127</f>
        <v>39</v>
      </c>
      <c r="F128" s="78">
        <f>'CRU historical'!I127</f>
        <v>50</v>
      </c>
      <c r="G128" s="78" t="str">
        <f>'CRU historical'!L127</f>
        <v xml:space="preserve"> </v>
      </c>
      <c r="H128" s="78" t="str">
        <f>'CRU historical'!O127</f>
        <v xml:space="preserve"> </v>
      </c>
      <c r="I128" s="78">
        <f>'CRU historical'!R127</f>
        <v>176.25</v>
      </c>
      <c r="J128" s="78">
        <f>AVERAGE('CRU historical'!U127, 'CRU historical'!X127, 'CRU historical'!AA127, 'CRU historical'!AD127)</f>
        <v>209.125</v>
      </c>
      <c r="L128" s="78" cm="1">
        <f t="array" ref="L128">IFERROR(SUMPRODUCT(('Sulphuric Acid freights'!$B$3:$B$513=B128)*('Sulphuric Acid freights'!$D$3:$D$513=D128)*('Sulphuric Acid freights'!$P$3:$P$513))/SUMPRODUCT(('Sulphuric Acid freights'!$B$3:$B$513=B128)*('Sulphuric Acid freights'!$D$3:$D$513=D128)*1), AVERAGE('Sulphuric Acid freights'!$P$3:$P$513))*2/3</f>
        <v>54.110671936758898</v>
      </c>
      <c r="M128" s="78" cm="1">
        <f t="array" ref="M128">IFERROR(SUMPRODUCT(('Sulphuric Acid freights'!$B$3:$B$513=B128)*('Sulphuric Acid freights'!$D$3:$D$513=D128)*('Sulphuric Acid freights'!$M$3:$M$513))/SUMPRODUCT(('Sulphuric Acid freights'!$B$3:$B$513=B128)*('Sulphuric Acid freights'!$D$3:$D$513=D128)*1)*2/3, AVERAGE('Sulphuric Acid freights'!$M$3:$M$513))</f>
        <v>23.573122529644269</v>
      </c>
      <c r="N128" s="78">
        <f t="shared" si="15"/>
        <v>48.699604743083007</v>
      </c>
      <c r="O128" s="78" cm="1">
        <f t="array" ref="O128">IF(SUMPRODUCT(('Sulphur freight'!$B$3:$B$1976=B128)*('Sulphur freight'!$D$3:$D$1976=D128)*('Sulphur freight'!$G$3:$G$1976))/SUMPRODUCT(('Sulphur freight'!$B$3:$B$1976=B128)*('Sulphur freight'!$D$3:$D$1976=D128)*1)=0, AVERAGE('Sulphur freight'!$G$3:$G$1976),SUMPRODUCT(('Sulphur freight'!$B$3:$B$1976=B128)*('Sulphur freight'!$D$3:$D$1976=D128)*('Sulphur freight'!$G$3:$G$1976))/SUMPRODUCT(('Sulphur freight'!$B$3:$B$1976=B128)*('Sulphur freight'!$D$3:$D$1976=D128)*1))</f>
        <v>26</v>
      </c>
      <c r="P128" s="78">
        <v>20</v>
      </c>
      <c r="R128" s="78" t="str">
        <f t="shared" si="16"/>
        <v xml:space="preserve"> </v>
      </c>
      <c r="S128" s="78">
        <f t="shared" si="17"/>
        <v>73.573122529644266</v>
      </c>
      <c r="T128" s="78">
        <f t="shared" si="12"/>
        <v>93.110671936758905</v>
      </c>
      <c r="U128" s="78" t="str">
        <f t="shared" si="18"/>
        <v/>
      </c>
      <c r="V128" s="78">
        <f>IFERROR(I128+O128, "")</f>
        <v>202.25</v>
      </c>
      <c r="W128" s="78">
        <f t="shared" si="19"/>
        <v>229.125</v>
      </c>
      <c r="X128" s="78">
        <f t="shared" si="20"/>
        <v>84.742500000000007</v>
      </c>
      <c r="Y128" s="78">
        <f t="shared" si="21"/>
        <v>93.611249999999998</v>
      </c>
      <c r="AA128" s="88" t="str">
        <f t="shared" si="22"/>
        <v/>
      </c>
      <c r="AB128" s="77" t="str">
        <f t="shared" si="13"/>
        <v/>
      </c>
      <c r="AD128" s="88" t="str">
        <f t="shared" si="23"/>
        <v/>
      </c>
      <c r="AE128" s="77" t="str">
        <f t="shared" si="14"/>
        <v/>
      </c>
    </row>
    <row r="129" spans="2:31" x14ac:dyDescent="0.35">
      <c r="B129" s="2">
        <v>2012</v>
      </c>
      <c r="C129" s="2">
        <v>3</v>
      </c>
      <c r="D129" s="2">
        <v>8</v>
      </c>
      <c r="E129" s="78">
        <f>'CRU historical'!F128</f>
        <v>43</v>
      </c>
      <c r="F129" s="78">
        <f>'CRU historical'!I128</f>
        <v>51.4</v>
      </c>
      <c r="G129" s="78" t="str">
        <f>'CRU historical'!L128</f>
        <v xml:space="preserve"> </v>
      </c>
      <c r="H129" s="78" t="str">
        <f>'CRU historical'!O128</f>
        <v xml:space="preserve"> </v>
      </c>
      <c r="I129" s="78">
        <f>'CRU historical'!R128</f>
        <v>177.6</v>
      </c>
      <c r="J129" s="78">
        <f>AVERAGE('CRU historical'!U128, 'CRU historical'!X128, 'CRU historical'!AA128, 'CRU historical'!AD128)</f>
        <v>191.5</v>
      </c>
      <c r="L129" s="78" cm="1">
        <f t="array" ref="L129">IFERROR(SUMPRODUCT(('Sulphuric Acid freights'!$B$3:$B$513=B129)*('Sulphuric Acid freights'!$D$3:$D$513=D129)*('Sulphuric Acid freights'!$P$3:$P$513))/SUMPRODUCT(('Sulphuric Acid freights'!$B$3:$B$513=B129)*('Sulphuric Acid freights'!$D$3:$D$513=D129)*1), AVERAGE('Sulphuric Acid freights'!$P$3:$P$513))*2/3</f>
        <v>54.110671936758898</v>
      </c>
      <c r="M129" s="78" cm="1">
        <f t="array" ref="M129">IFERROR(SUMPRODUCT(('Sulphuric Acid freights'!$B$3:$B$513=B129)*('Sulphuric Acid freights'!$D$3:$D$513=D129)*('Sulphuric Acid freights'!$M$3:$M$513))/SUMPRODUCT(('Sulphuric Acid freights'!$B$3:$B$513=B129)*('Sulphuric Acid freights'!$D$3:$D$513=D129)*1)*2/3, AVERAGE('Sulphuric Acid freights'!$M$3:$M$513))</f>
        <v>23.573122529644269</v>
      </c>
      <c r="N129" s="78">
        <f t="shared" si="15"/>
        <v>48.699604743083007</v>
      </c>
      <c r="O129" s="78" cm="1">
        <f t="array" ref="O129">IF(SUMPRODUCT(('Sulphur freight'!$B$3:$B$1976=B129)*('Sulphur freight'!$D$3:$D$1976=D129)*('Sulphur freight'!$G$3:$G$1976))/SUMPRODUCT(('Sulphur freight'!$B$3:$B$1976=B129)*('Sulphur freight'!$D$3:$D$1976=D129)*1)=0, AVERAGE('Sulphur freight'!$G$3:$G$1976),SUMPRODUCT(('Sulphur freight'!$B$3:$B$1976=B129)*('Sulphur freight'!$D$3:$D$1976=D129)*('Sulphur freight'!$G$3:$G$1976))/SUMPRODUCT(('Sulphur freight'!$B$3:$B$1976=B129)*('Sulphur freight'!$D$3:$D$1976=D129)*1))</f>
        <v>26.4</v>
      </c>
      <c r="P129" s="78">
        <v>20</v>
      </c>
      <c r="R129" s="78" t="str">
        <f t="shared" si="16"/>
        <v xml:space="preserve"> </v>
      </c>
      <c r="S129" s="78">
        <f t="shared" si="17"/>
        <v>74.973122529644272</v>
      </c>
      <c r="T129" s="78">
        <f t="shared" si="12"/>
        <v>97.110671936758905</v>
      </c>
      <c r="U129" s="78" t="str">
        <f t="shared" si="18"/>
        <v/>
      </c>
      <c r="V129" s="78">
        <f>IFERROR(I129+O129, "")</f>
        <v>204</v>
      </c>
      <c r="W129" s="78">
        <f t="shared" si="19"/>
        <v>211.5</v>
      </c>
      <c r="X129" s="78">
        <f t="shared" si="20"/>
        <v>85.320000000000007</v>
      </c>
      <c r="Y129" s="78">
        <f t="shared" si="21"/>
        <v>87.795000000000002</v>
      </c>
      <c r="AA129" s="88" t="str">
        <f t="shared" si="22"/>
        <v/>
      </c>
      <c r="AB129" s="77" t="str">
        <f t="shared" si="13"/>
        <v/>
      </c>
      <c r="AD129" s="88" t="str">
        <f t="shared" si="23"/>
        <v/>
      </c>
      <c r="AE129" s="77" t="str">
        <f t="shared" si="14"/>
        <v/>
      </c>
    </row>
    <row r="130" spans="2:31" x14ac:dyDescent="0.35">
      <c r="B130" s="2">
        <v>2012</v>
      </c>
      <c r="C130" s="2">
        <v>3</v>
      </c>
      <c r="D130" s="2">
        <v>9</v>
      </c>
      <c r="E130" s="78">
        <f>'CRU historical'!F129</f>
        <v>45</v>
      </c>
      <c r="F130" s="78">
        <f>'CRU historical'!I129</f>
        <v>53</v>
      </c>
      <c r="G130" s="78" t="str">
        <f>'CRU historical'!L129</f>
        <v xml:space="preserve"> </v>
      </c>
      <c r="H130" s="78" t="str">
        <f>'CRU historical'!O129</f>
        <v xml:space="preserve"> </v>
      </c>
      <c r="I130" s="78">
        <f>'CRU historical'!R129</f>
        <v>186.5</v>
      </c>
      <c r="J130" s="78">
        <f>AVERAGE('CRU historical'!U129, 'CRU historical'!X129, 'CRU historical'!AA129, 'CRU historical'!AD129)</f>
        <v>191.5</v>
      </c>
      <c r="L130" s="78" cm="1">
        <f t="array" ref="L130">IFERROR(SUMPRODUCT(('Sulphuric Acid freights'!$B$3:$B$513=B130)*('Sulphuric Acid freights'!$D$3:$D$513=D130)*('Sulphuric Acid freights'!$P$3:$P$513))/SUMPRODUCT(('Sulphuric Acid freights'!$B$3:$B$513=B130)*('Sulphuric Acid freights'!$D$3:$D$513=D130)*1), AVERAGE('Sulphuric Acid freights'!$P$3:$P$513))*2/3</f>
        <v>54.110671936758898</v>
      </c>
      <c r="M130" s="78" cm="1">
        <f t="array" ref="M130">IFERROR(SUMPRODUCT(('Sulphuric Acid freights'!$B$3:$B$513=B130)*('Sulphuric Acid freights'!$D$3:$D$513=D130)*('Sulphuric Acid freights'!$M$3:$M$513))/SUMPRODUCT(('Sulphuric Acid freights'!$B$3:$B$513=B130)*('Sulphuric Acid freights'!$D$3:$D$513=D130)*1)*2/3, AVERAGE('Sulphuric Acid freights'!$M$3:$M$513))</f>
        <v>23.573122529644269</v>
      </c>
      <c r="N130" s="78">
        <f t="shared" si="15"/>
        <v>48.699604743083007</v>
      </c>
      <c r="O130" s="78" cm="1">
        <f t="array" ref="O130">IF(SUMPRODUCT(('Sulphur freight'!$B$3:$B$1976=B130)*('Sulphur freight'!$D$3:$D$1976=D130)*('Sulphur freight'!$G$3:$G$1976))/SUMPRODUCT(('Sulphur freight'!$B$3:$B$1976=B130)*('Sulphur freight'!$D$3:$D$1976=D130)*1)=0, AVERAGE('Sulphur freight'!$G$3:$G$1976),SUMPRODUCT(('Sulphur freight'!$B$3:$B$1976=B130)*('Sulphur freight'!$D$3:$D$1976=D130)*('Sulphur freight'!$G$3:$G$1976))/SUMPRODUCT(('Sulphur freight'!$B$3:$B$1976=B130)*('Sulphur freight'!$D$3:$D$1976=D130)*1))</f>
        <v>26.25</v>
      </c>
      <c r="P130" s="78">
        <v>20</v>
      </c>
      <c r="R130" s="78" t="str">
        <f t="shared" si="16"/>
        <v xml:space="preserve"> </v>
      </c>
      <c r="S130" s="78">
        <f t="shared" si="17"/>
        <v>76.573122529644266</v>
      </c>
      <c r="T130" s="78">
        <f t="shared" si="12"/>
        <v>99.110671936758905</v>
      </c>
      <c r="U130" s="78" t="str">
        <f t="shared" si="18"/>
        <v/>
      </c>
      <c r="V130" s="78">
        <f>IFERROR(I130+O130, "")</f>
        <v>212.75</v>
      </c>
      <c r="W130" s="78">
        <f t="shared" si="19"/>
        <v>211.5</v>
      </c>
      <c r="X130" s="78">
        <f t="shared" si="20"/>
        <v>88.20750000000001</v>
      </c>
      <c r="Y130" s="78">
        <f t="shared" si="21"/>
        <v>87.795000000000002</v>
      </c>
      <c r="AA130" s="88" t="str">
        <f t="shared" si="22"/>
        <v/>
      </c>
      <c r="AB130" s="77" t="str">
        <f t="shared" si="13"/>
        <v/>
      </c>
      <c r="AD130" s="88" t="str">
        <f t="shared" si="23"/>
        <v/>
      </c>
      <c r="AE130" s="77" t="str">
        <f t="shared" si="14"/>
        <v/>
      </c>
    </row>
    <row r="131" spans="2:31" x14ac:dyDescent="0.35">
      <c r="B131" s="2">
        <v>2012</v>
      </c>
      <c r="C131" s="2">
        <v>4</v>
      </c>
      <c r="D131" s="2">
        <v>10</v>
      </c>
      <c r="E131" s="78">
        <f>'CRU historical'!F130</f>
        <v>38.25</v>
      </c>
      <c r="F131" s="78">
        <f>'CRU historical'!I130</f>
        <v>56.75</v>
      </c>
      <c r="G131" s="78" t="str">
        <f>'CRU historical'!L130</f>
        <v xml:space="preserve"> </v>
      </c>
      <c r="H131" s="78" t="str">
        <f>'CRU historical'!O130</f>
        <v xml:space="preserve"> </v>
      </c>
      <c r="I131" s="78">
        <f>'CRU historical'!R130</f>
        <v>170.75</v>
      </c>
      <c r="J131" s="78">
        <f>AVERAGE('CRU historical'!U130, 'CRU historical'!X130, 'CRU historical'!AA130, 'CRU historical'!AD130)</f>
        <v>191.5</v>
      </c>
      <c r="L131" s="78" cm="1">
        <f t="array" ref="L131">IFERROR(SUMPRODUCT(('Sulphuric Acid freights'!$B$3:$B$513=B131)*('Sulphuric Acid freights'!$D$3:$D$513=D131)*('Sulphuric Acid freights'!$P$3:$P$513))/SUMPRODUCT(('Sulphuric Acid freights'!$B$3:$B$513=B131)*('Sulphuric Acid freights'!$D$3:$D$513=D131)*1), AVERAGE('Sulphuric Acid freights'!$P$3:$P$513))*2/3</f>
        <v>54.110671936758898</v>
      </c>
      <c r="M131" s="78" cm="1">
        <f t="array" ref="M131">IFERROR(SUMPRODUCT(('Sulphuric Acid freights'!$B$3:$B$513=B131)*('Sulphuric Acid freights'!$D$3:$D$513=D131)*('Sulphuric Acid freights'!$M$3:$M$513))/SUMPRODUCT(('Sulphuric Acid freights'!$B$3:$B$513=B131)*('Sulphuric Acid freights'!$D$3:$D$513=D131)*1)*2/3, AVERAGE('Sulphuric Acid freights'!$M$3:$M$513))</f>
        <v>23.573122529644269</v>
      </c>
      <c r="N131" s="78">
        <f t="shared" si="15"/>
        <v>48.699604743083007</v>
      </c>
      <c r="O131" s="78" cm="1">
        <f t="array" ref="O131">IF(SUMPRODUCT(('Sulphur freight'!$B$3:$B$1976=B131)*('Sulphur freight'!$D$3:$D$1976=D131)*('Sulphur freight'!$G$3:$G$1976))/SUMPRODUCT(('Sulphur freight'!$B$3:$B$1976=B131)*('Sulphur freight'!$D$3:$D$1976=D131)*1)=0, AVERAGE('Sulphur freight'!$G$3:$G$1976),SUMPRODUCT(('Sulphur freight'!$B$3:$B$1976=B131)*('Sulphur freight'!$D$3:$D$1976=D131)*('Sulphur freight'!$G$3:$G$1976))/SUMPRODUCT(('Sulphur freight'!$B$3:$B$1976=B131)*('Sulphur freight'!$D$3:$D$1976=D131)*1))</f>
        <v>26</v>
      </c>
      <c r="P131" s="78">
        <v>20</v>
      </c>
      <c r="R131" s="78" t="str">
        <f t="shared" si="16"/>
        <v xml:space="preserve"> </v>
      </c>
      <c r="S131" s="78">
        <f t="shared" si="17"/>
        <v>80.323122529644266</v>
      </c>
      <c r="T131" s="78">
        <f t="shared" si="12"/>
        <v>92.360671936758905</v>
      </c>
      <c r="U131" s="78" t="str">
        <f t="shared" si="18"/>
        <v/>
      </c>
      <c r="V131" s="78">
        <f>IFERROR(I131+O131, "")</f>
        <v>196.75</v>
      </c>
      <c r="W131" s="78">
        <f t="shared" si="19"/>
        <v>211.5</v>
      </c>
      <c r="X131" s="78">
        <f t="shared" si="20"/>
        <v>82.927500000000009</v>
      </c>
      <c r="Y131" s="78">
        <f t="shared" si="21"/>
        <v>87.795000000000002</v>
      </c>
      <c r="AA131" s="88" t="str">
        <f t="shared" si="22"/>
        <v/>
      </c>
      <c r="AB131" s="77" t="str">
        <f t="shared" si="13"/>
        <v/>
      </c>
      <c r="AD131" s="88" t="str">
        <f t="shared" si="23"/>
        <v/>
      </c>
      <c r="AE131" s="77" t="str">
        <f t="shared" si="14"/>
        <v/>
      </c>
    </row>
    <row r="132" spans="2:31" x14ac:dyDescent="0.35">
      <c r="B132" s="2">
        <v>2012</v>
      </c>
      <c r="C132" s="2">
        <v>4</v>
      </c>
      <c r="D132" s="2">
        <v>11</v>
      </c>
      <c r="E132" s="78">
        <f>'CRU historical'!F131</f>
        <v>18</v>
      </c>
      <c r="F132" s="78">
        <f>'CRU historical'!I131</f>
        <v>53.4</v>
      </c>
      <c r="G132" s="78" t="str">
        <f>'CRU historical'!L131</f>
        <v xml:space="preserve"> </v>
      </c>
      <c r="H132" s="78" t="str">
        <f>'CRU historical'!O131</f>
        <v xml:space="preserve"> </v>
      </c>
      <c r="I132" s="78">
        <f>'CRU historical'!R131</f>
        <v>154.19999999999999</v>
      </c>
      <c r="J132" s="78">
        <f>AVERAGE('CRU historical'!U131, 'CRU historical'!X131, 'CRU historical'!AA131, 'CRU historical'!AD131)</f>
        <v>183.5</v>
      </c>
      <c r="L132" s="78" cm="1">
        <f t="array" ref="L132">IFERROR(SUMPRODUCT(('Sulphuric Acid freights'!$B$3:$B$513=B132)*('Sulphuric Acid freights'!$D$3:$D$513=D132)*('Sulphuric Acid freights'!$P$3:$P$513))/SUMPRODUCT(('Sulphuric Acid freights'!$B$3:$B$513=B132)*('Sulphuric Acid freights'!$D$3:$D$513=D132)*1), AVERAGE('Sulphuric Acid freights'!$P$3:$P$513))*2/3</f>
        <v>54.110671936758898</v>
      </c>
      <c r="M132" s="78" cm="1">
        <f t="array" ref="M132">IFERROR(SUMPRODUCT(('Sulphuric Acid freights'!$B$3:$B$513=B132)*('Sulphuric Acid freights'!$D$3:$D$513=D132)*('Sulphuric Acid freights'!$M$3:$M$513))/SUMPRODUCT(('Sulphuric Acid freights'!$B$3:$B$513=B132)*('Sulphuric Acid freights'!$D$3:$D$513=D132)*1)*2/3, AVERAGE('Sulphuric Acid freights'!$M$3:$M$513))</f>
        <v>23.573122529644269</v>
      </c>
      <c r="N132" s="78">
        <f t="shared" si="15"/>
        <v>48.699604743083007</v>
      </c>
      <c r="O132" s="78" cm="1">
        <f t="array" ref="O132">IF(SUMPRODUCT(('Sulphur freight'!$B$3:$B$1976=B132)*('Sulphur freight'!$D$3:$D$1976=D132)*('Sulphur freight'!$G$3:$G$1976))/SUMPRODUCT(('Sulphur freight'!$B$3:$B$1976=B132)*('Sulphur freight'!$D$3:$D$1976=D132)*1)=0, AVERAGE('Sulphur freight'!$G$3:$G$1976),SUMPRODUCT(('Sulphur freight'!$B$3:$B$1976=B132)*('Sulphur freight'!$D$3:$D$1976=D132)*('Sulphur freight'!$G$3:$G$1976))/SUMPRODUCT(('Sulphur freight'!$B$3:$B$1976=B132)*('Sulphur freight'!$D$3:$D$1976=D132)*1))</f>
        <v>25</v>
      </c>
      <c r="P132" s="78">
        <v>20</v>
      </c>
      <c r="R132" s="78" t="str">
        <f t="shared" si="16"/>
        <v xml:space="preserve"> </v>
      </c>
      <c r="S132" s="78">
        <f t="shared" si="17"/>
        <v>76.973122529644272</v>
      </c>
      <c r="T132" s="78">
        <f t="shared" si="12"/>
        <v>72.110671936758905</v>
      </c>
      <c r="U132" s="78" t="str">
        <f t="shared" si="18"/>
        <v/>
      </c>
      <c r="V132" s="78">
        <f>IFERROR(I132+O132, "")</f>
        <v>179.2</v>
      </c>
      <c r="W132" s="78">
        <f t="shared" si="19"/>
        <v>203.5</v>
      </c>
      <c r="X132" s="78">
        <f t="shared" si="20"/>
        <v>77.135999999999996</v>
      </c>
      <c r="Y132" s="78">
        <f t="shared" si="21"/>
        <v>85.155000000000001</v>
      </c>
      <c r="AA132" s="88" t="str">
        <f t="shared" si="22"/>
        <v/>
      </c>
      <c r="AB132" s="77" t="str">
        <f t="shared" si="13"/>
        <v/>
      </c>
      <c r="AD132" s="88" t="str">
        <f t="shared" si="23"/>
        <v/>
      </c>
      <c r="AE132" s="77" t="str">
        <f t="shared" si="14"/>
        <v/>
      </c>
    </row>
    <row r="133" spans="2:31" x14ac:dyDescent="0.35">
      <c r="B133" s="2">
        <v>2012</v>
      </c>
      <c r="C133" s="2">
        <v>4</v>
      </c>
      <c r="D133" s="2">
        <v>12</v>
      </c>
      <c r="E133" s="78">
        <f>'CRU historical'!F132</f>
        <v>10</v>
      </c>
      <c r="F133" s="78">
        <f>'CRU historical'!I132</f>
        <v>43</v>
      </c>
      <c r="G133" s="78" t="str">
        <f>'CRU historical'!L132</f>
        <v xml:space="preserve"> </v>
      </c>
      <c r="H133" s="78" t="str">
        <f>'CRU historical'!O132</f>
        <v xml:space="preserve"> </v>
      </c>
      <c r="I133" s="78">
        <f>'CRU historical'!R132</f>
        <v>146.5</v>
      </c>
      <c r="J133" s="78">
        <f>AVERAGE('CRU historical'!U132, 'CRU historical'!X132, 'CRU historical'!AA132, 'CRU historical'!AD132)</f>
        <v>172.5</v>
      </c>
      <c r="L133" s="78" cm="1">
        <f t="array" ref="L133">IFERROR(SUMPRODUCT(('Sulphuric Acid freights'!$B$3:$B$513=B133)*('Sulphuric Acid freights'!$D$3:$D$513=D133)*('Sulphuric Acid freights'!$P$3:$P$513))/SUMPRODUCT(('Sulphuric Acid freights'!$B$3:$B$513=B133)*('Sulphuric Acid freights'!$D$3:$D$513=D133)*1), AVERAGE('Sulphuric Acid freights'!$P$3:$P$513))*2/3</f>
        <v>54.110671936758898</v>
      </c>
      <c r="M133" s="78" cm="1">
        <f t="array" ref="M133">IFERROR(SUMPRODUCT(('Sulphuric Acid freights'!$B$3:$B$513=B133)*('Sulphuric Acid freights'!$D$3:$D$513=D133)*('Sulphuric Acid freights'!$M$3:$M$513))/SUMPRODUCT(('Sulphuric Acid freights'!$B$3:$B$513=B133)*('Sulphuric Acid freights'!$D$3:$D$513=D133)*1)*2/3, AVERAGE('Sulphuric Acid freights'!$M$3:$M$513))</f>
        <v>23.573122529644269</v>
      </c>
      <c r="N133" s="78">
        <f t="shared" si="15"/>
        <v>48.699604743083007</v>
      </c>
      <c r="O133" s="78" cm="1">
        <f t="array" ref="O133">IF(SUMPRODUCT(('Sulphur freight'!$B$3:$B$1976=B133)*('Sulphur freight'!$D$3:$D$1976=D133)*('Sulphur freight'!$G$3:$G$1976))/SUMPRODUCT(('Sulphur freight'!$B$3:$B$1976=B133)*('Sulphur freight'!$D$3:$D$1976=D133)*1)=0, AVERAGE('Sulphur freight'!$G$3:$G$1976),SUMPRODUCT(('Sulphur freight'!$B$3:$B$1976=B133)*('Sulphur freight'!$D$3:$D$1976=D133)*('Sulphur freight'!$G$3:$G$1976))/SUMPRODUCT(('Sulphur freight'!$B$3:$B$1976=B133)*('Sulphur freight'!$D$3:$D$1976=D133)*1))</f>
        <v>26</v>
      </c>
      <c r="P133" s="78">
        <v>20</v>
      </c>
      <c r="R133" s="78" t="str">
        <f t="shared" si="16"/>
        <v xml:space="preserve"> </v>
      </c>
      <c r="S133" s="78">
        <f t="shared" si="17"/>
        <v>66.573122529644266</v>
      </c>
      <c r="T133" s="78">
        <f t="shared" si="12"/>
        <v>64.110671936758905</v>
      </c>
      <c r="U133" s="78" t="str">
        <f t="shared" si="18"/>
        <v/>
      </c>
      <c r="V133" s="78">
        <f>IFERROR(I133+O133, "")</f>
        <v>172.5</v>
      </c>
      <c r="W133" s="78">
        <f t="shared" si="19"/>
        <v>192.5</v>
      </c>
      <c r="X133" s="78">
        <f t="shared" si="20"/>
        <v>74.925000000000011</v>
      </c>
      <c r="Y133" s="78">
        <f t="shared" si="21"/>
        <v>81.525000000000006</v>
      </c>
      <c r="AA133" s="88" t="str">
        <f t="shared" si="22"/>
        <v/>
      </c>
      <c r="AB133" s="77" t="str">
        <f t="shared" si="13"/>
        <v/>
      </c>
      <c r="AD133" s="88" t="str">
        <f t="shared" si="23"/>
        <v/>
      </c>
      <c r="AE133" s="77" t="str">
        <f t="shared" si="14"/>
        <v/>
      </c>
    </row>
    <row r="134" spans="2:31" x14ac:dyDescent="0.35">
      <c r="B134" s="2">
        <v>2013</v>
      </c>
      <c r="C134" s="2">
        <v>1</v>
      </c>
      <c r="D134" s="2">
        <v>1</v>
      </c>
      <c r="E134" s="78">
        <f>'CRU historical'!F133</f>
        <v>7.2</v>
      </c>
      <c r="F134" s="78">
        <f>'CRU historical'!I133</f>
        <v>26.2</v>
      </c>
      <c r="G134" s="78" t="str">
        <f>'CRU historical'!L133</f>
        <v xml:space="preserve"> </v>
      </c>
      <c r="H134" s="78" t="str">
        <f>'CRU historical'!O133</f>
        <v xml:space="preserve"> </v>
      </c>
      <c r="I134" s="78">
        <f>'CRU historical'!R133</f>
        <v>145.19999999999999</v>
      </c>
      <c r="J134" s="78">
        <f>AVERAGE('CRU historical'!U133, 'CRU historical'!X133, 'CRU historical'!AA133, 'CRU historical'!AD133)</f>
        <v>160.4</v>
      </c>
      <c r="L134" s="78" cm="1">
        <f t="array" ref="L134">IFERROR(SUMPRODUCT(('Sulphuric Acid freights'!$B$3:$B$513=B134)*('Sulphuric Acid freights'!$D$3:$D$513=D134)*('Sulphuric Acid freights'!$P$3:$P$513))/SUMPRODUCT(('Sulphuric Acid freights'!$B$3:$B$513=B134)*('Sulphuric Acid freights'!$D$3:$D$513=D134)*1), AVERAGE('Sulphuric Acid freights'!$P$3:$P$513))*2/3</f>
        <v>54.110671936758898</v>
      </c>
      <c r="M134" s="78" cm="1">
        <f t="array" ref="M134">IFERROR(SUMPRODUCT(('Sulphuric Acid freights'!$B$3:$B$513=B134)*('Sulphuric Acid freights'!$D$3:$D$513=D134)*('Sulphuric Acid freights'!$M$3:$M$513))/SUMPRODUCT(('Sulphuric Acid freights'!$B$3:$B$513=B134)*('Sulphuric Acid freights'!$D$3:$D$513=D134)*1)*2/3, AVERAGE('Sulphuric Acid freights'!$M$3:$M$513))</f>
        <v>23.573122529644269</v>
      </c>
      <c r="N134" s="78">
        <f t="shared" si="15"/>
        <v>48.699604743083007</v>
      </c>
      <c r="O134" s="78" cm="1">
        <f t="array" ref="O134">IF(SUMPRODUCT(('Sulphur freight'!$B$3:$B$1976=B134)*('Sulphur freight'!$D$3:$D$1976=D134)*('Sulphur freight'!$G$3:$G$1976))/SUMPRODUCT(('Sulphur freight'!$B$3:$B$1976=B134)*('Sulphur freight'!$D$3:$D$1976=D134)*1)=0, AVERAGE('Sulphur freight'!$G$3:$G$1976),SUMPRODUCT(('Sulphur freight'!$B$3:$B$1976=B134)*('Sulphur freight'!$D$3:$D$1976=D134)*('Sulphur freight'!$G$3:$G$1976))/SUMPRODUCT(('Sulphur freight'!$B$3:$B$1976=B134)*('Sulphur freight'!$D$3:$D$1976=D134)*1))</f>
        <v>27</v>
      </c>
      <c r="P134" s="78">
        <v>20</v>
      </c>
      <c r="R134" s="78" t="str">
        <f t="shared" si="16"/>
        <v xml:space="preserve"> </v>
      </c>
      <c r="S134" s="78">
        <f t="shared" si="17"/>
        <v>49.773122529644269</v>
      </c>
      <c r="T134" s="78">
        <f t="shared" ref="T134:T197" si="24">IFERROR( E134+L134, "")</f>
        <v>61.310671936758901</v>
      </c>
      <c r="U134" s="78" t="str">
        <f t="shared" si="18"/>
        <v/>
      </c>
      <c r="V134" s="78">
        <f>IFERROR(I134+O134, "")</f>
        <v>172.2</v>
      </c>
      <c r="W134" s="78">
        <f t="shared" si="19"/>
        <v>180.4</v>
      </c>
      <c r="X134" s="78">
        <f t="shared" si="20"/>
        <v>74.825999999999993</v>
      </c>
      <c r="Y134" s="78">
        <f t="shared" si="21"/>
        <v>77.532000000000011</v>
      </c>
      <c r="AA134" s="88" t="str">
        <f t="shared" si="22"/>
        <v/>
      </c>
      <c r="AB134" s="77" t="str">
        <f t="shared" ref="AB134:AB197" si="25">IF(AA134="", "", MAX(X134, Y134)-AA134)</f>
        <v/>
      </c>
      <c r="AD134" s="88" t="str">
        <f t="shared" si="23"/>
        <v/>
      </c>
      <c r="AE134" s="77" t="str">
        <f t="shared" ref="AE134:AE197" si="26">IF(AD134="", "", MAX(AA134, AB134)-AD134)</f>
        <v/>
      </c>
    </row>
    <row r="135" spans="2:31" x14ac:dyDescent="0.35">
      <c r="B135" s="2">
        <v>2013</v>
      </c>
      <c r="C135" s="2">
        <v>1</v>
      </c>
      <c r="D135" s="2">
        <v>2</v>
      </c>
      <c r="E135" s="78">
        <f>'CRU historical'!F134</f>
        <v>3</v>
      </c>
      <c r="F135" s="78">
        <f>'CRU historical'!I134</f>
        <v>13.75</v>
      </c>
      <c r="G135" s="78" t="str">
        <f>'CRU historical'!L134</f>
        <v xml:space="preserve"> </v>
      </c>
      <c r="H135" s="78" t="str">
        <f>'CRU historical'!O134</f>
        <v xml:space="preserve"> </v>
      </c>
      <c r="I135" s="78">
        <f>'CRU historical'!R134</f>
        <v>149</v>
      </c>
      <c r="J135" s="78">
        <f>AVERAGE('CRU historical'!U134, 'CRU historical'!X134, 'CRU historical'!AA134, 'CRU historical'!AD134)</f>
        <v>152.5</v>
      </c>
      <c r="L135" s="78" cm="1">
        <f t="array" ref="L135">IFERROR(SUMPRODUCT(('Sulphuric Acid freights'!$B$3:$B$513=B135)*('Sulphuric Acid freights'!$D$3:$D$513=D135)*('Sulphuric Acid freights'!$P$3:$P$513))/SUMPRODUCT(('Sulphuric Acid freights'!$B$3:$B$513=B135)*('Sulphuric Acid freights'!$D$3:$D$513=D135)*1), AVERAGE('Sulphuric Acid freights'!$P$3:$P$513))*2/3</f>
        <v>54.110671936758898</v>
      </c>
      <c r="M135" s="78" cm="1">
        <f t="array" ref="M135">IFERROR(SUMPRODUCT(('Sulphuric Acid freights'!$B$3:$B$513=B135)*('Sulphuric Acid freights'!$D$3:$D$513=D135)*('Sulphuric Acid freights'!$M$3:$M$513))/SUMPRODUCT(('Sulphuric Acid freights'!$B$3:$B$513=B135)*('Sulphuric Acid freights'!$D$3:$D$513=D135)*1)*2/3, AVERAGE('Sulphuric Acid freights'!$M$3:$M$513))</f>
        <v>23.573122529644269</v>
      </c>
      <c r="N135" s="78">
        <f t="shared" ref="N135:N198" si="27">IFERROR(L135*0.9, "")</f>
        <v>48.699604743083007</v>
      </c>
      <c r="O135" s="78" cm="1">
        <f t="array" ref="O135">IF(SUMPRODUCT(('Sulphur freight'!$B$3:$B$1976=B135)*('Sulphur freight'!$D$3:$D$1976=D135)*('Sulphur freight'!$G$3:$G$1976))/SUMPRODUCT(('Sulphur freight'!$B$3:$B$1976=B135)*('Sulphur freight'!$D$3:$D$1976=D135)*1)=0, AVERAGE('Sulphur freight'!$G$3:$G$1976),SUMPRODUCT(('Sulphur freight'!$B$3:$B$1976=B135)*('Sulphur freight'!$D$3:$D$1976=D135)*('Sulphur freight'!$G$3:$G$1976))/SUMPRODUCT(('Sulphur freight'!$B$3:$B$1976=B135)*('Sulphur freight'!$D$3:$D$1976=D135)*1))</f>
        <v>27.25</v>
      </c>
      <c r="P135" s="78">
        <v>20</v>
      </c>
      <c r="R135" s="78" t="str">
        <f t="shared" ref="R135:R198" si="28">H135</f>
        <v xml:space="preserve"> </v>
      </c>
      <c r="S135" s="78">
        <f t="shared" ref="S135:S198" si="29">IF(F135=0, "", F135+M135)</f>
        <v>37.323122529644266</v>
      </c>
      <c r="T135" s="78">
        <f t="shared" si="24"/>
        <v>57.110671936758898</v>
      </c>
      <c r="U135" s="78" t="str">
        <f t="shared" ref="U135:U198" si="30">IFERROR( G135+N135, "")</f>
        <v/>
      </c>
      <c r="V135" s="78">
        <f>IFERROR(I135+O135, "")</f>
        <v>176.25</v>
      </c>
      <c r="W135" s="78">
        <f t="shared" ref="W135:W198" si="31">J135+P135</f>
        <v>172.5</v>
      </c>
      <c r="X135" s="78">
        <f t="shared" ref="X135:X198" si="32">IFERROR((I135+O135)*0.33+18, "")</f>
        <v>76.162499999999994</v>
      </c>
      <c r="Y135" s="78">
        <f t="shared" ref="Y135:Y198" si="33">IF(J135=0,0,(J135+P135)*0.33+18)</f>
        <v>74.925000000000011</v>
      </c>
      <c r="AA135" s="88" t="str">
        <f t="shared" ref="AA135:AA198" si="34">IF(OR(S135="", T135="", U135=""), "", MAX(R135,S135)*40%+T135*30%+U135*30%)</f>
        <v/>
      </c>
      <c r="AB135" s="77" t="str">
        <f t="shared" si="25"/>
        <v/>
      </c>
      <c r="AD135" s="88" t="str">
        <f t="shared" ref="AD135:AD198" si="35">IFERROR(MIN((MAX(R135,S135)*70%+U135*30%), Y135), "")</f>
        <v/>
      </c>
      <c r="AE135" s="77" t="str">
        <f t="shared" si="26"/>
        <v/>
      </c>
    </row>
    <row r="136" spans="2:31" x14ac:dyDescent="0.35">
      <c r="B136" s="2">
        <v>2013</v>
      </c>
      <c r="C136" s="2">
        <v>1</v>
      </c>
      <c r="D136" s="2">
        <v>3</v>
      </c>
      <c r="E136" s="78">
        <f>'CRU historical'!F135</f>
        <v>3</v>
      </c>
      <c r="F136" s="78">
        <f>'CRU historical'!I135</f>
        <v>10</v>
      </c>
      <c r="G136" s="78" t="str">
        <f>'CRU historical'!L135</f>
        <v xml:space="preserve"> </v>
      </c>
      <c r="H136" s="78" t="str">
        <f>'CRU historical'!O135</f>
        <v xml:space="preserve"> </v>
      </c>
      <c r="I136" s="78">
        <f>'CRU historical'!R135</f>
        <v>150</v>
      </c>
      <c r="J136" s="78">
        <f>AVERAGE('CRU historical'!U135, 'CRU historical'!X135, 'CRU historical'!AA135, 'CRU historical'!AD135)</f>
        <v>152.5</v>
      </c>
      <c r="L136" s="78" cm="1">
        <f t="array" ref="L136">IFERROR(SUMPRODUCT(('Sulphuric Acid freights'!$B$3:$B$513=B136)*('Sulphuric Acid freights'!$D$3:$D$513=D136)*('Sulphuric Acid freights'!$P$3:$P$513))/SUMPRODUCT(('Sulphuric Acid freights'!$B$3:$B$513=B136)*('Sulphuric Acid freights'!$D$3:$D$513=D136)*1), AVERAGE('Sulphuric Acid freights'!$P$3:$P$513))*2/3</f>
        <v>54.110671936758898</v>
      </c>
      <c r="M136" s="78" cm="1">
        <f t="array" ref="M136">IFERROR(SUMPRODUCT(('Sulphuric Acid freights'!$B$3:$B$513=B136)*('Sulphuric Acid freights'!$D$3:$D$513=D136)*('Sulphuric Acid freights'!$M$3:$M$513))/SUMPRODUCT(('Sulphuric Acid freights'!$B$3:$B$513=B136)*('Sulphuric Acid freights'!$D$3:$D$513=D136)*1)*2/3, AVERAGE('Sulphuric Acid freights'!$M$3:$M$513))</f>
        <v>23.573122529644269</v>
      </c>
      <c r="N136" s="78">
        <f t="shared" si="27"/>
        <v>48.699604743083007</v>
      </c>
      <c r="O136" s="78" cm="1">
        <f t="array" ref="O136">IF(SUMPRODUCT(('Sulphur freight'!$B$3:$B$1976=B136)*('Sulphur freight'!$D$3:$D$1976=D136)*('Sulphur freight'!$G$3:$G$1976))/SUMPRODUCT(('Sulphur freight'!$B$3:$B$1976=B136)*('Sulphur freight'!$D$3:$D$1976=D136)*1)=0, AVERAGE('Sulphur freight'!$G$3:$G$1976),SUMPRODUCT(('Sulphur freight'!$B$3:$B$1976=B136)*('Sulphur freight'!$D$3:$D$1976=D136)*('Sulphur freight'!$G$3:$G$1976))/SUMPRODUCT(('Sulphur freight'!$B$3:$B$1976=B136)*('Sulphur freight'!$D$3:$D$1976=D136)*1))</f>
        <v>28</v>
      </c>
      <c r="P136" s="78">
        <v>20</v>
      </c>
      <c r="R136" s="78" t="str">
        <f t="shared" si="28"/>
        <v xml:space="preserve"> </v>
      </c>
      <c r="S136" s="78">
        <f t="shared" si="29"/>
        <v>33.573122529644266</v>
      </c>
      <c r="T136" s="78">
        <f t="shared" si="24"/>
        <v>57.110671936758898</v>
      </c>
      <c r="U136" s="78" t="str">
        <f t="shared" si="30"/>
        <v/>
      </c>
      <c r="V136" s="78">
        <f>IFERROR(I136+O136, "")</f>
        <v>178</v>
      </c>
      <c r="W136" s="78">
        <f t="shared" si="31"/>
        <v>172.5</v>
      </c>
      <c r="X136" s="78">
        <f t="shared" si="32"/>
        <v>76.740000000000009</v>
      </c>
      <c r="Y136" s="78">
        <f t="shared" si="33"/>
        <v>74.925000000000011</v>
      </c>
      <c r="AA136" s="88" t="str">
        <f t="shared" si="34"/>
        <v/>
      </c>
      <c r="AB136" s="77" t="str">
        <f t="shared" si="25"/>
        <v/>
      </c>
      <c r="AD136" s="88" t="str">
        <f t="shared" si="35"/>
        <v/>
      </c>
      <c r="AE136" s="77" t="str">
        <f t="shared" si="26"/>
        <v/>
      </c>
    </row>
    <row r="137" spans="2:31" x14ac:dyDescent="0.35">
      <c r="B137" s="2">
        <v>2013</v>
      </c>
      <c r="C137" s="2">
        <v>2</v>
      </c>
      <c r="D137" s="2">
        <v>4</v>
      </c>
      <c r="E137" s="78">
        <f>'CRU historical'!F136</f>
        <v>3</v>
      </c>
      <c r="F137" s="78">
        <f>'CRU historical'!I136</f>
        <v>10</v>
      </c>
      <c r="G137" s="78" t="str">
        <f>'CRU historical'!L136</f>
        <v xml:space="preserve"> </v>
      </c>
      <c r="H137" s="78" t="str">
        <f>'CRU historical'!O136</f>
        <v xml:space="preserve"> </v>
      </c>
      <c r="I137" s="78">
        <f>'CRU historical'!R136</f>
        <v>151</v>
      </c>
      <c r="J137" s="78">
        <f>AVERAGE('CRU historical'!U136, 'CRU historical'!X136, 'CRU historical'!AA136, 'CRU historical'!AD136)</f>
        <v>152.5</v>
      </c>
      <c r="L137" s="78" cm="1">
        <f t="array" ref="L137">IFERROR(SUMPRODUCT(('Sulphuric Acid freights'!$B$3:$B$513=B137)*('Sulphuric Acid freights'!$D$3:$D$513=D137)*('Sulphuric Acid freights'!$P$3:$P$513))/SUMPRODUCT(('Sulphuric Acid freights'!$B$3:$B$513=B137)*('Sulphuric Acid freights'!$D$3:$D$513=D137)*1), AVERAGE('Sulphuric Acid freights'!$P$3:$P$513))*2/3</f>
        <v>54.110671936758898</v>
      </c>
      <c r="M137" s="78" cm="1">
        <f t="array" ref="M137">IFERROR(SUMPRODUCT(('Sulphuric Acid freights'!$B$3:$B$513=B137)*('Sulphuric Acid freights'!$D$3:$D$513=D137)*('Sulphuric Acid freights'!$M$3:$M$513))/SUMPRODUCT(('Sulphuric Acid freights'!$B$3:$B$513=B137)*('Sulphuric Acid freights'!$D$3:$D$513=D137)*1)*2/3, AVERAGE('Sulphuric Acid freights'!$M$3:$M$513))</f>
        <v>23.573122529644269</v>
      </c>
      <c r="N137" s="78">
        <f t="shared" si="27"/>
        <v>48.699604743083007</v>
      </c>
      <c r="O137" s="78" cm="1">
        <f t="array" ref="O137">IF(SUMPRODUCT(('Sulphur freight'!$B$3:$B$1976=B137)*('Sulphur freight'!$D$3:$D$1976=D137)*('Sulphur freight'!$G$3:$G$1976))/SUMPRODUCT(('Sulphur freight'!$B$3:$B$1976=B137)*('Sulphur freight'!$D$3:$D$1976=D137)*1)=0, AVERAGE('Sulphur freight'!$G$3:$G$1976),SUMPRODUCT(('Sulphur freight'!$B$3:$B$1976=B137)*('Sulphur freight'!$D$3:$D$1976=D137)*('Sulphur freight'!$G$3:$G$1976))/SUMPRODUCT(('Sulphur freight'!$B$3:$B$1976=B137)*('Sulphur freight'!$D$3:$D$1976=D137)*1))</f>
        <v>28.25</v>
      </c>
      <c r="P137" s="78">
        <v>20</v>
      </c>
      <c r="R137" s="78" t="str">
        <f t="shared" si="28"/>
        <v xml:space="preserve"> </v>
      </c>
      <c r="S137" s="78">
        <f t="shared" si="29"/>
        <v>33.573122529644266</v>
      </c>
      <c r="T137" s="78">
        <f t="shared" si="24"/>
        <v>57.110671936758898</v>
      </c>
      <c r="U137" s="78" t="str">
        <f t="shared" si="30"/>
        <v/>
      </c>
      <c r="V137" s="78">
        <f>IFERROR(I137+O137, "")</f>
        <v>179.25</v>
      </c>
      <c r="W137" s="78">
        <f t="shared" si="31"/>
        <v>172.5</v>
      </c>
      <c r="X137" s="78">
        <f t="shared" si="32"/>
        <v>77.152500000000003</v>
      </c>
      <c r="Y137" s="78">
        <f t="shared" si="33"/>
        <v>74.925000000000011</v>
      </c>
      <c r="AA137" s="88" t="str">
        <f t="shared" si="34"/>
        <v/>
      </c>
      <c r="AB137" s="77" t="str">
        <f t="shared" si="25"/>
        <v/>
      </c>
      <c r="AD137" s="88" t="str">
        <f t="shared" si="35"/>
        <v/>
      </c>
      <c r="AE137" s="77" t="str">
        <f t="shared" si="26"/>
        <v/>
      </c>
    </row>
    <row r="138" spans="2:31" x14ac:dyDescent="0.35">
      <c r="B138" s="2">
        <v>2013</v>
      </c>
      <c r="C138" s="2">
        <v>2</v>
      </c>
      <c r="D138" s="2">
        <v>5</v>
      </c>
      <c r="E138" s="78">
        <f>'CRU historical'!F137</f>
        <v>8.6</v>
      </c>
      <c r="F138" s="78">
        <f>'CRU historical'!I137</f>
        <v>10</v>
      </c>
      <c r="G138" s="78" t="str">
        <f>'CRU historical'!L137</f>
        <v xml:space="preserve"> </v>
      </c>
      <c r="H138" s="78" t="str">
        <f>'CRU historical'!O137</f>
        <v xml:space="preserve"> </v>
      </c>
      <c r="I138" s="78">
        <f>'CRU historical'!R137</f>
        <v>140.6</v>
      </c>
      <c r="J138" s="78">
        <f>AVERAGE('CRU historical'!U137, 'CRU historical'!X137, 'CRU historical'!AA137, 'CRU historical'!AD137)</f>
        <v>149.5</v>
      </c>
      <c r="L138" s="78" cm="1">
        <f t="array" ref="L138">IFERROR(SUMPRODUCT(('Sulphuric Acid freights'!$B$3:$B$513=B138)*('Sulphuric Acid freights'!$D$3:$D$513=D138)*('Sulphuric Acid freights'!$P$3:$P$513))/SUMPRODUCT(('Sulphuric Acid freights'!$B$3:$B$513=B138)*('Sulphuric Acid freights'!$D$3:$D$513=D138)*1), AVERAGE('Sulphuric Acid freights'!$P$3:$P$513))*2/3</f>
        <v>54.110671936758898</v>
      </c>
      <c r="M138" s="78" cm="1">
        <f t="array" ref="M138">IFERROR(SUMPRODUCT(('Sulphuric Acid freights'!$B$3:$B$513=B138)*('Sulphuric Acid freights'!$D$3:$D$513=D138)*('Sulphuric Acid freights'!$M$3:$M$513))/SUMPRODUCT(('Sulphuric Acid freights'!$B$3:$B$513=B138)*('Sulphuric Acid freights'!$D$3:$D$513=D138)*1)*2/3, AVERAGE('Sulphuric Acid freights'!$M$3:$M$513))</f>
        <v>23.573122529644269</v>
      </c>
      <c r="N138" s="78">
        <f t="shared" si="27"/>
        <v>48.699604743083007</v>
      </c>
      <c r="O138" s="78" cm="1">
        <f t="array" ref="O138">IF(SUMPRODUCT(('Sulphur freight'!$B$3:$B$1976=B138)*('Sulphur freight'!$D$3:$D$1976=D138)*('Sulphur freight'!$G$3:$G$1976))/SUMPRODUCT(('Sulphur freight'!$B$3:$B$1976=B138)*('Sulphur freight'!$D$3:$D$1976=D138)*1)=0, AVERAGE('Sulphur freight'!$G$3:$G$1976),SUMPRODUCT(('Sulphur freight'!$B$3:$B$1976=B138)*('Sulphur freight'!$D$3:$D$1976=D138)*('Sulphur freight'!$G$3:$G$1976))/SUMPRODUCT(('Sulphur freight'!$B$3:$B$1976=B138)*('Sulphur freight'!$D$3:$D$1976=D138)*1))</f>
        <v>27.4</v>
      </c>
      <c r="P138" s="78">
        <v>20</v>
      </c>
      <c r="R138" s="78" t="str">
        <f t="shared" si="28"/>
        <v xml:space="preserve"> </v>
      </c>
      <c r="S138" s="78">
        <f t="shared" si="29"/>
        <v>33.573122529644266</v>
      </c>
      <c r="T138" s="78">
        <f t="shared" si="24"/>
        <v>62.710671936758899</v>
      </c>
      <c r="U138" s="78" t="str">
        <f t="shared" si="30"/>
        <v/>
      </c>
      <c r="V138" s="78">
        <f>IFERROR(I138+O138, "")</f>
        <v>168</v>
      </c>
      <c r="W138" s="78">
        <f t="shared" si="31"/>
        <v>169.5</v>
      </c>
      <c r="X138" s="78">
        <f t="shared" si="32"/>
        <v>73.44</v>
      </c>
      <c r="Y138" s="78">
        <f t="shared" si="33"/>
        <v>73.935000000000002</v>
      </c>
      <c r="AA138" s="88" t="str">
        <f t="shared" si="34"/>
        <v/>
      </c>
      <c r="AB138" s="77" t="str">
        <f t="shared" si="25"/>
        <v/>
      </c>
      <c r="AD138" s="88" t="str">
        <f t="shared" si="35"/>
        <v/>
      </c>
      <c r="AE138" s="77" t="str">
        <f t="shared" si="26"/>
        <v/>
      </c>
    </row>
    <row r="139" spans="2:31" x14ac:dyDescent="0.35">
      <c r="B139" s="2">
        <v>2013</v>
      </c>
      <c r="C139" s="2">
        <v>2</v>
      </c>
      <c r="D139" s="2">
        <v>6</v>
      </c>
      <c r="E139" s="78">
        <f>'CRU historical'!F138</f>
        <v>3</v>
      </c>
      <c r="F139" s="78">
        <f>'CRU historical'!I138</f>
        <v>13.5</v>
      </c>
      <c r="G139" s="78" t="str">
        <f>'CRU historical'!L138</f>
        <v xml:space="preserve"> </v>
      </c>
      <c r="H139" s="78" t="str">
        <f>'CRU historical'!O138</f>
        <v xml:space="preserve"> </v>
      </c>
      <c r="I139" s="78">
        <f>'CRU historical'!R138</f>
        <v>112.25</v>
      </c>
      <c r="J139" s="78">
        <f>AVERAGE('CRU historical'!U138, 'CRU historical'!X138, 'CRU historical'!AA138, 'CRU historical'!AD138)</f>
        <v>145</v>
      </c>
      <c r="L139" s="78" cm="1">
        <f t="array" ref="L139">IFERROR(SUMPRODUCT(('Sulphuric Acid freights'!$B$3:$B$513=B139)*('Sulphuric Acid freights'!$D$3:$D$513=D139)*('Sulphuric Acid freights'!$P$3:$P$513))/SUMPRODUCT(('Sulphuric Acid freights'!$B$3:$B$513=B139)*('Sulphuric Acid freights'!$D$3:$D$513=D139)*1), AVERAGE('Sulphuric Acid freights'!$P$3:$P$513))*2/3</f>
        <v>54.110671936758898</v>
      </c>
      <c r="M139" s="78" cm="1">
        <f t="array" ref="M139">IFERROR(SUMPRODUCT(('Sulphuric Acid freights'!$B$3:$B$513=B139)*('Sulphuric Acid freights'!$D$3:$D$513=D139)*('Sulphuric Acid freights'!$M$3:$M$513))/SUMPRODUCT(('Sulphuric Acid freights'!$B$3:$B$513=B139)*('Sulphuric Acid freights'!$D$3:$D$513=D139)*1)*2/3, AVERAGE('Sulphuric Acid freights'!$M$3:$M$513))</f>
        <v>23.573122529644269</v>
      </c>
      <c r="N139" s="78">
        <f t="shared" si="27"/>
        <v>48.699604743083007</v>
      </c>
      <c r="O139" s="78" cm="1">
        <f t="array" ref="O139">IF(SUMPRODUCT(('Sulphur freight'!$B$3:$B$1976=B139)*('Sulphur freight'!$D$3:$D$1976=D139)*('Sulphur freight'!$G$3:$G$1976))/SUMPRODUCT(('Sulphur freight'!$B$3:$B$1976=B139)*('Sulphur freight'!$D$3:$D$1976=D139)*1)=0, AVERAGE('Sulphur freight'!$G$3:$G$1976),SUMPRODUCT(('Sulphur freight'!$B$3:$B$1976=B139)*('Sulphur freight'!$D$3:$D$1976=D139)*('Sulphur freight'!$G$3:$G$1976))/SUMPRODUCT(('Sulphur freight'!$B$3:$B$1976=B139)*('Sulphur freight'!$D$3:$D$1976=D139)*1))</f>
        <v>26.5</v>
      </c>
      <c r="P139" s="78">
        <v>20</v>
      </c>
      <c r="R139" s="78" t="str">
        <f t="shared" si="28"/>
        <v xml:space="preserve"> </v>
      </c>
      <c r="S139" s="78">
        <f t="shared" si="29"/>
        <v>37.073122529644266</v>
      </c>
      <c r="T139" s="78">
        <f t="shared" si="24"/>
        <v>57.110671936758898</v>
      </c>
      <c r="U139" s="78" t="str">
        <f t="shared" si="30"/>
        <v/>
      </c>
      <c r="V139" s="78">
        <f>IFERROR(I139+O139, "")</f>
        <v>138.75</v>
      </c>
      <c r="W139" s="78">
        <f t="shared" si="31"/>
        <v>165</v>
      </c>
      <c r="X139" s="78">
        <f t="shared" si="32"/>
        <v>63.787500000000001</v>
      </c>
      <c r="Y139" s="78">
        <f t="shared" si="33"/>
        <v>72.45</v>
      </c>
      <c r="AA139" s="88" t="str">
        <f t="shared" si="34"/>
        <v/>
      </c>
      <c r="AB139" s="77" t="str">
        <f t="shared" si="25"/>
        <v/>
      </c>
      <c r="AD139" s="88" t="str">
        <f t="shared" si="35"/>
        <v/>
      </c>
      <c r="AE139" s="77" t="str">
        <f t="shared" si="26"/>
        <v/>
      </c>
    </row>
    <row r="140" spans="2:31" x14ac:dyDescent="0.35">
      <c r="B140" s="2">
        <v>2013</v>
      </c>
      <c r="C140" s="2">
        <v>3</v>
      </c>
      <c r="D140" s="2">
        <v>7</v>
      </c>
      <c r="E140" s="78">
        <f>'CRU historical'!F139</f>
        <v>3</v>
      </c>
      <c r="F140" s="78">
        <f>'CRU historical'!I139</f>
        <v>18</v>
      </c>
      <c r="G140" s="78" t="str">
        <f>'CRU historical'!L139</f>
        <v xml:space="preserve"> </v>
      </c>
      <c r="H140" s="78" t="str">
        <f>'CRU historical'!O139</f>
        <v xml:space="preserve"> </v>
      </c>
      <c r="I140" s="78">
        <f>'CRU historical'!R139</f>
        <v>67.5</v>
      </c>
      <c r="J140" s="78">
        <f>AVERAGE('CRU historical'!U139, 'CRU historical'!X139, 'CRU historical'!AA139, 'CRU historical'!AD139)</f>
        <v>123.375</v>
      </c>
      <c r="L140" s="78" cm="1">
        <f t="array" ref="L140">IFERROR(SUMPRODUCT(('Sulphuric Acid freights'!$B$3:$B$513=B140)*('Sulphuric Acid freights'!$D$3:$D$513=D140)*('Sulphuric Acid freights'!$P$3:$P$513))/SUMPRODUCT(('Sulphuric Acid freights'!$B$3:$B$513=B140)*('Sulphuric Acid freights'!$D$3:$D$513=D140)*1), AVERAGE('Sulphuric Acid freights'!$P$3:$P$513))*2/3</f>
        <v>54.110671936758898</v>
      </c>
      <c r="M140" s="78" cm="1">
        <f t="array" ref="M140">IFERROR(SUMPRODUCT(('Sulphuric Acid freights'!$B$3:$B$513=B140)*('Sulphuric Acid freights'!$D$3:$D$513=D140)*('Sulphuric Acid freights'!$M$3:$M$513))/SUMPRODUCT(('Sulphuric Acid freights'!$B$3:$B$513=B140)*('Sulphuric Acid freights'!$D$3:$D$513=D140)*1)*2/3, AVERAGE('Sulphuric Acid freights'!$M$3:$M$513))</f>
        <v>23.573122529644269</v>
      </c>
      <c r="N140" s="78">
        <f t="shared" si="27"/>
        <v>48.699604743083007</v>
      </c>
      <c r="O140" s="78" cm="1">
        <f t="array" ref="O140">IF(SUMPRODUCT(('Sulphur freight'!$B$3:$B$1976=B140)*('Sulphur freight'!$D$3:$D$1976=D140)*('Sulphur freight'!$G$3:$G$1976))/SUMPRODUCT(('Sulphur freight'!$B$3:$B$1976=B140)*('Sulphur freight'!$D$3:$D$1976=D140)*1)=0, AVERAGE('Sulphur freight'!$G$3:$G$1976),SUMPRODUCT(('Sulphur freight'!$B$3:$B$1976=B140)*('Sulphur freight'!$D$3:$D$1976=D140)*('Sulphur freight'!$G$3:$G$1976))/SUMPRODUCT(('Sulphur freight'!$B$3:$B$1976=B140)*('Sulphur freight'!$D$3:$D$1976=D140)*1))</f>
        <v>26.5</v>
      </c>
      <c r="P140" s="78">
        <v>20</v>
      </c>
      <c r="R140" s="78" t="str">
        <f t="shared" si="28"/>
        <v xml:space="preserve"> </v>
      </c>
      <c r="S140" s="78">
        <f t="shared" si="29"/>
        <v>41.573122529644266</v>
      </c>
      <c r="T140" s="78">
        <f t="shared" si="24"/>
        <v>57.110671936758898</v>
      </c>
      <c r="U140" s="78" t="str">
        <f t="shared" si="30"/>
        <v/>
      </c>
      <c r="V140" s="78">
        <f>IFERROR(I140+O140, "")</f>
        <v>94</v>
      </c>
      <c r="W140" s="78">
        <f t="shared" si="31"/>
        <v>143.375</v>
      </c>
      <c r="X140" s="78">
        <f t="shared" si="32"/>
        <v>49.02</v>
      </c>
      <c r="Y140" s="78">
        <f t="shared" si="33"/>
        <v>65.313749999999999</v>
      </c>
      <c r="AA140" s="88" t="str">
        <f t="shared" si="34"/>
        <v/>
      </c>
      <c r="AB140" s="77" t="str">
        <f t="shared" si="25"/>
        <v/>
      </c>
      <c r="AD140" s="88" t="str">
        <f t="shared" si="35"/>
        <v/>
      </c>
      <c r="AE140" s="77" t="str">
        <f t="shared" si="26"/>
        <v/>
      </c>
    </row>
    <row r="141" spans="2:31" x14ac:dyDescent="0.35">
      <c r="B141" s="2">
        <v>2013</v>
      </c>
      <c r="C141" s="2">
        <v>3</v>
      </c>
      <c r="D141" s="2">
        <v>8</v>
      </c>
      <c r="E141" s="78">
        <f>'CRU historical'!F140</f>
        <v>3</v>
      </c>
      <c r="F141" s="78">
        <f>'CRU historical'!I140</f>
        <v>18</v>
      </c>
      <c r="G141" s="78" t="str">
        <f>'CRU historical'!L140</f>
        <v xml:space="preserve"> </v>
      </c>
      <c r="H141" s="78" t="str">
        <f>'CRU historical'!O140</f>
        <v xml:space="preserve"> </v>
      </c>
      <c r="I141" s="78">
        <f>'CRU historical'!R140</f>
        <v>64</v>
      </c>
      <c r="J141" s="78">
        <f>AVERAGE('CRU historical'!U140, 'CRU historical'!X140, 'CRU historical'!AA140, 'CRU historical'!AD140)</f>
        <v>95.5</v>
      </c>
      <c r="L141" s="78" cm="1">
        <f t="array" ref="L141">IFERROR(SUMPRODUCT(('Sulphuric Acid freights'!$B$3:$B$513=B141)*('Sulphuric Acid freights'!$D$3:$D$513=D141)*('Sulphuric Acid freights'!$P$3:$P$513))/SUMPRODUCT(('Sulphuric Acid freights'!$B$3:$B$513=B141)*('Sulphuric Acid freights'!$D$3:$D$513=D141)*1), AVERAGE('Sulphuric Acid freights'!$P$3:$P$513))*2/3</f>
        <v>54.110671936758898</v>
      </c>
      <c r="M141" s="78" cm="1">
        <f t="array" ref="M141">IFERROR(SUMPRODUCT(('Sulphuric Acid freights'!$B$3:$B$513=B141)*('Sulphuric Acid freights'!$D$3:$D$513=D141)*('Sulphuric Acid freights'!$M$3:$M$513))/SUMPRODUCT(('Sulphuric Acid freights'!$B$3:$B$513=B141)*('Sulphuric Acid freights'!$D$3:$D$513=D141)*1)*2/3, AVERAGE('Sulphuric Acid freights'!$M$3:$M$513))</f>
        <v>23.573122529644269</v>
      </c>
      <c r="N141" s="78">
        <f t="shared" si="27"/>
        <v>48.699604743083007</v>
      </c>
      <c r="O141" s="78" cm="1">
        <f t="array" ref="O141">IF(SUMPRODUCT(('Sulphur freight'!$B$3:$B$1976=B141)*('Sulphur freight'!$D$3:$D$1976=D141)*('Sulphur freight'!$G$3:$G$1976))/SUMPRODUCT(('Sulphur freight'!$B$3:$B$1976=B141)*('Sulphur freight'!$D$3:$D$1976=D141)*1)=0, AVERAGE('Sulphur freight'!$G$3:$G$1976),SUMPRODUCT(('Sulphur freight'!$B$3:$B$1976=B141)*('Sulphur freight'!$D$3:$D$1976=D141)*('Sulphur freight'!$G$3:$G$1976))/SUMPRODUCT(('Sulphur freight'!$B$3:$B$1976=B141)*('Sulphur freight'!$D$3:$D$1976=D141)*1))</f>
        <v>26</v>
      </c>
      <c r="P141" s="78">
        <v>20</v>
      </c>
      <c r="R141" s="78" t="str">
        <f t="shared" si="28"/>
        <v xml:space="preserve"> </v>
      </c>
      <c r="S141" s="78">
        <f t="shared" si="29"/>
        <v>41.573122529644266</v>
      </c>
      <c r="T141" s="78">
        <f t="shared" si="24"/>
        <v>57.110671936758898</v>
      </c>
      <c r="U141" s="78" t="str">
        <f t="shared" si="30"/>
        <v/>
      </c>
      <c r="V141" s="78">
        <f>IFERROR(I141+O141, "")</f>
        <v>90</v>
      </c>
      <c r="W141" s="78">
        <f t="shared" si="31"/>
        <v>115.5</v>
      </c>
      <c r="X141" s="78">
        <f t="shared" si="32"/>
        <v>47.7</v>
      </c>
      <c r="Y141" s="78">
        <f t="shared" si="33"/>
        <v>56.115000000000002</v>
      </c>
      <c r="AA141" s="88" t="str">
        <f t="shared" si="34"/>
        <v/>
      </c>
      <c r="AB141" s="77" t="str">
        <f t="shared" si="25"/>
        <v/>
      </c>
      <c r="AD141" s="88" t="str">
        <f t="shared" si="35"/>
        <v/>
      </c>
      <c r="AE141" s="77" t="str">
        <f t="shared" si="26"/>
        <v/>
      </c>
    </row>
    <row r="142" spans="2:31" x14ac:dyDescent="0.35">
      <c r="B142" s="2">
        <v>2013</v>
      </c>
      <c r="C142" s="2">
        <v>3</v>
      </c>
      <c r="D142" s="2">
        <v>9</v>
      </c>
      <c r="E142" s="78">
        <f>'CRU historical'!F141</f>
        <v>3</v>
      </c>
      <c r="F142" s="78">
        <f>'CRU historical'!I141</f>
        <v>18</v>
      </c>
      <c r="G142" s="78" t="str">
        <f>'CRU historical'!L141</f>
        <v xml:space="preserve"> </v>
      </c>
      <c r="H142" s="78" t="str">
        <f>'CRU historical'!O141</f>
        <v xml:space="preserve"> </v>
      </c>
      <c r="I142" s="78">
        <f>'CRU historical'!R141</f>
        <v>68</v>
      </c>
      <c r="J142" s="78">
        <f>AVERAGE('CRU historical'!U141, 'CRU historical'!X141, 'CRU historical'!AA141, 'CRU historical'!AD141)</f>
        <v>95.5</v>
      </c>
      <c r="L142" s="78" cm="1">
        <f t="array" ref="L142">IFERROR(SUMPRODUCT(('Sulphuric Acid freights'!$B$3:$B$513=B142)*('Sulphuric Acid freights'!$D$3:$D$513=D142)*('Sulphuric Acid freights'!$P$3:$P$513))/SUMPRODUCT(('Sulphuric Acid freights'!$B$3:$B$513=B142)*('Sulphuric Acid freights'!$D$3:$D$513=D142)*1), AVERAGE('Sulphuric Acid freights'!$P$3:$P$513))*2/3</f>
        <v>54.110671936758898</v>
      </c>
      <c r="M142" s="78" cm="1">
        <f t="array" ref="M142">IFERROR(SUMPRODUCT(('Sulphuric Acid freights'!$B$3:$B$513=B142)*('Sulphuric Acid freights'!$D$3:$D$513=D142)*('Sulphuric Acid freights'!$M$3:$M$513))/SUMPRODUCT(('Sulphuric Acid freights'!$B$3:$B$513=B142)*('Sulphuric Acid freights'!$D$3:$D$513=D142)*1)*2/3, AVERAGE('Sulphuric Acid freights'!$M$3:$M$513))</f>
        <v>23.573122529644269</v>
      </c>
      <c r="N142" s="78">
        <f t="shared" si="27"/>
        <v>48.699604743083007</v>
      </c>
      <c r="O142" s="78" cm="1">
        <f t="array" ref="O142">IF(SUMPRODUCT(('Sulphur freight'!$B$3:$B$1976=B142)*('Sulphur freight'!$D$3:$D$1976=D142)*('Sulphur freight'!$G$3:$G$1976))/SUMPRODUCT(('Sulphur freight'!$B$3:$B$1976=B142)*('Sulphur freight'!$D$3:$D$1976=D142)*1)=0, AVERAGE('Sulphur freight'!$G$3:$G$1976),SUMPRODUCT(('Sulphur freight'!$B$3:$B$1976=B142)*('Sulphur freight'!$D$3:$D$1976=D142)*('Sulphur freight'!$G$3:$G$1976))/SUMPRODUCT(('Sulphur freight'!$B$3:$B$1976=B142)*('Sulphur freight'!$D$3:$D$1976=D142)*1))</f>
        <v>27</v>
      </c>
      <c r="P142" s="78">
        <v>20</v>
      </c>
      <c r="R142" s="78" t="str">
        <f t="shared" si="28"/>
        <v xml:space="preserve"> </v>
      </c>
      <c r="S142" s="78">
        <f t="shared" si="29"/>
        <v>41.573122529644266</v>
      </c>
      <c r="T142" s="78">
        <f t="shared" si="24"/>
        <v>57.110671936758898</v>
      </c>
      <c r="U142" s="78" t="str">
        <f t="shared" si="30"/>
        <v/>
      </c>
      <c r="V142" s="78">
        <f>IFERROR(I142+O142, "")</f>
        <v>95</v>
      </c>
      <c r="W142" s="78">
        <f t="shared" si="31"/>
        <v>115.5</v>
      </c>
      <c r="X142" s="78">
        <f t="shared" si="32"/>
        <v>49.35</v>
      </c>
      <c r="Y142" s="78">
        <f t="shared" si="33"/>
        <v>56.115000000000002</v>
      </c>
      <c r="AA142" s="88" t="str">
        <f t="shared" si="34"/>
        <v/>
      </c>
      <c r="AB142" s="77" t="str">
        <f t="shared" si="25"/>
        <v/>
      </c>
      <c r="AD142" s="88" t="str">
        <f t="shared" si="35"/>
        <v/>
      </c>
      <c r="AE142" s="77" t="str">
        <f t="shared" si="26"/>
        <v/>
      </c>
    </row>
    <row r="143" spans="2:31" x14ac:dyDescent="0.35">
      <c r="B143" s="2">
        <v>2013</v>
      </c>
      <c r="C143" s="2">
        <v>4</v>
      </c>
      <c r="D143" s="2">
        <v>10</v>
      </c>
      <c r="E143" s="78">
        <f>'CRU historical'!F142</f>
        <v>3</v>
      </c>
      <c r="F143" s="78">
        <f>'CRU historical'!I142</f>
        <v>7.6</v>
      </c>
      <c r="G143" s="78" t="str">
        <f>'CRU historical'!L142</f>
        <v xml:space="preserve"> </v>
      </c>
      <c r="H143" s="78" t="str">
        <f>'CRU historical'!O142</f>
        <v xml:space="preserve"> </v>
      </c>
      <c r="I143" s="78">
        <f>'CRU historical'!R142</f>
        <v>66.599999999999994</v>
      </c>
      <c r="J143" s="78">
        <f>AVERAGE('CRU historical'!U142, 'CRU historical'!X142, 'CRU historical'!AA142, 'CRU historical'!AD142)</f>
        <v>92.6</v>
      </c>
      <c r="L143" s="78" cm="1">
        <f t="array" ref="L143">IFERROR(SUMPRODUCT(('Sulphuric Acid freights'!$B$3:$B$513=B143)*('Sulphuric Acid freights'!$D$3:$D$513=D143)*('Sulphuric Acid freights'!$P$3:$P$513))/SUMPRODUCT(('Sulphuric Acid freights'!$B$3:$B$513=B143)*('Sulphuric Acid freights'!$D$3:$D$513=D143)*1), AVERAGE('Sulphuric Acid freights'!$P$3:$P$513))*2/3</f>
        <v>54.110671936758898</v>
      </c>
      <c r="M143" s="78" cm="1">
        <f t="array" ref="M143">IFERROR(SUMPRODUCT(('Sulphuric Acid freights'!$B$3:$B$513=B143)*('Sulphuric Acid freights'!$D$3:$D$513=D143)*('Sulphuric Acid freights'!$M$3:$M$513))/SUMPRODUCT(('Sulphuric Acid freights'!$B$3:$B$513=B143)*('Sulphuric Acid freights'!$D$3:$D$513=D143)*1)*2/3, AVERAGE('Sulphuric Acid freights'!$M$3:$M$513))</f>
        <v>23.573122529644269</v>
      </c>
      <c r="N143" s="78">
        <f t="shared" si="27"/>
        <v>48.699604743083007</v>
      </c>
      <c r="O143" s="78" cm="1">
        <f t="array" ref="O143">IF(SUMPRODUCT(('Sulphur freight'!$B$3:$B$1976=B143)*('Sulphur freight'!$D$3:$D$1976=D143)*('Sulphur freight'!$G$3:$G$1976))/SUMPRODUCT(('Sulphur freight'!$B$3:$B$1976=B143)*('Sulphur freight'!$D$3:$D$1976=D143)*1)=0, AVERAGE('Sulphur freight'!$G$3:$G$1976),SUMPRODUCT(('Sulphur freight'!$B$3:$B$1976=B143)*('Sulphur freight'!$D$3:$D$1976=D143)*('Sulphur freight'!$G$3:$G$1976))/SUMPRODUCT(('Sulphur freight'!$B$3:$B$1976=B143)*('Sulphur freight'!$D$3:$D$1976=D143)*1))</f>
        <v>27.6</v>
      </c>
      <c r="P143" s="78">
        <v>20</v>
      </c>
      <c r="R143" s="78" t="str">
        <f t="shared" si="28"/>
        <v xml:space="preserve"> </v>
      </c>
      <c r="S143" s="78">
        <f t="shared" si="29"/>
        <v>31.173122529644267</v>
      </c>
      <c r="T143" s="78">
        <f t="shared" si="24"/>
        <v>57.110671936758898</v>
      </c>
      <c r="U143" s="78" t="str">
        <f t="shared" si="30"/>
        <v/>
      </c>
      <c r="V143" s="78">
        <f>IFERROR(I143+O143, "")</f>
        <v>94.199999999999989</v>
      </c>
      <c r="W143" s="78">
        <f t="shared" si="31"/>
        <v>112.6</v>
      </c>
      <c r="X143" s="78">
        <f t="shared" si="32"/>
        <v>49.085999999999999</v>
      </c>
      <c r="Y143" s="78">
        <f t="shared" si="33"/>
        <v>55.158000000000001</v>
      </c>
      <c r="AA143" s="88" t="str">
        <f t="shared" si="34"/>
        <v/>
      </c>
      <c r="AB143" s="77" t="str">
        <f t="shared" si="25"/>
        <v/>
      </c>
      <c r="AD143" s="88" t="str">
        <f t="shared" si="35"/>
        <v/>
      </c>
      <c r="AE143" s="77" t="str">
        <f t="shared" si="26"/>
        <v/>
      </c>
    </row>
    <row r="144" spans="2:31" x14ac:dyDescent="0.35">
      <c r="B144" s="2">
        <v>2013</v>
      </c>
      <c r="C144" s="2">
        <v>4</v>
      </c>
      <c r="D144" s="2">
        <v>11</v>
      </c>
      <c r="E144" s="78">
        <f>'CRU historical'!F143</f>
        <v>3</v>
      </c>
      <c r="F144" s="78">
        <f>'CRU historical'!I143</f>
        <v>3.75</v>
      </c>
      <c r="G144" s="78" t="str">
        <f>'CRU historical'!L143</f>
        <v xml:space="preserve"> </v>
      </c>
      <c r="H144" s="78" t="str">
        <f>'CRU historical'!O143</f>
        <v xml:space="preserve"> </v>
      </c>
      <c r="I144" s="78">
        <f>'CRU historical'!R143</f>
        <v>90.25</v>
      </c>
      <c r="J144" s="78">
        <f>AVERAGE('CRU historical'!U143, 'CRU historical'!X143, 'CRU historical'!AA143, 'CRU historical'!AD143)</f>
        <v>81</v>
      </c>
      <c r="L144" s="78" cm="1">
        <f t="array" ref="L144">IFERROR(SUMPRODUCT(('Sulphuric Acid freights'!$B$3:$B$513=B144)*('Sulphuric Acid freights'!$D$3:$D$513=D144)*('Sulphuric Acid freights'!$P$3:$P$513))/SUMPRODUCT(('Sulphuric Acid freights'!$B$3:$B$513=B144)*('Sulphuric Acid freights'!$D$3:$D$513=D144)*1), AVERAGE('Sulphuric Acid freights'!$P$3:$P$513))*2/3</f>
        <v>54.110671936758898</v>
      </c>
      <c r="M144" s="78" cm="1">
        <f t="array" ref="M144">IFERROR(SUMPRODUCT(('Sulphuric Acid freights'!$B$3:$B$513=B144)*('Sulphuric Acid freights'!$D$3:$D$513=D144)*('Sulphuric Acid freights'!$M$3:$M$513))/SUMPRODUCT(('Sulphuric Acid freights'!$B$3:$B$513=B144)*('Sulphuric Acid freights'!$D$3:$D$513=D144)*1)*2/3, AVERAGE('Sulphuric Acid freights'!$M$3:$M$513))</f>
        <v>23.573122529644269</v>
      </c>
      <c r="N144" s="78">
        <f t="shared" si="27"/>
        <v>48.699604743083007</v>
      </c>
      <c r="O144" s="78" cm="1">
        <f t="array" ref="O144">IF(SUMPRODUCT(('Sulphur freight'!$B$3:$B$1976=B144)*('Sulphur freight'!$D$3:$D$1976=D144)*('Sulphur freight'!$G$3:$G$1976))/SUMPRODUCT(('Sulphur freight'!$B$3:$B$1976=B144)*('Sulphur freight'!$D$3:$D$1976=D144)*1)=0, AVERAGE('Sulphur freight'!$G$3:$G$1976),SUMPRODUCT(('Sulphur freight'!$B$3:$B$1976=B144)*('Sulphur freight'!$D$3:$D$1976=D144)*('Sulphur freight'!$G$3:$G$1976))/SUMPRODUCT(('Sulphur freight'!$B$3:$B$1976=B144)*('Sulphur freight'!$D$3:$D$1976=D144)*1))</f>
        <v>29.25</v>
      </c>
      <c r="P144" s="78">
        <v>20</v>
      </c>
      <c r="R144" s="78" t="str">
        <f t="shared" si="28"/>
        <v xml:space="preserve"> </v>
      </c>
      <c r="S144" s="78">
        <f t="shared" si="29"/>
        <v>27.323122529644269</v>
      </c>
      <c r="T144" s="78">
        <f t="shared" si="24"/>
        <v>57.110671936758898</v>
      </c>
      <c r="U144" s="78" t="str">
        <f t="shared" si="30"/>
        <v/>
      </c>
      <c r="V144" s="78">
        <f>IFERROR(I144+O144, "")</f>
        <v>119.5</v>
      </c>
      <c r="W144" s="78">
        <f t="shared" si="31"/>
        <v>101</v>
      </c>
      <c r="X144" s="78">
        <f t="shared" si="32"/>
        <v>57.435000000000002</v>
      </c>
      <c r="Y144" s="78">
        <f t="shared" si="33"/>
        <v>51.33</v>
      </c>
      <c r="AA144" s="88" t="str">
        <f t="shared" si="34"/>
        <v/>
      </c>
      <c r="AB144" s="77" t="str">
        <f t="shared" si="25"/>
        <v/>
      </c>
      <c r="AD144" s="88" t="str">
        <f t="shared" si="35"/>
        <v/>
      </c>
      <c r="AE144" s="77" t="str">
        <f t="shared" si="26"/>
        <v/>
      </c>
    </row>
    <row r="145" spans="2:31" x14ac:dyDescent="0.35">
      <c r="B145" s="2">
        <v>2013</v>
      </c>
      <c r="C145" s="2">
        <v>4</v>
      </c>
      <c r="D145" s="2">
        <v>12</v>
      </c>
      <c r="E145" s="78">
        <f>'CRU historical'!F144</f>
        <v>3</v>
      </c>
      <c r="F145" s="78">
        <f>'CRU historical'!I144</f>
        <v>-3</v>
      </c>
      <c r="G145" s="78" t="str">
        <f>'CRU historical'!L144</f>
        <v xml:space="preserve"> </v>
      </c>
      <c r="H145" s="78" t="str">
        <f>'CRU historical'!O144</f>
        <v xml:space="preserve"> </v>
      </c>
      <c r="I145" s="78">
        <f>'CRU historical'!R144</f>
        <v>118.25</v>
      </c>
      <c r="J145" s="78">
        <f>AVERAGE('CRU historical'!U144, 'CRU historical'!X144, 'CRU historical'!AA144, 'CRU historical'!AD144)</f>
        <v>93</v>
      </c>
      <c r="L145" s="78" cm="1">
        <f t="array" ref="L145">IFERROR(SUMPRODUCT(('Sulphuric Acid freights'!$B$3:$B$513=B145)*('Sulphuric Acid freights'!$D$3:$D$513=D145)*('Sulphuric Acid freights'!$P$3:$P$513))/SUMPRODUCT(('Sulphuric Acid freights'!$B$3:$B$513=B145)*('Sulphuric Acid freights'!$D$3:$D$513=D145)*1), AVERAGE('Sulphuric Acid freights'!$P$3:$P$513))*2/3</f>
        <v>54.110671936758898</v>
      </c>
      <c r="M145" s="78" cm="1">
        <f t="array" ref="M145">IFERROR(SUMPRODUCT(('Sulphuric Acid freights'!$B$3:$B$513=B145)*('Sulphuric Acid freights'!$D$3:$D$513=D145)*('Sulphuric Acid freights'!$M$3:$M$513))/SUMPRODUCT(('Sulphuric Acid freights'!$B$3:$B$513=B145)*('Sulphuric Acid freights'!$D$3:$D$513=D145)*1)*2/3, AVERAGE('Sulphuric Acid freights'!$M$3:$M$513))</f>
        <v>23.573122529644269</v>
      </c>
      <c r="N145" s="78">
        <f t="shared" si="27"/>
        <v>48.699604743083007</v>
      </c>
      <c r="O145" s="78" cm="1">
        <f t="array" ref="O145">IF(SUMPRODUCT(('Sulphur freight'!$B$3:$B$1976=B145)*('Sulphur freight'!$D$3:$D$1976=D145)*('Sulphur freight'!$G$3:$G$1976))/SUMPRODUCT(('Sulphur freight'!$B$3:$B$1976=B145)*('Sulphur freight'!$D$3:$D$1976=D145)*1)=0, AVERAGE('Sulphur freight'!$G$3:$G$1976),SUMPRODUCT(('Sulphur freight'!$B$3:$B$1976=B145)*('Sulphur freight'!$D$3:$D$1976=D145)*('Sulphur freight'!$G$3:$G$1976))/SUMPRODUCT(('Sulphur freight'!$B$3:$B$1976=B145)*('Sulphur freight'!$D$3:$D$1976=D145)*1))</f>
        <v>30.75</v>
      </c>
      <c r="P145" s="78">
        <v>20</v>
      </c>
      <c r="R145" s="78" t="str">
        <f t="shared" si="28"/>
        <v xml:space="preserve"> </v>
      </c>
      <c r="S145" s="78">
        <f t="shared" si="29"/>
        <v>20.573122529644269</v>
      </c>
      <c r="T145" s="78">
        <f t="shared" si="24"/>
        <v>57.110671936758898</v>
      </c>
      <c r="U145" s="78" t="str">
        <f t="shared" si="30"/>
        <v/>
      </c>
      <c r="V145" s="78">
        <f>IFERROR(I145+O145, "")</f>
        <v>149</v>
      </c>
      <c r="W145" s="78">
        <f t="shared" si="31"/>
        <v>113</v>
      </c>
      <c r="X145" s="78">
        <f t="shared" si="32"/>
        <v>67.17</v>
      </c>
      <c r="Y145" s="78">
        <f t="shared" si="33"/>
        <v>55.29</v>
      </c>
      <c r="AA145" s="88" t="str">
        <f t="shared" si="34"/>
        <v/>
      </c>
      <c r="AB145" s="77" t="str">
        <f t="shared" si="25"/>
        <v/>
      </c>
      <c r="AD145" s="88" t="str">
        <f t="shared" si="35"/>
        <v/>
      </c>
      <c r="AE145" s="77" t="str">
        <f t="shared" si="26"/>
        <v/>
      </c>
    </row>
    <row r="146" spans="2:31" x14ac:dyDescent="0.35">
      <c r="B146" s="2">
        <v>2014</v>
      </c>
      <c r="C146" s="2">
        <v>1</v>
      </c>
      <c r="D146" s="2">
        <v>1</v>
      </c>
      <c r="E146" s="78">
        <f>'CRU historical'!F145</f>
        <v>3</v>
      </c>
      <c r="F146" s="78">
        <f>'CRU historical'!I145</f>
        <v>-3</v>
      </c>
      <c r="G146" s="78" t="str">
        <f>'CRU historical'!L145</f>
        <v xml:space="preserve"> </v>
      </c>
      <c r="H146" s="78" t="str">
        <f>'CRU historical'!O145</f>
        <v xml:space="preserve"> </v>
      </c>
      <c r="I146" s="78">
        <f>'CRU historical'!R145</f>
        <v>144.19999999999999</v>
      </c>
      <c r="J146" s="78">
        <f>AVERAGE('CRU historical'!U145, 'CRU historical'!X145, 'CRU historical'!AA145, 'CRU historical'!AD145)</f>
        <v>97</v>
      </c>
      <c r="L146" s="78" cm="1">
        <f t="array" ref="L146">IFERROR(SUMPRODUCT(('Sulphuric Acid freights'!$B$3:$B$513=B146)*('Sulphuric Acid freights'!$D$3:$D$513=D146)*('Sulphuric Acid freights'!$P$3:$P$513))/SUMPRODUCT(('Sulphuric Acid freights'!$B$3:$B$513=B146)*('Sulphuric Acid freights'!$D$3:$D$513=D146)*1), AVERAGE('Sulphuric Acid freights'!$P$3:$P$513))*2/3</f>
        <v>54.110671936758898</v>
      </c>
      <c r="M146" s="78" cm="1">
        <f t="array" ref="M146">IFERROR(SUMPRODUCT(('Sulphuric Acid freights'!$B$3:$B$513=B146)*('Sulphuric Acid freights'!$D$3:$D$513=D146)*('Sulphuric Acid freights'!$M$3:$M$513))/SUMPRODUCT(('Sulphuric Acid freights'!$B$3:$B$513=B146)*('Sulphuric Acid freights'!$D$3:$D$513=D146)*1)*2/3, AVERAGE('Sulphuric Acid freights'!$M$3:$M$513))</f>
        <v>23.573122529644269</v>
      </c>
      <c r="N146" s="78">
        <f t="shared" si="27"/>
        <v>48.699604743083007</v>
      </c>
      <c r="O146" s="78" cm="1">
        <f t="array" ref="O146">IF(SUMPRODUCT(('Sulphur freight'!$B$3:$B$1976=B146)*('Sulphur freight'!$D$3:$D$1976=D146)*('Sulphur freight'!$G$3:$G$1976))/SUMPRODUCT(('Sulphur freight'!$B$3:$B$1976=B146)*('Sulphur freight'!$D$3:$D$1976=D146)*1)=0, AVERAGE('Sulphur freight'!$G$3:$G$1976),SUMPRODUCT(('Sulphur freight'!$B$3:$B$1976=B146)*('Sulphur freight'!$D$3:$D$1976=D146)*('Sulphur freight'!$G$3:$G$1976))/SUMPRODUCT(('Sulphur freight'!$B$3:$B$1976=B146)*('Sulphur freight'!$D$3:$D$1976=D146)*1))</f>
        <v>30</v>
      </c>
      <c r="P146" s="78">
        <v>20</v>
      </c>
      <c r="R146" s="78" t="str">
        <f t="shared" si="28"/>
        <v xml:space="preserve"> </v>
      </c>
      <c r="S146" s="78">
        <f t="shared" si="29"/>
        <v>20.573122529644269</v>
      </c>
      <c r="T146" s="78">
        <f t="shared" si="24"/>
        <v>57.110671936758898</v>
      </c>
      <c r="U146" s="78" t="str">
        <f t="shared" si="30"/>
        <v/>
      </c>
      <c r="V146" s="78">
        <f>IFERROR(I146+O146, "")</f>
        <v>174.2</v>
      </c>
      <c r="W146" s="78">
        <f t="shared" si="31"/>
        <v>117</v>
      </c>
      <c r="X146" s="78">
        <f t="shared" si="32"/>
        <v>75.48599999999999</v>
      </c>
      <c r="Y146" s="78">
        <f t="shared" si="33"/>
        <v>56.61</v>
      </c>
      <c r="AA146" s="88" t="str">
        <f t="shared" si="34"/>
        <v/>
      </c>
      <c r="AB146" s="77" t="str">
        <f t="shared" si="25"/>
        <v/>
      </c>
      <c r="AD146" s="88" t="str">
        <f t="shared" si="35"/>
        <v/>
      </c>
      <c r="AE146" s="77" t="str">
        <f t="shared" si="26"/>
        <v/>
      </c>
    </row>
    <row r="147" spans="2:31" x14ac:dyDescent="0.35">
      <c r="B147" s="2">
        <v>2014</v>
      </c>
      <c r="C147" s="2">
        <v>1</v>
      </c>
      <c r="D147" s="2">
        <v>2</v>
      </c>
      <c r="E147" s="78">
        <f>'CRU historical'!F146</f>
        <v>6.75</v>
      </c>
      <c r="F147" s="78">
        <f>'CRU historical'!I146</f>
        <v>-1.5</v>
      </c>
      <c r="G147" s="78" t="str">
        <f>'CRU historical'!L146</f>
        <v xml:space="preserve"> </v>
      </c>
      <c r="H147" s="78" t="str">
        <f>'CRU historical'!O146</f>
        <v xml:space="preserve"> </v>
      </c>
      <c r="I147" s="78">
        <f>'CRU historical'!R146</f>
        <v>186</v>
      </c>
      <c r="J147" s="78">
        <f>AVERAGE('CRU historical'!U146, 'CRU historical'!X146, 'CRU historical'!AA146, 'CRU historical'!AD146)</f>
        <v>97</v>
      </c>
      <c r="L147" s="78" cm="1">
        <f t="array" ref="L147">IFERROR(SUMPRODUCT(('Sulphuric Acid freights'!$B$3:$B$513=B147)*('Sulphuric Acid freights'!$D$3:$D$513=D147)*('Sulphuric Acid freights'!$P$3:$P$513))/SUMPRODUCT(('Sulphuric Acid freights'!$B$3:$B$513=B147)*('Sulphuric Acid freights'!$D$3:$D$513=D147)*1), AVERAGE('Sulphuric Acid freights'!$P$3:$P$513))*2/3</f>
        <v>54.110671936758898</v>
      </c>
      <c r="M147" s="78" cm="1">
        <f t="array" ref="M147">IFERROR(SUMPRODUCT(('Sulphuric Acid freights'!$B$3:$B$513=B147)*('Sulphuric Acid freights'!$D$3:$D$513=D147)*('Sulphuric Acid freights'!$M$3:$M$513))/SUMPRODUCT(('Sulphuric Acid freights'!$B$3:$B$513=B147)*('Sulphuric Acid freights'!$D$3:$D$513=D147)*1)*2/3, AVERAGE('Sulphuric Acid freights'!$M$3:$M$513))</f>
        <v>23.573122529644269</v>
      </c>
      <c r="N147" s="78">
        <f t="shared" si="27"/>
        <v>48.699604743083007</v>
      </c>
      <c r="O147" s="78" cm="1">
        <f t="array" ref="O147">IF(SUMPRODUCT(('Sulphur freight'!$B$3:$B$1976=B147)*('Sulphur freight'!$D$3:$D$1976=D147)*('Sulphur freight'!$G$3:$G$1976))/SUMPRODUCT(('Sulphur freight'!$B$3:$B$1976=B147)*('Sulphur freight'!$D$3:$D$1976=D147)*1)=0, AVERAGE('Sulphur freight'!$G$3:$G$1976),SUMPRODUCT(('Sulphur freight'!$B$3:$B$1976=B147)*('Sulphur freight'!$D$3:$D$1976=D147)*('Sulphur freight'!$G$3:$G$1976))/SUMPRODUCT(('Sulphur freight'!$B$3:$B$1976=B147)*('Sulphur freight'!$D$3:$D$1976=D147)*1))</f>
        <v>30.5</v>
      </c>
      <c r="P147" s="78">
        <v>20</v>
      </c>
      <c r="R147" s="78" t="str">
        <f t="shared" si="28"/>
        <v xml:space="preserve"> </v>
      </c>
      <c r="S147" s="78">
        <f t="shared" si="29"/>
        <v>22.073122529644269</v>
      </c>
      <c r="T147" s="78">
        <f t="shared" si="24"/>
        <v>60.860671936758898</v>
      </c>
      <c r="U147" s="78" t="str">
        <f t="shared" si="30"/>
        <v/>
      </c>
      <c r="V147" s="78">
        <f>IFERROR(I147+O147, "")</f>
        <v>216.5</v>
      </c>
      <c r="W147" s="78">
        <f t="shared" si="31"/>
        <v>117</v>
      </c>
      <c r="X147" s="78">
        <f t="shared" si="32"/>
        <v>89.445000000000007</v>
      </c>
      <c r="Y147" s="78">
        <f t="shared" si="33"/>
        <v>56.61</v>
      </c>
      <c r="AA147" s="88" t="str">
        <f t="shared" si="34"/>
        <v/>
      </c>
      <c r="AB147" s="77" t="str">
        <f t="shared" si="25"/>
        <v/>
      </c>
      <c r="AD147" s="88" t="str">
        <f t="shared" si="35"/>
        <v/>
      </c>
      <c r="AE147" s="77" t="str">
        <f t="shared" si="26"/>
        <v/>
      </c>
    </row>
    <row r="148" spans="2:31" x14ac:dyDescent="0.35">
      <c r="B148" s="2">
        <v>2014</v>
      </c>
      <c r="C148" s="2">
        <v>1</v>
      </c>
      <c r="D148" s="2">
        <v>3</v>
      </c>
      <c r="E148" s="78">
        <f>'CRU historical'!F147</f>
        <v>8</v>
      </c>
      <c r="F148" s="78">
        <f>'CRU historical'!I147</f>
        <v>4.25</v>
      </c>
      <c r="G148" s="78" t="str">
        <f>'CRU historical'!L147</f>
        <v xml:space="preserve"> </v>
      </c>
      <c r="H148" s="78" t="str">
        <f>'CRU historical'!O147</f>
        <v xml:space="preserve"> </v>
      </c>
      <c r="I148" s="78">
        <f>'CRU historical'!R147</f>
        <v>183.5</v>
      </c>
      <c r="J148" s="78">
        <f>AVERAGE('CRU historical'!U147, 'CRU historical'!X147, 'CRU historical'!AA147, 'CRU historical'!AD147)</f>
        <v>110.5</v>
      </c>
      <c r="L148" s="78" cm="1">
        <f t="array" ref="L148">IFERROR(SUMPRODUCT(('Sulphuric Acid freights'!$B$3:$B$513=B148)*('Sulphuric Acid freights'!$D$3:$D$513=D148)*('Sulphuric Acid freights'!$P$3:$P$513))/SUMPRODUCT(('Sulphuric Acid freights'!$B$3:$B$513=B148)*('Sulphuric Acid freights'!$D$3:$D$513=D148)*1), AVERAGE('Sulphuric Acid freights'!$P$3:$P$513))*2/3</f>
        <v>54.110671936758898</v>
      </c>
      <c r="M148" s="78" cm="1">
        <f t="array" ref="M148">IFERROR(SUMPRODUCT(('Sulphuric Acid freights'!$B$3:$B$513=B148)*('Sulphuric Acid freights'!$D$3:$D$513=D148)*('Sulphuric Acid freights'!$M$3:$M$513))/SUMPRODUCT(('Sulphuric Acid freights'!$B$3:$B$513=B148)*('Sulphuric Acid freights'!$D$3:$D$513=D148)*1)*2/3, AVERAGE('Sulphuric Acid freights'!$M$3:$M$513))</f>
        <v>23.573122529644269</v>
      </c>
      <c r="N148" s="78">
        <f t="shared" si="27"/>
        <v>48.699604743083007</v>
      </c>
      <c r="O148" s="78" cm="1">
        <f t="array" ref="O148">IF(SUMPRODUCT(('Sulphur freight'!$B$3:$B$1976=B148)*('Sulphur freight'!$D$3:$D$1976=D148)*('Sulphur freight'!$G$3:$G$1976))/SUMPRODUCT(('Sulphur freight'!$B$3:$B$1976=B148)*('Sulphur freight'!$D$3:$D$1976=D148)*1)=0, AVERAGE('Sulphur freight'!$G$3:$G$1976),SUMPRODUCT(('Sulphur freight'!$B$3:$B$1976=B148)*('Sulphur freight'!$D$3:$D$1976=D148)*('Sulphur freight'!$G$3:$G$1976))/SUMPRODUCT(('Sulphur freight'!$B$3:$B$1976=B148)*('Sulphur freight'!$D$3:$D$1976=D148)*1))</f>
        <v>31.5</v>
      </c>
      <c r="P148" s="78">
        <v>20</v>
      </c>
      <c r="R148" s="78" t="str">
        <f t="shared" si="28"/>
        <v xml:space="preserve"> </v>
      </c>
      <c r="S148" s="78">
        <f t="shared" si="29"/>
        <v>27.823122529644269</v>
      </c>
      <c r="T148" s="78">
        <f t="shared" si="24"/>
        <v>62.110671936758898</v>
      </c>
      <c r="U148" s="78" t="str">
        <f t="shared" si="30"/>
        <v/>
      </c>
      <c r="V148" s="78">
        <f>IFERROR(I148+O148, "")</f>
        <v>215</v>
      </c>
      <c r="W148" s="78">
        <f t="shared" si="31"/>
        <v>130.5</v>
      </c>
      <c r="X148" s="78">
        <f t="shared" si="32"/>
        <v>88.95</v>
      </c>
      <c r="Y148" s="78">
        <f t="shared" si="33"/>
        <v>61.065000000000005</v>
      </c>
      <c r="AA148" s="88" t="str">
        <f t="shared" si="34"/>
        <v/>
      </c>
      <c r="AB148" s="77" t="str">
        <f t="shared" si="25"/>
        <v/>
      </c>
      <c r="AD148" s="88" t="str">
        <f t="shared" si="35"/>
        <v/>
      </c>
      <c r="AE148" s="77" t="str">
        <f t="shared" si="26"/>
        <v/>
      </c>
    </row>
    <row r="149" spans="2:31" x14ac:dyDescent="0.35">
      <c r="B149" s="2">
        <v>2014</v>
      </c>
      <c r="C149" s="2">
        <v>2</v>
      </c>
      <c r="D149" s="2">
        <v>4</v>
      </c>
      <c r="E149" s="78">
        <f>'CRU historical'!F148</f>
        <v>8</v>
      </c>
      <c r="F149" s="78">
        <f>'CRU historical'!I148</f>
        <v>8</v>
      </c>
      <c r="G149" s="78" t="str">
        <f>'CRU historical'!L148</f>
        <v xml:space="preserve"> </v>
      </c>
      <c r="H149" s="78" t="str">
        <f>'CRU historical'!O148</f>
        <v xml:space="preserve"> </v>
      </c>
      <c r="I149" s="78">
        <f>'CRU historical'!R148</f>
        <v>139.5</v>
      </c>
      <c r="J149" s="78">
        <f>AVERAGE('CRU historical'!U148, 'CRU historical'!X148, 'CRU historical'!AA148, 'CRU historical'!AD148)</f>
        <v>133</v>
      </c>
      <c r="L149" s="78" cm="1">
        <f t="array" ref="L149">IFERROR(SUMPRODUCT(('Sulphuric Acid freights'!$B$3:$B$513=B149)*('Sulphuric Acid freights'!$D$3:$D$513=D149)*('Sulphuric Acid freights'!$P$3:$P$513))/SUMPRODUCT(('Sulphuric Acid freights'!$B$3:$B$513=B149)*('Sulphuric Acid freights'!$D$3:$D$513=D149)*1), AVERAGE('Sulphuric Acid freights'!$P$3:$P$513))*2/3</f>
        <v>54.110671936758898</v>
      </c>
      <c r="M149" s="78" cm="1">
        <f t="array" ref="M149">IFERROR(SUMPRODUCT(('Sulphuric Acid freights'!$B$3:$B$513=B149)*('Sulphuric Acid freights'!$D$3:$D$513=D149)*('Sulphuric Acid freights'!$M$3:$M$513))/SUMPRODUCT(('Sulphuric Acid freights'!$B$3:$B$513=B149)*('Sulphuric Acid freights'!$D$3:$D$513=D149)*1)*2/3, AVERAGE('Sulphuric Acid freights'!$M$3:$M$513))</f>
        <v>23.573122529644269</v>
      </c>
      <c r="N149" s="78">
        <f t="shared" si="27"/>
        <v>48.699604743083007</v>
      </c>
      <c r="O149" s="78" cm="1">
        <f t="array" ref="O149">IF(SUMPRODUCT(('Sulphur freight'!$B$3:$B$1976=B149)*('Sulphur freight'!$D$3:$D$1976=D149)*('Sulphur freight'!$G$3:$G$1976))/SUMPRODUCT(('Sulphur freight'!$B$3:$B$1976=B149)*('Sulphur freight'!$D$3:$D$1976=D149)*1)=0, AVERAGE('Sulphur freight'!$G$3:$G$1976),SUMPRODUCT(('Sulphur freight'!$B$3:$B$1976=B149)*('Sulphur freight'!$D$3:$D$1976=D149)*('Sulphur freight'!$G$3:$G$1976))/SUMPRODUCT(('Sulphur freight'!$B$3:$B$1976=B149)*('Sulphur freight'!$D$3:$D$1976=D149)*1))</f>
        <v>30.25</v>
      </c>
      <c r="P149" s="78">
        <v>20</v>
      </c>
      <c r="R149" s="78" t="str">
        <f t="shared" si="28"/>
        <v xml:space="preserve"> </v>
      </c>
      <c r="S149" s="78">
        <f t="shared" si="29"/>
        <v>31.573122529644269</v>
      </c>
      <c r="T149" s="78">
        <f t="shared" si="24"/>
        <v>62.110671936758898</v>
      </c>
      <c r="U149" s="78" t="str">
        <f t="shared" si="30"/>
        <v/>
      </c>
      <c r="V149" s="78">
        <f>IFERROR(I149+O149, "")</f>
        <v>169.75</v>
      </c>
      <c r="W149" s="78">
        <f t="shared" si="31"/>
        <v>153</v>
      </c>
      <c r="X149" s="78">
        <f t="shared" si="32"/>
        <v>74.017500000000013</v>
      </c>
      <c r="Y149" s="78">
        <f t="shared" si="33"/>
        <v>68.490000000000009</v>
      </c>
      <c r="AA149" s="88" t="str">
        <f t="shared" si="34"/>
        <v/>
      </c>
      <c r="AB149" s="77" t="str">
        <f t="shared" si="25"/>
        <v/>
      </c>
      <c r="AD149" s="88" t="str">
        <f t="shared" si="35"/>
        <v/>
      </c>
      <c r="AE149" s="77" t="str">
        <f t="shared" si="26"/>
        <v/>
      </c>
    </row>
    <row r="150" spans="2:31" x14ac:dyDescent="0.35">
      <c r="B150" s="2">
        <v>2014</v>
      </c>
      <c r="C150" s="2">
        <v>2</v>
      </c>
      <c r="D150" s="2">
        <v>5</v>
      </c>
      <c r="E150" s="78">
        <f>'CRU historical'!F149</f>
        <v>8</v>
      </c>
      <c r="F150" s="78">
        <f>'CRU historical'!I149</f>
        <v>8</v>
      </c>
      <c r="G150" s="78" t="str">
        <f>'CRU historical'!L149</f>
        <v xml:space="preserve"> </v>
      </c>
      <c r="H150" s="78" t="str">
        <f>'CRU historical'!O149</f>
        <v xml:space="preserve"> </v>
      </c>
      <c r="I150" s="78">
        <f>'CRU historical'!R149</f>
        <v>134.4</v>
      </c>
      <c r="J150" s="78">
        <f>AVERAGE('CRU historical'!U149, 'CRU historical'!X149, 'CRU historical'!AA149, 'CRU historical'!AD149)</f>
        <v>129.4</v>
      </c>
      <c r="L150" s="78" cm="1">
        <f t="array" ref="L150">IFERROR(SUMPRODUCT(('Sulphuric Acid freights'!$B$3:$B$513=B150)*('Sulphuric Acid freights'!$D$3:$D$513=D150)*('Sulphuric Acid freights'!$P$3:$P$513))/SUMPRODUCT(('Sulphuric Acid freights'!$B$3:$B$513=B150)*('Sulphuric Acid freights'!$D$3:$D$513=D150)*1), AVERAGE('Sulphuric Acid freights'!$P$3:$P$513))*2/3</f>
        <v>54.110671936758898</v>
      </c>
      <c r="M150" s="78" cm="1">
        <f t="array" ref="M150">IFERROR(SUMPRODUCT(('Sulphuric Acid freights'!$B$3:$B$513=B150)*('Sulphuric Acid freights'!$D$3:$D$513=D150)*('Sulphuric Acid freights'!$M$3:$M$513))/SUMPRODUCT(('Sulphuric Acid freights'!$B$3:$B$513=B150)*('Sulphuric Acid freights'!$D$3:$D$513=D150)*1)*2/3, AVERAGE('Sulphuric Acid freights'!$M$3:$M$513))</f>
        <v>23.573122529644269</v>
      </c>
      <c r="N150" s="78">
        <f t="shared" si="27"/>
        <v>48.699604743083007</v>
      </c>
      <c r="O150" s="78" cm="1">
        <f t="array" ref="O150">IF(SUMPRODUCT(('Sulphur freight'!$B$3:$B$1976=B150)*('Sulphur freight'!$D$3:$D$1976=D150)*('Sulphur freight'!$G$3:$G$1976))/SUMPRODUCT(('Sulphur freight'!$B$3:$B$1976=B150)*('Sulphur freight'!$D$3:$D$1976=D150)*1)=0, AVERAGE('Sulphur freight'!$G$3:$G$1976),SUMPRODUCT(('Sulphur freight'!$B$3:$B$1976=B150)*('Sulphur freight'!$D$3:$D$1976=D150)*('Sulphur freight'!$G$3:$G$1976))/SUMPRODUCT(('Sulphur freight'!$B$3:$B$1976=B150)*('Sulphur freight'!$D$3:$D$1976=D150)*1))</f>
        <v>30</v>
      </c>
      <c r="P150" s="78">
        <v>20</v>
      </c>
      <c r="R150" s="78" t="str">
        <f t="shared" si="28"/>
        <v xml:space="preserve"> </v>
      </c>
      <c r="S150" s="78">
        <f t="shared" si="29"/>
        <v>31.573122529644269</v>
      </c>
      <c r="T150" s="78">
        <f t="shared" si="24"/>
        <v>62.110671936758898</v>
      </c>
      <c r="U150" s="78" t="str">
        <f t="shared" si="30"/>
        <v/>
      </c>
      <c r="V150" s="78">
        <f>IFERROR(I150+O150, "")</f>
        <v>164.4</v>
      </c>
      <c r="W150" s="78">
        <f t="shared" si="31"/>
        <v>149.4</v>
      </c>
      <c r="X150" s="78">
        <f t="shared" si="32"/>
        <v>72.25200000000001</v>
      </c>
      <c r="Y150" s="78">
        <f t="shared" si="33"/>
        <v>67.302000000000007</v>
      </c>
      <c r="AA150" s="88" t="str">
        <f t="shared" si="34"/>
        <v/>
      </c>
      <c r="AB150" s="77" t="str">
        <f t="shared" si="25"/>
        <v/>
      </c>
      <c r="AD150" s="88" t="str">
        <f t="shared" si="35"/>
        <v/>
      </c>
      <c r="AE150" s="77" t="str">
        <f t="shared" si="26"/>
        <v/>
      </c>
    </row>
    <row r="151" spans="2:31" x14ac:dyDescent="0.35">
      <c r="B151" s="2">
        <v>2014</v>
      </c>
      <c r="C151" s="2">
        <v>2</v>
      </c>
      <c r="D151" s="2">
        <v>6</v>
      </c>
      <c r="E151" s="78">
        <f>'CRU historical'!F150</f>
        <v>8</v>
      </c>
      <c r="F151" s="78">
        <f>'CRU historical'!I150</f>
        <v>11.75</v>
      </c>
      <c r="G151" s="78" t="str">
        <f>'CRU historical'!L150</f>
        <v xml:space="preserve"> </v>
      </c>
      <c r="H151" s="78" t="str">
        <f>'CRU historical'!O150</f>
        <v xml:space="preserve"> </v>
      </c>
      <c r="I151" s="78">
        <f>'CRU historical'!R150</f>
        <v>154</v>
      </c>
      <c r="J151" s="78">
        <f>AVERAGE('CRU historical'!U150, 'CRU historical'!X150, 'CRU historical'!AA150, 'CRU historical'!AD150)</f>
        <v>133</v>
      </c>
      <c r="L151" s="78" cm="1">
        <f t="array" ref="L151">IFERROR(SUMPRODUCT(('Sulphuric Acid freights'!$B$3:$B$513=B151)*('Sulphuric Acid freights'!$D$3:$D$513=D151)*('Sulphuric Acid freights'!$P$3:$P$513))/SUMPRODUCT(('Sulphuric Acid freights'!$B$3:$B$513=B151)*('Sulphuric Acid freights'!$D$3:$D$513=D151)*1), AVERAGE('Sulphuric Acid freights'!$P$3:$P$513))*2/3</f>
        <v>54.110671936758898</v>
      </c>
      <c r="M151" s="78" cm="1">
        <f t="array" ref="M151">IFERROR(SUMPRODUCT(('Sulphuric Acid freights'!$B$3:$B$513=B151)*('Sulphuric Acid freights'!$D$3:$D$513=D151)*('Sulphuric Acid freights'!$M$3:$M$513))/SUMPRODUCT(('Sulphuric Acid freights'!$B$3:$B$513=B151)*('Sulphuric Acid freights'!$D$3:$D$513=D151)*1)*2/3, AVERAGE('Sulphuric Acid freights'!$M$3:$M$513))</f>
        <v>23.573122529644269</v>
      </c>
      <c r="N151" s="78">
        <f t="shared" si="27"/>
        <v>48.699604743083007</v>
      </c>
      <c r="O151" s="78" cm="1">
        <f t="array" ref="O151">IF(SUMPRODUCT(('Sulphur freight'!$B$3:$B$1976=B151)*('Sulphur freight'!$D$3:$D$1976=D151)*('Sulphur freight'!$G$3:$G$1976))/SUMPRODUCT(('Sulphur freight'!$B$3:$B$1976=B151)*('Sulphur freight'!$D$3:$D$1976=D151)*1)=0, AVERAGE('Sulphur freight'!$G$3:$G$1976),SUMPRODUCT(('Sulphur freight'!$B$3:$B$1976=B151)*('Sulphur freight'!$D$3:$D$1976=D151)*('Sulphur freight'!$G$3:$G$1976))/SUMPRODUCT(('Sulphur freight'!$B$3:$B$1976=B151)*('Sulphur freight'!$D$3:$D$1976=D151)*1))</f>
        <v>30.25</v>
      </c>
      <c r="P151" s="78">
        <v>20</v>
      </c>
      <c r="R151" s="78" t="str">
        <f t="shared" si="28"/>
        <v xml:space="preserve"> </v>
      </c>
      <c r="S151" s="78">
        <f t="shared" si="29"/>
        <v>35.323122529644266</v>
      </c>
      <c r="T151" s="78">
        <f t="shared" si="24"/>
        <v>62.110671936758898</v>
      </c>
      <c r="U151" s="78" t="str">
        <f t="shared" si="30"/>
        <v/>
      </c>
      <c r="V151" s="78">
        <f>IFERROR(I151+O151, "")</f>
        <v>184.25</v>
      </c>
      <c r="W151" s="78">
        <f t="shared" si="31"/>
        <v>153</v>
      </c>
      <c r="X151" s="78">
        <f t="shared" si="32"/>
        <v>78.802500000000009</v>
      </c>
      <c r="Y151" s="78">
        <f t="shared" si="33"/>
        <v>68.490000000000009</v>
      </c>
      <c r="AA151" s="88" t="str">
        <f t="shared" si="34"/>
        <v/>
      </c>
      <c r="AB151" s="77" t="str">
        <f t="shared" si="25"/>
        <v/>
      </c>
      <c r="AD151" s="88" t="str">
        <f t="shared" si="35"/>
        <v/>
      </c>
      <c r="AE151" s="77" t="str">
        <f t="shared" si="26"/>
        <v/>
      </c>
    </row>
    <row r="152" spans="2:31" x14ac:dyDescent="0.35">
      <c r="B152" s="2">
        <v>2014</v>
      </c>
      <c r="C152" s="2">
        <v>3</v>
      </c>
      <c r="D152" s="2">
        <v>7</v>
      </c>
      <c r="E152" s="78">
        <f>'CRU historical'!F151</f>
        <v>8</v>
      </c>
      <c r="F152" s="78">
        <f>'CRU historical'!I151</f>
        <v>13</v>
      </c>
      <c r="G152" s="78" t="str">
        <f>'CRU historical'!L151</f>
        <v xml:space="preserve"> </v>
      </c>
      <c r="H152" s="78" t="str">
        <f>'CRU historical'!O151</f>
        <v xml:space="preserve"> </v>
      </c>
      <c r="I152" s="78">
        <f>'CRU historical'!R151</f>
        <v>164.6</v>
      </c>
      <c r="J152" s="78">
        <f>AVERAGE('CRU historical'!U151, 'CRU historical'!X151, 'CRU historical'!AA151, 'CRU historical'!AD151)</f>
        <v>133</v>
      </c>
      <c r="L152" s="78" cm="1">
        <f t="array" ref="L152">IFERROR(SUMPRODUCT(('Sulphuric Acid freights'!$B$3:$B$513=B152)*('Sulphuric Acid freights'!$D$3:$D$513=D152)*('Sulphuric Acid freights'!$P$3:$P$513))/SUMPRODUCT(('Sulphuric Acid freights'!$B$3:$B$513=B152)*('Sulphuric Acid freights'!$D$3:$D$513=D152)*1), AVERAGE('Sulphuric Acid freights'!$P$3:$P$513))*2/3</f>
        <v>54.110671936758898</v>
      </c>
      <c r="M152" s="78" cm="1">
        <f t="array" ref="M152">IFERROR(SUMPRODUCT(('Sulphuric Acid freights'!$B$3:$B$513=B152)*('Sulphuric Acid freights'!$D$3:$D$513=D152)*('Sulphuric Acid freights'!$M$3:$M$513))/SUMPRODUCT(('Sulphuric Acid freights'!$B$3:$B$513=B152)*('Sulphuric Acid freights'!$D$3:$D$513=D152)*1)*2/3, AVERAGE('Sulphuric Acid freights'!$M$3:$M$513))</f>
        <v>23.573122529644269</v>
      </c>
      <c r="N152" s="78">
        <f t="shared" si="27"/>
        <v>48.699604743083007</v>
      </c>
      <c r="O152" s="78" cm="1">
        <f t="array" ref="O152">IF(SUMPRODUCT(('Sulphur freight'!$B$3:$B$1976=B152)*('Sulphur freight'!$D$3:$D$1976=D152)*('Sulphur freight'!$G$3:$G$1976))/SUMPRODUCT(('Sulphur freight'!$B$3:$B$1976=B152)*('Sulphur freight'!$D$3:$D$1976=D152)*1)=0, AVERAGE('Sulphur freight'!$G$3:$G$1976),SUMPRODUCT(('Sulphur freight'!$B$3:$B$1976=B152)*('Sulphur freight'!$D$3:$D$1976=D152)*('Sulphur freight'!$G$3:$G$1976))/SUMPRODUCT(('Sulphur freight'!$B$3:$B$1976=B152)*('Sulphur freight'!$D$3:$D$1976=D152)*1))</f>
        <v>27.8</v>
      </c>
      <c r="P152" s="78">
        <v>20</v>
      </c>
      <c r="R152" s="78" t="str">
        <f t="shared" si="28"/>
        <v xml:space="preserve"> </v>
      </c>
      <c r="S152" s="78">
        <f t="shared" si="29"/>
        <v>36.573122529644266</v>
      </c>
      <c r="T152" s="78">
        <f t="shared" si="24"/>
        <v>62.110671936758898</v>
      </c>
      <c r="U152" s="78" t="str">
        <f t="shared" si="30"/>
        <v/>
      </c>
      <c r="V152" s="78">
        <f>IFERROR(I152+O152, "")</f>
        <v>192.4</v>
      </c>
      <c r="W152" s="78">
        <f t="shared" si="31"/>
        <v>153</v>
      </c>
      <c r="X152" s="78">
        <f t="shared" si="32"/>
        <v>81.492000000000004</v>
      </c>
      <c r="Y152" s="78">
        <f t="shared" si="33"/>
        <v>68.490000000000009</v>
      </c>
      <c r="AA152" s="88" t="str">
        <f t="shared" si="34"/>
        <v/>
      </c>
      <c r="AB152" s="77" t="str">
        <f t="shared" si="25"/>
        <v/>
      </c>
      <c r="AD152" s="88" t="str">
        <f t="shared" si="35"/>
        <v/>
      </c>
      <c r="AE152" s="77" t="str">
        <f t="shared" si="26"/>
        <v/>
      </c>
    </row>
    <row r="153" spans="2:31" x14ac:dyDescent="0.35">
      <c r="B153" s="2">
        <v>2014</v>
      </c>
      <c r="C153" s="2">
        <v>3</v>
      </c>
      <c r="D153" s="2">
        <v>8</v>
      </c>
      <c r="E153" s="78">
        <f>'CRU historical'!F152</f>
        <v>8</v>
      </c>
      <c r="F153" s="78">
        <f>'CRU historical'!I152</f>
        <v>13</v>
      </c>
      <c r="G153" s="78" t="str">
        <f>'CRU historical'!L152</f>
        <v xml:space="preserve"> </v>
      </c>
      <c r="H153" s="78" t="str">
        <f>'CRU historical'!O152</f>
        <v xml:space="preserve"> </v>
      </c>
      <c r="I153" s="78">
        <f>'CRU historical'!R152</f>
        <v>164</v>
      </c>
      <c r="J153" s="78">
        <f>AVERAGE('CRU historical'!U152, 'CRU historical'!X152, 'CRU historical'!AA152, 'CRU historical'!AD152)</f>
        <v>133</v>
      </c>
      <c r="L153" s="78" cm="1">
        <f t="array" ref="L153">IFERROR(SUMPRODUCT(('Sulphuric Acid freights'!$B$3:$B$513=B153)*('Sulphuric Acid freights'!$D$3:$D$513=D153)*('Sulphuric Acid freights'!$P$3:$P$513))/SUMPRODUCT(('Sulphuric Acid freights'!$B$3:$B$513=B153)*('Sulphuric Acid freights'!$D$3:$D$513=D153)*1), AVERAGE('Sulphuric Acid freights'!$P$3:$P$513))*2/3</f>
        <v>54.110671936758898</v>
      </c>
      <c r="M153" s="78" cm="1">
        <f t="array" ref="M153">IFERROR(SUMPRODUCT(('Sulphuric Acid freights'!$B$3:$B$513=B153)*('Sulphuric Acid freights'!$D$3:$D$513=D153)*('Sulphuric Acid freights'!$M$3:$M$513))/SUMPRODUCT(('Sulphuric Acid freights'!$B$3:$B$513=B153)*('Sulphuric Acid freights'!$D$3:$D$513=D153)*1)*2/3, AVERAGE('Sulphuric Acid freights'!$M$3:$M$513))</f>
        <v>23.573122529644269</v>
      </c>
      <c r="N153" s="78">
        <f t="shared" si="27"/>
        <v>48.699604743083007</v>
      </c>
      <c r="O153" s="78" cm="1">
        <f t="array" ref="O153">IF(SUMPRODUCT(('Sulphur freight'!$B$3:$B$1976=B153)*('Sulphur freight'!$D$3:$D$1976=D153)*('Sulphur freight'!$G$3:$G$1976))/SUMPRODUCT(('Sulphur freight'!$B$3:$B$1976=B153)*('Sulphur freight'!$D$3:$D$1976=D153)*1)=0, AVERAGE('Sulphur freight'!$G$3:$G$1976),SUMPRODUCT(('Sulphur freight'!$B$3:$B$1976=B153)*('Sulphur freight'!$D$3:$D$1976=D153)*('Sulphur freight'!$G$3:$G$1976))/SUMPRODUCT(('Sulphur freight'!$B$3:$B$1976=B153)*('Sulphur freight'!$D$3:$D$1976=D153)*1))</f>
        <v>27.25</v>
      </c>
      <c r="P153" s="78">
        <v>20</v>
      </c>
      <c r="R153" s="78" t="str">
        <f t="shared" si="28"/>
        <v xml:space="preserve"> </v>
      </c>
      <c r="S153" s="78">
        <f t="shared" si="29"/>
        <v>36.573122529644266</v>
      </c>
      <c r="T153" s="78">
        <f t="shared" si="24"/>
        <v>62.110671936758898</v>
      </c>
      <c r="U153" s="78" t="str">
        <f t="shared" si="30"/>
        <v/>
      </c>
      <c r="V153" s="78">
        <f>IFERROR(I153+O153, "")</f>
        <v>191.25</v>
      </c>
      <c r="W153" s="78">
        <f t="shared" si="31"/>
        <v>153</v>
      </c>
      <c r="X153" s="78">
        <f t="shared" si="32"/>
        <v>81.112500000000011</v>
      </c>
      <c r="Y153" s="78">
        <f t="shared" si="33"/>
        <v>68.490000000000009</v>
      </c>
      <c r="AA153" s="88" t="str">
        <f t="shared" si="34"/>
        <v/>
      </c>
      <c r="AB153" s="77" t="str">
        <f t="shared" si="25"/>
        <v/>
      </c>
      <c r="AD153" s="88" t="str">
        <f t="shared" si="35"/>
        <v/>
      </c>
      <c r="AE153" s="77" t="str">
        <f t="shared" si="26"/>
        <v/>
      </c>
    </row>
    <row r="154" spans="2:31" x14ac:dyDescent="0.35">
      <c r="B154" s="2">
        <v>2014</v>
      </c>
      <c r="C154" s="2">
        <v>3</v>
      </c>
      <c r="D154" s="2">
        <v>9</v>
      </c>
      <c r="E154" s="78">
        <f>'CRU historical'!F153</f>
        <v>11.5</v>
      </c>
      <c r="F154" s="78">
        <f>'CRU historical'!I153</f>
        <v>21.75</v>
      </c>
      <c r="G154" s="78" t="str">
        <f>'CRU historical'!L153</f>
        <v xml:space="preserve"> </v>
      </c>
      <c r="H154" s="78" t="str">
        <f>'CRU historical'!O153</f>
        <v xml:space="preserve"> </v>
      </c>
      <c r="I154" s="78">
        <f>'CRU historical'!R153</f>
        <v>154</v>
      </c>
      <c r="J154" s="78">
        <f>AVERAGE('CRU historical'!U153, 'CRU historical'!X153, 'CRU historical'!AA153, 'CRU historical'!AD153)</f>
        <v>133</v>
      </c>
      <c r="L154" s="78" cm="1">
        <f t="array" ref="L154">IFERROR(SUMPRODUCT(('Sulphuric Acid freights'!$B$3:$B$513=B154)*('Sulphuric Acid freights'!$D$3:$D$513=D154)*('Sulphuric Acid freights'!$P$3:$P$513))/SUMPRODUCT(('Sulphuric Acid freights'!$B$3:$B$513=B154)*('Sulphuric Acid freights'!$D$3:$D$513=D154)*1), AVERAGE('Sulphuric Acid freights'!$P$3:$P$513))*2/3</f>
        <v>54.110671936758898</v>
      </c>
      <c r="M154" s="78" cm="1">
        <f t="array" ref="M154">IFERROR(SUMPRODUCT(('Sulphuric Acid freights'!$B$3:$B$513=B154)*('Sulphuric Acid freights'!$D$3:$D$513=D154)*('Sulphuric Acid freights'!$M$3:$M$513))/SUMPRODUCT(('Sulphuric Acid freights'!$B$3:$B$513=B154)*('Sulphuric Acid freights'!$D$3:$D$513=D154)*1)*2/3, AVERAGE('Sulphuric Acid freights'!$M$3:$M$513))</f>
        <v>23.573122529644269</v>
      </c>
      <c r="N154" s="78">
        <f t="shared" si="27"/>
        <v>48.699604743083007</v>
      </c>
      <c r="O154" s="78" cm="1">
        <f t="array" ref="O154">IF(SUMPRODUCT(('Sulphur freight'!$B$3:$B$1976=B154)*('Sulphur freight'!$D$3:$D$1976=D154)*('Sulphur freight'!$G$3:$G$1976))/SUMPRODUCT(('Sulphur freight'!$B$3:$B$1976=B154)*('Sulphur freight'!$D$3:$D$1976=D154)*1)=0, AVERAGE('Sulphur freight'!$G$3:$G$1976),SUMPRODUCT(('Sulphur freight'!$B$3:$B$1976=B154)*('Sulphur freight'!$D$3:$D$1976=D154)*('Sulphur freight'!$G$3:$G$1976))/SUMPRODUCT(('Sulphur freight'!$B$3:$B$1976=B154)*('Sulphur freight'!$D$3:$D$1976=D154)*1))</f>
        <v>27</v>
      </c>
      <c r="P154" s="78">
        <v>20</v>
      </c>
      <c r="R154" s="78" t="str">
        <f t="shared" si="28"/>
        <v xml:space="preserve"> </v>
      </c>
      <c r="S154" s="78">
        <f t="shared" si="29"/>
        <v>45.323122529644266</v>
      </c>
      <c r="T154" s="78">
        <f t="shared" si="24"/>
        <v>65.610671936758905</v>
      </c>
      <c r="U154" s="78" t="str">
        <f t="shared" si="30"/>
        <v/>
      </c>
      <c r="V154" s="78">
        <f>IFERROR(I154+O154, "")</f>
        <v>181</v>
      </c>
      <c r="W154" s="78">
        <f t="shared" si="31"/>
        <v>153</v>
      </c>
      <c r="X154" s="78">
        <f t="shared" si="32"/>
        <v>77.73</v>
      </c>
      <c r="Y154" s="78">
        <f t="shared" si="33"/>
        <v>68.490000000000009</v>
      </c>
      <c r="AA154" s="88" t="str">
        <f t="shared" si="34"/>
        <v/>
      </c>
      <c r="AB154" s="77" t="str">
        <f t="shared" si="25"/>
        <v/>
      </c>
      <c r="AD154" s="88" t="str">
        <f t="shared" si="35"/>
        <v/>
      </c>
      <c r="AE154" s="77" t="str">
        <f t="shared" si="26"/>
        <v/>
      </c>
    </row>
    <row r="155" spans="2:31" x14ac:dyDescent="0.35">
      <c r="B155" s="2">
        <v>2014</v>
      </c>
      <c r="C155" s="2">
        <v>4</v>
      </c>
      <c r="D155" s="2">
        <v>10</v>
      </c>
      <c r="E155" s="78">
        <f>'CRU historical'!F154</f>
        <v>13</v>
      </c>
      <c r="F155" s="78">
        <f>'CRU historical'!I154</f>
        <v>27</v>
      </c>
      <c r="G155" s="78" t="str">
        <f>'CRU historical'!L154</f>
        <v xml:space="preserve"> </v>
      </c>
      <c r="H155" s="78" t="str">
        <f>'CRU historical'!O154</f>
        <v xml:space="preserve"> </v>
      </c>
      <c r="I155" s="78">
        <f>'CRU historical'!R154</f>
        <v>142.6</v>
      </c>
      <c r="J155" s="78">
        <f>AVERAGE('CRU historical'!U154, 'CRU historical'!X154, 'CRU historical'!AA154, 'CRU historical'!AD154)</f>
        <v>133</v>
      </c>
      <c r="L155" s="78" cm="1">
        <f t="array" ref="L155">IFERROR(SUMPRODUCT(('Sulphuric Acid freights'!$B$3:$B$513=B155)*('Sulphuric Acid freights'!$D$3:$D$513=D155)*('Sulphuric Acid freights'!$P$3:$P$513))/SUMPRODUCT(('Sulphuric Acid freights'!$B$3:$B$513=B155)*('Sulphuric Acid freights'!$D$3:$D$513=D155)*1), AVERAGE('Sulphuric Acid freights'!$P$3:$P$513))*2/3</f>
        <v>54.110671936758898</v>
      </c>
      <c r="M155" s="78" cm="1">
        <f t="array" ref="M155">IFERROR(SUMPRODUCT(('Sulphuric Acid freights'!$B$3:$B$513=B155)*('Sulphuric Acid freights'!$D$3:$D$513=D155)*('Sulphuric Acid freights'!$M$3:$M$513))/SUMPRODUCT(('Sulphuric Acid freights'!$B$3:$B$513=B155)*('Sulphuric Acid freights'!$D$3:$D$513=D155)*1)*2/3, AVERAGE('Sulphuric Acid freights'!$M$3:$M$513))</f>
        <v>23.573122529644269</v>
      </c>
      <c r="N155" s="78">
        <f t="shared" si="27"/>
        <v>48.699604743083007</v>
      </c>
      <c r="O155" s="78" cm="1">
        <f t="array" ref="O155">IF(SUMPRODUCT(('Sulphur freight'!$B$3:$B$1976=B155)*('Sulphur freight'!$D$3:$D$1976=D155)*('Sulphur freight'!$G$3:$G$1976))/SUMPRODUCT(('Sulphur freight'!$B$3:$B$1976=B155)*('Sulphur freight'!$D$3:$D$1976=D155)*1)=0, AVERAGE('Sulphur freight'!$G$3:$G$1976),SUMPRODUCT(('Sulphur freight'!$B$3:$B$1976=B155)*('Sulphur freight'!$D$3:$D$1976=D155)*('Sulphur freight'!$G$3:$G$1976))/SUMPRODUCT(('Sulphur freight'!$B$3:$B$1976=B155)*('Sulphur freight'!$D$3:$D$1976=D155)*1))</f>
        <v>24.4</v>
      </c>
      <c r="P155" s="78">
        <v>20</v>
      </c>
      <c r="R155" s="78" t="str">
        <f t="shared" si="28"/>
        <v xml:space="preserve"> </v>
      </c>
      <c r="S155" s="78">
        <f t="shared" si="29"/>
        <v>50.573122529644266</v>
      </c>
      <c r="T155" s="78">
        <f t="shared" si="24"/>
        <v>67.110671936758905</v>
      </c>
      <c r="U155" s="78" t="str">
        <f t="shared" si="30"/>
        <v/>
      </c>
      <c r="V155" s="78">
        <f>IFERROR(I155+O155, "")</f>
        <v>167</v>
      </c>
      <c r="W155" s="78">
        <f t="shared" si="31"/>
        <v>153</v>
      </c>
      <c r="X155" s="78">
        <f t="shared" si="32"/>
        <v>73.11</v>
      </c>
      <c r="Y155" s="78">
        <f t="shared" si="33"/>
        <v>68.490000000000009</v>
      </c>
      <c r="AA155" s="88" t="str">
        <f t="shared" si="34"/>
        <v/>
      </c>
      <c r="AB155" s="77" t="str">
        <f t="shared" si="25"/>
        <v/>
      </c>
      <c r="AD155" s="88" t="str">
        <f t="shared" si="35"/>
        <v/>
      </c>
      <c r="AE155" s="77" t="str">
        <f t="shared" si="26"/>
        <v/>
      </c>
    </row>
    <row r="156" spans="2:31" x14ac:dyDescent="0.35">
      <c r="B156" s="2">
        <v>2014</v>
      </c>
      <c r="C156" s="2">
        <v>4</v>
      </c>
      <c r="D156" s="2">
        <v>11</v>
      </c>
      <c r="E156" s="78">
        <f>'CRU historical'!F155</f>
        <v>15</v>
      </c>
      <c r="F156" s="78">
        <f>'CRU historical'!I155</f>
        <v>33</v>
      </c>
      <c r="G156" s="78" t="str">
        <f>'CRU historical'!L155</f>
        <v xml:space="preserve"> </v>
      </c>
      <c r="H156" s="78" t="str">
        <f>'CRU historical'!O155</f>
        <v xml:space="preserve"> </v>
      </c>
      <c r="I156" s="78">
        <f>'CRU historical'!R155</f>
        <v>129.5</v>
      </c>
      <c r="J156" s="78">
        <f>AVERAGE('CRU historical'!U155, 'CRU historical'!X155, 'CRU historical'!AA155, 'CRU historical'!AD155)</f>
        <v>133</v>
      </c>
      <c r="L156" s="78" cm="1">
        <f t="array" ref="L156">IFERROR(SUMPRODUCT(('Sulphuric Acid freights'!$B$3:$B$513=B156)*('Sulphuric Acid freights'!$D$3:$D$513=D156)*('Sulphuric Acid freights'!$P$3:$P$513))/SUMPRODUCT(('Sulphuric Acid freights'!$B$3:$B$513=B156)*('Sulphuric Acid freights'!$D$3:$D$513=D156)*1), AVERAGE('Sulphuric Acid freights'!$P$3:$P$513))*2/3</f>
        <v>54.110671936758898</v>
      </c>
      <c r="M156" s="78" cm="1">
        <f t="array" ref="M156">IFERROR(SUMPRODUCT(('Sulphuric Acid freights'!$B$3:$B$513=B156)*('Sulphuric Acid freights'!$D$3:$D$513=D156)*('Sulphuric Acid freights'!$M$3:$M$513))/SUMPRODUCT(('Sulphuric Acid freights'!$B$3:$B$513=B156)*('Sulphuric Acid freights'!$D$3:$D$513=D156)*1)*2/3, AVERAGE('Sulphuric Acid freights'!$M$3:$M$513))</f>
        <v>23.573122529644269</v>
      </c>
      <c r="N156" s="78">
        <f t="shared" si="27"/>
        <v>48.699604743083007</v>
      </c>
      <c r="O156" s="78" cm="1">
        <f t="array" ref="O156">IF(SUMPRODUCT(('Sulphur freight'!$B$3:$B$1976=B156)*('Sulphur freight'!$D$3:$D$1976=D156)*('Sulphur freight'!$G$3:$G$1976))/SUMPRODUCT(('Sulphur freight'!$B$3:$B$1976=B156)*('Sulphur freight'!$D$3:$D$1976=D156)*1)=0, AVERAGE('Sulphur freight'!$G$3:$G$1976),SUMPRODUCT(('Sulphur freight'!$B$3:$B$1976=B156)*('Sulphur freight'!$D$3:$D$1976=D156)*('Sulphur freight'!$G$3:$G$1976))/SUMPRODUCT(('Sulphur freight'!$B$3:$B$1976=B156)*('Sulphur freight'!$D$3:$D$1976=D156)*1))</f>
        <v>24.5</v>
      </c>
      <c r="P156" s="78">
        <v>20</v>
      </c>
      <c r="R156" s="78" t="str">
        <f t="shared" si="28"/>
        <v xml:space="preserve"> </v>
      </c>
      <c r="S156" s="78">
        <f t="shared" si="29"/>
        <v>56.573122529644266</v>
      </c>
      <c r="T156" s="78">
        <f t="shared" si="24"/>
        <v>69.110671936758905</v>
      </c>
      <c r="U156" s="78" t="str">
        <f t="shared" si="30"/>
        <v/>
      </c>
      <c r="V156" s="78">
        <f>IFERROR(I156+O156, "")</f>
        <v>154</v>
      </c>
      <c r="W156" s="78">
        <f t="shared" si="31"/>
        <v>153</v>
      </c>
      <c r="X156" s="78">
        <f t="shared" si="32"/>
        <v>68.819999999999993</v>
      </c>
      <c r="Y156" s="78">
        <f t="shared" si="33"/>
        <v>68.490000000000009</v>
      </c>
      <c r="AA156" s="88" t="str">
        <f t="shared" si="34"/>
        <v/>
      </c>
      <c r="AB156" s="77" t="str">
        <f t="shared" si="25"/>
        <v/>
      </c>
      <c r="AD156" s="88" t="str">
        <f t="shared" si="35"/>
        <v/>
      </c>
      <c r="AE156" s="77" t="str">
        <f t="shared" si="26"/>
        <v/>
      </c>
    </row>
    <row r="157" spans="2:31" x14ac:dyDescent="0.35">
      <c r="B157" s="2">
        <v>2014</v>
      </c>
      <c r="C157" s="2">
        <v>4</v>
      </c>
      <c r="D157" s="2">
        <v>12</v>
      </c>
      <c r="E157" s="78">
        <f>'CRU historical'!F156</f>
        <v>12.5</v>
      </c>
      <c r="F157" s="78">
        <f>'CRU historical'!I156</f>
        <v>33</v>
      </c>
      <c r="G157" s="78" t="str">
        <f>'CRU historical'!L156</f>
        <v xml:space="preserve"> </v>
      </c>
      <c r="H157" s="78" t="str">
        <f>'CRU historical'!O156</f>
        <v xml:space="preserve"> </v>
      </c>
      <c r="I157" s="78">
        <f>'CRU historical'!R156</f>
        <v>151</v>
      </c>
      <c r="J157" s="78">
        <f>AVERAGE('CRU historical'!U156, 'CRU historical'!X156, 'CRU historical'!AA156, 'CRU historical'!AD156)</f>
        <v>133</v>
      </c>
      <c r="L157" s="78" cm="1">
        <f t="array" ref="L157">IFERROR(SUMPRODUCT(('Sulphuric Acid freights'!$B$3:$B$513=B157)*('Sulphuric Acid freights'!$D$3:$D$513=D157)*('Sulphuric Acid freights'!$P$3:$P$513))/SUMPRODUCT(('Sulphuric Acid freights'!$B$3:$B$513=B157)*('Sulphuric Acid freights'!$D$3:$D$513=D157)*1), AVERAGE('Sulphuric Acid freights'!$P$3:$P$513))*2/3</f>
        <v>54.110671936758898</v>
      </c>
      <c r="M157" s="78" cm="1">
        <f t="array" ref="M157">IFERROR(SUMPRODUCT(('Sulphuric Acid freights'!$B$3:$B$513=B157)*('Sulphuric Acid freights'!$D$3:$D$513=D157)*('Sulphuric Acid freights'!$M$3:$M$513))/SUMPRODUCT(('Sulphuric Acid freights'!$B$3:$B$513=B157)*('Sulphuric Acid freights'!$D$3:$D$513=D157)*1)*2/3, AVERAGE('Sulphuric Acid freights'!$M$3:$M$513))</f>
        <v>23.573122529644269</v>
      </c>
      <c r="N157" s="78">
        <f t="shared" si="27"/>
        <v>48.699604743083007</v>
      </c>
      <c r="O157" s="78" cm="1">
        <f t="array" ref="O157">IF(SUMPRODUCT(('Sulphur freight'!$B$3:$B$1976=B157)*('Sulphur freight'!$D$3:$D$1976=D157)*('Sulphur freight'!$G$3:$G$1976))/SUMPRODUCT(('Sulphur freight'!$B$3:$B$1976=B157)*('Sulphur freight'!$D$3:$D$1976=D157)*1)=0, AVERAGE('Sulphur freight'!$G$3:$G$1976),SUMPRODUCT(('Sulphur freight'!$B$3:$B$1976=B157)*('Sulphur freight'!$D$3:$D$1976=D157)*('Sulphur freight'!$G$3:$G$1976))/SUMPRODUCT(('Sulphur freight'!$B$3:$B$1976=B157)*('Sulphur freight'!$D$3:$D$1976=D157)*1))</f>
        <v>19</v>
      </c>
      <c r="P157" s="78">
        <v>20</v>
      </c>
      <c r="R157" s="78" t="str">
        <f t="shared" si="28"/>
        <v xml:space="preserve"> </v>
      </c>
      <c r="S157" s="78">
        <f t="shared" si="29"/>
        <v>56.573122529644266</v>
      </c>
      <c r="T157" s="78">
        <f t="shared" si="24"/>
        <v>66.610671936758905</v>
      </c>
      <c r="U157" s="78" t="str">
        <f t="shared" si="30"/>
        <v/>
      </c>
      <c r="V157" s="78">
        <f>IFERROR(I157+O157, "")</f>
        <v>170</v>
      </c>
      <c r="W157" s="78">
        <f t="shared" si="31"/>
        <v>153</v>
      </c>
      <c r="X157" s="78">
        <f t="shared" si="32"/>
        <v>74.099999999999994</v>
      </c>
      <c r="Y157" s="78">
        <f t="shared" si="33"/>
        <v>68.490000000000009</v>
      </c>
      <c r="AA157" s="88" t="str">
        <f t="shared" si="34"/>
        <v/>
      </c>
      <c r="AB157" s="77" t="str">
        <f t="shared" si="25"/>
        <v/>
      </c>
      <c r="AD157" s="88" t="str">
        <f t="shared" si="35"/>
        <v/>
      </c>
      <c r="AE157" s="77" t="str">
        <f t="shared" si="26"/>
        <v/>
      </c>
    </row>
    <row r="158" spans="2:31" x14ac:dyDescent="0.35">
      <c r="B158" s="2">
        <v>2015</v>
      </c>
      <c r="C158" s="2">
        <v>1</v>
      </c>
      <c r="D158" s="2">
        <v>1</v>
      </c>
      <c r="E158" s="78">
        <f>'CRU historical'!F157</f>
        <v>10.6</v>
      </c>
      <c r="F158" s="78">
        <f>'CRU historical'!I157</f>
        <v>32.6</v>
      </c>
      <c r="G158" s="78" t="str">
        <f>'CRU historical'!L157</f>
        <v xml:space="preserve"> </v>
      </c>
      <c r="H158" s="78" t="str">
        <f>'CRU historical'!O157</f>
        <v xml:space="preserve"> </v>
      </c>
      <c r="I158" s="78">
        <f>'CRU historical'!R157</f>
        <v>169.8</v>
      </c>
      <c r="J158" s="78">
        <f>AVERAGE('CRU historical'!U157, 'CRU historical'!X157, 'CRU historical'!AA157, 'CRU historical'!AD157)</f>
        <v>133</v>
      </c>
      <c r="L158" s="78" cm="1">
        <f t="array" ref="L158">IFERROR(SUMPRODUCT(('Sulphuric Acid freights'!$B$3:$B$513=B158)*('Sulphuric Acid freights'!$D$3:$D$513=D158)*('Sulphuric Acid freights'!$P$3:$P$513))/SUMPRODUCT(('Sulphuric Acid freights'!$B$3:$B$513=B158)*('Sulphuric Acid freights'!$D$3:$D$513=D158)*1), AVERAGE('Sulphuric Acid freights'!$P$3:$P$513))*2/3</f>
        <v>54.110671936758898</v>
      </c>
      <c r="M158" s="78" cm="1">
        <f t="array" ref="M158">IFERROR(SUMPRODUCT(('Sulphuric Acid freights'!$B$3:$B$513=B158)*('Sulphuric Acid freights'!$D$3:$D$513=D158)*('Sulphuric Acid freights'!$M$3:$M$513))/SUMPRODUCT(('Sulphuric Acid freights'!$B$3:$B$513=B158)*('Sulphuric Acid freights'!$D$3:$D$513=D158)*1)*2/3, AVERAGE('Sulphuric Acid freights'!$M$3:$M$513))</f>
        <v>23.573122529644269</v>
      </c>
      <c r="N158" s="78">
        <f t="shared" si="27"/>
        <v>48.699604743083007</v>
      </c>
      <c r="O158" s="78" cm="1">
        <f t="array" ref="O158">IF(SUMPRODUCT(('Sulphur freight'!$B$3:$B$1976=B158)*('Sulphur freight'!$D$3:$D$1976=D158)*('Sulphur freight'!$G$3:$G$1976))/SUMPRODUCT(('Sulphur freight'!$B$3:$B$1976=B158)*('Sulphur freight'!$D$3:$D$1976=D158)*1)=0, AVERAGE('Sulphur freight'!$G$3:$G$1976),SUMPRODUCT(('Sulphur freight'!$B$3:$B$1976=B158)*('Sulphur freight'!$D$3:$D$1976=D158)*('Sulphur freight'!$G$3:$G$1976))/SUMPRODUCT(('Sulphur freight'!$B$3:$B$1976=B158)*('Sulphur freight'!$D$3:$D$1976=D158)*1))</f>
        <v>22</v>
      </c>
      <c r="P158" s="78">
        <v>20</v>
      </c>
      <c r="R158" s="78" t="str">
        <f t="shared" si="28"/>
        <v xml:space="preserve"> </v>
      </c>
      <c r="S158" s="78">
        <f t="shared" si="29"/>
        <v>56.173122529644274</v>
      </c>
      <c r="T158" s="78">
        <f t="shared" si="24"/>
        <v>64.710671936758899</v>
      </c>
      <c r="U158" s="78" t="str">
        <f t="shared" si="30"/>
        <v/>
      </c>
      <c r="V158" s="78">
        <f>IFERROR(I158+O158, "")</f>
        <v>191.8</v>
      </c>
      <c r="W158" s="78">
        <f t="shared" si="31"/>
        <v>153</v>
      </c>
      <c r="X158" s="78">
        <f t="shared" si="32"/>
        <v>81.294000000000011</v>
      </c>
      <c r="Y158" s="78">
        <f t="shared" si="33"/>
        <v>68.490000000000009</v>
      </c>
      <c r="AA158" s="88" t="str">
        <f t="shared" si="34"/>
        <v/>
      </c>
      <c r="AB158" s="77" t="str">
        <f t="shared" si="25"/>
        <v/>
      </c>
      <c r="AD158" s="88" t="str">
        <f t="shared" si="35"/>
        <v/>
      </c>
      <c r="AE158" s="77" t="str">
        <f t="shared" si="26"/>
        <v/>
      </c>
    </row>
    <row r="159" spans="2:31" x14ac:dyDescent="0.35">
      <c r="B159" s="2">
        <v>2015</v>
      </c>
      <c r="C159" s="2">
        <v>1</v>
      </c>
      <c r="D159" s="2">
        <v>2</v>
      </c>
      <c r="E159" s="78">
        <f>'CRU historical'!F158</f>
        <v>16.25</v>
      </c>
      <c r="F159" s="78">
        <f>'CRU historical'!I158</f>
        <v>31</v>
      </c>
      <c r="G159" s="78" t="str">
        <f>'CRU historical'!L158</f>
        <v xml:space="preserve"> </v>
      </c>
      <c r="H159" s="78" t="str">
        <f>'CRU historical'!O158</f>
        <v xml:space="preserve"> </v>
      </c>
      <c r="I159" s="78">
        <f>'CRU historical'!R158</f>
        <v>176.5</v>
      </c>
      <c r="J159" s="78">
        <f>AVERAGE('CRU historical'!U158, 'CRU historical'!X158, 'CRU historical'!AA158, 'CRU historical'!AD158)</f>
        <v>148</v>
      </c>
      <c r="L159" s="78" cm="1">
        <f t="array" ref="L159">IFERROR(SUMPRODUCT(('Sulphuric Acid freights'!$B$3:$B$513=B159)*('Sulphuric Acid freights'!$D$3:$D$513=D159)*('Sulphuric Acid freights'!$P$3:$P$513))/SUMPRODUCT(('Sulphuric Acid freights'!$B$3:$B$513=B159)*('Sulphuric Acid freights'!$D$3:$D$513=D159)*1), AVERAGE('Sulphuric Acid freights'!$P$3:$P$513))*2/3</f>
        <v>54.110671936758898</v>
      </c>
      <c r="M159" s="78" cm="1">
        <f t="array" ref="M159">IFERROR(SUMPRODUCT(('Sulphuric Acid freights'!$B$3:$B$513=B159)*('Sulphuric Acid freights'!$D$3:$D$513=D159)*('Sulphuric Acid freights'!$M$3:$M$513))/SUMPRODUCT(('Sulphuric Acid freights'!$B$3:$B$513=B159)*('Sulphuric Acid freights'!$D$3:$D$513=D159)*1)*2/3, AVERAGE('Sulphuric Acid freights'!$M$3:$M$513))</f>
        <v>23.573122529644269</v>
      </c>
      <c r="N159" s="78">
        <f t="shared" si="27"/>
        <v>48.699604743083007</v>
      </c>
      <c r="O159" s="78" cm="1">
        <f t="array" ref="O159">IF(SUMPRODUCT(('Sulphur freight'!$B$3:$B$1976=B159)*('Sulphur freight'!$D$3:$D$1976=D159)*('Sulphur freight'!$G$3:$G$1976))/SUMPRODUCT(('Sulphur freight'!$B$3:$B$1976=B159)*('Sulphur freight'!$D$3:$D$1976=D159)*1)=0, AVERAGE('Sulphur freight'!$G$3:$G$1976),SUMPRODUCT(('Sulphur freight'!$B$3:$B$1976=B159)*('Sulphur freight'!$D$3:$D$1976=D159)*('Sulphur freight'!$G$3:$G$1976))/SUMPRODUCT(('Sulphur freight'!$B$3:$B$1976=B159)*('Sulphur freight'!$D$3:$D$1976=D159)*1))</f>
        <v>22.25</v>
      </c>
      <c r="P159" s="78">
        <v>20</v>
      </c>
      <c r="R159" s="78" t="str">
        <f t="shared" si="28"/>
        <v xml:space="preserve"> </v>
      </c>
      <c r="S159" s="78">
        <f t="shared" si="29"/>
        <v>54.573122529644266</v>
      </c>
      <c r="T159" s="78">
        <f t="shared" si="24"/>
        <v>70.360671936758905</v>
      </c>
      <c r="U159" s="78" t="str">
        <f t="shared" si="30"/>
        <v/>
      </c>
      <c r="V159" s="78">
        <f>IFERROR(I159+O159, "")</f>
        <v>198.75</v>
      </c>
      <c r="W159" s="78">
        <f t="shared" si="31"/>
        <v>168</v>
      </c>
      <c r="X159" s="78">
        <f t="shared" si="32"/>
        <v>83.587500000000006</v>
      </c>
      <c r="Y159" s="78">
        <f t="shared" si="33"/>
        <v>73.44</v>
      </c>
      <c r="AA159" s="88" t="str">
        <f t="shared" si="34"/>
        <v/>
      </c>
      <c r="AB159" s="77" t="str">
        <f t="shared" si="25"/>
        <v/>
      </c>
      <c r="AD159" s="88" t="str">
        <f t="shared" si="35"/>
        <v/>
      </c>
      <c r="AE159" s="77" t="str">
        <f t="shared" si="26"/>
        <v/>
      </c>
    </row>
    <row r="160" spans="2:31" x14ac:dyDescent="0.35">
      <c r="B160" s="2">
        <v>2015</v>
      </c>
      <c r="C160" s="2">
        <v>1</v>
      </c>
      <c r="D160" s="2">
        <v>3</v>
      </c>
      <c r="E160" s="78">
        <f>'CRU historical'!F159</f>
        <v>19</v>
      </c>
      <c r="F160" s="78">
        <f>'CRU historical'!I159</f>
        <v>31</v>
      </c>
      <c r="G160" s="78" t="str">
        <f>'CRU historical'!L159</f>
        <v xml:space="preserve"> </v>
      </c>
      <c r="H160" s="78" t="str">
        <f>'CRU historical'!O159</f>
        <v xml:space="preserve"> </v>
      </c>
      <c r="I160" s="78">
        <f>'CRU historical'!R159</f>
        <v>168.25</v>
      </c>
      <c r="J160" s="78">
        <f>AVERAGE('CRU historical'!U159, 'CRU historical'!X159, 'CRU historical'!AA159, 'CRU historical'!AD159)</f>
        <v>148</v>
      </c>
      <c r="L160" s="78" cm="1">
        <f t="array" ref="L160">IFERROR(SUMPRODUCT(('Sulphuric Acid freights'!$B$3:$B$513=B160)*('Sulphuric Acid freights'!$D$3:$D$513=D160)*('Sulphuric Acid freights'!$P$3:$P$513))/SUMPRODUCT(('Sulphuric Acid freights'!$B$3:$B$513=B160)*('Sulphuric Acid freights'!$D$3:$D$513=D160)*1), AVERAGE('Sulphuric Acid freights'!$P$3:$P$513))*2/3</f>
        <v>54.110671936758898</v>
      </c>
      <c r="M160" s="78" cm="1">
        <f t="array" ref="M160">IFERROR(SUMPRODUCT(('Sulphuric Acid freights'!$B$3:$B$513=B160)*('Sulphuric Acid freights'!$D$3:$D$513=D160)*('Sulphuric Acid freights'!$M$3:$M$513))/SUMPRODUCT(('Sulphuric Acid freights'!$B$3:$B$513=B160)*('Sulphuric Acid freights'!$D$3:$D$513=D160)*1)*2/3, AVERAGE('Sulphuric Acid freights'!$M$3:$M$513))</f>
        <v>23.573122529644269</v>
      </c>
      <c r="N160" s="78">
        <f t="shared" si="27"/>
        <v>48.699604743083007</v>
      </c>
      <c r="O160" s="78" cm="1">
        <f t="array" ref="O160">IF(SUMPRODUCT(('Sulphur freight'!$B$3:$B$1976=B160)*('Sulphur freight'!$D$3:$D$1976=D160)*('Sulphur freight'!$G$3:$G$1976))/SUMPRODUCT(('Sulphur freight'!$B$3:$B$1976=B160)*('Sulphur freight'!$D$3:$D$1976=D160)*1)=0, AVERAGE('Sulphur freight'!$G$3:$G$1976),SUMPRODUCT(('Sulphur freight'!$B$3:$B$1976=B160)*('Sulphur freight'!$D$3:$D$1976=D160)*('Sulphur freight'!$G$3:$G$1976))/SUMPRODUCT(('Sulphur freight'!$B$3:$B$1976=B160)*('Sulphur freight'!$D$3:$D$1976=D160)*1))</f>
        <v>22</v>
      </c>
      <c r="P160" s="78">
        <v>20</v>
      </c>
      <c r="R160" s="78" t="str">
        <f t="shared" si="28"/>
        <v xml:space="preserve"> </v>
      </c>
      <c r="S160" s="78">
        <f t="shared" si="29"/>
        <v>54.573122529644266</v>
      </c>
      <c r="T160" s="78">
        <f t="shared" si="24"/>
        <v>73.110671936758905</v>
      </c>
      <c r="U160" s="78" t="str">
        <f t="shared" si="30"/>
        <v/>
      </c>
      <c r="V160" s="78">
        <f>IFERROR(I160+O160, "")</f>
        <v>190.25</v>
      </c>
      <c r="W160" s="78">
        <f t="shared" si="31"/>
        <v>168</v>
      </c>
      <c r="X160" s="78">
        <f t="shared" si="32"/>
        <v>80.782499999999999</v>
      </c>
      <c r="Y160" s="78">
        <f t="shared" si="33"/>
        <v>73.44</v>
      </c>
      <c r="AA160" s="88" t="str">
        <f t="shared" si="34"/>
        <v/>
      </c>
      <c r="AB160" s="77" t="str">
        <f t="shared" si="25"/>
        <v/>
      </c>
      <c r="AD160" s="88" t="str">
        <f t="shared" si="35"/>
        <v/>
      </c>
      <c r="AE160" s="77" t="str">
        <f t="shared" si="26"/>
        <v/>
      </c>
    </row>
    <row r="161" spans="2:31" x14ac:dyDescent="0.35">
      <c r="B161" s="2">
        <v>2015</v>
      </c>
      <c r="C161" s="2">
        <v>2</v>
      </c>
      <c r="D161" s="2">
        <v>4</v>
      </c>
      <c r="E161" s="78">
        <f>'CRU historical'!F160</f>
        <v>20</v>
      </c>
      <c r="F161" s="78">
        <f>'CRU historical'!I160</f>
        <v>31</v>
      </c>
      <c r="G161" s="78" t="str">
        <f>'CRU historical'!L160</f>
        <v xml:space="preserve"> </v>
      </c>
      <c r="H161" s="78" t="str">
        <f>'CRU historical'!O160</f>
        <v xml:space="preserve"> </v>
      </c>
      <c r="I161" s="78">
        <f>'CRU historical'!R160</f>
        <v>149.4</v>
      </c>
      <c r="J161" s="78">
        <f>AVERAGE('CRU historical'!U160, 'CRU historical'!X160, 'CRU historical'!AA160, 'CRU historical'!AD160)</f>
        <v>148</v>
      </c>
      <c r="L161" s="78" cm="1">
        <f t="array" ref="L161">IFERROR(SUMPRODUCT(('Sulphuric Acid freights'!$B$3:$B$513=B161)*('Sulphuric Acid freights'!$D$3:$D$513=D161)*('Sulphuric Acid freights'!$P$3:$P$513))/SUMPRODUCT(('Sulphuric Acid freights'!$B$3:$B$513=B161)*('Sulphuric Acid freights'!$D$3:$D$513=D161)*1), AVERAGE('Sulphuric Acid freights'!$P$3:$P$513))*2/3</f>
        <v>54.110671936758898</v>
      </c>
      <c r="M161" s="78" cm="1">
        <f t="array" ref="M161">IFERROR(SUMPRODUCT(('Sulphuric Acid freights'!$B$3:$B$513=B161)*('Sulphuric Acid freights'!$D$3:$D$513=D161)*('Sulphuric Acid freights'!$M$3:$M$513))/SUMPRODUCT(('Sulphuric Acid freights'!$B$3:$B$513=B161)*('Sulphuric Acid freights'!$D$3:$D$513=D161)*1)*2/3, AVERAGE('Sulphuric Acid freights'!$M$3:$M$513))</f>
        <v>23.573122529644269</v>
      </c>
      <c r="N161" s="78">
        <f t="shared" si="27"/>
        <v>48.699604743083007</v>
      </c>
      <c r="O161" s="78" cm="1">
        <f t="array" ref="O161">IF(SUMPRODUCT(('Sulphur freight'!$B$3:$B$1976=B161)*('Sulphur freight'!$D$3:$D$1976=D161)*('Sulphur freight'!$G$3:$G$1976))/SUMPRODUCT(('Sulphur freight'!$B$3:$B$1976=B161)*('Sulphur freight'!$D$3:$D$1976=D161)*1)=0, AVERAGE('Sulphur freight'!$G$3:$G$1976),SUMPRODUCT(('Sulphur freight'!$B$3:$B$1976=B161)*('Sulphur freight'!$D$3:$D$1976=D161)*('Sulphur freight'!$G$3:$G$1976))/SUMPRODUCT(('Sulphur freight'!$B$3:$B$1976=B161)*('Sulphur freight'!$D$3:$D$1976=D161)*1))</f>
        <v>22.2</v>
      </c>
      <c r="P161" s="78">
        <v>20</v>
      </c>
      <c r="R161" s="78" t="str">
        <f t="shared" si="28"/>
        <v xml:space="preserve"> </v>
      </c>
      <c r="S161" s="78">
        <f t="shared" si="29"/>
        <v>54.573122529644266</v>
      </c>
      <c r="T161" s="78">
        <f t="shared" si="24"/>
        <v>74.110671936758905</v>
      </c>
      <c r="U161" s="78" t="str">
        <f t="shared" si="30"/>
        <v/>
      </c>
      <c r="V161" s="78">
        <f>IFERROR(I161+O161, "")</f>
        <v>171.6</v>
      </c>
      <c r="W161" s="78">
        <f t="shared" si="31"/>
        <v>168</v>
      </c>
      <c r="X161" s="78">
        <f t="shared" si="32"/>
        <v>74.628</v>
      </c>
      <c r="Y161" s="78">
        <f t="shared" si="33"/>
        <v>73.44</v>
      </c>
      <c r="AA161" s="88" t="str">
        <f t="shared" si="34"/>
        <v/>
      </c>
      <c r="AB161" s="77" t="str">
        <f t="shared" si="25"/>
        <v/>
      </c>
      <c r="AD161" s="88" t="str">
        <f t="shared" si="35"/>
        <v/>
      </c>
      <c r="AE161" s="77" t="str">
        <f t="shared" si="26"/>
        <v/>
      </c>
    </row>
    <row r="162" spans="2:31" x14ac:dyDescent="0.35">
      <c r="B162" s="2">
        <v>2015</v>
      </c>
      <c r="C162" s="2">
        <v>2</v>
      </c>
      <c r="D162" s="2">
        <v>5</v>
      </c>
      <c r="E162" s="78">
        <f>'CRU historical'!F161</f>
        <v>20.25</v>
      </c>
      <c r="F162" s="78">
        <f>'CRU historical'!I161</f>
        <v>31</v>
      </c>
      <c r="G162" s="78" t="str">
        <f>'CRU historical'!L161</f>
        <v xml:space="preserve"> </v>
      </c>
      <c r="H162" s="78" t="str">
        <f>'CRU historical'!O161</f>
        <v xml:space="preserve"> </v>
      </c>
      <c r="I162" s="78">
        <f>'CRU historical'!R161</f>
        <v>140.75</v>
      </c>
      <c r="J162" s="78">
        <f>AVERAGE('CRU historical'!U161, 'CRU historical'!X161, 'CRU historical'!AA161, 'CRU historical'!AD161)</f>
        <v>148</v>
      </c>
      <c r="L162" s="78" cm="1">
        <f t="array" ref="L162">IFERROR(SUMPRODUCT(('Sulphuric Acid freights'!$B$3:$B$513=B162)*('Sulphuric Acid freights'!$D$3:$D$513=D162)*('Sulphuric Acid freights'!$P$3:$P$513))/SUMPRODUCT(('Sulphuric Acid freights'!$B$3:$B$513=B162)*('Sulphuric Acid freights'!$D$3:$D$513=D162)*1), AVERAGE('Sulphuric Acid freights'!$P$3:$P$513))*2/3</f>
        <v>54.110671936758898</v>
      </c>
      <c r="M162" s="78" cm="1">
        <f t="array" ref="M162">IFERROR(SUMPRODUCT(('Sulphuric Acid freights'!$B$3:$B$513=B162)*('Sulphuric Acid freights'!$D$3:$D$513=D162)*('Sulphuric Acid freights'!$M$3:$M$513))/SUMPRODUCT(('Sulphuric Acid freights'!$B$3:$B$513=B162)*('Sulphuric Acid freights'!$D$3:$D$513=D162)*1)*2/3, AVERAGE('Sulphuric Acid freights'!$M$3:$M$513))</f>
        <v>23.573122529644269</v>
      </c>
      <c r="N162" s="78">
        <f t="shared" si="27"/>
        <v>48.699604743083007</v>
      </c>
      <c r="O162" s="78" cm="1">
        <f t="array" ref="O162">IF(SUMPRODUCT(('Sulphur freight'!$B$3:$B$1976=B162)*('Sulphur freight'!$D$3:$D$1976=D162)*('Sulphur freight'!$G$3:$G$1976))/SUMPRODUCT(('Sulphur freight'!$B$3:$B$1976=B162)*('Sulphur freight'!$D$3:$D$1976=D162)*1)=0, AVERAGE('Sulphur freight'!$G$3:$G$1976),SUMPRODUCT(('Sulphur freight'!$B$3:$B$1976=B162)*('Sulphur freight'!$D$3:$D$1976=D162)*('Sulphur freight'!$G$3:$G$1976))/SUMPRODUCT(('Sulphur freight'!$B$3:$B$1976=B162)*('Sulphur freight'!$D$3:$D$1976=D162)*1))</f>
        <v>23</v>
      </c>
      <c r="P162" s="78">
        <v>20</v>
      </c>
      <c r="R162" s="78" t="str">
        <f t="shared" si="28"/>
        <v xml:space="preserve"> </v>
      </c>
      <c r="S162" s="78">
        <f t="shared" si="29"/>
        <v>54.573122529644266</v>
      </c>
      <c r="T162" s="78">
        <f t="shared" si="24"/>
        <v>74.360671936758905</v>
      </c>
      <c r="U162" s="78" t="str">
        <f t="shared" si="30"/>
        <v/>
      </c>
      <c r="V162" s="78">
        <f>IFERROR(I162+O162, "")</f>
        <v>163.75</v>
      </c>
      <c r="W162" s="78">
        <f t="shared" si="31"/>
        <v>168</v>
      </c>
      <c r="X162" s="78">
        <f t="shared" si="32"/>
        <v>72.037499999999994</v>
      </c>
      <c r="Y162" s="78">
        <f t="shared" si="33"/>
        <v>73.44</v>
      </c>
      <c r="AA162" s="88" t="str">
        <f t="shared" si="34"/>
        <v/>
      </c>
      <c r="AB162" s="77" t="str">
        <f t="shared" si="25"/>
        <v/>
      </c>
      <c r="AD162" s="88" t="str">
        <f t="shared" si="35"/>
        <v/>
      </c>
      <c r="AE162" s="77" t="str">
        <f t="shared" si="26"/>
        <v/>
      </c>
    </row>
    <row r="163" spans="2:31" x14ac:dyDescent="0.35">
      <c r="B163" s="2">
        <v>2015</v>
      </c>
      <c r="C163" s="2">
        <v>2</v>
      </c>
      <c r="D163" s="2">
        <v>6</v>
      </c>
      <c r="E163" s="78">
        <f>'CRU historical'!F162</f>
        <v>25</v>
      </c>
      <c r="F163" s="78">
        <f>'CRU historical'!I162</f>
        <v>31</v>
      </c>
      <c r="G163" s="78" t="str">
        <f>'CRU historical'!L162</f>
        <v xml:space="preserve"> </v>
      </c>
      <c r="H163" s="78" t="str">
        <f>'CRU historical'!O162</f>
        <v xml:space="preserve"> </v>
      </c>
      <c r="I163" s="78">
        <f>'CRU historical'!R162</f>
        <v>143</v>
      </c>
      <c r="J163" s="78">
        <f>AVERAGE('CRU historical'!U162, 'CRU historical'!X162, 'CRU historical'!AA162, 'CRU historical'!AD162)</f>
        <v>141</v>
      </c>
      <c r="L163" s="78" cm="1">
        <f t="array" ref="L163">IFERROR(SUMPRODUCT(('Sulphuric Acid freights'!$B$3:$B$513=B163)*('Sulphuric Acid freights'!$D$3:$D$513=D163)*('Sulphuric Acid freights'!$P$3:$P$513))/SUMPRODUCT(('Sulphuric Acid freights'!$B$3:$B$513=B163)*('Sulphuric Acid freights'!$D$3:$D$513=D163)*1), AVERAGE('Sulphuric Acid freights'!$P$3:$P$513))*2/3</f>
        <v>54.110671936758898</v>
      </c>
      <c r="M163" s="78" cm="1">
        <f t="array" ref="M163">IFERROR(SUMPRODUCT(('Sulphuric Acid freights'!$B$3:$B$513=B163)*('Sulphuric Acid freights'!$D$3:$D$513=D163)*('Sulphuric Acid freights'!$M$3:$M$513))/SUMPRODUCT(('Sulphuric Acid freights'!$B$3:$B$513=B163)*('Sulphuric Acid freights'!$D$3:$D$513=D163)*1)*2/3, AVERAGE('Sulphuric Acid freights'!$M$3:$M$513))</f>
        <v>23.573122529644269</v>
      </c>
      <c r="N163" s="78">
        <f t="shared" si="27"/>
        <v>48.699604743083007</v>
      </c>
      <c r="O163" s="78" cm="1">
        <f t="array" ref="O163">IF(SUMPRODUCT(('Sulphur freight'!$B$3:$B$1976=B163)*('Sulphur freight'!$D$3:$D$1976=D163)*('Sulphur freight'!$G$3:$G$1976))/SUMPRODUCT(('Sulphur freight'!$B$3:$B$1976=B163)*('Sulphur freight'!$D$3:$D$1976=D163)*1)=0, AVERAGE('Sulphur freight'!$G$3:$G$1976),SUMPRODUCT(('Sulphur freight'!$B$3:$B$1976=B163)*('Sulphur freight'!$D$3:$D$1976=D163)*('Sulphur freight'!$G$3:$G$1976))/SUMPRODUCT(('Sulphur freight'!$B$3:$B$1976=B163)*('Sulphur freight'!$D$3:$D$1976=D163)*1))</f>
        <v>23.5</v>
      </c>
      <c r="P163" s="78">
        <v>20</v>
      </c>
      <c r="R163" s="78" t="str">
        <f t="shared" si="28"/>
        <v xml:space="preserve"> </v>
      </c>
      <c r="S163" s="78">
        <f t="shared" si="29"/>
        <v>54.573122529644266</v>
      </c>
      <c r="T163" s="78">
        <f t="shared" si="24"/>
        <v>79.110671936758905</v>
      </c>
      <c r="U163" s="78" t="str">
        <f t="shared" si="30"/>
        <v/>
      </c>
      <c r="V163" s="78">
        <f>IFERROR(I163+O163, "")</f>
        <v>166.5</v>
      </c>
      <c r="W163" s="78">
        <f t="shared" si="31"/>
        <v>161</v>
      </c>
      <c r="X163" s="78">
        <f t="shared" si="32"/>
        <v>72.944999999999993</v>
      </c>
      <c r="Y163" s="78">
        <f t="shared" si="33"/>
        <v>71.13</v>
      </c>
      <c r="AA163" s="88" t="str">
        <f t="shared" si="34"/>
        <v/>
      </c>
      <c r="AB163" s="77" t="str">
        <f t="shared" si="25"/>
        <v/>
      </c>
      <c r="AD163" s="88" t="str">
        <f t="shared" si="35"/>
        <v/>
      </c>
      <c r="AE163" s="77" t="str">
        <f t="shared" si="26"/>
        <v/>
      </c>
    </row>
    <row r="164" spans="2:31" x14ac:dyDescent="0.35">
      <c r="B164" s="2">
        <v>2015</v>
      </c>
      <c r="C164" s="2">
        <v>3</v>
      </c>
      <c r="D164" s="2">
        <v>7</v>
      </c>
      <c r="E164" s="78">
        <f>'CRU historical'!F163</f>
        <v>20</v>
      </c>
      <c r="F164" s="78">
        <f>'CRU historical'!I163</f>
        <v>30.2</v>
      </c>
      <c r="G164" s="78" t="str">
        <f>'CRU historical'!L163</f>
        <v xml:space="preserve"> </v>
      </c>
      <c r="H164" s="78" t="str">
        <f>'CRU historical'!O163</f>
        <v xml:space="preserve"> </v>
      </c>
      <c r="I164" s="78">
        <f>'CRU historical'!R163</f>
        <v>150.4</v>
      </c>
      <c r="J164" s="78">
        <f>AVERAGE('CRU historical'!U163, 'CRU historical'!X163, 'CRU historical'!AA163, 'CRU historical'!AD163)</f>
        <v>141</v>
      </c>
      <c r="L164" s="78" cm="1">
        <f t="array" ref="L164">IFERROR(SUMPRODUCT(('Sulphuric Acid freights'!$B$3:$B$513=B164)*('Sulphuric Acid freights'!$D$3:$D$513=D164)*('Sulphuric Acid freights'!$P$3:$P$513))/SUMPRODUCT(('Sulphuric Acid freights'!$B$3:$B$513=B164)*('Sulphuric Acid freights'!$D$3:$D$513=D164)*1), AVERAGE('Sulphuric Acid freights'!$P$3:$P$513))*2/3</f>
        <v>54.110671936758898</v>
      </c>
      <c r="M164" s="78" cm="1">
        <f t="array" ref="M164">IFERROR(SUMPRODUCT(('Sulphuric Acid freights'!$B$3:$B$513=B164)*('Sulphuric Acid freights'!$D$3:$D$513=D164)*('Sulphuric Acid freights'!$M$3:$M$513))/SUMPRODUCT(('Sulphuric Acid freights'!$B$3:$B$513=B164)*('Sulphuric Acid freights'!$D$3:$D$513=D164)*1)*2/3, AVERAGE('Sulphuric Acid freights'!$M$3:$M$513))</f>
        <v>23.573122529644269</v>
      </c>
      <c r="N164" s="78">
        <f t="shared" si="27"/>
        <v>48.699604743083007</v>
      </c>
      <c r="O164" s="78" cm="1">
        <f t="array" ref="O164">IF(SUMPRODUCT(('Sulphur freight'!$B$3:$B$1976=B164)*('Sulphur freight'!$D$3:$D$1976=D164)*('Sulphur freight'!$G$3:$G$1976))/SUMPRODUCT(('Sulphur freight'!$B$3:$B$1976=B164)*('Sulphur freight'!$D$3:$D$1976=D164)*1)=0, AVERAGE('Sulphur freight'!$G$3:$G$1976),SUMPRODUCT(('Sulphur freight'!$B$3:$B$1976=B164)*('Sulphur freight'!$D$3:$D$1976=D164)*('Sulphur freight'!$G$3:$G$1976))/SUMPRODUCT(('Sulphur freight'!$B$3:$B$1976=B164)*('Sulphur freight'!$D$3:$D$1976=D164)*1))</f>
        <v>23.4</v>
      </c>
      <c r="P164" s="78">
        <v>20</v>
      </c>
      <c r="R164" s="78" t="str">
        <f t="shared" si="28"/>
        <v xml:space="preserve"> </v>
      </c>
      <c r="S164" s="78">
        <f t="shared" si="29"/>
        <v>53.773122529644269</v>
      </c>
      <c r="T164" s="78">
        <f t="shared" si="24"/>
        <v>74.110671936758905</v>
      </c>
      <c r="U164" s="78" t="str">
        <f t="shared" si="30"/>
        <v/>
      </c>
      <c r="V164" s="78">
        <f>IFERROR(I164+O164, "")</f>
        <v>173.8</v>
      </c>
      <c r="W164" s="78">
        <f t="shared" si="31"/>
        <v>161</v>
      </c>
      <c r="X164" s="78">
        <f t="shared" si="32"/>
        <v>75.354000000000013</v>
      </c>
      <c r="Y164" s="78">
        <f t="shared" si="33"/>
        <v>71.13</v>
      </c>
      <c r="AA164" s="88" t="str">
        <f t="shared" si="34"/>
        <v/>
      </c>
      <c r="AB164" s="77" t="str">
        <f t="shared" si="25"/>
        <v/>
      </c>
      <c r="AD164" s="88" t="str">
        <f t="shared" si="35"/>
        <v/>
      </c>
      <c r="AE164" s="77" t="str">
        <f t="shared" si="26"/>
        <v/>
      </c>
    </row>
    <row r="165" spans="2:31" x14ac:dyDescent="0.35">
      <c r="B165" s="2">
        <v>2015</v>
      </c>
      <c r="C165" s="2">
        <v>3</v>
      </c>
      <c r="D165" s="2">
        <v>8</v>
      </c>
      <c r="E165" s="78">
        <f>'CRU historical'!F164</f>
        <v>15</v>
      </c>
      <c r="F165" s="78">
        <f>'CRU historical'!I164</f>
        <v>27</v>
      </c>
      <c r="G165" s="78" t="str">
        <f>'CRU historical'!L164</f>
        <v xml:space="preserve"> </v>
      </c>
      <c r="H165" s="78" t="str">
        <f>'CRU historical'!O164</f>
        <v xml:space="preserve"> </v>
      </c>
      <c r="I165" s="78">
        <f>'CRU historical'!R164</f>
        <v>153</v>
      </c>
      <c r="J165" s="78">
        <f>AVERAGE('CRU historical'!U164, 'CRU historical'!X164, 'CRU historical'!AA164, 'CRU historical'!AD164)</f>
        <v>140.5</v>
      </c>
      <c r="L165" s="78" cm="1">
        <f t="array" ref="L165">IFERROR(SUMPRODUCT(('Sulphuric Acid freights'!$B$3:$B$513=B165)*('Sulphuric Acid freights'!$D$3:$D$513=D165)*('Sulphuric Acid freights'!$P$3:$P$513))/SUMPRODUCT(('Sulphuric Acid freights'!$B$3:$B$513=B165)*('Sulphuric Acid freights'!$D$3:$D$513=D165)*1), AVERAGE('Sulphuric Acid freights'!$P$3:$P$513))*2/3</f>
        <v>54.110671936758898</v>
      </c>
      <c r="M165" s="78" cm="1">
        <f t="array" ref="M165">IFERROR(SUMPRODUCT(('Sulphuric Acid freights'!$B$3:$B$513=B165)*('Sulphuric Acid freights'!$D$3:$D$513=D165)*('Sulphuric Acid freights'!$M$3:$M$513))/SUMPRODUCT(('Sulphuric Acid freights'!$B$3:$B$513=B165)*('Sulphuric Acid freights'!$D$3:$D$513=D165)*1)*2/3, AVERAGE('Sulphuric Acid freights'!$M$3:$M$513))</f>
        <v>23.573122529644269</v>
      </c>
      <c r="N165" s="78">
        <f t="shared" si="27"/>
        <v>48.699604743083007</v>
      </c>
      <c r="O165" s="78" cm="1">
        <f t="array" ref="O165">IF(SUMPRODUCT(('Sulphur freight'!$B$3:$B$1976=B165)*('Sulphur freight'!$D$3:$D$1976=D165)*('Sulphur freight'!$G$3:$G$1976))/SUMPRODUCT(('Sulphur freight'!$B$3:$B$1976=B165)*('Sulphur freight'!$D$3:$D$1976=D165)*1)=0, AVERAGE('Sulphur freight'!$G$3:$G$1976),SUMPRODUCT(('Sulphur freight'!$B$3:$B$1976=B165)*('Sulphur freight'!$D$3:$D$1976=D165)*('Sulphur freight'!$G$3:$G$1976))/SUMPRODUCT(('Sulphur freight'!$B$3:$B$1976=B165)*('Sulphur freight'!$D$3:$D$1976=D165)*1))</f>
        <v>21.25</v>
      </c>
      <c r="P165" s="78">
        <v>20</v>
      </c>
      <c r="R165" s="78" t="str">
        <f t="shared" si="28"/>
        <v xml:space="preserve"> </v>
      </c>
      <c r="S165" s="78">
        <f t="shared" si="29"/>
        <v>50.573122529644266</v>
      </c>
      <c r="T165" s="78">
        <f t="shared" si="24"/>
        <v>69.110671936758905</v>
      </c>
      <c r="U165" s="78" t="str">
        <f t="shared" si="30"/>
        <v/>
      </c>
      <c r="V165" s="78">
        <f>IFERROR(I165+O165, "")</f>
        <v>174.25</v>
      </c>
      <c r="W165" s="78">
        <f t="shared" si="31"/>
        <v>160.5</v>
      </c>
      <c r="X165" s="78">
        <f t="shared" si="32"/>
        <v>75.502499999999998</v>
      </c>
      <c r="Y165" s="78">
        <f t="shared" si="33"/>
        <v>70.965000000000003</v>
      </c>
      <c r="AA165" s="88" t="str">
        <f t="shared" si="34"/>
        <v/>
      </c>
      <c r="AB165" s="77" t="str">
        <f t="shared" si="25"/>
        <v/>
      </c>
      <c r="AD165" s="88" t="str">
        <f t="shared" si="35"/>
        <v/>
      </c>
      <c r="AE165" s="77" t="str">
        <f t="shared" si="26"/>
        <v/>
      </c>
    </row>
    <row r="166" spans="2:31" x14ac:dyDescent="0.35">
      <c r="B166" s="2">
        <v>2015</v>
      </c>
      <c r="C166" s="2">
        <v>3</v>
      </c>
      <c r="D166" s="2">
        <v>9</v>
      </c>
      <c r="E166" s="78">
        <f>'CRU historical'!F165</f>
        <v>18</v>
      </c>
      <c r="F166" s="78">
        <f>'CRU historical'!I165</f>
        <v>18.25</v>
      </c>
      <c r="G166" s="78" t="str">
        <f>'CRU historical'!L165</f>
        <v xml:space="preserve"> </v>
      </c>
      <c r="H166" s="78" t="str">
        <f>'CRU historical'!O165</f>
        <v xml:space="preserve"> </v>
      </c>
      <c r="I166" s="78">
        <f>'CRU historical'!R165</f>
        <v>133.5</v>
      </c>
      <c r="J166" s="78">
        <f>AVERAGE('CRU historical'!U165, 'CRU historical'!X165, 'CRU historical'!AA165, 'CRU historical'!AD165)</f>
        <v>140.5</v>
      </c>
      <c r="L166" s="78" cm="1">
        <f t="array" ref="L166">IFERROR(SUMPRODUCT(('Sulphuric Acid freights'!$B$3:$B$513=B166)*('Sulphuric Acid freights'!$D$3:$D$513=D166)*('Sulphuric Acid freights'!$P$3:$P$513))/SUMPRODUCT(('Sulphuric Acid freights'!$B$3:$B$513=B166)*('Sulphuric Acid freights'!$D$3:$D$513=D166)*1), AVERAGE('Sulphuric Acid freights'!$P$3:$P$513))*2/3</f>
        <v>54.110671936758898</v>
      </c>
      <c r="M166" s="78" cm="1">
        <f t="array" ref="M166">IFERROR(SUMPRODUCT(('Sulphuric Acid freights'!$B$3:$B$513=B166)*('Sulphuric Acid freights'!$D$3:$D$513=D166)*('Sulphuric Acid freights'!$M$3:$M$513))/SUMPRODUCT(('Sulphuric Acid freights'!$B$3:$B$513=B166)*('Sulphuric Acid freights'!$D$3:$D$513=D166)*1)*2/3, AVERAGE('Sulphuric Acid freights'!$M$3:$M$513))</f>
        <v>23.573122529644269</v>
      </c>
      <c r="N166" s="78">
        <f t="shared" si="27"/>
        <v>48.699604743083007</v>
      </c>
      <c r="O166" s="78" cm="1">
        <f t="array" ref="O166">IF(SUMPRODUCT(('Sulphur freight'!$B$3:$B$1976=B166)*('Sulphur freight'!$D$3:$D$1976=D166)*('Sulphur freight'!$G$3:$G$1976))/SUMPRODUCT(('Sulphur freight'!$B$3:$B$1976=B166)*('Sulphur freight'!$D$3:$D$1976=D166)*1)=0, AVERAGE('Sulphur freight'!$G$3:$G$1976),SUMPRODUCT(('Sulphur freight'!$B$3:$B$1976=B166)*('Sulphur freight'!$D$3:$D$1976=D166)*('Sulphur freight'!$G$3:$G$1976))/SUMPRODUCT(('Sulphur freight'!$B$3:$B$1976=B166)*('Sulphur freight'!$D$3:$D$1976=D166)*1))</f>
        <v>21</v>
      </c>
      <c r="P166" s="78">
        <v>20</v>
      </c>
      <c r="R166" s="78" t="str">
        <f t="shared" si="28"/>
        <v xml:space="preserve"> </v>
      </c>
      <c r="S166" s="78">
        <f t="shared" si="29"/>
        <v>41.823122529644266</v>
      </c>
      <c r="T166" s="78">
        <f t="shared" si="24"/>
        <v>72.110671936758905</v>
      </c>
      <c r="U166" s="78" t="str">
        <f t="shared" si="30"/>
        <v/>
      </c>
      <c r="V166" s="78">
        <f>IFERROR(I166+O166, "")</f>
        <v>154.5</v>
      </c>
      <c r="W166" s="78">
        <f t="shared" si="31"/>
        <v>160.5</v>
      </c>
      <c r="X166" s="78">
        <f t="shared" si="32"/>
        <v>68.984999999999999</v>
      </c>
      <c r="Y166" s="78">
        <f t="shared" si="33"/>
        <v>70.965000000000003</v>
      </c>
      <c r="AA166" s="88" t="str">
        <f t="shared" si="34"/>
        <v/>
      </c>
      <c r="AB166" s="77" t="str">
        <f t="shared" si="25"/>
        <v/>
      </c>
      <c r="AD166" s="88" t="str">
        <f t="shared" si="35"/>
        <v/>
      </c>
      <c r="AE166" s="77" t="str">
        <f t="shared" si="26"/>
        <v/>
      </c>
    </row>
    <row r="167" spans="2:31" x14ac:dyDescent="0.35">
      <c r="B167" s="2">
        <v>2015</v>
      </c>
      <c r="C167" s="2">
        <v>4</v>
      </c>
      <c r="D167" s="2">
        <v>10</v>
      </c>
      <c r="E167" s="78">
        <f>'CRU historical'!F166</f>
        <v>15.4</v>
      </c>
      <c r="F167" s="78">
        <f>'CRU historical'!I166</f>
        <v>7.8</v>
      </c>
      <c r="G167" s="78" t="str">
        <f>'CRU historical'!L166</f>
        <v xml:space="preserve"> </v>
      </c>
      <c r="H167" s="78" t="str">
        <f>'CRU historical'!O166</f>
        <v xml:space="preserve"> </v>
      </c>
      <c r="I167" s="78">
        <f>'CRU historical'!R166</f>
        <v>113.8</v>
      </c>
      <c r="J167" s="78">
        <f>AVERAGE('CRU historical'!U166, 'CRU historical'!X166, 'CRU historical'!AA166, 'CRU historical'!AD166)</f>
        <v>140.5</v>
      </c>
      <c r="L167" s="78" cm="1">
        <f t="array" ref="L167">IFERROR(SUMPRODUCT(('Sulphuric Acid freights'!$B$3:$B$513=B167)*('Sulphuric Acid freights'!$D$3:$D$513=D167)*('Sulphuric Acid freights'!$P$3:$P$513))/SUMPRODUCT(('Sulphuric Acid freights'!$B$3:$B$513=B167)*('Sulphuric Acid freights'!$D$3:$D$513=D167)*1), AVERAGE('Sulphuric Acid freights'!$P$3:$P$513))*2/3</f>
        <v>54.110671936758898</v>
      </c>
      <c r="M167" s="78" cm="1">
        <f t="array" ref="M167">IFERROR(SUMPRODUCT(('Sulphuric Acid freights'!$B$3:$B$513=B167)*('Sulphuric Acid freights'!$D$3:$D$513=D167)*('Sulphuric Acid freights'!$M$3:$M$513))/SUMPRODUCT(('Sulphuric Acid freights'!$B$3:$B$513=B167)*('Sulphuric Acid freights'!$D$3:$D$513=D167)*1)*2/3, AVERAGE('Sulphuric Acid freights'!$M$3:$M$513))</f>
        <v>23.573122529644269</v>
      </c>
      <c r="N167" s="78">
        <f t="shared" si="27"/>
        <v>48.699604743083007</v>
      </c>
      <c r="O167" s="78" cm="1">
        <f t="array" ref="O167">IF(SUMPRODUCT(('Sulphur freight'!$B$3:$B$1976=B167)*('Sulphur freight'!$D$3:$D$1976=D167)*('Sulphur freight'!$G$3:$G$1976))/SUMPRODUCT(('Sulphur freight'!$B$3:$B$1976=B167)*('Sulphur freight'!$D$3:$D$1976=D167)*1)=0, AVERAGE('Sulphur freight'!$G$3:$G$1976),SUMPRODUCT(('Sulphur freight'!$B$3:$B$1976=B167)*('Sulphur freight'!$D$3:$D$1976=D167)*('Sulphur freight'!$G$3:$G$1976))/SUMPRODUCT(('Sulphur freight'!$B$3:$B$1976=B167)*('Sulphur freight'!$D$3:$D$1976=D167)*1))</f>
        <v>21.4</v>
      </c>
      <c r="P167" s="78">
        <v>20</v>
      </c>
      <c r="R167" s="78" t="str">
        <f t="shared" si="28"/>
        <v xml:space="preserve"> </v>
      </c>
      <c r="S167" s="78">
        <f t="shared" si="29"/>
        <v>31.37312252964427</v>
      </c>
      <c r="T167" s="78">
        <f t="shared" si="24"/>
        <v>69.510671936758897</v>
      </c>
      <c r="U167" s="78" t="str">
        <f t="shared" si="30"/>
        <v/>
      </c>
      <c r="V167" s="78">
        <f>IFERROR(I167+O167, "")</f>
        <v>135.19999999999999</v>
      </c>
      <c r="W167" s="78">
        <f t="shared" si="31"/>
        <v>160.5</v>
      </c>
      <c r="X167" s="78">
        <f t="shared" si="32"/>
        <v>62.616</v>
      </c>
      <c r="Y167" s="78">
        <f t="shared" si="33"/>
        <v>70.965000000000003</v>
      </c>
      <c r="AA167" s="88" t="str">
        <f t="shared" si="34"/>
        <v/>
      </c>
      <c r="AB167" s="77" t="str">
        <f t="shared" si="25"/>
        <v/>
      </c>
      <c r="AD167" s="88" t="str">
        <f t="shared" si="35"/>
        <v/>
      </c>
      <c r="AE167" s="77" t="str">
        <f t="shared" si="26"/>
        <v/>
      </c>
    </row>
    <row r="168" spans="2:31" x14ac:dyDescent="0.35">
      <c r="B168" s="2">
        <v>2015</v>
      </c>
      <c r="C168" s="2">
        <v>4</v>
      </c>
      <c r="D168" s="2">
        <v>11</v>
      </c>
      <c r="E168" s="78">
        <f>'CRU historical'!F167</f>
        <v>8.75</v>
      </c>
      <c r="F168" s="78">
        <f>'CRU historical'!I167</f>
        <v>5</v>
      </c>
      <c r="G168" s="78" t="str">
        <f>'CRU historical'!L167</f>
        <v xml:space="preserve"> </v>
      </c>
      <c r="H168" s="78" t="str">
        <f>'CRU historical'!O167</f>
        <v xml:space="preserve"> </v>
      </c>
      <c r="I168" s="78">
        <f>'CRU historical'!R167</f>
        <v>126.5</v>
      </c>
      <c r="J168" s="78">
        <f>AVERAGE('CRU historical'!U167, 'CRU historical'!X167, 'CRU historical'!AA167, 'CRU historical'!AD167)</f>
        <v>124.25</v>
      </c>
      <c r="L168" s="78" cm="1">
        <f t="array" ref="L168">IFERROR(SUMPRODUCT(('Sulphuric Acid freights'!$B$3:$B$513=B168)*('Sulphuric Acid freights'!$D$3:$D$513=D168)*('Sulphuric Acid freights'!$P$3:$P$513))/SUMPRODUCT(('Sulphuric Acid freights'!$B$3:$B$513=B168)*('Sulphuric Acid freights'!$D$3:$D$513=D168)*1), AVERAGE('Sulphuric Acid freights'!$P$3:$P$513))*2/3</f>
        <v>54.110671936758898</v>
      </c>
      <c r="M168" s="78" cm="1">
        <f t="array" ref="M168">IFERROR(SUMPRODUCT(('Sulphuric Acid freights'!$B$3:$B$513=B168)*('Sulphuric Acid freights'!$D$3:$D$513=D168)*('Sulphuric Acid freights'!$M$3:$M$513))/SUMPRODUCT(('Sulphuric Acid freights'!$B$3:$B$513=B168)*('Sulphuric Acid freights'!$D$3:$D$513=D168)*1)*2/3, AVERAGE('Sulphuric Acid freights'!$M$3:$M$513))</f>
        <v>23.573122529644269</v>
      </c>
      <c r="N168" s="78">
        <f t="shared" si="27"/>
        <v>48.699604743083007</v>
      </c>
      <c r="O168" s="78" cm="1">
        <f t="array" ref="O168">IF(SUMPRODUCT(('Sulphur freight'!$B$3:$B$1976=B168)*('Sulphur freight'!$D$3:$D$1976=D168)*('Sulphur freight'!$G$3:$G$1976))/SUMPRODUCT(('Sulphur freight'!$B$3:$B$1976=B168)*('Sulphur freight'!$D$3:$D$1976=D168)*1)=0, AVERAGE('Sulphur freight'!$G$3:$G$1976),SUMPRODUCT(('Sulphur freight'!$B$3:$B$1976=B168)*('Sulphur freight'!$D$3:$D$1976=D168)*('Sulphur freight'!$G$3:$G$1976))/SUMPRODUCT(('Sulphur freight'!$B$3:$B$1976=B168)*('Sulphur freight'!$D$3:$D$1976=D168)*1))</f>
        <v>18.75</v>
      </c>
      <c r="P168" s="78">
        <v>20</v>
      </c>
      <c r="R168" s="78" t="str">
        <f t="shared" si="28"/>
        <v xml:space="preserve"> </v>
      </c>
      <c r="S168" s="78">
        <f t="shared" si="29"/>
        <v>28.573122529644269</v>
      </c>
      <c r="T168" s="78">
        <f t="shared" si="24"/>
        <v>62.860671936758898</v>
      </c>
      <c r="U168" s="78" t="str">
        <f t="shared" si="30"/>
        <v/>
      </c>
      <c r="V168" s="78">
        <f>IFERROR(I168+O168, "")</f>
        <v>145.25</v>
      </c>
      <c r="W168" s="78">
        <f t="shared" si="31"/>
        <v>144.25</v>
      </c>
      <c r="X168" s="78">
        <f t="shared" si="32"/>
        <v>65.932500000000005</v>
      </c>
      <c r="Y168" s="78">
        <f t="shared" si="33"/>
        <v>65.602499999999992</v>
      </c>
      <c r="AA168" s="88" t="str">
        <f t="shared" si="34"/>
        <v/>
      </c>
      <c r="AB168" s="77" t="str">
        <f t="shared" si="25"/>
        <v/>
      </c>
      <c r="AD168" s="88" t="str">
        <f t="shared" si="35"/>
        <v/>
      </c>
      <c r="AE168" s="77" t="str">
        <f t="shared" si="26"/>
        <v/>
      </c>
    </row>
    <row r="169" spans="2:31" x14ac:dyDescent="0.35">
      <c r="B169" s="2">
        <v>2015</v>
      </c>
      <c r="C169" s="2">
        <v>4</v>
      </c>
      <c r="D169" s="2">
        <v>12</v>
      </c>
      <c r="E169" s="78">
        <f>'CRU historical'!F168</f>
        <v>5</v>
      </c>
      <c r="F169" s="78">
        <f>'CRU historical'!I168</f>
        <v>5</v>
      </c>
      <c r="G169" s="78" t="str">
        <f>'CRU historical'!L168</f>
        <v xml:space="preserve"> </v>
      </c>
      <c r="H169" s="78" t="str">
        <f>'CRU historical'!O168</f>
        <v xml:space="preserve"> </v>
      </c>
      <c r="I169" s="78">
        <f>'CRU historical'!R168</f>
        <v>132</v>
      </c>
      <c r="J169" s="78">
        <f>AVERAGE('CRU historical'!U168, 'CRU historical'!X168, 'CRU historical'!AA168, 'CRU historical'!AD168)</f>
        <v>108</v>
      </c>
      <c r="L169" s="78" cm="1">
        <f t="array" ref="L169">IFERROR(SUMPRODUCT(('Sulphuric Acid freights'!$B$3:$B$513=B169)*('Sulphuric Acid freights'!$D$3:$D$513=D169)*('Sulphuric Acid freights'!$P$3:$P$513))/SUMPRODUCT(('Sulphuric Acid freights'!$B$3:$B$513=B169)*('Sulphuric Acid freights'!$D$3:$D$513=D169)*1), AVERAGE('Sulphuric Acid freights'!$P$3:$P$513))*2/3</f>
        <v>54.110671936758898</v>
      </c>
      <c r="M169" s="78" cm="1">
        <f t="array" ref="M169">IFERROR(SUMPRODUCT(('Sulphuric Acid freights'!$B$3:$B$513=B169)*('Sulphuric Acid freights'!$D$3:$D$513=D169)*('Sulphuric Acid freights'!$M$3:$M$513))/SUMPRODUCT(('Sulphuric Acid freights'!$B$3:$B$513=B169)*('Sulphuric Acid freights'!$D$3:$D$513=D169)*1)*2/3, AVERAGE('Sulphuric Acid freights'!$M$3:$M$513))</f>
        <v>23.573122529644269</v>
      </c>
      <c r="N169" s="78">
        <f t="shared" si="27"/>
        <v>48.699604743083007</v>
      </c>
      <c r="O169" s="78" cm="1">
        <f t="array" ref="O169">IF(SUMPRODUCT(('Sulphur freight'!$B$3:$B$1976=B169)*('Sulphur freight'!$D$3:$D$1976=D169)*('Sulphur freight'!$G$3:$G$1976))/SUMPRODUCT(('Sulphur freight'!$B$3:$B$1976=B169)*('Sulphur freight'!$D$3:$D$1976=D169)*1)=0, AVERAGE('Sulphur freight'!$G$3:$G$1976),SUMPRODUCT(('Sulphur freight'!$B$3:$B$1976=B169)*('Sulphur freight'!$D$3:$D$1976=D169)*('Sulphur freight'!$G$3:$G$1976))/SUMPRODUCT(('Sulphur freight'!$B$3:$B$1976=B169)*('Sulphur freight'!$D$3:$D$1976=D169)*1))</f>
        <v>13.2</v>
      </c>
      <c r="P169" s="78">
        <v>20</v>
      </c>
      <c r="R169" s="78" t="str">
        <f t="shared" si="28"/>
        <v xml:space="preserve"> </v>
      </c>
      <c r="S169" s="78">
        <f t="shared" si="29"/>
        <v>28.573122529644269</v>
      </c>
      <c r="T169" s="78">
        <f t="shared" si="24"/>
        <v>59.110671936758898</v>
      </c>
      <c r="U169" s="78" t="str">
        <f t="shared" si="30"/>
        <v/>
      </c>
      <c r="V169" s="78">
        <f>IFERROR(I169+O169, "")</f>
        <v>145.19999999999999</v>
      </c>
      <c r="W169" s="78">
        <f t="shared" si="31"/>
        <v>128</v>
      </c>
      <c r="X169" s="78">
        <f t="shared" si="32"/>
        <v>65.915999999999997</v>
      </c>
      <c r="Y169" s="78">
        <f t="shared" si="33"/>
        <v>60.24</v>
      </c>
      <c r="AA169" s="88" t="str">
        <f t="shared" si="34"/>
        <v/>
      </c>
      <c r="AB169" s="77" t="str">
        <f t="shared" si="25"/>
        <v/>
      </c>
      <c r="AD169" s="88" t="str">
        <f t="shared" si="35"/>
        <v/>
      </c>
      <c r="AE169" s="77" t="str">
        <f t="shared" si="26"/>
        <v/>
      </c>
    </row>
    <row r="170" spans="2:31" x14ac:dyDescent="0.35">
      <c r="B170" s="2">
        <v>2016</v>
      </c>
      <c r="C170" s="2">
        <v>1</v>
      </c>
      <c r="D170" s="2">
        <v>1</v>
      </c>
      <c r="E170" s="78">
        <f>'CRU historical'!F169</f>
        <v>5</v>
      </c>
      <c r="F170" s="78">
        <f>'CRU historical'!I169</f>
        <v>5</v>
      </c>
      <c r="G170" s="78" t="str">
        <f>'CRU historical'!L169</f>
        <v xml:space="preserve"> </v>
      </c>
      <c r="H170" s="78" t="str">
        <f>'CRU historical'!O169</f>
        <v xml:space="preserve"> </v>
      </c>
      <c r="I170" s="78">
        <f>'CRU historical'!R169</f>
        <v>118.75</v>
      </c>
      <c r="J170" s="78">
        <f>AVERAGE('CRU historical'!U169, 'CRU historical'!X169, 'CRU historical'!AA169, 'CRU historical'!AD169)</f>
        <v>108</v>
      </c>
      <c r="L170" s="78" cm="1">
        <f t="array" ref="L170">IFERROR(SUMPRODUCT(('Sulphuric Acid freights'!$B$3:$B$513=B170)*('Sulphuric Acid freights'!$D$3:$D$513=D170)*('Sulphuric Acid freights'!$P$3:$P$513))/SUMPRODUCT(('Sulphuric Acid freights'!$B$3:$B$513=B170)*('Sulphuric Acid freights'!$D$3:$D$513=D170)*1), AVERAGE('Sulphuric Acid freights'!$P$3:$P$513))*2/3</f>
        <v>54.110671936758898</v>
      </c>
      <c r="M170" s="78" cm="1">
        <f t="array" ref="M170">IFERROR(SUMPRODUCT(('Sulphuric Acid freights'!$B$3:$B$513=B170)*('Sulphuric Acid freights'!$D$3:$D$513=D170)*('Sulphuric Acid freights'!$M$3:$M$513))/SUMPRODUCT(('Sulphuric Acid freights'!$B$3:$B$513=B170)*('Sulphuric Acid freights'!$D$3:$D$513=D170)*1)*2/3, AVERAGE('Sulphuric Acid freights'!$M$3:$M$513))</f>
        <v>23.573122529644269</v>
      </c>
      <c r="N170" s="78">
        <f t="shared" si="27"/>
        <v>48.699604743083007</v>
      </c>
      <c r="O170" s="78" cm="1">
        <f t="array" ref="O170">IF(SUMPRODUCT(('Sulphur freight'!$B$3:$B$1976=B170)*('Sulphur freight'!$D$3:$D$1976=D170)*('Sulphur freight'!$G$3:$G$1976))/SUMPRODUCT(('Sulphur freight'!$B$3:$B$1976=B170)*('Sulphur freight'!$D$3:$D$1976=D170)*1)=0, AVERAGE('Sulphur freight'!$G$3:$G$1976),SUMPRODUCT(('Sulphur freight'!$B$3:$B$1976=B170)*('Sulphur freight'!$D$3:$D$1976=D170)*('Sulphur freight'!$G$3:$G$1976))/SUMPRODUCT(('Sulphur freight'!$B$3:$B$1976=B170)*('Sulphur freight'!$D$3:$D$1976=D170)*1))</f>
        <v>13</v>
      </c>
      <c r="P170" s="78">
        <v>20</v>
      </c>
      <c r="R170" s="78" t="str">
        <f t="shared" si="28"/>
        <v xml:space="preserve"> </v>
      </c>
      <c r="S170" s="78">
        <f t="shared" si="29"/>
        <v>28.573122529644269</v>
      </c>
      <c r="T170" s="78">
        <f t="shared" si="24"/>
        <v>59.110671936758898</v>
      </c>
      <c r="U170" s="78" t="str">
        <f t="shared" si="30"/>
        <v/>
      </c>
      <c r="V170" s="78">
        <f>IFERROR(I170+O170, "")</f>
        <v>131.75</v>
      </c>
      <c r="W170" s="78">
        <f t="shared" si="31"/>
        <v>128</v>
      </c>
      <c r="X170" s="78">
        <f t="shared" si="32"/>
        <v>61.477499999999999</v>
      </c>
      <c r="Y170" s="78">
        <f t="shared" si="33"/>
        <v>60.24</v>
      </c>
      <c r="AA170" s="88" t="str">
        <f t="shared" si="34"/>
        <v/>
      </c>
      <c r="AB170" s="77" t="str">
        <f t="shared" si="25"/>
        <v/>
      </c>
      <c r="AD170" s="88" t="str">
        <f t="shared" si="35"/>
        <v/>
      </c>
      <c r="AE170" s="77" t="str">
        <f t="shared" si="26"/>
        <v/>
      </c>
    </row>
    <row r="171" spans="2:31" x14ac:dyDescent="0.35">
      <c r="B171" s="2">
        <v>2016</v>
      </c>
      <c r="C171" s="2">
        <v>1</v>
      </c>
      <c r="D171" s="2">
        <v>2</v>
      </c>
      <c r="E171" s="78">
        <f>'CRU historical'!F170</f>
        <v>2.5</v>
      </c>
      <c r="F171" s="78">
        <f>'CRU historical'!I170</f>
        <v>5</v>
      </c>
      <c r="G171" s="78" t="str">
        <f>'CRU historical'!L170</f>
        <v xml:space="preserve"> </v>
      </c>
      <c r="H171" s="78" t="str">
        <f>'CRU historical'!O170</f>
        <v xml:space="preserve"> </v>
      </c>
      <c r="I171" s="78">
        <f>'CRU historical'!R170</f>
        <v>96</v>
      </c>
      <c r="J171" s="78">
        <f>AVERAGE('CRU historical'!U170, 'CRU historical'!X170, 'CRU historical'!AA170, 'CRU historical'!AD170)</f>
        <v>105.75</v>
      </c>
      <c r="L171" s="78" cm="1">
        <f t="array" ref="L171">IFERROR(SUMPRODUCT(('Sulphuric Acid freights'!$B$3:$B$513=B171)*('Sulphuric Acid freights'!$D$3:$D$513=D171)*('Sulphuric Acid freights'!$P$3:$P$513))/SUMPRODUCT(('Sulphuric Acid freights'!$B$3:$B$513=B171)*('Sulphuric Acid freights'!$D$3:$D$513=D171)*1), AVERAGE('Sulphuric Acid freights'!$P$3:$P$513))*2/3</f>
        <v>54.110671936758898</v>
      </c>
      <c r="M171" s="78" cm="1">
        <f t="array" ref="M171">IFERROR(SUMPRODUCT(('Sulphuric Acid freights'!$B$3:$B$513=B171)*('Sulphuric Acid freights'!$D$3:$D$513=D171)*('Sulphuric Acid freights'!$M$3:$M$513))/SUMPRODUCT(('Sulphuric Acid freights'!$B$3:$B$513=B171)*('Sulphuric Acid freights'!$D$3:$D$513=D171)*1)*2/3, AVERAGE('Sulphuric Acid freights'!$M$3:$M$513))</f>
        <v>23.573122529644269</v>
      </c>
      <c r="N171" s="78">
        <f t="shared" si="27"/>
        <v>48.699604743083007</v>
      </c>
      <c r="O171" s="78" cm="1">
        <f t="array" ref="O171">IF(SUMPRODUCT(('Sulphur freight'!$B$3:$B$1976=B171)*('Sulphur freight'!$D$3:$D$1976=D171)*('Sulphur freight'!$G$3:$G$1976))/SUMPRODUCT(('Sulphur freight'!$B$3:$B$1976=B171)*('Sulphur freight'!$D$3:$D$1976=D171)*1)=0, AVERAGE('Sulphur freight'!$G$3:$G$1976),SUMPRODUCT(('Sulphur freight'!$B$3:$B$1976=B171)*('Sulphur freight'!$D$3:$D$1976=D171)*('Sulphur freight'!$G$3:$G$1976))/SUMPRODUCT(('Sulphur freight'!$B$3:$B$1976=B171)*('Sulphur freight'!$D$3:$D$1976=D171)*1))</f>
        <v>12.25</v>
      </c>
      <c r="P171" s="78">
        <v>20</v>
      </c>
      <c r="R171" s="78" t="str">
        <f t="shared" si="28"/>
        <v xml:space="preserve"> </v>
      </c>
      <c r="S171" s="78">
        <f t="shared" si="29"/>
        <v>28.573122529644269</v>
      </c>
      <c r="T171" s="78">
        <f t="shared" si="24"/>
        <v>56.610671936758898</v>
      </c>
      <c r="U171" s="78" t="str">
        <f t="shared" si="30"/>
        <v/>
      </c>
      <c r="V171" s="78">
        <f>IFERROR(I171+O171, "")</f>
        <v>108.25</v>
      </c>
      <c r="W171" s="78">
        <f t="shared" si="31"/>
        <v>125.75</v>
      </c>
      <c r="X171" s="78">
        <f t="shared" si="32"/>
        <v>53.722500000000004</v>
      </c>
      <c r="Y171" s="78">
        <f t="shared" si="33"/>
        <v>59.497500000000002</v>
      </c>
      <c r="AA171" s="88" t="str">
        <f t="shared" si="34"/>
        <v/>
      </c>
      <c r="AB171" s="77" t="str">
        <f t="shared" si="25"/>
        <v/>
      </c>
      <c r="AD171" s="88" t="str">
        <f t="shared" si="35"/>
        <v/>
      </c>
      <c r="AE171" s="77" t="str">
        <f t="shared" si="26"/>
        <v/>
      </c>
    </row>
    <row r="172" spans="2:31" x14ac:dyDescent="0.35">
      <c r="B172" s="2">
        <v>2016</v>
      </c>
      <c r="C172" s="2">
        <v>1</v>
      </c>
      <c r="D172" s="2">
        <v>3</v>
      </c>
      <c r="E172" s="78">
        <f>'CRU historical'!F171</f>
        <v>-3.6</v>
      </c>
      <c r="F172" s="78">
        <f>'CRU historical'!I171</f>
        <v>2.2000000000000002</v>
      </c>
      <c r="G172" s="78" t="str">
        <f>'CRU historical'!L171</f>
        <v xml:space="preserve"> </v>
      </c>
      <c r="H172" s="78" t="str">
        <f>'CRU historical'!O171</f>
        <v xml:space="preserve"> </v>
      </c>
      <c r="I172" s="78">
        <f>'CRU historical'!R171</f>
        <v>85</v>
      </c>
      <c r="J172" s="78">
        <f>AVERAGE('CRU historical'!U171, 'CRU historical'!X171, 'CRU historical'!AA171, 'CRU historical'!AD171)</f>
        <v>105</v>
      </c>
      <c r="L172" s="78" cm="1">
        <f t="array" ref="L172">IFERROR(SUMPRODUCT(('Sulphuric Acid freights'!$B$3:$B$513=B172)*('Sulphuric Acid freights'!$D$3:$D$513=D172)*('Sulphuric Acid freights'!$P$3:$P$513))/SUMPRODUCT(('Sulphuric Acid freights'!$B$3:$B$513=B172)*('Sulphuric Acid freights'!$D$3:$D$513=D172)*1), AVERAGE('Sulphuric Acid freights'!$P$3:$P$513))*2/3</f>
        <v>36</v>
      </c>
      <c r="M172" s="78" cm="1">
        <f t="array" ref="M172">IFERROR(SUMPRODUCT(('Sulphuric Acid freights'!$B$3:$B$513=B172)*('Sulphuric Acid freights'!$D$3:$D$513=D172)*('Sulphuric Acid freights'!$M$3:$M$513))/SUMPRODUCT(('Sulphuric Acid freights'!$B$3:$B$513=B172)*('Sulphuric Acid freights'!$D$3:$D$513=D172)*1)*2/3, AVERAGE('Sulphuric Acid freights'!$M$3:$M$513))</f>
        <v>16</v>
      </c>
      <c r="N172" s="78">
        <f t="shared" si="27"/>
        <v>32.4</v>
      </c>
      <c r="O172" s="78" cm="1">
        <f t="array" ref="O172">IF(SUMPRODUCT(('Sulphur freight'!$B$3:$B$1976=B172)*('Sulphur freight'!$D$3:$D$1976=D172)*('Sulphur freight'!$G$3:$G$1976))/SUMPRODUCT(('Sulphur freight'!$B$3:$B$1976=B172)*('Sulphur freight'!$D$3:$D$1976=D172)*1)=0, AVERAGE('Sulphur freight'!$G$3:$G$1976),SUMPRODUCT(('Sulphur freight'!$B$3:$B$1976=B172)*('Sulphur freight'!$D$3:$D$1976=D172)*('Sulphur freight'!$G$3:$G$1976))/SUMPRODUCT(('Sulphur freight'!$B$3:$B$1976=B172)*('Sulphur freight'!$D$3:$D$1976=D172)*1))</f>
        <v>15.2</v>
      </c>
      <c r="P172" s="78">
        <v>20</v>
      </c>
      <c r="R172" s="78" t="str">
        <f t="shared" si="28"/>
        <v xml:space="preserve"> </v>
      </c>
      <c r="S172" s="78">
        <f t="shared" si="29"/>
        <v>18.2</v>
      </c>
      <c r="T172" s="78">
        <f t="shared" si="24"/>
        <v>32.4</v>
      </c>
      <c r="U172" s="78" t="str">
        <f t="shared" si="30"/>
        <v/>
      </c>
      <c r="V172" s="78">
        <f>IFERROR(I172+O172, "")</f>
        <v>100.2</v>
      </c>
      <c r="W172" s="78">
        <f t="shared" si="31"/>
        <v>125</v>
      </c>
      <c r="X172" s="78">
        <f t="shared" si="32"/>
        <v>51.066000000000003</v>
      </c>
      <c r="Y172" s="78">
        <f t="shared" si="33"/>
        <v>59.25</v>
      </c>
      <c r="AA172" s="88" t="str">
        <f t="shared" si="34"/>
        <v/>
      </c>
      <c r="AB172" s="77" t="str">
        <f t="shared" si="25"/>
        <v/>
      </c>
      <c r="AD172" s="88" t="str">
        <f t="shared" si="35"/>
        <v/>
      </c>
      <c r="AE172" s="77" t="str">
        <f t="shared" si="26"/>
        <v/>
      </c>
    </row>
    <row r="173" spans="2:31" x14ac:dyDescent="0.35">
      <c r="B173" s="2">
        <v>2016</v>
      </c>
      <c r="C173" s="2">
        <v>2</v>
      </c>
      <c r="D173" s="2">
        <v>4</v>
      </c>
      <c r="E173" s="78">
        <f>'CRU historical'!F172</f>
        <v>-5</v>
      </c>
      <c r="F173" s="78">
        <f>'CRU historical'!I172</f>
        <v>5</v>
      </c>
      <c r="G173" s="78" t="str">
        <f>'CRU historical'!L172</f>
        <v xml:space="preserve"> </v>
      </c>
      <c r="H173" s="78" t="str">
        <f>'CRU historical'!O172</f>
        <v xml:space="preserve"> </v>
      </c>
      <c r="I173" s="78">
        <f>'CRU historical'!R172</f>
        <v>83</v>
      </c>
      <c r="J173" s="78">
        <f>AVERAGE('CRU historical'!U172, 'CRU historical'!X172, 'CRU historical'!AA172, 'CRU historical'!AD172)</f>
        <v>90</v>
      </c>
      <c r="L173" s="78" cm="1">
        <f t="array" ref="L173">IFERROR(SUMPRODUCT(('Sulphuric Acid freights'!$B$3:$B$513=B173)*('Sulphuric Acid freights'!$D$3:$D$513=D173)*('Sulphuric Acid freights'!$P$3:$P$513))/SUMPRODUCT(('Sulphuric Acid freights'!$B$3:$B$513=B173)*('Sulphuric Acid freights'!$D$3:$D$513=D173)*1), AVERAGE('Sulphuric Acid freights'!$P$3:$P$513))*2/3</f>
        <v>36</v>
      </c>
      <c r="M173" s="78" cm="1">
        <f t="array" ref="M173">IFERROR(SUMPRODUCT(('Sulphuric Acid freights'!$B$3:$B$513=B173)*('Sulphuric Acid freights'!$D$3:$D$513=D173)*('Sulphuric Acid freights'!$M$3:$M$513))/SUMPRODUCT(('Sulphuric Acid freights'!$B$3:$B$513=B173)*('Sulphuric Acid freights'!$D$3:$D$513=D173)*1)*2/3, AVERAGE('Sulphuric Acid freights'!$M$3:$M$513))</f>
        <v>16</v>
      </c>
      <c r="N173" s="78">
        <f t="shared" si="27"/>
        <v>32.4</v>
      </c>
      <c r="O173" s="78" cm="1">
        <f t="array" ref="O173">IF(SUMPRODUCT(('Sulphur freight'!$B$3:$B$1976=B173)*('Sulphur freight'!$D$3:$D$1976=D173)*('Sulphur freight'!$G$3:$G$1976))/SUMPRODUCT(('Sulphur freight'!$B$3:$B$1976=B173)*('Sulphur freight'!$D$3:$D$1976=D173)*1)=0, AVERAGE('Sulphur freight'!$G$3:$G$1976),SUMPRODUCT(('Sulphur freight'!$B$3:$B$1976=B173)*('Sulphur freight'!$D$3:$D$1976=D173)*('Sulphur freight'!$G$3:$G$1976))/SUMPRODUCT(('Sulphur freight'!$B$3:$B$1976=B173)*('Sulphur freight'!$D$3:$D$1976=D173)*1))</f>
        <v>15.25</v>
      </c>
      <c r="P173" s="78">
        <v>20</v>
      </c>
      <c r="R173" s="78" t="str">
        <f t="shared" si="28"/>
        <v xml:space="preserve"> </v>
      </c>
      <c r="S173" s="78">
        <f t="shared" si="29"/>
        <v>21</v>
      </c>
      <c r="T173" s="78">
        <f t="shared" si="24"/>
        <v>31</v>
      </c>
      <c r="U173" s="78" t="str">
        <f t="shared" si="30"/>
        <v/>
      </c>
      <c r="V173" s="78">
        <f>IFERROR(I173+O173, "")</f>
        <v>98.25</v>
      </c>
      <c r="W173" s="78">
        <f t="shared" si="31"/>
        <v>110</v>
      </c>
      <c r="X173" s="78">
        <f t="shared" si="32"/>
        <v>50.422499999999999</v>
      </c>
      <c r="Y173" s="78">
        <f t="shared" si="33"/>
        <v>54.300000000000004</v>
      </c>
      <c r="AA173" s="88" t="str">
        <f t="shared" si="34"/>
        <v/>
      </c>
      <c r="AB173" s="77" t="str">
        <f t="shared" si="25"/>
        <v/>
      </c>
      <c r="AD173" s="88" t="str">
        <f t="shared" si="35"/>
        <v/>
      </c>
      <c r="AE173" s="77" t="str">
        <f t="shared" si="26"/>
        <v/>
      </c>
    </row>
    <row r="174" spans="2:31" x14ac:dyDescent="0.35">
      <c r="B174" s="2">
        <v>2016</v>
      </c>
      <c r="C174" s="2">
        <v>2</v>
      </c>
      <c r="D174" s="2">
        <v>5</v>
      </c>
      <c r="E174" s="78">
        <f>'CRU historical'!F173</f>
        <v>-5</v>
      </c>
      <c r="F174" s="78">
        <f>'CRU historical'!I173</f>
        <v>5</v>
      </c>
      <c r="G174" s="78" t="str">
        <f>'CRU historical'!L173</f>
        <v xml:space="preserve"> </v>
      </c>
      <c r="H174" s="78" t="str">
        <f>'CRU historical'!O173</f>
        <v xml:space="preserve"> </v>
      </c>
      <c r="I174" s="78">
        <f>'CRU historical'!R173</f>
        <v>83</v>
      </c>
      <c r="J174" s="78">
        <f>AVERAGE('CRU historical'!U173, 'CRU historical'!X173, 'CRU historical'!AA173, 'CRU historical'!AD173)</f>
        <v>75</v>
      </c>
      <c r="L174" s="78" cm="1">
        <f t="array" ref="L174">IFERROR(SUMPRODUCT(('Sulphuric Acid freights'!$B$3:$B$513=B174)*('Sulphuric Acid freights'!$D$3:$D$513=D174)*('Sulphuric Acid freights'!$P$3:$P$513))/SUMPRODUCT(('Sulphuric Acid freights'!$B$3:$B$513=B174)*('Sulphuric Acid freights'!$D$3:$D$513=D174)*1), AVERAGE('Sulphuric Acid freights'!$P$3:$P$513))*2/3</f>
        <v>36</v>
      </c>
      <c r="M174" s="78" cm="1">
        <f t="array" ref="M174">IFERROR(SUMPRODUCT(('Sulphuric Acid freights'!$B$3:$B$513=B174)*('Sulphuric Acid freights'!$D$3:$D$513=D174)*('Sulphuric Acid freights'!$M$3:$M$513))/SUMPRODUCT(('Sulphuric Acid freights'!$B$3:$B$513=B174)*('Sulphuric Acid freights'!$D$3:$D$513=D174)*1)*2/3, AVERAGE('Sulphuric Acid freights'!$M$3:$M$513))</f>
        <v>16</v>
      </c>
      <c r="N174" s="78">
        <f t="shared" si="27"/>
        <v>32.4</v>
      </c>
      <c r="O174" s="78" cm="1">
        <f t="array" ref="O174">IF(SUMPRODUCT(('Sulphur freight'!$B$3:$B$1976=B174)*('Sulphur freight'!$D$3:$D$1976=D174)*('Sulphur freight'!$G$3:$G$1976))/SUMPRODUCT(('Sulphur freight'!$B$3:$B$1976=B174)*('Sulphur freight'!$D$3:$D$1976=D174)*1)=0, AVERAGE('Sulphur freight'!$G$3:$G$1976),SUMPRODUCT(('Sulphur freight'!$B$3:$B$1976=B174)*('Sulphur freight'!$D$3:$D$1976=D174)*('Sulphur freight'!$G$3:$G$1976))/SUMPRODUCT(('Sulphur freight'!$B$3:$B$1976=B174)*('Sulphur freight'!$D$3:$D$1976=D174)*1))</f>
        <v>16.5</v>
      </c>
      <c r="P174" s="78">
        <v>20</v>
      </c>
      <c r="R174" s="78" t="str">
        <f t="shared" si="28"/>
        <v xml:space="preserve"> </v>
      </c>
      <c r="S174" s="78">
        <f t="shared" si="29"/>
        <v>21</v>
      </c>
      <c r="T174" s="78">
        <f t="shared" si="24"/>
        <v>31</v>
      </c>
      <c r="U174" s="78" t="str">
        <f t="shared" si="30"/>
        <v/>
      </c>
      <c r="V174" s="78">
        <f>IFERROR(I174+O174, "")</f>
        <v>99.5</v>
      </c>
      <c r="W174" s="78">
        <f t="shared" si="31"/>
        <v>95</v>
      </c>
      <c r="X174" s="78">
        <f t="shared" si="32"/>
        <v>50.835000000000001</v>
      </c>
      <c r="Y174" s="78">
        <f t="shared" si="33"/>
        <v>49.35</v>
      </c>
      <c r="AA174" s="88" t="str">
        <f t="shared" si="34"/>
        <v/>
      </c>
      <c r="AB174" s="77" t="str">
        <f t="shared" si="25"/>
        <v/>
      </c>
      <c r="AD174" s="88" t="str">
        <f t="shared" si="35"/>
        <v/>
      </c>
      <c r="AE174" s="77" t="str">
        <f t="shared" si="26"/>
        <v/>
      </c>
    </row>
    <row r="175" spans="2:31" x14ac:dyDescent="0.35">
      <c r="B175" s="2">
        <v>2016</v>
      </c>
      <c r="C175" s="2">
        <v>2</v>
      </c>
      <c r="D175" s="2">
        <v>6</v>
      </c>
      <c r="E175" s="78">
        <f>'CRU historical'!F174</f>
        <v>-5</v>
      </c>
      <c r="F175" s="78">
        <f>'CRU historical'!I174</f>
        <v>5</v>
      </c>
      <c r="G175" s="78" t="str">
        <f>'CRU historical'!L174</f>
        <v xml:space="preserve"> </v>
      </c>
      <c r="H175" s="78" t="str">
        <f>'CRU historical'!O174</f>
        <v xml:space="preserve"> </v>
      </c>
      <c r="I175" s="78">
        <f>'CRU historical'!R174</f>
        <v>81.8</v>
      </c>
      <c r="J175" s="78">
        <f>AVERAGE('CRU historical'!U174, 'CRU historical'!X174, 'CRU historical'!AA174, 'CRU historical'!AD174)</f>
        <v>75</v>
      </c>
      <c r="L175" s="78" cm="1">
        <f t="array" ref="L175">IFERROR(SUMPRODUCT(('Sulphuric Acid freights'!$B$3:$B$513=B175)*('Sulphuric Acid freights'!$D$3:$D$513=D175)*('Sulphuric Acid freights'!$P$3:$P$513))/SUMPRODUCT(('Sulphuric Acid freights'!$B$3:$B$513=B175)*('Sulphuric Acid freights'!$D$3:$D$513=D175)*1), AVERAGE('Sulphuric Acid freights'!$P$3:$P$513))*2/3</f>
        <v>36</v>
      </c>
      <c r="M175" s="78" cm="1">
        <f t="array" ref="M175">IFERROR(SUMPRODUCT(('Sulphuric Acid freights'!$B$3:$B$513=B175)*('Sulphuric Acid freights'!$D$3:$D$513=D175)*('Sulphuric Acid freights'!$M$3:$M$513))/SUMPRODUCT(('Sulphuric Acid freights'!$B$3:$B$513=B175)*('Sulphuric Acid freights'!$D$3:$D$513=D175)*1)*2/3, AVERAGE('Sulphuric Acid freights'!$M$3:$M$513))</f>
        <v>16</v>
      </c>
      <c r="N175" s="78">
        <f t="shared" si="27"/>
        <v>32.4</v>
      </c>
      <c r="O175" s="78" cm="1">
        <f t="array" ref="O175">IF(SUMPRODUCT(('Sulphur freight'!$B$3:$B$1976=B175)*('Sulphur freight'!$D$3:$D$1976=D175)*('Sulphur freight'!$G$3:$G$1976))/SUMPRODUCT(('Sulphur freight'!$B$3:$B$1976=B175)*('Sulphur freight'!$D$3:$D$1976=D175)*1)=0, AVERAGE('Sulphur freight'!$G$3:$G$1976),SUMPRODUCT(('Sulphur freight'!$B$3:$B$1976=B175)*('Sulphur freight'!$D$3:$D$1976=D175)*('Sulphur freight'!$G$3:$G$1976))/SUMPRODUCT(('Sulphur freight'!$B$3:$B$1976=B175)*('Sulphur freight'!$D$3:$D$1976=D175)*1))</f>
        <v>15</v>
      </c>
      <c r="P175" s="78">
        <v>20</v>
      </c>
      <c r="R175" s="78" t="str">
        <f t="shared" si="28"/>
        <v xml:space="preserve"> </v>
      </c>
      <c r="S175" s="78">
        <f t="shared" si="29"/>
        <v>21</v>
      </c>
      <c r="T175" s="78">
        <f t="shared" si="24"/>
        <v>31</v>
      </c>
      <c r="U175" s="78" t="str">
        <f t="shared" si="30"/>
        <v/>
      </c>
      <c r="V175" s="78">
        <f>IFERROR(I175+O175, "")</f>
        <v>96.8</v>
      </c>
      <c r="W175" s="78">
        <f t="shared" si="31"/>
        <v>95</v>
      </c>
      <c r="X175" s="78">
        <f t="shared" si="32"/>
        <v>49.944000000000003</v>
      </c>
      <c r="Y175" s="78">
        <f t="shared" si="33"/>
        <v>49.35</v>
      </c>
      <c r="AA175" s="88" t="str">
        <f t="shared" si="34"/>
        <v/>
      </c>
      <c r="AB175" s="77" t="str">
        <f t="shared" si="25"/>
        <v/>
      </c>
      <c r="AD175" s="88" t="str">
        <f t="shared" si="35"/>
        <v/>
      </c>
      <c r="AE175" s="77" t="str">
        <f t="shared" si="26"/>
        <v/>
      </c>
    </row>
    <row r="176" spans="2:31" x14ac:dyDescent="0.35">
      <c r="B176" s="2">
        <v>2016</v>
      </c>
      <c r="C176" s="2">
        <v>3</v>
      </c>
      <c r="D176" s="2">
        <v>7</v>
      </c>
      <c r="E176" s="78">
        <f>'CRU historical'!F175</f>
        <v>-3</v>
      </c>
      <c r="F176" s="78">
        <f>'CRU historical'!I175</f>
        <v>8.75</v>
      </c>
      <c r="G176" s="78" t="str">
        <f>'CRU historical'!L175</f>
        <v xml:space="preserve"> </v>
      </c>
      <c r="H176" s="78" t="str">
        <f>'CRU historical'!O175</f>
        <v xml:space="preserve"> </v>
      </c>
      <c r="I176" s="78">
        <f>'CRU historical'!R175</f>
        <v>74.5</v>
      </c>
      <c r="J176" s="78">
        <f>AVERAGE('CRU historical'!U175, 'CRU historical'!X175, 'CRU historical'!AA175, 'CRU historical'!AD175)</f>
        <v>75</v>
      </c>
      <c r="L176" s="78" cm="1">
        <f t="array" ref="L176">IFERROR(SUMPRODUCT(('Sulphuric Acid freights'!$B$3:$B$513=B176)*('Sulphuric Acid freights'!$D$3:$D$513=D176)*('Sulphuric Acid freights'!$P$3:$P$513))/SUMPRODUCT(('Sulphuric Acid freights'!$B$3:$B$513=B176)*('Sulphuric Acid freights'!$D$3:$D$513=D176)*1), AVERAGE('Sulphuric Acid freights'!$P$3:$P$513))*2/3</f>
        <v>36</v>
      </c>
      <c r="M176" s="78" cm="1">
        <f t="array" ref="M176">IFERROR(SUMPRODUCT(('Sulphuric Acid freights'!$B$3:$B$513=B176)*('Sulphuric Acid freights'!$D$3:$D$513=D176)*('Sulphuric Acid freights'!$M$3:$M$513))/SUMPRODUCT(('Sulphuric Acid freights'!$B$3:$B$513=B176)*('Sulphuric Acid freights'!$D$3:$D$513=D176)*1)*2/3, AVERAGE('Sulphuric Acid freights'!$M$3:$M$513))</f>
        <v>16</v>
      </c>
      <c r="N176" s="78">
        <f t="shared" si="27"/>
        <v>32.4</v>
      </c>
      <c r="O176" s="78" cm="1">
        <f t="array" ref="O176">IF(SUMPRODUCT(('Sulphur freight'!$B$3:$B$1976=B176)*('Sulphur freight'!$D$3:$D$1976=D176)*('Sulphur freight'!$G$3:$G$1976))/SUMPRODUCT(('Sulphur freight'!$B$3:$B$1976=B176)*('Sulphur freight'!$D$3:$D$1976=D176)*1)=0, AVERAGE('Sulphur freight'!$G$3:$G$1976),SUMPRODUCT(('Sulphur freight'!$B$3:$B$1976=B176)*('Sulphur freight'!$D$3:$D$1976=D176)*('Sulphur freight'!$G$3:$G$1976))/SUMPRODUCT(('Sulphur freight'!$B$3:$B$1976=B176)*('Sulphur freight'!$D$3:$D$1976=D176)*1))</f>
        <v>15</v>
      </c>
      <c r="P176" s="78">
        <v>20</v>
      </c>
      <c r="R176" s="78" t="str">
        <f t="shared" si="28"/>
        <v xml:space="preserve"> </v>
      </c>
      <c r="S176" s="78">
        <f t="shared" si="29"/>
        <v>24.75</v>
      </c>
      <c r="T176" s="78">
        <f t="shared" si="24"/>
        <v>33</v>
      </c>
      <c r="U176" s="78" t="str">
        <f t="shared" si="30"/>
        <v/>
      </c>
      <c r="V176" s="78">
        <f>IFERROR(I176+O176, "")</f>
        <v>89.5</v>
      </c>
      <c r="W176" s="78">
        <f t="shared" si="31"/>
        <v>95</v>
      </c>
      <c r="X176" s="78">
        <f t="shared" si="32"/>
        <v>47.534999999999997</v>
      </c>
      <c r="Y176" s="78">
        <f t="shared" si="33"/>
        <v>49.35</v>
      </c>
      <c r="AA176" s="88" t="str">
        <f t="shared" si="34"/>
        <v/>
      </c>
      <c r="AB176" s="77" t="str">
        <f t="shared" si="25"/>
        <v/>
      </c>
      <c r="AD176" s="88" t="str">
        <f t="shared" si="35"/>
        <v/>
      </c>
      <c r="AE176" s="77" t="str">
        <f t="shared" si="26"/>
        <v/>
      </c>
    </row>
    <row r="177" spans="2:31" x14ac:dyDescent="0.35">
      <c r="B177" s="2">
        <v>2016</v>
      </c>
      <c r="C177" s="2">
        <v>3</v>
      </c>
      <c r="D177" s="2">
        <v>8</v>
      </c>
      <c r="E177" s="78">
        <f>'CRU historical'!F176</f>
        <v>0</v>
      </c>
      <c r="F177" s="78">
        <f>'CRU historical'!I176</f>
        <v>12.5</v>
      </c>
      <c r="G177" s="78" t="str">
        <f>'CRU historical'!L176</f>
        <v xml:space="preserve"> </v>
      </c>
      <c r="H177" s="78" t="str">
        <f>'CRU historical'!O176</f>
        <v xml:space="preserve"> </v>
      </c>
      <c r="I177" s="78">
        <f>'CRU historical'!R176</f>
        <v>69.25</v>
      </c>
      <c r="J177" s="78">
        <f>AVERAGE('CRU historical'!U176, 'CRU historical'!X176, 'CRU historical'!AA176, 'CRU historical'!AD176)</f>
        <v>73.5</v>
      </c>
      <c r="L177" s="78" cm="1">
        <f t="array" ref="L177">IFERROR(SUMPRODUCT(('Sulphuric Acid freights'!$B$3:$B$513=B177)*('Sulphuric Acid freights'!$D$3:$D$513=D177)*('Sulphuric Acid freights'!$P$3:$P$513))/SUMPRODUCT(('Sulphuric Acid freights'!$B$3:$B$513=B177)*('Sulphuric Acid freights'!$D$3:$D$513=D177)*1), AVERAGE('Sulphuric Acid freights'!$P$3:$P$513))*2/3</f>
        <v>32</v>
      </c>
      <c r="M177" s="78" cm="1">
        <f t="array" ref="M177">IFERROR(SUMPRODUCT(('Sulphuric Acid freights'!$B$3:$B$513=B177)*('Sulphuric Acid freights'!$D$3:$D$513=D177)*('Sulphuric Acid freights'!$M$3:$M$513))/SUMPRODUCT(('Sulphuric Acid freights'!$B$3:$B$513=B177)*('Sulphuric Acid freights'!$D$3:$D$513=D177)*1)*2/3, AVERAGE('Sulphuric Acid freights'!$M$3:$M$513))</f>
        <v>14.666666666666666</v>
      </c>
      <c r="N177" s="78">
        <f t="shared" si="27"/>
        <v>28.8</v>
      </c>
      <c r="O177" s="78" cm="1">
        <f t="array" ref="O177">IF(SUMPRODUCT(('Sulphur freight'!$B$3:$B$1976=B177)*('Sulphur freight'!$D$3:$D$1976=D177)*('Sulphur freight'!$G$3:$G$1976))/SUMPRODUCT(('Sulphur freight'!$B$3:$B$1976=B177)*('Sulphur freight'!$D$3:$D$1976=D177)*1)=0, AVERAGE('Sulphur freight'!$G$3:$G$1976),SUMPRODUCT(('Sulphur freight'!$B$3:$B$1976=B177)*('Sulphur freight'!$D$3:$D$1976=D177)*('Sulphur freight'!$G$3:$G$1976))/SUMPRODUCT(('Sulphur freight'!$B$3:$B$1976=B177)*('Sulphur freight'!$D$3:$D$1976=D177)*1))</f>
        <v>14.25</v>
      </c>
      <c r="P177" s="78">
        <v>20</v>
      </c>
      <c r="R177" s="78" t="str">
        <f t="shared" si="28"/>
        <v xml:space="preserve"> </v>
      </c>
      <c r="S177" s="78">
        <f t="shared" si="29"/>
        <v>27.166666666666664</v>
      </c>
      <c r="T177" s="78">
        <f t="shared" si="24"/>
        <v>32</v>
      </c>
      <c r="U177" s="78" t="str">
        <f t="shared" si="30"/>
        <v/>
      </c>
      <c r="V177" s="78">
        <f>IFERROR(I177+O177, "")</f>
        <v>83.5</v>
      </c>
      <c r="W177" s="78">
        <f t="shared" si="31"/>
        <v>93.5</v>
      </c>
      <c r="X177" s="78">
        <f t="shared" si="32"/>
        <v>45.555</v>
      </c>
      <c r="Y177" s="78">
        <f t="shared" si="33"/>
        <v>48.855000000000004</v>
      </c>
      <c r="AA177" s="88" t="str">
        <f t="shared" si="34"/>
        <v/>
      </c>
      <c r="AB177" s="77" t="str">
        <f t="shared" si="25"/>
        <v/>
      </c>
      <c r="AD177" s="88" t="str">
        <f t="shared" si="35"/>
        <v/>
      </c>
      <c r="AE177" s="77" t="str">
        <f t="shared" si="26"/>
        <v/>
      </c>
    </row>
    <row r="178" spans="2:31" x14ac:dyDescent="0.35">
      <c r="B178" s="2">
        <v>2016</v>
      </c>
      <c r="C178" s="2">
        <v>3</v>
      </c>
      <c r="D178" s="2">
        <v>9</v>
      </c>
      <c r="E178" s="78">
        <f>'CRU historical'!F177</f>
        <v>1.2</v>
      </c>
      <c r="F178" s="78">
        <f>'CRU historical'!I177</f>
        <v>14</v>
      </c>
      <c r="G178" s="78" t="str">
        <f>'CRU historical'!L177</f>
        <v xml:space="preserve"> </v>
      </c>
      <c r="H178" s="78" t="str">
        <f>'CRU historical'!O177</f>
        <v xml:space="preserve"> </v>
      </c>
      <c r="I178" s="78">
        <f>'CRU historical'!R177</f>
        <v>77</v>
      </c>
      <c r="J178" s="78">
        <f>AVERAGE('CRU historical'!U177, 'CRU historical'!X177, 'CRU historical'!AA177, 'CRU historical'!AD177)</f>
        <v>73</v>
      </c>
      <c r="L178" s="78" cm="1">
        <f t="array" ref="L178">IFERROR(SUMPRODUCT(('Sulphuric Acid freights'!$B$3:$B$513=B178)*('Sulphuric Acid freights'!$D$3:$D$513=D178)*('Sulphuric Acid freights'!$P$3:$P$513))/SUMPRODUCT(('Sulphuric Acid freights'!$B$3:$B$513=B178)*('Sulphuric Acid freights'!$D$3:$D$513=D178)*1), AVERAGE('Sulphuric Acid freights'!$P$3:$P$513))*2/3</f>
        <v>32</v>
      </c>
      <c r="M178" s="78" cm="1">
        <f t="array" ref="M178">IFERROR(SUMPRODUCT(('Sulphuric Acid freights'!$B$3:$B$513=B178)*('Sulphuric Acid freights'!$D$3:$D$513=D178)*('Sulphuric Acid freights'!$M$3:$M$513))/SUMPRODUCT(('Sulphuric Acid freights'!$B$3:$B$513=B178)*('Sulphuric Acid freights'!$D$3:$D$513=D178)*1)*2/3, AVERAGE('Sulphuric Acid freights'!$M$3:$M$513))</f>
        <v>14.666666666666666</v>
      </c>
      <c r="N178" s="78">
        <f t="shared" si="27"/>
        <v>28.8</v>
      </c>
      <c r="O178" s="78" cm="1">
        <f t="array" ref="O178">IF(SUMPRODUCT(('Sulphur freight'!$B$3:$B$1976=B178)*('Sulphur freight'!$D$3:$D$1976=D178)*('Sulphur freight'!$G$3:$G$1976))/SUMPRODUCT(('Sulphur freight'!$B$3:$B$1976=B178)*('Sulphur freight'!$D$3:$D$1976=D178)*1)=0, AVERAGE('Sulphur freight'!$G$3:$G$1976),SUMPRODUCT(('Sulphur freight'!$B$3:$B$1976=B178)*('Sulphur freight'!$D$3:$D$1976=D178)*('Sulphur freight'!$G$3:$G$1976))/SUMPRODUCT(('Sulphur freight'!$B$3:$B$1976=B178)*('Sulphur freight'!$D$3:$D$1976=D178)*1))</f>
        <v>16</v>
      </c>
      <c r="P178" s="78">
        <v>20</v>
      </c>
      <c r="R178" s="78" t="str">
        <f t="shared" si="28"/>
        <v xml:space="preserve"> </v>
      </c>
      <c r="S178" s="78">
        <f t="shared" si="29"/>
        <v>28.666666666666664</v>
      </c>
      <c r="T178" s="78">
        <f t="shared" si="24"/>
        <v>33.200000000000003</v>
      </c>
      <c r="U178" s="78" t="str">
        <f t="shared" si="30"/>
        <v/>
      </c>
      <c r="V178" s="78">
        <f>IFERROR(I178+O178, "")</f>
        <v>93</v>
      </c>
      <c r="W178" s="78">
        <f t="shared" si="31"/>
        <v>93</v>
      </c>
      <c r="X178" s="78">
        <f t="shared" si="32"/>
        <v>48.69</v>
      </c>
      <c r="Y178" s="78">
        <f t="shared" si="33"/>
        <v>48.69</v>
      </c>
      <c r="AA178" s="88" t="str">
        <f t="shared" si="34"/>
        <v/>
      </c>
      <c r="AB178" s="77" t="str">
        <f t="shared" si="25"/>
        <v/>
      </c>
      <c r="AD178" s="88" t="str">
        <f t="shared" si="35"/>
        <v/>
      </c>
      <c r="AE178" s="77" t="str">
        <f t="shared" si="26"/>
        <v/>
      </c>
    </row>
    <row r="179" spans="2:31" x14ac:dyDescent="0.35">
      <c r="B179" s="2">
        <v>2016</v>
      </c>
      <c r="C179" s="2">
        <v>4</v>
      </c>
      <c r="D179" s="2">
        <v>10</v>
      </c>
      <c r="E179" s="78">
        <f>'CRU historical'!F178</f>
        <v>1.5</v>
      </c>
      <c r="F179" s="78">
        <f>'CRU historical'!I178</f>
        <v>9.5</v>
      </c>
      <c r="G179" s="78" t="str">
        <f>'CRU historical'!L178</f>
        <v xml:space="preserve"> </v>
      </c>
      <c r="H179" s="78" t="str">
        <f>'CRU historical'!O178</f>
        <v xml:space="preserve"> </v>
      </c>
      <c r="I179" s="78">
        <f>'CRU historical'!R178</f>
        <v>78.5</v>
      </c>
      <c r="J179" s="78">
        <f>AVERAGE('CRU historical'!U178, 'CRU historical'!X178, 'CRU historical'!AA178, 'CRU historical'!AD178)</f>
        <v>73</v>
      </c>
      <c r="L179" s="78" cm="1">
        <f t="array" ref="L179">IFERROR(SUMPRODUCT(('Sulphuric Acid freights'!$B$3:$B$513=B179)*('Sulphuric Acid freights'!$D$3:$D$513=D179)*('Sulphuric Acid freights'!$P$3:$P$513))/SUMPRODUCT(('Sulphuric Acid freights'!$B$3:$B$513=B179)*('Sulphuric Acid freights'!$D$3:$D$513=D179)*1), AVERAGE('Sulphuric Acid freights'!$P$3:$P$513))*2/3</f>
        <v>32</v>
      </c>
      <c r="M179" s="78" cm="1">
        <f t="array" ref="M179">IFERROR(SUMPRODUCT(('Sulphuric Acid freights'!$B$3:$B$513=B179)*('Sulphuric Acid freights'!$D$3:$D$513=D179)*('Sulphuric Acid freights'!$M$3:$M$513))/SUMPRODUCT(('Sulphuric Acid freights'!$B$3:$B$513=B179)*('Sulphuric Acid freights'!$D$3:$D$513=D179)*1)*2/3, AVERAGE('Sulphuric Acid freights'!$M$3:$M$513))</f>
        <v>13.333333333333334</v>
      </c>
      <c r="N179" s="78">
        <f t="shared" si="27"/>
        <v>28.8</v>
      </c>
      <c r="O179" s="78" cm="1">
        <f t="array" ref="O179">IF(SUMPRODUCT(('Sulphur freight'!$B$3:$B$1976=B179)*('Sulphur freight'!$D$3:$D$1976=D179)*('Sulphur freight'!$G$3:$G$1976))/SUMPRODUCT(('Sulphur freight'!$B$3:$B$1976=B179)*('Sulphur freight'!$D$3:$D$1976=D179)*1)=0, AVERAGE('Sulphur freight'!$G$3:$G$1976),SUMPRODUCT(('Sulphur freight'!$B$3:$B$1976=B179)*('Sulphur freight'!$D$3:$D$1976=D179)*('Sulphur freight'!$G$3:$G$1976))/SUMPRODUCT(('Sulphur freight'!$B$3:$B$1976=B179)*('Sulphur freight'!$D$3:$D$1976=D179)*1))</f>
        <v>16.5</v>
      </c>
      <c r="P179" s="78">
        <v>20</v>
      </c>
      <c r="R179" s="78" t="str">
        <f t="shared" si="28"/>
        <v xml:space="preserve"> </v>
      </c>
      <c r="S179" s="78">
        <f t="shared" si="29"/>
        <v>22.833333333333336</v>
      </c>
      <c r="T179" s="78">
        <f t="shared" si="24"/>
        <v>33.5</v>
      </c>
      <c r="U179" s="78" t="str">
        <f t="shared" si="30"/>
        <v/>
      </c>
      <c r="V179" s="78">
        <f>IFERROR(I179+O179, "")</f>
        <v>95</v>
      </c>
      <c r="W179" s="78">
        <f t="shared" si="31"/>
        <v>93</v>
      </c>
      <c r="X179" s="78">
        <f t="shared" si="32"/>
        <v>49.35</v>
      </c>
      <c r="Y179" s="78">
        <f t="shared" si="33"/>
        <v>48.69</v>
      </c>
      <c r="AA179" s="88" t="str">
        <f t="shared" si="34"/>
        <v/>
      </c>
      <c r="AB179" s="77" t="str">
        <f t="shared" si="25"/>
        <v/>
      </c>
      <c r="AD179" s="88" t="str">
        <f t="shared" si="35"/>
        <v/>
      </c>
      <c r="AE179" s="77" t="str">
        <f t="shared" si="26"/>
        <v/>
      </c>
    </row>
    <row r="180" spans="2:31" x14ac:dyDescent="0.35">
      <c r="B180" s="2">
        <v>2016</v>
      </c>
      <c r="C180" s="2">
        <v>4</v>
      </c>
      <c r="D180" s="2">
        <v>11</v>
      </c>
      <c r="E180" s="78">
        <f>'CRU historical'!F179</f>
        <v>0</v>
      </c>
      <c r="F180" s="78">
        <f>'CRU historical'!I179</f>
        <v>9.5</v>
      </c>
      <c r="G180" s="78" t="str">
        <f>'CRU historical'!L179</f>
        <v xml:space="preserve"> </v>
      </c>
      <c r="H180" s="78" t="str">
        <f>'CRU historical'!O179</f>
        <v xml:space="preserve"> </v>
      </c>
      <c r="I180" s="78">
        <f>'CRU historical'!R179</f>
        <v>84.75</v>
      </c>
      <c r="J180" s="78">
        <f>AVERAGE('CRU historical'!U179, 'CRU historical'!X179, 'CRU historical'!AA179, 'CRU historical'!AD179)</f>
        <v>73</v>
      </c>
      <c r="L180" s="78" cm="1">
        <f t="array" ref="L180">IFERROR(SUMPRODUCT(('Sulphuric Acid freights'!$B$3:$B$513=B180)*('Sulphuric Acid freights'!$D$3:$D$513=D180)*('Sulphuric Acid freights'!$P$3:$P$513))/SUMPRODUCT(('Sulphuric Acid freights'!$B$3:$B$513=B180)*('Sulphuric Acid freights'!$D$3:$D$513=D180)*1), AVERAGE('Sulphuric Acid freights'!$P$3:$P$513))*2/3</f>
        <v>32</v>
      </c>
      <c r="M180" s="78" cm="1">
        <f t="array" ref="M180">IFERROR(SUMPRODUCT(('Sulphuric Acid freights'!$B$3:$B$513=B180)*('Sulphuric Acid freights'!$D$3:$D$513=D180)*('Sulphuric Acid freights'!$M$3:$M$513))/SUMPRODUCT(('Sulphuric Acid freights'!$B$3:$B$513=B180)*('Sulphuric Acid freights'!$D$3:$D$513=D180)*1)*2/3, AVERAGE('Sulphuric Acid freights'!$M$3:$M$513))</f>
        <v>13.333333333333334</v>
      </c>
      <c r="N180" s="78">
        <f t="shared" si="27"/>
        <v>28.8</v>
      </c>
      <c r="O180" s="78" cm="1">
        <f t="array" ref="O180">IF(SUMPRODUCT(('Sulphur freight'!$B$3:$B$1976=B180)*('Sulphur freight'!$D$3:$D$1976=D180)*('Sulphur freight'!$G$3:$G$1976))/SUMPRODUCT(('Sulphur freight'!$B$3:$B$1976=B180)*('Sulphur freight'!$D$3:$D$1976=D180)*1)=0, AVERAGE('Sulphur freight'!$G$3:$G$1976),SUMPRODUCT(('Sulphur freight'!$B$3:$B$1976=B180)*('Sulphur freight'!$D$3:$D$1976=D180)*('Sulphur freight'!$G$3:$G$1976))/SUMPRODUCT(('Sulphur freight'!$B$3:$B$1976=B180)*('Sulphur freight'!$D$3:$D$1976=D180)*1))</f>
        <v>17.5</v>
      </c>
      <c r="P180" s="78">
        <v>20</v>
      </c>
      <c r="R180" s="78" t="str">
        <f t="shared" si="28"/>
        <v xml:space="preserve"> </v>
      </c>
      <c r="S180" s="78">
        <f t="shared" si="29"/>
        <v>22.833333333333336</v>
      </c>
      <c r="T180" s="78">
        <f t="shared" si="24"/>
        <v>32</v>
      </c>
      <c r="U180" s="78" t="str">
        <f t="shared" si="30"/>
        <v/>
      </c>
      <c r="V180" s="78">
        <f>IFERROR(I180+O180, "")</f>
        <v>102.25</v>
      </c>
      <c r="W180" s="78">
        <f t="shared" si="31"/>
        <v>93</v>
      </c>
      <c r="X180" s="78">
        <f t="shared" si="32"/>
        <v>51.7425</v>
      </c>
      <c r="Y180" s="78">
        <f t="shared" si="33"/>
        <v>48.69</v>
      </c>
      <c r="AA180" s="88" t="str">
        <f t="shared" si="34"/>
        <v/>
      </c>
      <c r="AB180" s="77" t="str">
        <f t="shared" si="25"/>
        <v/>
      </c>
      <c r="AD180" s="88" t="str">
        <f t="shared" si="35"/>
        <v/>
      </c>
      <c r="AE180" s="77" t="str">
        <f t="shared" si="26"/>
        <v/>
      </c>
    </row>
    <row r="181" spans="2:31" x14ac:dyDescent="0.35">
      <c r="B181" s="2">
        <v>2016</v>
      </c>
      <c r="C181" s="2">
        <v>4</v>
      </c>
      <c r="D181" s="2">
        <v>12</v>
      </c>
      <c r="E181" s="78">
        <f>'CRU historical'!F180</f>
        <v>-1.8</v>
      </c>
      <c r="F181" s="78">
        <f>'CRU historical'!I180</f>
        <v>7.6</v>
      </c>
      <c r="G181" s="78" t="str">
        <f>'CRU historical'!L180</f>
        <v xml:space="preserve"> </v>
      </c>
      <c r="H181" s="78" t="str">
        <f>'CRU historical'!O180</f>
        <v xml:space="preserve"> </v>
      </c>
      <c r="I181" s="78">
        <f>'CRU historical'!R180</f>
        <v>91</v>
      </c>
      <c r="J181" s="78">
        <f>AVERAGE('CRU historical'!U180, 'CRU historical'!X180, 'CRU historical'!AA180, 'CRU historical'!AD180)</f>
        <v>73</v>
      </c>
      <c r="L181" s="78" cm="1">
        <f t="array" ref="L181">IFERROR(SUMPRODUCT(('Sulphuric Acid freights'!$B$3:$B$513=B181)*('Sulphuric Acid freights'!$D$3:$D$513=D181)*('Sulphuric Acid freights'!$P$3:$P$513))/SUMPRODUCT(('Sulphuric Acid freights'!$B$3:$B$513=B181)*('Sulphuric Acid freights'!$D$3:$D$513=D181)*1), AVERAGE('Sulphuric Acid freights'!$P$3:$P$513))*2/3</f>
        <v>32</v>
      </c>
      <c r="M181" s="78" cm="1">
        <f t="array" ref="M181">IFERROR(SUMPRODUCT(('Sulphuric Acid freights'!$B$3:$B$513=B181)*('Sulphuric Acid freights'!$D$3:$D$513=D181)*('Sulphuric Acid freights'!$M$3:$M$513))/SUMPRODUCT(('Sulphuric Acid freights'!$B$3:$B$513=B181)*('Sulphuric Acid freights'!$D$3:$D$513=D181)*1)*2/3, AVERAGE('Sulphuric Acid freights'!$M$3:$M$513))</f>
        <v>13.333333333333334</v>
      </c>
      <c r="N181" s="78">
        <f t="shared" si="27"/>
        <v>28.8</v>
      </c>
      <c r="O181" s="78" cm="1">
        <f t="array" ref="O181">IF(SUMPRODUCT(('Sulphur freight'!$B$3:$B$1976=B181)*('Sulphur freight'!$D$3:$D$1976=D181)*('Sulphur freight'!$G$3:$G$1976))/SUMPRODUCT(('Sulphur freight'!$B$3:$B$1976=B181)*('Sulphur freight'!$D$3:$D$1976=D181)*1)=0, AVERAGE('Sulphur freight'!$G$3:$G$1976),SUMPRODUCT(('Sulphur freight'!$B$3:$B$1976=B181)*('Sulphur freight'!$D$3:$D$1976=D181)*('Sulphur freight'!$G$3:$G$1976))/SUMPRODUCT(('Sulphur freight'!$B$3:$B$1976=B181)*('Sulphur freight'!$D$3:$D$1976=D181)*1))</f>
        <v>18.8</v>
      </c>
      <c r="P181" s="78">
        <v>20</v>
      </c>
      <c r="R181" s="78" t="str">
        <f t="shared" si="28"/>
        <v xml:space="preserve"> </v>
      </c>
      <c r="S181" s="78">
        <f t="shared" si="29"/>
        <v>20.933333333333334</v>
      </c>
      <c r="T181" s="78">
        <f t="shared" si="24"/>
        <v>30.2</v>
      </c>
      <c r="U181" s="78" t="str">
        <f t="shared" si="30"/>
        <v/>
      </c>
      <c r="V181" s="78">
        <f>IFERROR(I181+O181, "")</f>
        <v>109.8</v>
      </c>
      <c r="W181" s="78">
        <f t="shared" si="31"/>
        <v>93</v>
      </c>
      <c r="X181" s="78">
        <f t="shared" si="32"/>
        <v>54.234000000000002</v>
      </c>
      <c r="Y181" s="78">
        <f t="shared" si="33"/>
        <v>48.69</v>
      </c>
      <c r="AA181" s="88" t="str">
        <f t="shared" si="34"/>
        <v/>
      </c>
      <c r="AB181" s="77" t="str">
        <f t="shared" si="25"/>
        <v/>
      </c>
      <c r="AD181" s="88" t="str">
        <f t="shared" si="35"/>
        <v/>
      </c>
      <c r="AE181" s="77" t="str">
        <f t="shared" si="26"/>
        <v/>
      </c>
    </row>
    <row r="182" spans="2:31" x14ac:dyDescent="0.35">
      <c r="B182" s="2">
        <v>2017</v>
      </c>
      <c r="C182" s="2">
        <v>1</v>
      </c>
      <c r="D182" s="2">
        <v>1</v>
      </c>
      <c r="E182" s="78">
        <f>'CRU historical'!F181</f>
        <v>-3</v>
      </c>
      <c r="F182" s="78">
        <f>'CRU historical'!I181</f>
        <v>7</v>
      </c>
      <c r="G182" s="78" t="str">
        <f>'CRU historical'!L181</f>
        <v xml:space="preserve"> </v>
      </c>
      <c r="H182" s="78" t="str">
        <f>'CRU historical'!O181</f>
        <v xml:space="preserve"> </v>
      </c>
      <c r="I182" s="78">
        <f>'CRU historical'!R181</f>
        <v>89.5</v>
      </c>
      <c r="J182" s="78">
        <f>AVERAGE('CRU historical'!U181, 'CRU historical'!X181, 'CRU historical'!AA181, 'CRU historical'!AD181)</f>
        <v>76.25</v>
      </c>
      <c r="L182" s="78" cm="1">
        <f t="array" ref="L182">IFERROR(SUMPRODUCT(('Sulphuric Acid freights'!$B$3:$B$513=B182)*('Sulphuric Acid freights'!$D$3:$D$513=D182)*('Sulphuric Acid freights'!$P$3:$P$513))/SUMPRODUCT(('Sulphuric Acid freights'!$B$3:$B$513=B182)*('Sulphuric Acid freights'!$D$3:$D$513=D182)*1), AVERAGE('Sulphuric Acid freights'!$P$3:$P$513))*2/3</f>
        <v>32</v>
      </c>
      <c r="M182" s="78" cm="1">
        <f t="array" ref="M182">IFERROR(SUMPRODUCT(('Sulphuric Acid freights'!$B$3:$B$513=B182)*('Sulphuric Acid freights'!$D$3:$D$513=D182)*('Sulphuric Acid freights'!$M$3:$M$513))/SUMPRODUCT(('Sulphuric Acid freights'!$B$3:$B$513=B182)*('Sulphuric Acid freights'!$D$3:$D$513=D182)*1)*2/3, AVERAGE('Sulphuric Acid freights'!$M$3:$M$513))</f>
        <v>13.333333333333334</v>
      </c>
      <c r="N182" s="78">
        <f t="shared" si="27"/>
        <v>28.8</v>
      </c>
      <c r="O182" s="78" cm="1">
        <f t="array" ref="O182">IF(SUMPRODUCT(('Sulphur freight'!$B$3:$B$1976=B182)*('Sulphur freight'!$D$3:$D$1976=D182)*('Sulphur freight'!$G$3:$G$1976))/SUMPRODUCT(('Sulphur freight'!$B$3:$B$1976=B182)*('Sulphur freight'!$D$3:$D$1976=D182)*1)=0, AVERAGE('Sulphur freight'!$G$3:$G$1976),SUMPRODUCT(('Sulphur freight'!$B$3:$B$1976=B182)*('Sulphur freight'!$D$3:$D$1976=D182)*('Sulphur freight'!$G$3:$G$1976))/SUMPRODUCT(('Sulphur freight'!$B$3:$B$1976=B182)*('Sulphur freight'!$D$3:$D$1976=D182)*1))</f>
        <v>20</v>
      </c>
      <c r="P182" s="78">
        <v>20</v>
      </c>
      <c r="R182" s="78" t="str">
        <f t="shared" si="28"/>
        <v xml:space="preserve"> </v>
      </c>
      <c r="S182" s="78">
        <f t="shared" si="29"/>
        <v>20.333333333333336</v>
      </c>
      <c r="T182" s="78">
        <f t="shared" si="24"/>
        <v>29</v>
      </c>
      <c r="U182" s="78" t="str">
        <f t="shared" si="30"/>
        <v/>
      </c>
      <c r="V182" s="78">
        <f>IFERROR(I182+O182, "")</f>
        <v>109.5</v>
      </c>
      <c r="W182" s="78">
        <f t="shared" si="31"/>
        <v>96.25</v>
      </c>
      <c r="X182" s="78">
        <f t="shared" si="32"/>
        <v>54.135000000000005</v>
      </c>
      <c r="Y182" s="78">
        <f t="shared" si="33"/>
        <v>49.762500000000003</v>
      </c>
      <c r="AA182" s="88" t="str">
        <f t="shared" si="34"/>
        <v/>
      </c>
      <c r="AB182" s="77" t="str">
        <f t="shared" si="25"/>
        <v/>
      </c>
      <c r="AD182" s="88" t="str">
        <f t="shared" si="35"/>
        <v/>
      </c>
      <c r="AE182" s="77" t="str">
        <f t="shared" si="26"/>
        <v/>
      </c>
    </row>
    <row r="183" spans="2:31" x14ac:dyDescent="0.35">
      <c r="B183" s="2">
        <v>2017</v>
      </c>
      <c r="C183" s="2">
        <v>1</v>
      </c>
      <c r="D183" s="2">
        <v>2</v>
      </c>
      <c r="E183" s="78">
        <f>'CRU historical'!F182</f>
        <v>-3</v>
      </c>
      <c r="F183" s="78">
        <f>'CRU historical'!I182</f>
        <v>9.5</v>
      </c>
      <c r="G183" s="78" t="str">
        <f>'CRU historical'!L182</f>
        <v xml:space="preserve"> </v>
      </c>
      <c r="H183" s="78" t="str">
        <f>'CRU historical'!O182</f>
        <v xml:space="preserve"> </v>
      </c>
      <c r="I183" s="78">
        <f>'CRU historical'!R182</f>
        <v>88</v>
      </c>
      <c r="J183" s="78">
        <f>AVERAGE('CRU historical'!U182, 'CRU historical'!X182, 'CRU historical'!AA182, 'CRU historical'!AD182)</f>
        <v>78</v>
      </c>
      <c r="L183" s="78" cm="1">
        <f t="array" ref="L183">IFERROR(SUMPRODUCT(('Sulphuric Acid freights'!$B$3:$B$513=B183)*('Sulphuric Acid freights'!$D$3:$D$513=D183)*('Sulphuric Acid freights'!$P$3:$P$513))/SUMPRODUCT(('Sulphuric Acid freights'!$B$3:$B$513=B183)*('Sulphuric Acid freights'!$D$3:$D$513=D183)*1), AVERAGE('Sulphuric Acid freights'!$P$3:$P$513))*2/3</f>
        <v>32</v>
      </c>
      <c r="M183" s="78" cm="1">
        <f t="array" ref="M183">IFERROR(SUMPRODUCT(('Sulphuric Acid freights'!$B$3:$B$513=B183)*('Sulphuric Acid freights'!$D$3:$D$513=D183)*('Sulphuric Acid freights'!$M$3:$M$513))/SUMPRODUCT(('Sulphuric Acid freights'!$B$3:$B$513=B183)*('Sulphuric Acid freights'!$D$3:$D$513=D183)*1)*2/3, AVERAGE('Sulphuric Acid freights'!$M$3:$M$513))</f>
        <v>13.333333333333334</v>
      </c>
      <c r="N183" s="78">
        <f t="shared" si="27"/>
        <v>28.8</v>
      </c>
      <c r="O183" s="78" cm="1">
        <f t="array" ref="O183">IF(SUMPRODUCT(('Sulphur freight'!$B$3:$B$1976=B183)*('Sulphur freight'!$D$3:$D$1976=D183)*('Sulphur freight'!$G$3:$G$1976))/SUMPRODUCT(('Sulphur freight'!$B$3:$B$1976=B183)*('Sulphur freight'!$D$3:$D$1976=D183)*1)=0, AVERAGE('Sulphur freight'!$G$3:$G$1976),SUMPRODUCT(('Sulphur freight'!$B$3:$B$1976=B183)*('Sulphur freight'!$D$3:$D$1976=D183)*('Sulphur freight'!$G$3:$G$1976))/SUMPRODUCT(('Sulphur freight'!$B$3:$B$1976=B183)*('Sulphur freight'!$D$3:$D$1976=D183)*1))</f>
        <v>19.25</v>
      </c>
      <c r="P183" s="78">
        <v>20</v>
      </c>
      <c r="R183" s="78" t="str">
        <f t="shared" si="28"/>
        <v xml:space="preserve"> </v>
      </c>
      <c r="S183" s="78">
        <f t="shared" si="29"/>
        <v>22.833333333333336</v>
      </c>
      <c r="T183" s="78">
        <f t="shared" si="24"/>
        <v>29</v>
      </c>
      <c r="U183" s="78" t="str">
        <f t="shared" si="30"/>
        <v/>
      </c>
      <c r="V183" s="78">
        <f>IFERROR(I183+O183, "")</f>
        <v>107.25</v>
      </c>
      <c r="W183" s="78">
        <f t="shared" si="31"/>
        <v>98</v>
      </c>
      <c r="X183" s="78">
        <f t="shared" si="32"/>
        <v>53.392499999999998</v>
      </c>
      <c r="Y183" s="78">
        <f t="shared" si="33"/>
        <v>50.34</v>
      </c>
      <c r="AA183" s="88" t="str">
        <f t="shared" si="34"/>
        <v/>
      </c>
      <c r="AB183" s="77" t="str">
        <f t="shared" si="25"/>
        <v/>
      </c>
      <c r="AD183" s="88" t="str">
        <f t="shared" si="35"/>
        <v/>
      </c>
      <c r="AE183" s="77" t="str">
        <f t="shared" si="26"/>
        <v/>
      </c>
    </row>
    <row r="184" spans="2:31" x14ac:dyDescent="0.35">
      <c r="B184" s="2">
        <v>2017</v>
      </c>
      <c r="C184" s="2">
        <v>1</v>
      </c>
      <c r="D184" s="2">
        <v>3</v>
      </c>
      <c r="E184" s="78">
        <f>'CRU historical'!F183</f>
        <v>-0.6</v>
      </c>
      <c r="F184" s="78">
        <f>'CRU historical'!I183</f>
        <v>10</v>
      </c>
      <c r="G184" s="78" t="str">
        <f>'CRU historical'!L183</f>
        <v xml:space="preserve"> </v>
      </c>
      <c r="H184" s="78" t="str">
        <f>'CRU historical'!O183</f>
        <v xml:space="preserve"> </v>
      </c>
      <c r="I184" s="78">
        <f>'CRU historical'!R183</f>
        <v>87.4</v>
      </c>
      <c r="J184" s="78">
        <f>AVERAGE('CRU historical'!U183, 'CRU historical'!X183, 'CRU historical'!AA183, 'CRU historical'!AD183)</f>
        <v>78</v>
      </c>
      <c r="L184" s="78" cm="1">
        <f t="array" ref="L184">IFERROR(SUMPRODUCT(('Sulphuric Acid freights'!$B$3:$B$513=B184)*('Sulphuric Acid freights'!$D$3:$D$513=D184)*('Sulphuric Acid freights'!$P$3:$P$513))/SUMPRODUCT(('Sulphuric Acid freights'!$B$3:$B$513=B184)*('Sulphuric Acid freights'!$D$3:$D$513=D184)*1), AVERAGE('Sulphuric Acid freights'!$P$3:$P$513))*2/3</f>
        <v>32</v>
      </c>
      <c r="M184" s="78" cm="1">
        <f t="array" ref="M184">IFERROR(SUMPRODUCT(('Sulphuric Acid freights'!$B$3:$B$513=B184)*('Sulphuric Acid freights'!$D$3:$D$513=D184)*('Sulphuric Acid freights'!$M$3:$M$513))/SUMPRODUCT(('Sulphuric Acid freights'!$B$3:$B$513=B184)*('Sulphuric Acid freights'!$D$3:$D$513=D184)*1)*2/3, AVERAGE('Sulphuric Acid freights'!$M$3:$M$513))</f>
        <v>13.333333333333334</v>
      </c>
      <c r="N184" s="78">
        <f t="shared" si="27"/>
        <v>28.8</v>
      </c>
      <c r="O184" s="78" cm="1">
        <f t="array" ref="O184">IF(SUMPRODUCT(('Sulphur freight'!$B$3:$B$1976=B184)*('Sulphur freight'!$D$3:$D$1976=D184)*('Sulphur freight'!$G$3:$G$1976))/SUMPRODUCT(('Sulphur freight'!$B$3:$B$1976=B184)*('Sulphur freight'!$D$3:$D$1976=D184)*1)=0, AVERAGE('Sulphur freight'!$G$3:$G$1976),SUMPRODUCT(('Sulphur freight'!$B$3:$B$1976=B184)*('Sulphur freight'!$D$3:$D$1976=D184)*('Sulphur freight'!$G$3:$G$1976))/SUMPRODUCT(('Sulphur freight'!$B$3:$B$1976=B184)*('Sulphur freight'!$D$3:$D$1976=D184)*1))</f>
        <v>20.2</v>
      </c>
      <c r="P184" s="78">
        <v>20</v>
      </c>
      <c r="R184" s="78" t="str">
        <f t="shared" si="28"/>
        <v xml:space="preserve"> </v>
      </c>
      <c r="S184" s="78">
        <f t="shared" si="29"/>
        <v>23.333333333333336</v>
      </c>
      <c r="T184" s="78">
        <f t="shared" si="24"/>
        <v>31.4</v>
      </c>
      <c r="U184" s="78" t="str">
        <f t="shared" si="30"/>
        <v/>
      </c>
      <c r="V184" s="78">
        <f>IFERROR(I184+O184, "")</f>
        <v>107.60000000000001</v>
      </c>
      <c r="W184" s="78">
        <f t="shared" si="31"/>
        <v>98</v>
      </c>
      <c r="X184" s="78">
        <f t="shared" si="32"/>
        <v>53.508000000000003</v>
      </c>
      <c r="Y184" s="78">
        <f t="shared" si="33"/>
        <v>50.34</v>
      </c>
      <c r="AA184" s="88" t="str">
        <f t="shared" si="34"/>
        <v/>
      </c>
      <c r="AB184" s="77" t="str">
        <f t="shared" si="25"/>
        <v/>
      </c>
      <c r="AD184" s="88" t="str">
        <f t="shared" si="35"/>
        <v/>
      </c>
      <c r="AE184" s="77" t="str">
        <f t="shared" si="26"/>
        <v/>
      </c>
    </row>
    <row r="185" spans="2:31" x14ac:dyDescent="0.35">
      <c r="B185" s="2">
        <v>2017</v>
      </c>
      <c r="C185" s="2">
        <v>2</v>
      </c>
      <c r="D185" s="2">
        <v>4</v>
      </c>
      <c r="E185" s="78">
        <f>'CRU historical'!F184</f>
        <v>7.25</v>
      </c>
      <c r="F185" s="78">
        <f>'CRU historical'!I184</f>
        <v>13.75</v>
      </c>
      <c r="G185" s="78" t="str">
        <f>'CRU historical'!L184</f>
        <v xml:space="preserve"> </v>
      </c>
      <c r="H185" s="78" t="str">
        <f>'CRU historical'!O184</f>
        <v xml:space="preserve"> </v>
      </c>
      <c r="I185" s="78">
        <f>'CRU historical'!R184</f>
        <v>80.5</v>
      </c>
      <c r="J185" s="78">
        <f>AVERAGE('CRU historical'!U184, 'CRU historical'!X184, 'CRU historical'!AA184, 'CRU historical'!AD184)</f>
        <v>78</v>
      </c>
      <c r="L185" s="78" cm="1">
        <f t="array" ref="L185">IFERROR(SUMPRODUCT(('Sulphuric Acid freights'!$B$3:$B$513=B185)*('Sulphuric Acid freights'!$D$3:$D$513=D185)*('Sulphuric Acid freights'!$P$3:$P$513))/SUMPRODUCT(('Sulphuric Acid freights'!$B$3:$B$513=B185)*('Sulphuric Acid freights'!$D$3:$D$513=D185)*1), AVERAGE('Sulphuric Acid freights'!$P$3:$P$513))*2/3</f>
        <v>32</v>
      </c>
      <c r="M185" s="78" cm="1">
        <f t="array" ref="M185">IFERROR(SUMPRODUCT(('Sulphuric Acid freights'!$B$3:$B$513=B185)*('Sulphuric Acid freights'!$D$3:$D$513=D185)*('Sulphuric Acid freights'!$M$3:$M$513))/SUMPRODUCT(('Sulphuric Acid freights'!$B$3:$B$513=B185)*('Sulphuric Acid freights'!$D$3:$D$513=D185)*1)*2/3, AVERAGE('Sulphuric Acid freights'!$M$3:$M$513))</f>
        <v>13.333333333333334</v>
      </c>
      <c r="N185" s="78">
        <f t="shared" si="27"/>
        <v>28.8</v>
      </c>
      <c r="O185" s="78" cm="1">
        <f t="array" ref="O185">IF(SUMPRODUCT(('Sulphur freight'!$B$3:$B$1976=B185)*('Sulphur freight'!$D$3:$D$1976=D185)*('Sulphur freight'!$G$3:$G$1976))/SUMPRODUCT(('Sulphur freight'!$B$3:$B$1976=B185)*('Sulphur freight'!$D$3:$D$1976=D185)*1)=0, AVERAGE('Sulphur freight'!$G$3:$G$1976),SUMPRODUCT(('Sulphur freight'!$B$3:$B$1976=B185)*('Sulphur freight'!$D$3:$D$1976=D185)*('Sulphur freight'!$G$3:$G$1976))/SUMPRODUCT(('Sulphur freight'!$B$3:$B$1976=B185)*('Sulphur freight'!$D$3:$D$1976=D185)*1))</f>
        <v>20.75</v>
      </c>
      <c r="P185" s="78">
        <v>20</v>
      </c>
      <c r="R185" s="78" t="str">
        <f t="shared" si="28"/>
        <v xml:space="preserve"> </v>
      </c>
      <c r="S185" s="78">
        <f t="shared" si="29"/>
        <v>27.083333333333336</v>
      </c>
      <c r="T185" s="78">
        <f t="shared" si="24"/>
        <v>39.25</v>
      </c>
      <c r="U185" s="78" t="str">
        <f t="shared" si="30"/>
        <v/>
      </c>
      <c r="V185" s="78">
        <f>IFERROR(I185+O185, "")</f>
        <v>101.25</v>
      </c>
      <c r="W185" s="78">
        <f t="shared" si="31"/>
        <v>98</v>
      </c>
      <c r="X185" s="78">
        <f t="shared" si="32"/>
        <v>51.412500000000001</v>
      </c>
      <c r="Y185" s="78">
        <f t="shared" si="33"/>
        <v>50.34</v>
      </c>
      <c r="AA185" s="88" t="str">
        <f t="shared" si="34"/>
        <v/>
      </c>
      <c r="AB185" s="77" t="str">
        <f t="shared" si="25"/>
        <v/>
      </c>
      <c r="AD185" s="88" t="str">
        <f t="shared" si="35"/>
        <v/>
      </c>
      <c r="AE185" s="77" t="str">
        <f t="shared" si="26"/>
        <v/>
      </c>
    </row>
    <row r="186" spans="2:31" x14ac:dyDescent="0.35">
      <c r="B186" s="2">
        <v>2017</v>
      </c>
      <c r="C186" s="2">
        <v>2</v>
      </c>
      <c r="D186" s="2">
        <v>5</v>
      </c>
      <c r="E186" s="78">
        <f>'CRU historical'!F185</f>
        <v>11.75</v>
      </c>
      <c r="F186" s="78">
        <f>'CRU historical'!I185</f>
        <v>17.5</v>
      </c>
      <c r="G186" s="78" t="str">
        <f>'CRU historical'!L185</f>
        <v xml:space="preserve"> </v>
      </c>
      <c r="H186" s="78" t="str">
        <f>'CRU historical'!O185</f>
        <v xml:space="preserve"> </v>
      </c>
      <c r="I186" s="78">
        <f>'CRU historical'!R185</f>
        <v>75.5</v>
      </c>
      <c r="J186" s="78">
        <f>AVERAGE('CRU historical'!U185, 'CRU historical'!X185, 'CRU historical'!AA185, 'CRU historical'!AD185)</f>
        <v>78</v>
      </c>
      <c r="L186" s="78" cm="1">
        <f t="array" ref="L186">IFERROR(SUMPRODUCT(('Sulphuric Acid freights'!$B$3:$B$513=B186)*('Sulphuric Acid freights'!$D$3:$D$513=D186)*('Sulphuric Acid freights'!$P$3:$P$513))/SUMPRODUCT(('Sulphuric Acid freights'!$B$3:$B$513=B186)*('Sulphuric Acid freights'!$D$3:$D$513=D186)*1), AVERAGE('Sulphuric Acid freights'!$P$3:$P$513))*2/3</f>
        <v>32</v>
      </c>
      <c r="M186" s="78" cm="1">
        <f t="array" ref="M186">IFERROR(SUMPRODUCT(('Sulphuric Acid freights'!$B$3:$B$513=B186)*('Sulphuric Acid freights'!$D$3:$D$513=D186)*('Sulphuric Acid freights'!$M$3:$M$513))/SUMPRODUCT(('Sulphuric Acid freights'!$B$3:$B$513=B186)*('Sulphuric Acid freights'!$D$3:$D$513=D186)*1)*2/3, AVERAGE('Sulphuric Acid freights'!$M$3:$M$513))</f>
        <v>13.333333333333334</v>
      </c>
      <c r="N186" s="78">
        <f t="shared" si="27"/>
        <v>28.8</v>
      </c>
      <c r="O186" s="78" cm="1">
        <f t="array" ref="O186">IF(SUMPRODUCT(('Sulphur freight'!$B$3:$B$1976=B186)*('Sulphur freight'!$D$3:$D$1976=D186)*('Sulphur freight'!$G$3:$G$1976))/SUMPRODUCT(('Sulphur freight'!$B$3:$B$1976=B186)*('Sulphur freight'!$D$3:$D$1976=D186)*1)=0, AVERAGE('Sulphur freight'!$G$3:$G$1976),SUMPRODUCT(('Sulphur freight'!$B$3:$B$1976=B186)*('Sulphur freight'!$D$3:$D$1976=D186)*('Sulphur freight'!$G$3:$G$1976))/SUMPRODUCT(('Sulphur freight'!$B$3:$B$1976=B186)*('Sulphur freight'!$D$3:$D$1976=D186)*1))</f>
        <v>20.75</v>
      </c>
      <c r="P186" s="78">
        <v>20</v>
      </c>
      <c r="R186" s="78" t="str">
        <f t="shared" si="28"/>
        <v xml:space="preserve"> </v>
      </c>
      <c r="S186" s="78">
        <f t="shared" si="29"/>
        <v>30.833333333333336</v>
      </c>
      <c r="T186" s="78">
        <f t="shared" si="24"/>
        <v>43.75</v>
      </c>
      <c r="U186" s="78" t="str">
        <f t="shared" si="30"/>
        <v/>
      </c>
      <c r="V186" s="78">
        <f>IFERROR(I186+O186, "")</f>
        <v>96.25</v>
      </c>
      <c r="W186" s="78">
        <f t="shared" si="31"/>
        <v>98</v>
      </c>
      <c r="X186" s="78">
        <f t="shared" si="32"/>
        <v>49.762500000000003</v>
      </c>
      <c r="Y186" s="78">
        <f t="shared" si="33"/>
        <v>50.34</v>
      </c>
      <c r="AA186" s="88" t="str">
        <f t="shared" si="34"/>
        <v/>
      </c>
      <c r="AB186" s="77" t="str">
        <f t="shared" si="25"/>
        <v/>
      </c>
      <c r="AD186" s="88" t="str">
        <f t="shared" si="35"/>
        <v/>
      </c>
      <c r="AE186" s="77" t="str">
        <f t="shared" si="26"/>
        <v/>
      </c>
    </row>
    <row r="187" spans="2:31" x14ac:dyDescent="0.35">
      <c r="B187" s="2">
        <v>2017</v>
      </c>
      <c r="C187" s="2">
        <v>2</v>
      </c>
      <c r="D187" s="2">
        <v>6</v>
      </c>
      <c r="E187" s="78">
        <f>'CRU historical'!F186</f>
        <v>13</v>
      </c>
      <c r="F187" s="78">
        <f>'CRU historical'!I186</f>
        <v>20</v>
      </c>
      <c r="G187" s="78" t="str">
        <f>'CRU historical'!L186</f>
        <v xml:space="preserve"> </v>
      </c>
      <c r="H187" s="78" t="str">
        <f>'CRU historical'!O186</f>
        <v xml:space="preserve"> </v>
      </c>
      <c r="I187" s="78">
        <f>'CRU historical'!R186</f>
        <v>80</v>
      </c>
      <c r="J187" s="78">
        <f>AVERAGE('CRU historical'!U186, 'CRU historical'!X186, 'CRU historical'!AA186, 'CRU historical'!AD186)</f>
        <v>78</v>
      </c>
      <c r="L187" s="78" cm="1">
        <f t="array" ref="L187">IFERROR(SUMPRODUCT(('Sulphuric Acid freights'!$B$3:$B$513=B187)*('Sulphuric Acid freights'!$D$3:$D$513=D187)*('Sulphuric Acid freights'!$P$3:$P$513))/SUMPRODUCT(('Sulphuric Acid freights'!$B$3:$B$513=B187)*('Sulphuric Acid freights'!$D$3:$D$513=D187)*1), AVERAGE('Sulphuric Acid freights'!$P$3:$P$513))*2/3</f>
        <v>32</v>
      </c>
      <c r="M187" s="78" cm="1">
        <f t="array" ref="M187">IFERROR(SUMPRODUCT(('Sulphuric Acid freights'!$B$3:$B$513=B187)*('Sulphuric Acid freights'!$D$3:$D$513=D187)*('Sulphuric Acid freights'!$M$3:$M$513))/SUMPRODUCT(('Sulphuric Acid freights'!$B$3:$B$513=B187)*('Sulphuric Acid freights'!$D$3:$D$513=D187)*1)*2/3, AVERAGE('Sulphuric Acid freights'!$M$3:$M$513))</f>
        <v>13.333333333333334</v>
      </c>
      <c r="N187" s="78">
        <f t="shared" si="27"/>
        <v>28.8</v>
      </c>
      <c r="O187" s="78" cm="1">
        <f t="array" ref="O187">IF(SUMPRODUCT(('Sulphur freight'!$B$3:$B$1976=B187)*('Sulphur freight'!$D$3:$D$1976=D187)*('Sulphur freight'!$G$3:$G$1976))/SUMPRODUCT(('Sulphur freight'!$B$3:$B$1976=B187)*('Sulphur freight'!$D$3:$D$1976=D187)*1)=0, AVERAGE('Sulphur freight'!$G$3:$G$1976),SUMPRODUCT(('Sulphur freight'!$B$3:$B$1976=B187)*('Sulphur freight'!$D$3:$D$1976=D187)*('Sulphur freight'!$G$3:$G$1976))/SUMPRODUCT(('Sulphur freight'!$B$3:$B$1976=B187)*('Sulphur freight'!$D$3:$D$1976=D187)*1))</f>
        <v>20</v>
      </c>
      <c r="P187" s="78">
        <v>20</v>
      </c>
      <c r="R187" s="78" t="str">
        <f t="shared" si="28"/>
        <v xml:space="preserve"> </v>
      </c>
      <c r="S187" s="78">
        <f t="shared" si="29"/>
        <v>33.333333333333336</v>
      </c>
      <c r="T187" s="78">
        <f t="shared" si="24"/>
        <v>45</v>
      </c>
      <c r="U187" s="78" t="str">
        <f t="shared" si="30"/>
        <v/>
      </c>
      <c r="V187" s="78">
        <f>IFERROR(I187+O187, "")</f>
        <v>100</v>
      </c>
      <c r="W187" s="78">
        <f t="shared" si="31"/>
        <v>98</v>
      </c>
      <c r="X187" s="78">
        <f t="shared" si="32"/>
        <v>51</v>
      </c>
      <c r="Y187" s="78">
        <f t="shared" si="33"/>
        <v>50.34</v>
      </c>
      <c r="AA187" s="88" t="str">
        <f t="shared" si="34"/>
        <v/>
      </c>
      <c r="AB187" s="77" t="str">
        <f t="shared" si="25"/>
        <v/>
      </c>
      <c r="AD187" s="88" t="str">
        <f t="shared" si="35"/>
        <v/>
      </c>
      <c r="AE187" s="77" t="str">
        <f t="shared" si="26"/>
        <v/>
      </c>
    </row>
    <row r="188" spans="2:31" x14ac:dyDescent="0.35">
      <c r="B188" s="2">
        <v>2017</v>
      </c>
      <c r="C188" s="2">
        <v>3</v>
      </c>
      <c r="D188" s="2">
        <v>7</v>
      </c>
      <c r="E188" s="78">
        <f>'CRU historical'!F187</f>
        <v>13.5</v>
      </c>
      <c r="F188" s="78">
        <f>'CRU historical'!I187</f>
        <v>20</v>
      </c>
      <c r="G188" s="78" t="str">
        <f>'CRU historical'!L187</f>
        <v xml:space="preserve"> </v>
      </c>
      <c r="H188" s="78" t="str">
        <f>'CRU historical'!O187</f>
        <v xml:space="preserve"> </v>
      </c>
      <c r="I188" s="78">
        <f>'CRU historical'!R187</f>
        <v>88.25</v>
      </c>
      <c r="J188" s="78">
        <f>AVERAGE('CRU historical'!U187, 'CRU historical'!X187, 'CRU historical'!AA187, 'CRU historical'!AD187)</f>
        <v>78</v>
      </c>
      <c r="L188" s="78" cm="1">
        <f t="array" ref="L188">IFERROR(SUMPRODUCT(('Sulphuric Acid freights'!$B$3:$B$513=B188)*('Sulphuric Acid freights'!$D$3:$D$513=D188)*('Sulphuric Acid freights'!$P$3:$P$513))/SUMPRODUCT(('Sulphuric Acid freights'!$B$3:$B$513=B188)*('Sulphuric Acid freights'!$D$3:$D$513=D188)*1), AVERAGE('Sulphuric Acid freights'!$P$3:$P$513))*2/3</f>
        <v>32</v>
      </c>
      <c r="M188" s="78" cm="1">
        <f t="array" ref="M188">IFERROR(SUMPRODUCT(('Sulphuric Acid freights'!$B$3:$B$513=B188)*('Sulphuric Acid freights'!$D$3:$D$513=D188)*('Sulphuric Acid freights'!$M$3:$M$513))/SUMPRODUCT(('Sulphuric Acid freights'!$B$3:$B$513=B188)*('Sulphuric Acid freights'!$D$3:$D$513=D188)*1)*2/3, AVERAGE('Sulphuric Acid freights'!$M$3:$M$513))</f>
        <v>13.333333333333334</v>
      </c>
      <c r="N188" s="78">
        <f t="shared" si="27"/>
        <v>28.8</v>
      </c>
      <c r="O188" s="78" cm="1">
        <f t="array" ref="O188">IF(SUMPRODUCT(('Sulphur freight'!$B$3:$B$1976=B188)*('Sulphur freight'!$D$3:$D$1976=D188)*('Sulphur freight'!$G$3:$G$1976))/SUMPRODUCT(('Sulphur freight'!$B$3:$B$1976=B188)*('Sulphur freight'!$D$3:$D$1976=D188)*1)=0, AVERAGE('Sulphur freight'!$G$3:$G$1976),SUMPRODUCT(('Sulphur freight'!$B$3:$B$1976=B188)*('Sulphur freight'!$D$3:$D$1976=D188)*('Sulphur freight'!$G$3:$G$1976))/SUMPRODUCT(('Sulphur freight'!$B$3:$B$1976=B188)*('Sulphur freight'!$D$3:$D$1976=D188)*1))</f>
        <v>20</v>
      </c>
      <c r="P188" s="78">
        <v>20</v>
      </c>
      <c r="R188" s="78" t="str">
        <f t="shared" si="28"/>
        <v xml:space="preserve"> </v>
      </c>
      <c r="S188" s="78">
        <f t="shared" si="29"/>
        <v>33.333333333333336</v>
      </c>
      <c r="T188" s="78">
        <f t="shared" si="24"/>
        <v>45.5</v>
      </c>
      <c r="U188" s="78" t="str">
        <f t="shared" si="30"/>
        <v/>
      </c>
      <c r="V188" s="78">
        <f>IFERROR(I188+O188, "")</f>
        <v>108.25</v>
      </c>
      <c r="W188" s="78">
        <f t="shared" si="31"/>
        <v>98</v>
      </c>
      <c r="X188" s="78">
        <f t="shared" si="32"/>
        <v>53.722500000000004</v>
      </c>
      <c r="Y188" s="78">
        <f t="shared" si="33"/>
        <v>50.34</v>
      </c>
      <c r="AA188" s="88" t="str">
        <f t="shared" si="34"/>
        <v/>
      </c>
      <c r="AB188" s="77" t="str">
        <f t="shared" si="25"/>
        <v/>
      </c>
      <c r="AD188" s="88" t="str">
        <f t="shared" si="35"/>
        <v/>
      </c>
      <c r="AE188" s="77" t="str">
        <f t="shared" si="26"/>
        <v/>
      </c>
    </row>
    <row r="189" spans="2:31" x14ac:dyDescent="0.35">
      <c r="B189" s="2">
        <v>2017</v>
      </c>
      <c r="C189" s="2">
        <v>3</v>
      </c>
      <c r="D189" s="2">
        <v>8</v>
      </c>
      <c r="E189" s="78">
        <f>'CRU historical'!F188</f>
        <v>15</v>
      </c>
      <c r="F189" s="78">
        <f>'CRU historical'!I188</f>
        <v>22.4</v>
      </c>
      <c r="G189" s="78" t="str">
        <f>'CRU historical'!L188</f>
        <v xml:space="preserve"> </v>
      </c>
      <c r="H189" s="78" t="str">
        <f>'CRU historical'!O188</f>
        <v xml:space="preserve"> </v>
      </c>
      <c r="I189" s="78">
        <f>'CRU historical'!R188</f>
        <v>103.8</v>
      </c>
      <c r="J189" s="78">
        <f>AVERAGE('CRU historical'!U188, 'CRU historical'!X188, 'CRU historical'!AA188, 'CRU historical'!AD188)</f>
        <v>85</v>
      </c>
      <c r="L189" s="78" cm="1">
        <f t="array" ref="L189">IFERROR(SUMPRODUCT(('Sulphuric Acid freights'!$B$3:$B$513=B189)*('Sulphuric Acid freights'!$D$3:$D$513=D189)*('Sulphuric Acid freights'!$P$3:$P$513))/SUMPRODUCT(('Sulphuric Acid freights'!$B$3:$B$513=B189)*('Sulphuric Acid freights'!$D$3:$D$513=D189)*1), AVERAGE('Sulphuric Acid freights'!$P$3:$P$513))*2/3</f>
        <v>32</v>
      </c>
      <c r="M189" s="78" cm="1">
        <f t="array" ref="M189">IFERROR(SUMPRODUCT(('Sulphuric Acid freights'!$B$3:$B$513=B189)*('Sulphuric Acid freights'!$D$3:$D$513=D189)*('Sulphuric Acid freights'!$M$3:$M$513))/SUMPRODUCT(('Sulphuric Acid freights'!$B$3:$B$513=B189)*('Sulphuric Acid freights'!$D$3:$D$513=D189)*1)*2/3, AVERAGE('Sulphuric Acid freights'!$M$3:$M$513))</f>
        <v>13.333333333333334</v>
      </c>
      <c r="N189" s="78">
        <f t="shared" si="27"/>
        <v>28.8</v>
      </c>
      <c r="O189" s="78" cm="1">
        <f t="array" ref="O189">IF(SUMPRODUCT(('Sulphur freight'!$B$3:$B$1976=B189)*('Sulphur freight'!$D$3:$D$1976=D189)*('Sulphur freight'!$G$3:$G$1976))/SUMPRODUCT(('Sulphur freight'!$B$3:$B$1976=B189)*('Sulphur freight'!$D$3:$D$1976=D189)*1)=0, AVERAGE('Sulphur freight'!$G$3:$G$1976),SUMPRODUCT(('Sulphur freight'!$B$3:$B$1976=B189)*('Sulphur freight'!$D$3:$D$1976=D189)*('Sulphur freight'!$G$3:$G$1976))/SUMPRODUCT(('Sulphur freight'!$B$3:$B$1976=B189)*('Sulphur freight'!$D$3:$D$1976=D189)*1))</f>
        <v>20</v>
      </c>
      <c r="P189" s="78">
        <v>20</v>
      </c>
      <c r="R189" s="78" t="str">
        <f t="shared" si="28"/>
        <v xml:space="preserve"> </v>
      </c>
      <c r="S189" s="78">
        <f t="shared" si="29"/>
        <v>35.733333333333334</v>
      </c>
      <c r="T189" s="78">
        <f t="shared" si="24"/>
        <v>47</v>
      </c>
      <c r="U189" s="78" t="str">
        <f t="shared" si="30"/>
        <v/>
      </c>
      <c r="V189" s="78">
        <f>IFERROR(I189+O189, "")</f>
        <v>123.8</v>
      </c>
      <c r="W189" s="78">
        <f t="shared" si="31"/>
        <v>105</v>
      </c>
      <c r="X189" s="78">
        <f t="shared" si="32"/>
        <v>58.853999999999999</v>
      </c>
      <c r="Y189" s="78">
        <f t="shared" si="33"/>
        <v>52.65</v>
      </c>
      <c r="AA189" s="88" t="str">
        <f t="shared" si="34"/>
        <v/>
      </c>
      <c r="AB189" s="77" t="str">
        <f t="shared" si="25"/>
        <v/>
      </c>
      <c r="AD189" s="88" t="str">
        <f t="shared" si="35"/>
        <v/>
      </c>
      <c r="AE189" s="77" t="str">
        <f t="shared" si="26"/>
        <v/>
      </c>
    </row>
    <row r="190" spans="2:31" x14ac:dyDescent="0.35">
      <c r="B190" s="2">
        <v>2017</v>
      </c>
      <c r="C190" s="2">
        <v>3</v>
      </c>
      <c r="D190" s="2">
        <v>9</v>
      </c>
      <c r="E190" s="78">
        <f>'CRU historical'!F189</f>
        <v>15</v>
      </c>
      <c r="F190" s="78">
        <f>'CRU historical'!I189</f>
        <v>25</v>
      </c>
      <c r="G190" s="78" t="str">
        <f>'CRU historical'!L189</f>
        <v xml:space="preserve"> </v>
      </c>
      <c r="H190" s="78" t="str">
        <f>'CRU historical'!O189</f>
        <v xml:space="preserve"> </v>
      </c>
      <c r="I190" s="78">
        <f>'CRU historical'!R189</f>
        <v>109.5</v>
      </c>
      <c r="J190" s="78">
        <f>AVERAGE('CRU historical'!U189, 'CRU historical'!X189, 'CRU historical'!AA189, 'CRU historical'!AD189)</f>
        <v>85</v>
      </c>
      <c r="L190" s="78" cm="1">
        <f t="array" ref="L190">IFERROR(SUMPRODUCT(('Sulphuric Acid freights'!$B$3:$B$513=B190)*('Sulphuric Acid freights'!$D$3:$D$513=D190)*('Sulphuric Acid freights'!$P$3:$P$513))/SUMPRODUCT(('Sulphuric Acid freights'!$B$3:$B$513=B190)*('Sulphuric Acid freights'!$D$3:$D$513=D190)*1), AVERAGE('Sulphuric Acid freights'!$P$3:$P$513))*2/3</f>
        <v>32</v>
      </c>
      <c r="M190" s="78" cm="1">
        <f t="array" ref="M190">IFERROR(SUMPRODUCT(('Sulphuric Acid freights'!$B$3:$B$513=B190)*('Sulphuric Acid freights'!$D$3:$D$513=D190)*('Sulphuric Acid freights'!$M$3:$M$513))/SUMPRODUCT(('Sulphuric Acid freights'!$B$3:$B$513=B190)*('Sulphuric Acid freights'!$D$3:$D$513=D190)*1)*2/3, AVERAGE('Sulphuric Acid freights'!$M$3:$M$513))</f>
        <v>13.333333333333334</v>
      </c>
      <c r="N190" s="78">
        <f t="shared" si="27"/>
        <v>28.8</v>
      </c>
      <c r="O190" s="78" cm="1">
        <f t="array" ref="O190">IF(SUMPRODUCT(('Sulphur freight'!$B$3:$B$1976=B190)*('Sulphur freight'!$D$3:$D$1976=D190)*('Sulphur freight'!$G$3:$G$1976))/SUMPRODUCT(('Sulphur freight'!$B$3:$B$1976=B190)*('Sulphur freight'!$D$3:$D$1976=D190)*1)=0, AVERAGE('Sulphur freight'!$G$3:$G$1976),SUMPRODUCT(('Sulphur freight'!$B$3:$B$1976=B190)*('Sulphur freight'!$D$3:$D$1976=D190)*('Sulphur freight'!$G$3:$G$1976))/SUMPRODUCT(('Sulphur freight'!$B$3:$B$1976=B190)*('Sulphur freight'!$D$3:$D$1976=D190)*1))</f>
        <v>21.5</v>
      </c>
      <c r="P190" s="78">
        <v>20</v>
      </c>
      <c r="R190" s="78" t="str">
        <f t="shared" si="28"/>
        <v xml:space="preserve"> </v>
      </c>
      <c r="S190" s="78">
        <f t="shared" si="29"/>
        <v>38.333333333333336</v>
      </c>
      <c r="T190" s="78">
        <f t="shared" si="24"/>
        <v>47</v>
      </c>
      <c r="U190" s="78" t="str">
        <f t="shared" si="30"/>
        <v/>
      </c>
      <c r="V190" s="78">
        <f>IFERROR(I190+O190, "")</f>
        <v>131</v>
      </c>
      <c r="W190" s="78">
        <f t="shared" si="31"/>
        <v>105</v>
      </c>
      <c r="X190" s="78">
        <f t="shared" si="32"/>
        <v>61.230000000000004</v>
      </c>
      <c r="Y190" s="78">
        <f t="shared" si="33"/>
        <v>52.65</v>
      </c>
      <c r="AA190" s="88" t="str">
        <f t="shared" si="34"/>
        <v/>
      </c>
      <c r="AB190" s="77" t="str">
        <f t="shared" si="25"/>
        <v/>
      </c>
      <c r="AD190" s="88" t="str">
        <f t="shared" si="35"/>
        <v/>
      </c>
      <c r="AE190" s="77" t="str">
        <f t="shared" si="26"/>
        <v/>
      </c>
    </row>
    <row r="191" spans="2:31" x14ac:dyDescent="0.35">
      <c r="B191" s="2">
        <v>2017</v>
      </c>
      <c r="C191" s="2">
        <v>4</v>
      </c>
      <c r="D191" s="2">
        <v>10</v>
      </c>
      <c r="E191" s="78">
        <f>'CRU historical'!F190</f>
        <v>14.5</v>
      </c>
      <c r="F191" s="78">
        <f>'CRU historical'!I190</f>
        <v>25</v>
      </c>
      <c r="G191" s="78" t="str">
        <f>'CRU historical'!L190</f>
        <v xml:space="preserve"> </v>
      </c>
      <c r="H191" s="78" t="str">
        <f>'CRU historical'!O190</f>
        <v xml:space="preserve"> </v>
      </c>
      <c r="I191" s="78">
        <f>'CRU historical'!R190</f>
        <v>137.25</v>
      </c>
      <c r="J191" s="78">
        <f>AVERAGE('CRU historical'!U190, 'CRU historical'!X190, 'CRU historical'!AA190, 'CRU historical'!AD190)</f>
        <v>91</v>
      </c>
      <c r="L191" s="78" cm="1">
        <f t="array" ref="L191">IFERROR(SUMPRODUCT(('Sulphuric Acid freights'!$B$3:$B$513=B191)*('Sulphuric Acid freights'!$D$3:$D$513=D191)*('Sulphuric Acid freights'!$P$3:$P$513))/SUMPRODUCT(('Sulphuric Acid freights'!$B$3:$B$513=B191)*('Sulphuric Acid freights'!$D$3:$D$513=D191)*1), AVERAGE('Sulphuric Acid freights'!$P$3:$P$513))*2/3</f>
        <v>32</v>
      </c>
      <c r="M191" s="78" cm="1">
        <f t="array" ref="M191">IFERROR(SUMPRODUCT(('Sulphuric Acid freights'!$B$3:$B$513=B191)*('Sulphuric Acid freights'!$D$3:$D$513=D191)*('Sulphuric Acid freights'!$M$3:$M$513))/SUMPRODUCT(('Sulphuric Acid freights'!$B$3:$B$513=B191)*('Sulphuric Acid freights'!$D$3:$D$513=D191)*1)*2/3, AVERAGE('Sulphuric Acid freights'!$M$3:$M$513))</f>
        <v>13.333333333333334</v>
      </c>
      <c r="N191" s="78">
        <f t="shared" si="27"/>
        <v>28.8</v>
      </c>
      <c r="O191" s="78" cm="1">
        <f t="array" ref="O191">IF(SUMPRODUCT(('Sulphur freight'!$B$3:$B$1976=B191)*('Sulphur freight'!$D$3:$D$1976=D191)*('Sulphur freight'!$G$3:$G$1976))/SUMPRODUCT(('Sulphur freight'!$B$3:$B$1976=B191)*('Sulphur freight'!$D$3:$D$1976=D191)*1)=0, AVERAGE('Sulphur freight'!$G$3:$G$1976),SUMPRODUCT(('Sulphur freight'!$B$3:$B$1976=B191)*('Sulphur freight'!$D$3:$D$1976=D191)*('Sulphur freight'!$G$3:$G$1976))/SUMPRODUCT(('Sulphur freight'!$B$3:$B$1976=B191)*('Sulphur freight'!$D$3:$D$1976=D191)*1))</f>
        <v>22.75</v>
      </c>
      <c r="P191" s="78">
        <v>20</v>
      </c>
      <c r="R191" s="78" t="str">
        <f t="shared" si="28"/>
        <v xml:space="preserve"> </v>
      </c>
      <c r="S191" s="78">
        <f t="shared" si="29"/>
        <v>38.333333333333336</v>
      </c>
      <c r="T191" s="78">
        <f t="shared" si="24"/>
        <v>46.5</v>
      </c>
      <c r="U191" s="78" t="str">
        <f t="shared" si="30"/>
        <v/>
      </c>
      <c r="V191" s="78">
        <f>IFERROR(I191+O191, "")</f>
        <v>160</v>
      </c>
      <c r="W191" s="78">
        <f t="shared" si="31"/>
        <v>111</v>
      </c>
      <c r="X191" s="78">
        <f t="shared" si="32"/>
        <v>70.800000000000011</v>
      </c>
      <c r="Y191" s="78">
        <f t="shared" si="33"/>
        <v>54.63</v>
      </c>
      <c r="AA191" s="88" t="str">
        <f t="shared" si="34"/>
        <v/>
      </c>
      <c r="AB191" s="77" t="str">
        <f t="shared" si="25"/>
        <v/>
      </c>
      <c r="AD191" s="88" t="str">
        <f t="shared" si="35"/>
        <v/>
      </c>
      <c r="AE191" s="77" t="str">
        <f t="shared" si="26"/>
        <v/>
      </c>
    </row>
    <row r="192" spans="2:31" x14ac:dyDescent="0.35">
      <c r="B192" s="2">
        <v>2017</v>
      </c>
      <c r="C192" s="2">
        <v>4</v>
      </c>
      <c r="D192" s="2">
        <v>11</v>
      </c>
      <c r="E192" s="78">
        <f>'CRU historical'!F191</f>
        <v>11.8</v>
      </c>
      <c r="F192" s="78">
        <f>'CRU historical'!I191</f>
        <v>25</v>
      </c>
      <c r="G192" s="78" t="str">
        <f>'CRU historical'!L191</f>
        <v xml:space="preserve"> </v>
      </c>
      <c r="H192" s="78" t="str">
        <f>'CRU historical'!O191</f>
        <v xml:space="preserve"> </v>
      </c>
      <c r="I192" s="78">
        <f>'CRU historical'!R191</f>
        <v>191.8</v>
      </c>
      <c r="J192" s="78">
        <f>AVERAGE('CRU historical'!U191, 'CRU historical'!X191, 'CRU historical'!AA191, 'CRU historical'!AD191)</f>
        <v>109</v>
      </c>
      <c r="L192" s="78" cm="1">
        <f t="array" ref="L192">IFERROR(SUMPRODUCT(('Sulphuric Acid freights'!$B$3:$B$513=B192)*('Sulphuric Acid freights'!$D$3:$D$513=D192)*('Sulphuric Acid freights'!$P$3:$P$513))/SUMPRODUCT(('Sulphuric Acid freights'!$B$3:$B$513=B192)*('Sulphuric Acid freights'!$D$3:$D$513=D192)*1), AVERAGE('Sulphuric Acid freights'!$P$3:$P$513))*2/3</f>
        <v>32</v>
      </c>
      <c r="M192" s="78" cm="1">
        <f t="array" ref="M192">IFERROR(SUMPRODUCT(('Sulphuric Acid freights'!$B$3:$B$513=B192)*('Sulphuric Acid freights'!$D$3:$D$513=D192)*('Sulphuric Acid freights'!$M$3:$M$513))/SUMPRODUCT(('Sulphuric Acid freights'!$B$3:$B$513=B192)*('Sulphuric Acid freights'!$D$3:$D$513=D192)*1)*2/3, AVERAGE('Sulphuric Acid freights'!$M$3:$M$513))</f>
        <v>13.333333333333334</v>
      </c>
      <c r="N192" s="78">
        <f t="shared" si="27"/>
        <v>28.8</v>
      </c>
      <c r="O192" s="78" cm="1">
        <f t="array" ref="O192">IF(SUMPRODUCT(('Sulphur freight'!$B$3:$B$1976=B192)*('Sulphur freight'!$D$3:$D$1976=D192)*('Sulphur freight'!$G$3:$G$1976))/SUMPRODUCT(('Sulphur freight'!$B$3:$B$1976=B192)*('Sulphur freight'!$D$3:$D$1976=D192)*1)=0, AVERAGE('Sulphur freight'!$G$3:$G$1976),SUMPRODUCT(('Sulphur freight'!$B$3:$B$1976=B192)*('Sulphur freight'!$D$3:$D$1976=D192)*('Sulphur freight'!$G$3:$G$1976))/SUMPRODUCT(('Sulphur freight'!$B$3:$B$1976=B192)*('Sulphur freight'!$D$3:$D$1976=D192)*1))</f>
        <v>22.4</v>
      </c>
      <c r="P192" s="78">
        <v>20</v>
      </c>
      <c r="R192" s="78" t="str">
        <f t="shared" si="28"/>
        <v xml:space="preserve"> </v>
      </c>
      <c r="S192" s="78">
        <f t="shared" si="29"/>
        <v>38.333333333333336</v>
      </c>
      <c r="T192" s="78">
        <f t="shared" si="24"/>
        <v>43.8</v>
      </c>
      <c r="U192" s="78" t="str">
        <f t="shared" si="30"/>
        <v/>
      </c>
      <c r="V192" s="78">
        <f>IFERROR(I192+O192, "")</f>
        <v>214.20000000000002</v>
      </c>
      <c r="W192" s="78">
        <f t="shared" si="31"/>
        <v>129</v>
      </c>
      <c r="X192" s="78">
        <f t="shared" si="32"/>
        <v>88.686000000000007</v>
      </c>
      <c r="Y192" s="78">
        <f t="shared" si="33"/>
        <v>60.57</v>
      </c>
      <c r="AA192" s="88" t="str">
        <f t="shared" si="34"/>
        <v/>
      </c>
      <c r="AB192" s="77" t="str">
        <f t="shared" si="25"/>
        <v/>
      </c>
      <c r="AD192" s="88" t="str">
        <f t="shared" si="35"/>
        <v/>
      </c>
      <c r="AE192" s="77" t="str">
        <f t="shared" si="26"/>
        <v/>
      </c>
    </row>
    <row r="193" spans="2:31" x14ac:dyDescent="0.35">
      <c r="B193" s="2">
        <v>2017</v>
      </c>
      <c r="C193" s="2">
        <v>4</v>
      </c>
      <c r="D193" s="2">
        <v>12</v>
      </c>
      <c r="E193" s="78">
        <f>'CRU historical'!F192</f>
        <v>14.333333333333334</v>
      </c>
      <c r="F193" s="78">
        <f>'CRU historical'!I192</f>
        <v>25</v>
      </c>
      <c r="G193" s="78" t="str">
        <f>'CRU historical'!L192</f>
        <v xml:space="preserve"> </v>
      </c>
      <c r="H193" s="78" t="str">
        <f>'CRU historical'!O192</f>
        <v xml:space="preserve"> </v>
      </c>
      <c r="I193" s="78">
        <f>'CRU historical'!R192</f>
        <v>163.33333333333334</v>
      </c>
      <c r="J193" s="78">
        <f>AVERAGE('CRU historical'!U192, 'CRU historical'!X192, 'CRU historical'!AA192, 'CRU historical'!AD192)</f>
        <v>109</v>
      </c>
      <c r="L193" s="78" cm="1">
        <f t="array" ref="L193">IFERROR(SUMPRODUCT(('Sulphuric Acid freights'!$B$3:$B$513=B193)*('Sulphuric Acid freights'!$D$3:$D$513=D193)*('Sulphuric Acid freights'!$P$3:$P$513))/SUMPRODUCT(('Sulphuric Acid freights'!$B$3:$B$513=B193)*('Sulphuric Acid freights'!$D$3:$D$513=D193)*1), AVERAGE('Sulphuric Acid freights'!$P$3:$P$513))*2/3</f>
        <v>32</v>
      </c>
      <c r="M193" s="78" cm="1">
        <f t="array" ref="M193">IFERROR(SUMPRODUCT(('Sulphuric Acid freights'!$B$3:$B$513=B193)*('Sulphuric Acid freights'!$D$3:$D$513=D193)*('Sulphuric Acid freights'!$M$3:$M$513))/SUMPRODUCT(('Sulphuric Acid freights'!$B$3:$B$513=B193)*('Sulphuric Acid freights'!$D$3:$D$513=D193)*1)*2/3, AVERAGE('Sulphuric Acid freights'!$M$3:$M$513))</f>
        <v>13.333333333333334</v>
      </c>
      <c r="N193" s="78">
        <f t="shared" si="27"/>
        <v>28.8</v>
      </c>
      <c r="O193" s="78" cm="1">
        <f t="array" ref="O193">IF(SUMPRODUCT(('Sulphur freight'!$B$3:$B$1976=B193)*('Sulphur freight'!$D$3:$D$1976=D193)*('Sulphur freight'!$G$3:$G$1976))/SUMPRODUCT(('Sulphur freight'!$B$3:$B$1976=B193)*('Sulphur freight'!$D$3:$D$1976=D193)*1)=0, AVERAGE('Sulphur freight'!$G$3:$G$1976),SUMPRODUCT(('Sulphur freight'!$B$3:$B$1976=B193)*('Sulphur freight'!$D$3:$D$1976=D193)*('Sulphur freight'!$G$3:$G$1976))/SUMPRODUCT(('Sulphur freight'!$B$3:$B$1976=B193)*('Sulphur freight'!$D$3:$D$1976=D193)*1))</f>
        <v>22.5</v>
      </c>
      <c r="P193" s="78">
        <v>20</v>
      </c>
      <c r="R193" s="78" t="str">
        <f t="shared" si="28"/>
        <v xml:space="preserve"> </v>
      </c>
      <c r="S193" s="78">
        <f t="shared" si="29"/>
        <v>38.333333333333336</v>
      </c>
      <c r="T193" s="78">
        <f t="shared" si="24"/>
        <v>46.333333333333336</v>
      </c>
      <c r="U193" s="78" t="str">
        <f t="shared" si="30"/>
        <v/>
      </c>
      <c r="V193" s="78">
        <f>IFERROR(I193+O193, "")</f>
        <v>185.83333333333334</v>
      </c>
      <c r="W193" s="78">
        <f t="shared" si="31"/>
        <v>129</v>
      </c>
      <c r="X193" s="78">
        <f t="shared" si="32"/>
        <v>79.325000000000003</v>
      </c>
      <c r="Y193" s="78">
        <f t="shared" si="33"/>
        <v>60.57</v>
      </c>
      <c r="AA193" s="88" t="str">
        <f t="shared" si="34"/>
        <v/>
      </c>
      <c r="AB193" s="77" t="str">
        <f t="shared" si="25"/>
        <v/>
      </c>
      <c r="AD193" s="88" t="str">
        <f t="shared" si="35"/>
        <v/>
      </c>
      <c r="AE193" s="77" t="str">
        <f t="shared" si="26"/>
        <v/>
      </c>
    </row>
    <row r="194" spans="2:31" x14ac:dyDescent="0.35">
      <c r="B194" s="2">
        <v>2018</v>
      </c>
      <c r="C194" s="2">
        <v>1</v>
      </c>
      <c r="D194" s="2">
        <v>1</v>
      </c>
      <c r="E194" s="78">
        <f>'CRU historical'!F193</f>
        <v>17.25</v>
      </c>
      <c r="F194" s="78">
        <f>'CRU historical'!I193</f>
        <v>32</v>
      </c>
      <c r="G194" s="78" t="str">
        <f>'CRU historical'!L193</f>
        <v xml:space="preserve"> </v>
      </c>
      <c r="H194" s="78" t="str">
        <f>'CRU historical'!O193</f>
        <v xml:space="preserve"> </v>
      </c>
      <c r="I194" s="78">
        <f>'CRU historical'!R193</f>
        <v>133</v>
      </c>
      <c r="J194" s="78">
        <f>AVERAGE('CRU historical'!U193, 'CRU historical'!X193, 'CRU historical'!AA193, 'CRU historical'!AD193)</f>
        <v>116.25</v>
      </c>
      <c r="L194" s="78" cm="1">
        <f t="array" ref="L194">IFERROR(SUMPRODUCT(('Sulphuric Acid freights'!$B$3:$B$513=B194)*('Sulphuric Acid freights'!$D$3:$D$513=D194)*('Sulphuric Acid freights'!$P$3:$P$513))/SUMPRODUCT(('Sulphuric Acid freights'!$B$3:$B$513=B194)*('Sulphuric Acid freights'!$D$3:$D$513=D194)*1), AVERAGE('Sulphuric Acid freights'!$P$3:$P$513))*2/3</f>
        <v>32</v>
      </c>
      <c r="M194" s="78" cm="1">
        <f t="array" ref="M194">IFERROR(SUMPRODUCT(('Sulphuric Acid freights'!$B$3:$B$513=B194)*('Sulphuric Acid freights'!$D$3:$D$513=D194)*('Sulphuric Acid freights'!$M$3:$M$513))/SUMPRODUCT(('Sulphuric Acid freights'!$B$3:$B$513=B194)*('Sulphuric Acid freights'!$D$3:$D$513=D194)*1)*2/3, AVERAGE('Sulphuric Acid freights'!$M$3:$M$513))</f>
        <v>13.333333333333334</v>
      </c>
      <c r="N194" s="78">
        <f t="shared" si="27"/>
        <v>28.8</v>
      </c>
      <c r="O194" s="78" cm="1">
        <f t="array" ref="O194">IF(SUMPRODUCT(('Sulphur freight'!$B$3:$B$1976=B194)*('Sulphur freight'!$D$3:$D$1976=D194)*('Sulphur freight'!$G$3:$G$1976))/SUMPRODUCT(('Sulphur freight'!$B$3:$B$1976=B194)*('Sulphur freight'!$D$3:$D$1976=D194)*1)=0, AVERAGE('Sulphur freight'!$G$3:$G$1976),SUMPRODUCT(('Sulphur freight'!$B$3:$B$1976=B194)*('Sulphur freight'!$D$3:$D$1976=D194)*('Sulphur freight'!$G$3:$G$1976))/SUMPRODUCT(('Sulphur freight'!$B$3:$B$1976=B194)*('Sulphur freight'!$D$3:$D$1976=D194)*1))</f>
        <v>22.75</v>
      </c>
      <c r="P194" s="78">
        <v>20</v>
      </c>
      <c r="R194" s="78" t="str">
        <f t="shared" si="28"/>
        <v xml:space="preserve"> </v>
      </c>
      <c r="S194" s="78">
        <f t="shared" si="29"/>
        <v>45.333333333333336</v>
      </c>
      <c r="T194" s="78">
        <f t="shared" si="24"/>
        <v>49.25</v>
      </c>
      <c r="U194" s="78" t="str">
        <f t="shared" si="30"/>
        <v/>
      </c>
      <c r="V194" s="78">
        <f>IFERROR(I194+O194, "")</f>
        <v>155.75</v>
      </c>
      <c r="W194" s="78">
        <f t="shared" si="31"/>
        <v>136.25</v>
      </c>
      <c r="X194" s="78">
        <f t="shared" si="32"/>
        <v>69.397500000000008</v>
      </c>
      <c r="Y194" s="78">
        <f t="shared" si="33"/>
        <v>62.962499999999999</v>
      </c>
      <c r="AA194" s="88" t="str">
        <f t="shared" si="34"/>
        <v/>
      </c>
      <c r="AB194" s="77" t="str">
        <f t="shared" si="25"/>
        <v/>
      </c>
      <c r="AD194" s="88" t="str">
        <f t="shared" si="35"/>
        <v/>
      </c>
      <c r="AE194" s="77" t="str">
        <f t="shared" si="26"/>
        <v/>
      </c>
    </row>
    <row r="195" spans="2:31" x14ac:dyDescent="0.35">
      <c r="B195" s="2">
        <v>2018</v>
      </c>
      <c r="C195" s="2">
        <v>1</v>
      </c>
      <c r="D195" s="2">
        <v>2</v>
      </c>
      <c r="E195" s="78">
        <f>'CRU historical'!F194</f>
        <v>18.5</v>
      </c>
      <c r="F195" s="78">
        <f>'CRU historical'!I194</f>
        <v>35.75</v>
      </c>
      <c r="G195" s="78" t="str">
        <f>'CRU historical'!L194</f>
        <v xml:space="preserve"> </v>
      </c>
      <c r="H195" s="78" t="str">
        <f>'CRU historical'!O194</f>
        <v xml:space="preserve"> </v>
      </c>
      <c r="I195" s="78">
        <f>'CRU historical'!R194</f>
        <v>121.5</v>
      </c>
      <c r="J195" s="78">
        <f>AVERAGE('CRU historical'!U194, 'CRU historical'!X194, 'CRU historical'!AA194, 'CRU historical'!AD194)</f>
        <v>138</v>
      </c>
      <c r="L195" s="78" cm="1">
        <f t="array" ref="L195">IFERROR(SUMPRODUCT(('Sulphuric Acid freights'!$B$3:$B$513=B195)*('Sulphuric Acid freights'!$D$3:$D$513=D195)*('Sulphuric Acid freights'!$P$3:$P$513))/SUMPRODUCT(('Sulphuric Acid freights'!$B$3:$B$513=B195)*('Sulphuric Acid freights'!$D$3:$D$513=D195)*1), AVERAGE('Sulphuric Acid freights'!$P$3:$P$513))*2/3</f>
        <v>32</v>
      </c>
      <c r="M195" s="78" cm="1">
        <f t="array" ref="M195">IFERROR(SUMPRODUCT(('Sulphuric Acid freights'!$B$3:$B$513=B195)*('Sulphuric Acid freights'!$D$3:$D$513=D195)*('Sulphuric Acid freights'!$M$3:$M$513))/SUMPRODUCT(('Sulphuric Acid freights'!$B$3:$B$513=B195)*('Sulphuric Acid freights'!$D$3:$D$513=D195)*1)*2/3, AVERAGE('Sulphuric Acid freights'!$M$3:$M$513))</f>
        <v>13.333333333333334</v>
      </c>
      <c r="N195" s="78">
        <f t="shared" si="27"/>
        <v>28.8</v>
      </c>
      <c r="O195" s="78" cm="1">
        <f t="array" ref="O195">IF(SUMPRODUCT(('Sulphur freight'!$B$3:$B$1976=B195)*('Sulphur freight'!$D$3:$D$1976=D195)*('Sulphur freight'!$G$3:$G$1976))/SUMPRODUCT(('Sulphur freight'!$B$3:$B$1976=B195)*('Sulphur freight'!$D$3:$D$1976=D195)*1)=0, AVERAGE('Sulphur freight'!$G$3:$G$1976),SUMPRODUCT(('Sulphur freight'!$B$3:$B$1976=B195)*('Sulphur freight'!$D$3:$D$1976=D195)*('Sulphur freight'!$G$3:$G$1976))/SUMPRODUCT(('Sulphur freight'!$B$3:$B$1976=B195)*('Sulphur freight'!$D$3:$D$1976=D195)*1))</f>
        <v>22.25</v>
      </c>
      <c r="P195" s="78">
        <v>20</v>
      </c>
      <c r="R195" s="78" t="str">
        <f t="shared" si="28"/>
        <v xml:space="preserve"> </v>
      </c>
      <c r="S195" s="78">
        <f t="shared" si="29"/>
        <v>49.083333333333336</v>
      </c>
      <c r="T195" s="78">
        <f t="shared" si="24"/>
        <v>50.5</v>
      </c>
      <c r="U195" s="78" t="str">
        <f t="shared" si="30"/>
        <v/>
      </c>
      <c r="V195" s="78">
        <f>IFERROR(I195+O195, "")</f>
        <v>143.75</v>
      </c>
      <c r="W195" s="78">
        <f t="shared" si="31"/>
        <v>158</v>
      </c>
      <c r="X195" s="78">
        <f t="shared" si="32"/>
        <v>65.4375</v>
      </c>
      <c r="Y195" s="78">
        <f t="shared" si="33"/>
        <v>70.14</v>
      </c>
      <c r="AA195" s="88" t="str">
        <f t="shared" si="34"/>
        <v/>
      </c>
      <c r="AB195" s="77" t="str">
        <f t="shared" si="25"/>
        <v/>
      </c>
      <c r="AD195" s="88" t="str">
        <f t="shared" si="35"/>
        <v/>
      </c>
      <c r="AE195" s="77" t="str">
        <f t="shared" si="26"/>
        <v/>
      </c>
    </row>
    <row r="196" spans="2:31" x14ac:dyDescent="0.35">
      <c r="B196" s="2">
        <v>2018</v>
      </c>
      <c r="C196" s="2">
        <v>1</v>
      </c>
      <c r="D196" s="2">
        <v>3</v>
      </c>
      <c r="E196" s="78">
        <f>'CRU historical'!F195</f>
        <v>20</v>
      </c>
      <c r="F196" s="78">
        <f>'CRU historical'!I195</f>
        <v>46</v>
      </c>
      <c r="G196" s="78" t="str">
        <f>'CRU historical'!L195</f>
        <v xml:space="preserve"> </v>
      </c>
      <c r="H196" s="78" t="str">
        <f>'CRU historical'!O195</f>
        <v xml:space="preserve"> </v>
      </c>
      <c r="I196" s="78">
        <f>'CRU historical'!R195</f>
        <v>125</v>
      </c>
      <c r="J196" s="78">
        <f>AVERAGE('CRU historical'!U195, 'CRU historical'!X195, 'CRU historical'!AA195, 'CRU historical'!AD195)</f>
        <v>138</v>
      </c>
      <c r="L196" s="78" cm="1">
        <f t="array" ref="L196">IFERROR(SUMPRODUCT(('Sulphuric Acid freights'!$B$3:$B$513=B196)*('Sulphuric Acid freights'!$D$3:$D$513=D196)*('Sulphuric Acid freights'!$P$3:$P$513))/SUMPRODUCT(('Sulphuric Acid freights'!$B$3:$B$513=B196)*('Sulphuric Acid freights'!$D$3:$D$513=D196)*1), AVERAGE('Sulphuric Acid freights'!$P$3:$P$513))*2/3</f>
        <v>32</v>
      </c>
      <c r="M196" s="78" cm="1">
        <f t="array" ref="M196">IFERROR(SUMPRODUCT(('Sulphuric Acid freights'!$B$3:$B$513=B196)*('Sulphuric Acid freights'!$D$3:$D$513=D196)*('Sulphuric Acid freights'!$M$3:$M$513))/SUMPRODUCT(('Sulphuric Acid freights'!$B$3:$B$513=B196)*('Sulphuric Acid freights'!$D$3:$D$513=D196)*1)*2/3, AVERAGE('Sulphuric Acid freights'!$M$3:$M$513))</f>
        <v>13.333333333333334</v>
      </c>
      <c r="N196" s="78">
        <f t="shared" si="27"/>
        <v>28.8</v>
      </c>
      <c r="O196" s="78" cm="1">
        <f t="array" ref="O196">IF(SUMPRODUCT(('Sulphur freight'!$B$3:$B$1976=B196)*('Sulphur freight'!$D$3:$D$1976=D196)*('Sulphur freight'!$G$3:$G$1976))/SUMPRODUCT(('Sulphur freight'!$B$3:$B$1976=B196)*('Sulphur freight'!$D$3:$D$1976=D196)*1)=0, AVERAGE('Sulphur freight'!$G$3:$G$1976),SUMPRODUCT(('Sulphur freight'!$B$3:$B$1976=B196)*('Sulphur freight'!$D$3:$D$1976=D196)*('Sulphur freight'!$G$3:$G$1976))/SUMPRODUCT(('Sulphur freight'!$B$3:$B$1976=B196)*('Sulphur freight'!$D$3:$D$1976=D196)*1))</f>
        <v>23.4</v>
      </c>
      <c r="P196" s="78">
        <v>20</v>
      </c>
      <c r="R196" s="78" t="str">
        <f t="shared" si="28"/>
        <v xml:space="preserve"> </v>
      </c>
      <c r="S196" s="78">
        <f t="shared" si="29"/>
        <v>59.333333333333336</v>
      </c>
      <c r="T196" s="78">
        <f t="shared" si="24"/>
        <v>52</v>
      </c>
      <c r="U196" s="78" t="str">
        <f t="shared" si="30"/>
        <v/>
      </c>
      <c r="V196" s="78">
        <f>IFERROR(I196+O196, "")</f>
        <v>148.4</v>
      </c>
      <c r="W196" s="78">
        <f t="shared" si="31"/>
        <v>158</v>
      </c>
      <c r="X196" s="78">
        <f t="shared" si="32"/>
        <v>66.972000000000008</v>
      </c>
      <c r="Y196" s="78">
        <f t="shared" si="33"/>
        <v>70.14</v>
      </c>
      <c r="AA196" s="88" t="str">
        <f t="shared" si="34"/>
        <v/>
      </c>
      <c r="AB196" s="77" t="str">
        <f t="shared" si="25"/>
        <v/>
      </c>
      <c r="AD196" s="88" t="str">
        <f t="shared" si="35"/>
        <v/>
      </c>
      <c r="AE196" s="77" t="str">
        <f t="shared" si="26"/>
        <v/>
      </c>
    </row>
    <row r="197" spans="2:31" x14ac:dyDescent="0.35">
      <c r="B197" s="2">
        <v>2018</v>
      </c>
      <c r="C197" s="2">
        <v>2</v>
      </c>
      <c r="D197" s="2">
        <v>4</v>
      </c>
      <c r="E197" s="78">
        <f>'CRU historical'!F196</f>
        <v>20</v>
      </c>
      <c r="F197" s="78">
        <f>'CRU historical'!I196</f>
        <v>52.5</v>
      </c>
      <c r="G197" s="78" t="str">
        <f>'CRU historical'!L196</f>
        <v xml:space="preserve"> </v>
      </c>
      <c r="H197" s="78" t="str">
        <f>'CRU historical'!O196</f>
        <v xml:space="preserve"> </v>
      </c>
      <c r="I197" s="78">
        <f>'CRU historical'!R196</f>
        <v>115</v>
      </c>
      <c r="J197" s="78">
        <f>AVERAGE('CRU historical'!U196, 'CRU historical'!X196, 'CRU historical'!AA196, 'CRU historical'!AD196)</f>
        <v>133.75</v>
      </c>
      <c r="L197" s="78" cm="1">
        <f t="array" ref="L197">IFERROR(SUMPRODUCT(('Sulphuric Acid freights'!$B$3:$B$513=B197)*('Sulphuric Acid freights'!$D$3:$D$513=D197)*('Sulphuric Acid freights'!$P$3:$P$513))/SUMPRODUCT(('Sulphuric Acid freights'!$B$3:$B$513=B197)*('Sulphuric Acid freights'!$D$3:$D$513=D197)*1), AVERAGE('Sulphuric Acid freights'!$P$3:$P$513))*2/3</f>
        <v>32</v>
      </c>
      <c r="M197" s="78" cm="1">
        <f t="array" ref="M197">IFERROR(SUMPRODUCT(('Sulphuric Acid freights'!$B$3:$B$513=B197)*('Sulphuric Acid freights'!$D$3:$D$513=D197)*('Sulphuric Acid freights'!$M$3:$M$513))/SUMPRODUCT(('Sulphuric Acid freights'!$B$3:$B$513=B197)*('Sulphuric Acid freights'!$D$3:$D$513=D197)*1)*2/3, AVERAGE('Sulphuric Acid freights'!$M$3:$M$513))</f>
        <v>13.333333333333334</v>
      </c>
      <c r="N197" s="78">
        <f t="shared" si="27"/>
        <v>28.8</v>
      </c>
      <c r="O197" s="78" cm="1">
        <f t="array" ref="O197">IF(SUMPRODUCT(('Sulphur freight'!$B$3:$B$1976=B197)*('Sulphur freight'!$D$3:$D$1976=D197)*('Sulphur freight'!$G$3:$G$1976))/SUMPRODUCT(('Sulphur freight'!$B$3:$B$1976=B197)*('Sulphur freight'!$D$3:$D$1976=D197)*1)=0, AVERAGE('Sulphur freight'!$G$3:$G$1976),SUMPRODUCT(('Sulphur freight'!$B$3:$B$1976=B197)*('Sulphur freight'!$D$3:$D$1976=D197)*('Sulphur freight'!$G$3:$G$1976))/SUMPRODUCT(('Sulphur freight'!$B$3:$B$1976=B197)*('Sulphur freight'!$D$3:$D$1976=D197)*1))</f>
        <v>22</v>
      </c>
      <c r="P197" s="78">
        <v>20</v>
      </c>
      <c r="R197" s="78" t="str">
        <f t="shared" si="28"/>
        <v xml:space="preserve"> </v>
      </c>
      <c r="S197" s="78">
        <f t="shared" si="29"/>
        <v>65.833333333333329</v>
      </c>
      <c r="T197" s="78">
        <f t="shared" si="24"/>
        <v>52</v>
      </c>
      <c r="U197" s="78" t="str">
        <f t="shared" si="30"/>
        <v/>
      </c>
      <c r="V197" s="78">
        <f>IFERROR(I197+O197, "")</f>
        <v>137</v>
      </c>
      <c r="W197" s="78">
        <f t="shared" si="31"/>
        <v>153.75</v>
      </c>
      <c r="X197" s="78">
        <f t="shared" si="32"/>
        <v>63.21</v>
      </c>
      <c r="Y197" s="78">
        <f t="shared" si="33"/>
        <v>68.737500000000011</v>
      </c>
      <c r="AA197" s="88" t="str">
        <f t="shared" si="34"/>
        <v/>
      </c>
      <c r="AB197" s="77" t="str">
        <f t="shared" si="25"/>
        <v/>
      </c>
      <c r="AD197" s="88" t="str">
        <f t="shared" si="35"/>
        <v/>
      </c>
      <c r="AE197" s="77" t="str">
        <f t="shared" si="26"/>
        <v/>
      </c>
    </row>
    <row r="198" spans="2:31" x14ac:dyDescent="0.35">
      <c r="B198" s="2">
        <v>2018</v>
      </c>
      <c r="C198" s="2">
        <v>2</v>
      </c>
      <c r="D198" s="2">
        <v>5</v>
      </c>
      <c r="E198" s="78">
        <f>'CRU historical'!F197</f>
        <v>25.6</v>
      </c>
      <c r="F198" s="78">
        <f>'CRU historical'!I197</f>
        <v>56</v>
      </c>
      <c r="G198" s="78" t="str">
        <f>'CRU historical'!L197</f>
        <v xml:space="preserve"> </v>
      </c>
      <c r="H198" s="78" t="str">
        <f>'CRU historical'!O197</f>
        <v xml:space="preserve"> </v>
      </c>
      <c r="I198" s="78">
        <f>'CRU historical'!R197</f>
        <v>126.6</v>
      </c>
      <c r="J198" s="78">
        <f>AVERAGE('CRU historical'!U197, 'CRU historical'!X197, 'CRU historical'!AA197, 'CRU historical'!AD197)</f>
        <v>121</v>
      </c>
      <c r="L198" s="78" cm="1">
        <f t="array" ref="L198">IFERROR(SUMPRODUCT(('Sulphuric Acid freights'!$B$3:$B$513=B198)*('Sulphuric Acid freights'!$D$3:$D$513=D198)*('Sulphuric Acid freights'!$P$3:$P$513))/SUMPRODUCT(('Sulphuric Acid freights'!$B$3:$B$513=B198)*('Sulphuric Acid freights'!$D$3:$D$513=D198)*1), AVERAGE('Sulphuric Acid freights'!$P$3:$P$513))*2/3</f>
        <v>32</v>
      </c>
      <c r="M198" s="78" cm="1">
        <f t="array" ref="M198">IFERROR(SUMPRODUCT(('Sulphuric Acid freights'!$B$3:$B$513=B198)*('Sulphuric Acid freights'!$D$3:$D$513=D198)*('Sulphuric Acid freights'!$M$3:$M$513))/SUMPRODUCT(('Sulphuric Acid freights'!$B$3:$B$513=B198)*('Sulphuric Acid freights'!$D$3:$D$513=D198)*1)*2/3, AVERAGE('Sulphuric Acid freights'!$M$3:$M$513))</f>
        <v>13.333333333333334</v>
      </c>
      <c r="N198" s="78">
        <f t="shared" si="27"/>
        <v>28.8</v>
      </c>
      <c r="O198" s="78" cm="1">
        <f t="array" ref="O198">IF(SUMPRODUCT(('Sulphur freight'!$B$3:$B$1976=B198)*('Sulphur freight'!$D$3:$D$1976=D198)*('Sulphur freight'!$G$3:$G$1976))/SUMPRODUCT(('Sulphur freight'!$B$3:$B$1976=B198)*('Sulphur freight'!$D$3:$D$1976=D198)*1)=0, AVERAGE('Sulphur freight'!$G$3:$G$1976),SUMPRODUCT(('Sulphur freight'!$B$3:$B$1976=B198)*('Sulphur freight'!$D$3:$D$1976=D198)*('Sulphur freight'!$G$3:$G$1976))/SUMPRODUCT(('Sulphur freight'!$B$3:$B$1976=B198)*('Sulphur freight'!$D$3:$D$1976=D198)*1))</f>
        <v>21.6</v>
      </c>
      <c r="P198" s="78">
        <v>20</v>
      </c>
      <c r="R198" s="78" t="str">
        <f t="shared" si="28"/>
        <v xml:space="preserve"> </v>
      </c>
      <c r="S198" s="78">
        <f t="shared" si="29"/>
        <v>69.333333333333329</v>
      </c>
      <c r="T198" s="78">
        <f t="shared" ref="T198:T261" si="36">IFERROR( E198+L198, "")</f>
        <v>57.6</v>
      </c>
      <c r="U198" s="78" t="str">
        <f t="shared" si="30"/>
        <v/>
      </c>
      <c r="V198" s="78">
        <f>IFERROR(I198+O198, "")</f>
        <v>148.19999999999999</v>
      </c>
      <c r="W198" s="78">
        <f t="shared" si="31"/>
        <v>141</v>
      </c>
      <c r="X198" s="78">
        <f t="shared" si="32"/>
        <v>66.906000000000006</v>
      </c>
      <c r="Y198" s="78">
        <f t="shared" si="33"/>
        <v>64.53</v>
      </c>
      <c r="AA198" s="88" t="str">
        <f t="shared" si="34"/>
        <v/>
      </c>
      <c r="AB198" s="77" t="str">
        <f t="shared" ref="AB198:AB261" si="37">IF(AA198="", "", MAX(X198, Y198)-AA198)</f>
        <v/>
      </c>
      <c r="AD198" s="88" t="str">
        <f t="shared" si="35"/>
        <v/>
      </c>
      <c r="AE198" s="77" t="str">
        <f t="shared" ref="AE198:AE261" si="38">IF(AD198="", "", MAX(AA198, AB198)-AD198)</f>
        <v/>
      </c>
    </row>
    <row r="199" spans="2:31" x14ac:dyDescent="0.35">
      <c r="B199" s="2">
        <v>2018</v>
      </c>
      <c r="C199" s="2">
        <v>2</v>
      </c>
      <c r="D199" s="2">
        <v>6</v>
      </c>
      <c r="E199" s="78">
        <f>'CRU historical'!F198</f>
        <v>31.5</v>
      </c>
      <c r="F199" s="78">
        <f>'CRU historical'!I198</f>
        <v>60</v>
      </c>
      <c r="G199" s="78" t="str">
        <f>'CRU historical'!L198</f>
        <v xml:space="preserve"> </v>
      </c>
      <c r="H199" s="78" t="str">
        <f>'CRU historical'!O198</f>
        <v xml:space="preserve"> </v>
      </c>
      <c r="I199" s="78">
        <f>'CRU historical'!R198</f>
        <v>133</v>
      </c>
      <c r="J199" s="78">
        <f>AVERAGE('CRU historical'!U198, 'CRU historical'!X198, 'CRU historical'!AA198, 'CRU historical'!AD198)</f>
        <v>121</v>
      </c>
      <c r="L199" s="78" cm="1">
        <f t="array" ref="L199">IFERROR(SUMPRODUCT(('Sulphuric Acid freights'!$B$3:$B$513=B199)*('Sulphuric Acid freights'!$D$3:$D$513=D199)*('Sulphuric Acid freights'!$P$3:$P$513))/SUMPRODUCT(('Sulphuric Acid freights'!$B$3:$B$513=B199)*('Sulphuric Acid freights'!$D$3:$D$513=D199)*1), AVERAGE('Sulphuric Acid freights'!$P$3:$P$513))*2/3</f>
        <v>32</v>
      </c>
      <c r="M199" s="78" cm="1">
        <f t="array" ref="M199">IFERROR(SUMPRODUCT(('Sulphuric Acid freights'!$B$3:$B$513=B199)*('Sulphuric Acid freights'!$D$3:$D$513=D199)*('Sulphuric Acid freights'!$M$3:$M$513))/SUMPRODUCT(('Sulphuric Acid freights'!$B$3:$B$513=B199)*('Sulphuric Acid freights'!$D$3:$D$513=D199)*1)*2/3, AVERAGE('Sulphuric Acid freights'!$M$3:$M$513))</f>
        <v>13.333333333333334</v>
      </c>
      <c r="N199" s="78">
        <f t="shared" ref="N199:N262" si="39">IFERROR(L199*0.9, "")</f>
        <v>28.8</v>
      </c>
      <c r="O199" s="78" cm="1">
        <f t="array" ref="O199">IF(SUMPRODUCT(('Sulphur freight'!$B$3:$B$1976=B199)*('Sulphur freight'!$D$3:$D$1976=D199)*('Sulphur freight'!$G$3:$G$1976))/SUMPRODUCT(('Sulphur freight'!$B$3:$B$1976=B199)*('Sulphur freight'!$D$3:$D$1976=D199)*1)=0, AVERAGE('Sulphur freight'!$G$3:$G$1976),SUMPRODUCT(('Sulphur freight'!$B$3:$B$1976=B199)*('Sulphur freight'!$D$3:$D$1976=D199)*('Sulphur freight'!$G$3:$G$1976))/SUMPRODUCT(('Sulphur freight'!$B$3:$B$1976=B199)*('Sulphur freight'!$D$3:$D$1976=D199)*1))</f>
        <v>21</v>
      </c>
      <c r="P199" s="78">
        <v>20</v>
      </c>
      <c r="R199" s="78" t="str">
        <f t="shared" ref="R199:R262" si="40">H199</f>
        <v xml:space="preserve"> </v>
      </c>
      <c r="S199" s="78">
        <f t="shared" ref="S199:S262" si="41">IF(F199=0, "", F199+M199)</f>
        <v>73.333333333333329</v>
      </c>
      <c r="T199" s="78">
        <f t="shared" si="36"/>
        <v>63.5</v>
      </c>
      <c r="U199" s="78" t="str">
        <f t="shared" ref="U199:U262" si="42">IFERROR( G199+N199, "")</f>
        <v/>
      </c>
      <c r="V199" s="78">
        <f>IFERROR(I199+O199, "")</f>
        <v>154</v>
      </c>
      <c r="W199" s="78">
        <f t="shared" ref="W199:W262" si="43">J199+P199</f>
        <v>141</v>
      </c>
      <c r="X199" s="78">
        <f t="shared" ref="X199:X262" si="44">IFERROR((I199+O199)*0.33+18, "")</f>
        <v>68.819999999999993</v>
      </c>
      <c r="Y199" s="78">
        <f t="shared" ref="Y199:Y262" si="45">IF(J199=0,0,(J199+P199)*0.33+18)</f>
        <v>64.53</v>
      </c>
      <c r="AA199" s="88" t="str">
        <f t="shared" ref="AA199:AA262" si="46">IF(OR(S199="", T199="", U199=""), "", MAX(R199,S199)*40%+T199*30%+U199*30%)</f>
        <v/>
      </c>
      <c r="AB199" s="77" t="str">
        <f t="shared" si="37"/>
        <v/>
      </c>
      <c r="AD199" s="88" t="str">
        <f t="shared" ref="AD199:AD262" si="47">IFERROR(MIN((MAX(R199,S199)*70%+U199*30%), Y199), "")</f>
        <v/>
      </c>
      <c r="AE199" s="77" t="str">
        <f t="shared" si="38"/>
        <v/>
      </c>
    </row>
    <row r="200" spans="2:31" x14ac:dyDescent="0.35">
      <c r="B200" s="2">
        <v>2018</v>
      </c>
      <c r="C200" s="2">
        <v>3</v>
      </c>
      <c r="D200" s="2">
        <v>7</v>
      </c>
      <c r="E200" s="78">
        <f>'CRU historical'!F199</f>
        <v>33</v>
      </c>
      <c r="F200" s="78">
        <f>'CRU historical'!I199</f>
        <v>62.5</v>
      </c>
      <c r="G200" s="78" t="str">
        <f>'CRU historical'!L199</f>
        <v xml:space="preserve"> </v>
      </c>
      <c r="H200" s="78" t="str">
        <f>'CRU historical'!O199</f>
        <v xml:space="preserve"> </v>
      </c>
      <c r="I200" s="78">
        <f>'CRU historical'!R199</f>
        <v>134.25</v>
      </c>
      <c r="J200" s="78">
        <f>AVERAGE('CRU historical'!U199, 'CRU historical'!X199, 'CRU historical'!AA199, 'CRU historical'!AD199)</f>
        <v>132.25</v>
      </c>
      <c r="L200" s="78" cm="1">
        <f t="array" ref="L200">IFERROR(SUMPRODUCT(('Sulphuric Acid freights'!$B$3:$B$513=B200)*('Sulphuric Acid freights'!$D$3:$D$513=D200)*('Sulphuric Acid freights'!$P$3:$P$513))/SUMPRODUCT(('Sulphuric Acid freights'!$B$3:$B$513=B200)*('Sulphuric Acid freights'!$D$3:$D$513=D200)*1), AVERAGE('Sulphuric Acid freights'!$P$3:$P$513))*2/3</f>
        <v>32</v>
      </c>
      <c r="M200" s="78" cm="1">
        <f t="array" ref="M200">IFERROR(SUMPRODUCT(('Sulphuric Acid freights'!$B$3:$B$513=B200)*('Sulphuric Acid freights'!$D$3:$D$513=D200)*('Sulphuric Acid freights'!$M$3:$M$513))/SUMPRODUCT(('Sulphuric Acid freights'!$B$3:$B$513=B200)*('Sulphuric Acid freights'!$D$3:$D$513=D200)*1)*2/3, AVERAGE('Sulphuric Acid freights'!$M$3:$M$513))</f>
        <v>13.333333333333334</v>
      </c>
      <c r="N200" s="78">
        <f t="shared" si="39"/>
        <v>28.8</v>
      </c>
      <c r="O200" s="78" cm="1">
        <f t="array" ref="O200">IF(SUMPRODUCT(('Sulphur freight'!$B$3:$B$1976=B200)*('Sulphur freight'!$D$3:$D$1976=D200)*('Sulphur freight'!$G$3:$G$1976))/SUMPRODUCT(('Sulphur freight'!$B$3:$B$1976=B200)*('Sulphur freight'!$D$3:$D$1976=D200)*1)=0, AVERAGE('Sulphur freight'!$G$3:$G$1976),SUMPRODUCT(('Sulphur freight'!$B$3:$B$1976=B200)*('Sulphur freight'!$D$3:$D$1976=D200)*('Sulphur freight'!$G$3:$G$1976))/SUMPRODUCT(('Sulphur freight'!$B$3:$B$1976=B200)*('Sulphur freight'!$D$3:$D$1976=D200)*1))</f>
        <v>22.25</v>
      </c>
      <c r="P200" s="78">
        <v>20</v>
      </c>
      <c r="R200" s="78" t="str">
        <f t="shared" si="40"/>
        <v xml:space="preserve"> </v>
      </c>
      <c r="S200" s="78">
        <f t="shared" si="41"/>
        <v>75.833333333333329</v>
      </c>
      <c r="T200" s="78">
        <f t="shared" si="36"/>
        <v>65</v>
      </c>
      <c r="U200" s="78" t="str">
        <f t="shared" si="42"/>
        <v/>
      </c>
      <c r="V200" s="78">
        <f>IFERROR(I200+O200, "")</f>
        <v>156.5</v>
      </c>
      <c r="W200" s="78">
        <f t="shared" si="43"/>
        <v>152.25</v>
      </c>
      <c r="X200" s="78">
        <f t="shared" si="44"/>
        <v>69.64500000000001</v>
      </c>
      <c r="Y200" s="78">
        <f t="shared" si="45"/>
        <v>68.242500000000007</v>
      </c>
      <c r="AA200" s="88" t="str">
        <f t="shared" si="46"/>
        <v/>
      </c>
      <c r="AB200" s="77" t="str">
        <f t="shared" si="37"/>
        <v/>
      </c>
      <c r="AD200" s="88" t="str">
        <f t="shared" si="47"/>
        <v/>
      </c>
      <c r="AE200" s="77" t="str">
        <f t="shared" si="38"/>
        <v/>
      </c>
    </row>
    <row r="201" spans="2:31" x14ac:dyDescent="0.35">
      <c r="B201" s="2">
        <v>2018</v>
      </c>
      <c r="C201" s="2">
        <v>3</v>
      </c>
      <c r="D201" s="2">
        <v>8</v>
      </c>
      <c r="E201" s="78">
        <f>'CRU historical'!F200</f>
        <v>33</v>
      </c>
      <c r="F201" s="78">
        <f>'CRU historical'!I200</f>
        <v>65</v>
      </c>
      <c r="G201" s="78" t="str">
        <f>'CRU historical'!L200</f>
        <v xml:space="preserve"> </v>
      </c>
      <c r="H201" s="78" t="str">
        <f>'CRU historical'!O200</f>
        <v xml:space="preserve"> </v>
      </c>
      <c r="I201" s="78">
        <f>'CRU historical'!R200</f>
        <v>140.4</v>
      </c>
      <c r="J201" s="78">
        <f>AVERAGE('CRU historical'!U200, 'CRU historical'!X200, 'CRU historical'!AA200, 'CRU historical'!AD200)</f>
        <v>136</v>
      </c>
      <c r="L201" s="78" cm="1">
        <f t="array" ref="L201">IFERROR(SUMPRODUCT(('Sulphuric Acid freights'!$B$3:$B$513=B201)*('Sulphuric Acid freights'!$D$3:$D$513=D201)*('Sulphuric Acid freights'!$P$3:$P$513))/SUMPRODUCT(('Sulphuric Acid freights'!$B$3:$B$513=B201)*('Sulphuric Acid freights'!$D$3:$D$513=D201)*1), AVERAGE('Sulphuric Acid freights'!$P$3:$P$513))*2/3</f>
        <v>32</v>
      </c>
      <c r="M201" s="78" cm="1">
        <f t="array" ref="M201">IFERROR(SUMPRODUCT(('Sulphuric Acid freights'!$B$3:$B$513=B201)*('Sulphuric Acid freights'!$D$3:$D$513=D201)*('Sulphuric Acid freights'!$M$3:$M$513))/SUMPRODUCT(('Sulphuric Acid freights'!$B$3:$B$513=B201)*('Sulphuric Acid freights'!$D$3:$D$513=D201)*1)*2/3, AVERAGE('Sulphuric Acid freights'!$M$3:$M$513))</f>
        <v>13.333333333333334</v>
      </c>
      <c r="N201" s="78">
        <f t="shared" si="39"/>
        <v>28.8</v>
      </c>
      <c r="O201" s="78" cm="1">
        <f t="array" ref="O201">IF(SUMPRODUCT(('Sulphur freight'!$B$3:$B$1976=B201)*('Sulphur freight'!$D$3:$D$1976=D201)*('Sulphur freight'!$G$3:$G$1976))/SUMPRODUCT(('Sulphur freight'!$B$3:$B$1976=B201)*('Sulphur freight'!$D$3:$D$1976=D201)*1)=0, AVERAGE('Sulphur freight'!$G$3:$G$1976),SUMPRODUCT(('Sulphur freight'!$B$3:$B$1976=B201)*('Sulphur freight'!$D$3:$D$1976=D201)*('Sulphur freight'!$G$3:$G$1976))/SUMPRODUCT(('Sulphur freight'!$B$3:$B$1976=B201)*('Sulphur freight'!$D$3:$D$1976=D201)*1))</f>
        <v>22.6</v>
      </c>
      <c r="P201" s="78">
        <v>20</v>
      </c>
      <c r="R201" s="78" t="str">
        <f t="shared" si="40"/>
        <v xml:space="preserve"> </v>
      </c>
      <c r="S201" s="78">
        <f t="shared" si="41"/>
        <v>78.333333333333329</v>
      </c>
      <c r="T201" s="78">
        <f t="shared" si="36"/>
        <v>65</v>
      </c>
      <c r="U201" s="78" t="str">
        <f t="shared" si="42"/>
        <v/>
      </c>
      <c r="V201" s="78">
        <f>IFERROR(I201+O201, "")</f>
        <v>163</v>
      </c>
      <c r="W201" s="78">
        <f t="shared" si="43"/>
        <v>156</v>
      </c>
      <c r="X201" s="78">
        <f t="shared" si="44"/>
        <v>71.789999999999992</v>
      </c>
      <c r="Y201" s="78">
        <f t="shared" si="45"/>
        <v>69.48</v>
      </c>
      <c r="AA201" s="88" t="str">
        <f t="shared" si="46"/>
        <v/>
      </c>
      <c r="AB201" s="77" t="str">
        <f t="shared" si="37"/>
        <v/>
      </c>
      <c r="AD201" s="88" t="str">
        <f t="shared" si="47"/>
        <v/>
      </c>
      <c r="AE201" s="77" t="str">
        <f t="shared" si="38"/>
        <v/>
      </c>
    </row>
    <row r="202" spans="2:31" x14ac:dyDescent="0.35">
      <c r="B202" s="2">
        <v>2018</v>
      </c>
      <c r="C202" s="2">
        <v>3</v>
      </c>
      <c r="D202" s="2">
        <v>9</v>
      </c>
      <c r="E202" s="78">
        <f>'CRU historical'!F201</f>
        <v>34.75</v>
      </c>
      <c r="F202" s="78">
        <f>'CRU historical'!I201</f>
        <v>71.25</v>
      </c>
      <c r="G202" s="78" t="str">
        <f>'CRU historical'!L201</f>
        <v xml:space="preserve"> </v>
      </c>
      <c r="H202" s="78" t="str">
        <f>'CRU historical'!O201</f>
        <v xml:space="preserve"> </v>
      </c>
      <c r="I202" s="78">
        <f>'CRU historical'!R201</f>
        <v>157.75</v>
      </c>
      <c r="J202" s="78">
        <f>AVERAGE('CRU historical'!U201, 'CRU historical'!X201, 'CRU historical'!AA201, 'CRU historical'!AD201)</f>
        <v>136</v>
      </c>
      <c r="L202" s="78" cm="1">
        <f t="array" ref="L202">IFERROR(SUMPRODUCT(('Sulphuric Acid freights'!$B$3:$B$513=B202)*('Sulphuric Acid freights'!$D$3:$D$513=D202)*('Sulphuric Acid freights'!$P$3:$P$513))/SUMPRODUCT(('Sulphuric Acid freights'!$B$3:$B$513=B202)*('Sulphuric Acid freights'!$D$3:$D$513=D202)*1), AVERAGE('Sulphuric Acid freights'!$P$3:$P$513))*2/3</f>
        <v>32</v>
      </c>
      <c r="M202" s="78" cm="1">
        <f t="array" ref="M202">IFERROR(SUMPRODUCT(('Sulphuric Acid freights'!$B$3:$B$513=B202)*('Sulphuric Acid freights'!$D$3:$D$513=D202)*('Sulphuric Acid freights'!$M$3:$M$513))/SUMPRODUCT(('Sulphuric Acid freights'!$B$3:$B$513=B202)*('Sulphuric Acid freights'!$D$3:$D$513=D202)*1)*2/3, AVERAGE('Sulphuric Acid freights'!$M$3:$M$513))</f>
        <v>13.333333333333334</v>
      </c>
      <c r="N202" s="78">
        <f t="shared" si="39"/>
        <v>28.8</v>
      </c>
      <c r="O202" s="78" cm="1">
        <f t="array" ref="O202">IF(SUMPRODUCT(('Sulphur freight'!$B$3:$B$1976=B202)*('Sulphur freight'!$D$3:$D$1976=D202)*('Sulphur freight'!$G$3:$G$1976))/SUMPRODUCT(('Sulphur freight'!$B$3:$B$1976=B202)*('Sulphur freight'!$D$3:$D$1976=D202)*1)=0, AVERAGE('Sulphur freight'!$G$3:$G$1976),SUMPRODUCT(('Sulphur freight'!$B$3:$B$1976=B202)*('Sulphur freight'!$D$3:$D$1976=D202)*('Sulphur freight'!$G$3:$G$1976))/SUMPRODUCT(('Sulphur freight'!$B$3:$B$1976=B202)*('Sulphur freight'!$D$3:$D$1976=D202)*1))</f>
        <v>22.5</v>
      </c>
      <c r="P202" s="78">
        <v>20</v>
      </c>
      <c r="R202" s="78" t="str">
        <f t="shared" si="40"/>
        <v xml:space="preserve"> </v>
      </c>
      <c r="S202" s="78">
        <f t="shared" si="41"/>
        <v>84.583333333333329</v>
      </c>
      <c r="T202" s="78">
        <f t="shared" si="36"/>
        <v>66.75</v>
      </c>
      <c r="U202" s="78" t="str">
        <f t="shared" si="42"/>
        <v/>
      </c>
      <c r="V202" s="78">
        <f>IFERROR(I202+O202, "")</f>
        <v>180.25</v>
      </c>
      <c r="W202" s="78">
        <f t="shared" si="43"/>
        <v>156</v>
      </c>
      <c r="X202" s="78">
        <f t="shared" si="44"/>
        <v>77.482500000000002</v>
      </c>
      <c r="Y202" s="78">
        <f t="shared" si="45"/>
        <v>69.48</v>
      </c>
      <c r="AA202" s="88" t="str">
        <f t="shared" si="46"/>
        <v/>
      </c>
      <c r="AB202" s="77" t="str">
        <f t="shared" si="37"/>
        <v/>
      </c>
      <c r="AD202" s="88" t="str">
        <f t="shared" si="47"/>
        <v/>
      </c>
      <c r="AE202" s="77" t="str">
        <f t="shared" si="38"/>
        <v/>
      </c>
    </row>
    <row r="203" spans="2:31" x14ac:dyDescent="0.35">
      <c r="B203" s="2">
        <v>2018</v>
      </c>
      <c r="C203" s="2">
        <v>4</v>
      </c>
      <c r="D203" s="2">
        <v>10</v>
      </c>
      <c r="E203" s="78">
        <f>'CRU historical'!F202</f>
        <v>43.5</v>
      </c>
      <c r="F203" s="78">
        <f>'CRU historical'!I202</f>
        <v>75</v>
      </c>
      <c r="G203" s="78" t="str">
        <f>'CRU historical'!L202</f>
        <v xml:space="preserve"> </v>
      </c>
      <c r="H203" s="78" t="str">
        <f>'CRU historical'!O202</f>
        <v xml:space="preserve"> </v>
      </c>
      <c r="I203" s="78">
        <f>'CRU historical'!R202</f>
        <v>170.25</v>
      </c>
      <c r="J203" s="78">
        <f>AVERAGE('CRU historical'!U202, 'CRU historical'!X202, 'CRU historical'!AA202, 'CRU historical'!AD202)</f>
        <v>159</v>
      </c>
      <c r="L203" s="78" cm="1">
        <f t="array" ref="L203">IFERROR(SUMPRODUCT(('Sulphuric Acid freights'!$B$3:$B$513=B203)*('Sulphuric Acid freights'!$D$3:$D$513=D203)*('Sulphuric Acid freights'!$P$3:$P$513))/SUMPRODUCT(('Sulphuric Acid freights'!$B$3:$B$513=B203)*('Sulphuric Acid freights'!$D$3:$D$513=D203)*1), AVERAGE('Sulphuric Acid freights'!$P$3:$P$513))*2/3</f>
        <v>32</v>
      </c>
      <c r="M203" s="78" cm="1">
        <f t="array" ref="M203">IFERROR(SUMPRODUCT(('Sulphuric Acid freights'!$B$3:$B$513=B203)*('Sulphuric Acid freights'!$D$3:$D$513=D203)*('Sulphuric Acid freights'!$M$3:$M$513))/SUMPRODUCT(('Sulphuric Acid freights'!$B$3:$B$513=B203)*('Sulphuric Acid freights'!$D$3:$D$513=D203)*1)*2/3, AVERAGE('Sulphuric Acid freights'!$M$3:$M$513))</f>
        <v>13.333333333333334</v>
      </c>
      <c r="N203" s="78">
        <f t="shared" si="39"/>
        <v>28.8</v>
      </c>
      <c r="O203" s="78" cm="1">
        <f t="array" ref="O203">IF(SUMPRODUCT(('Sulphur freight'!$B$3:$B$1976=B203)*('Sulphur freight'!$D$3:$D$1976=D203)*('Sulphur freight'!$G$3:$G$1976))/SUMPRODUCT(('Sulphur freight'!$B$3:$B$1976=B203)*('Sulphur freight'!$D$3:$D$1976=D203)*1)=0, AVERAGE('Sulphur freight'!$G$3:$G$1976),SUMPRODUCT(('Sulphur freight'!$B$3:$B$1976=B203)*('Sulphur freight'!$D$3:$D$1976=D203)*('Sulphur freight'!$G$3:$G$1976))/SUMPRODUCT(('Sulphur freight'!$B$3:$B$1976=B203)*('Sulphur freight'!$D$3:$D$1976=D203)*1))</f>
        <v>24.25</v>
      </c>
      <c r="P203" s="78">
        <v>20</v>
      </c>
      <c r="R203" s="78" t="str">
        <f t="shared" si="40"/>
        <v xml:space="preserve"> </v>
      </c>
      <c r="S203" s="78">
        <f t="shared" si="41"/>
        <v>88.333333333333329</v>
      </c>
      <c r="T203" s="78">
        <f t="shared" si="36"/>
        <v>75.5</v>
      </c>
      <c r="U203" s="78" t="str">
        <f t="shared" si="42"/>
        <v/>
      </c>
      <c r="V203" s="78">
        <f>IFERROR(I203+O203, "")</f>
        <v>194.5</v>
      </c>
      <c r="W203" s="78">
        <f t="shared" si="43"/>
        <v>179</v>
      </c>
      <c r="X203" s="78">
        <f t="shared" si="44"/>
        <v>82.185000000000002</v>
      </c>
      <c r="Y203" s="78">
        <f t="shared" si="45"/>
        <v>77.069999999999993</v>
      </c>
      <c r="AA203" s="88" t="str">
        <f t="shared" si="46"/>
        <v/>
      </c>
      <c r="AB203" s="77" t="str">
        <f t="shared" si="37"/>
        <v/>
      </c>
      <c r="AD203" s="88" t="str">
        <f t="shared" si="47"/>
        <v/>
      </c>
      <c r="AE203" s="77" t="str">
        <f t="shared" si="38"/>
        <v/>
      </c>
    </row>
    <row r="204" spans="2:31" x14ac:dyDescent="0.35">
      <c r="B204" s="2">
        <v>2018</v>
      </c>
      <c r="C204" s="2">
        <v>4</v>
      </c>
      <c r="D204" s="2">
        <v>11</v>
      </c>
      <c r="E204" s="78">
        <f>'CRU historical'!F203</f>
        <v>48</v>
      </c>
      <c r="F204" s="78">
        <f>'CRU historical'!I203</f>
        <v>75</v>
      </c>
      <c r="G204" s="78" t="str">
        <f>'CRU historical'!L203</f>
        <v xml:space="preserve"> </v>
      </c>
      <c r="H204" s="78" t="str">
        <f>'CRU historical'!O203</f>
        <v xml:space="preserve"> </v>
      </c>
      <c r="I204" s="78">
        <f>'CRU historical'!R203</f>
        <v>157</v>
      </c>
      <c r="J204" s="78">
        <f>AVERAGE('CRU historical'!U203, 'CRU historical'!X203, 'CRU historical'!AA203, 'CRU historical'!AD203)</f>
        <v>159</v>
      </c>
      <c r="L204" s="78" cm="1">
        <f t="array" ref="L204">IFERROR(SUMPRODUCT(('Sulphuric Acid freights'!$B$3:$B$513=B204)*('Sulphuric Acid freights'!$D$3:$D$513=D204)*('Sulphuric Acid freights'!$P$3:$P$513))/SUMPRODUCT(('Sulphuric Acid freights'!$B$3:$B$513=B204)*('Sulphuric Acid freights'!$D$3:$D$513=D204)*1), AVERAGE('Sulphuric Acid freights'!$P$3:$P$513))*2/3</f>
        <v>32</v>
      </c>
      <c r="M204" s="78" cm="1">
        <f t="array" ref="M204">IFERROR(SUMPRODUCT(('Sulphuric Acid freights'!$B$3:$B$513=B204)*('Sulphuric Acid freights'!$D$3:$D$513=D204)*('Sulphuric Acid freights'!$M$3:$M$513))/SUMPRODUCT(('Sulphuric Acid freights'!$B$3:$B$513=B204)*('Sulphuric Acid freights'!$D$3:$D$513=D204)*1)*2/3, AVERAGE('Sulphuric Acid freights'!$M$3:$M$513))</f>
        <v>13.333333333333334</v>
      </c>
      <c r="N204" s="78">
        <f t="shared" si="39"/>
        <v>28.8</v>
      </c>
      <c r="O204" s="78" cm="1">
        <f t="array" ref="O204">IF(SUMPRODUCT(('Sulphur freight'!$B$3:$B$1976=B204)*('Sulphur freight'!$D$3:$D$1976=D204)*('Sulphur freight'!$G$3:$G$1976))/SUMPRODUCT(('Sulphur freight'!$B$3:$B$1976=B204)*('Sulphur freight'!$D$3:$D$1976=D204)*1)=0, AVERAGE('Sulphur freight'!$G$3:$G$1976),SUMPRODUCT(('Sulphur freight'!$B$3:$B$1976=B204)*('Sulphur freight'!$D$3:$D$1976=D204)*('Sulphur freight'!$G$3:$G$1976))/SUMPRODUCT(('Sulphur freight'!$B$3:$B$1976=B204)*('Sulphur freight'!$D$3:$D$1976=D204)*1))</f>
        <v>22.8</v>
      </c>
      <c r="P204" s="78">
        <v>20</v>
      </c>
      <c r="R204" s="78" t="str">
        <f t="shared" si="40"/>
        <v xml:space="preserve"> </v>
      </c>
      <c r="S204" s="78">
        <f t="shared" si="41"/>
        <v>88.333333333333329</v>
      </c>
      <c r="T204" s="78">
        <f t="shared" si="36"/>
        <v>80</v>
      </c>
      <c r="U204" s="78" t="str">
        <f t="shared" si="42"/>
        <v/>
      </c>
      <c r="V204" s="78">
        <f>IFERROR(I204+O204, "")</f>
        <v>179.8</v>
      </c>
      <c r="W204" s="78">
        <f t="shared" si="43"/>
        <v>179</v>
      </c>
      <c r="X204" s="78">
        <f t="shared" si="44"/>
        <v>77.334000000000003</v>
      </c>
      <c r="Y204" s="78">
        <f t="shared" si="45"/>
        <v>77.069999999999993</v>
      </c>
      <c r="AA204" s="88" t="str">
        <f t="shared" si="46"/>
        <v/>
      </c>
      <c r="AB204" s="77" t="str">
        <f t="shared" si="37"/>
        <v/>
      </c>
      <c r="AD204" s="88" t="str">
        <f t="shared" si="47"/>
        <v/>
      </c>
      <c r="AE204" s="77" t="str">
        <f t="shared" si="38"/>
        <v/>
      </c>
    </row>
    <row r="205" spans="2:31" x14ac:dyDescent="0.35">
      <c r="B205" s="2">
        <v>2018</v>
      </c>
      <c r="C205" s="2">
        <v>4</v>
      </c>
      <c r="D205" s="2">
        <v>12</v>
      </c>
      <c r="E205" s="78">
        <f>'CRU historical'!F204</f>
        <v>48</v>
      </c>
      <c r="F205" s="78">
        <f>'CRU historical'!I204</f>
        <v>78.333333333333329</v>
      </c>
      <c r="G205" s="78" t="str">
        <f>'CRU historical'!L204</f>
        <v xml:space="preserve"> </v>
      </c>
      <c r="H205" s="78" t="str">
        <f>'CRU historical'!O204</f>
        <v xml:space="preserve"> </v>
      </c>
      <c r="I205" s="78">
        <f>'CRU historical'!R204</f>
        <v>127.66666666666667</v>
      </c>
      <c r="J205" s="78">
        <f>AVERAGE('CRU historical'!U204, 'CRU historical'!X204, 'CRU historical'!AA204, 'CRU historical'!AD204)</f>
        <v>159</v>
      </c>
      <c r="L205" s="78" cm="1">
        <f t="array" ref="L205">IFERROR(SUMPRODUCT(('Sulphuric Acid freights'!$B$3:$B$513=B205)*('Sulphuric Acid freights'!$D$3:$D$513=D205)*('Sulphuric Acid freights'!$P$3:$P$513))/SUMPRODUCT(('Sulphuric Acid freights'!$B$3:$B$513=B205)*('Sulphuric Acid freights'!$D$3:$D$513=D205)*1), AVERAGE('Sulphuric Acid freights'!$P$3:$P$513))*2/3</f>
        <v>36</v>
      </c>
      <c r="M205" s="78" cm="1">
        <f t="array" ref="M205">IFERROR(SUMPRODUCT(('Sulphuric Acid freights'!$B$3:$B$513=B205)*('Sulphuric Acid freights'!$D$3:$D$513=D205)*('Sulphuric Acid freights'!$M$3:$M$513))/SUMPRODUCT(('Sulphuric Acid freights'!$B$3:$B$513=B205)*('Sulphuric Acid freights'!$D$3:$D$513=D205)*1)*2/3, AVERAGE('Sulphuric Acid freights'!$M$3:$M$513))</f>
        <v>13.333333333333334</v>
      </c>
      <c r="N205" s="78">
        <f t="shared" si="39"/>
        <v>32.4</v>
      </c>
      <c r="O205" s="78" cm="1">
        <f t="array" ref="O205">IF(SUMPRODUCT(('Sulphur freight'!$B$3:$B$1976=B205)*('Sulphur freight'!$D$3:$D$1976=D205)*('Sulphur freight'!$G$3:$G$1976))/SUMPRODUCT(('Sulphur freight'!$B$3:$B$1976=B205)*('Sulphur freight'!$D$3:$D$1976=D205)*1)=0, AVERAGE('Sulphur freight'!$G$3:$G$1976),SUMPRODUCT(('Sulphur freight'!$B$3:$B$1976=B205)*('Sulphur freight'!$D$3:$D$1976=D205)*('Sulphur freight'!$G$3:$G$1976))/SUMPRODUCT(('Sulphur freight'!$B$3:$B$1976=B205)*('Sulphur freight'!$D$3:$D$1976=D205)*1))</f>
        <v>21</v>
      </c>
      <c r="P205" s="78">
        <v>20</v>
      </c>
      <c r="R205" s="78" t="str">
        <f t="shared" si="40"/>
        <v xml:space="preserve"> </v>
      </c>
      <c r="S205" s="78">
        <f t="shared" si="41"/>
        <v>91.666666666666657</v>
      </c>
      <c r="T205" s="78">
        <f t="shared" si="36"/>
        <v>84</v>
      </c>
      <c r="U205" s="78" t="str">
        <f t="shared" si="42"/>
        <v/>
      </c>
      <c r="V205" s="78">
        <f>IFERROR(I205+O205, "")</f>
        <v>148.66666666666669</v>
      </c>
      <c r="W205" s="78">
        <f t="shared" si="43"/>
        <v>179</v>
      </c>
      <c r="X205" s="78">
        <f t="shared" si="44"/>
        <v>67.06</v>
      </c>
      <c r="Y205" s="78">
        <f t="shared" si="45"/>
        <v>77.069999999999993</v>
      </c>
      <c r="AA205" s="88" t="str">
        <f t="shared" si="46"/>
        <v/>
      </c>
      <c r="AB205" s="77" t="str">
        <f t="shared" si="37"/>
        <v/>
      </c>
      <c r="AD205" s="88" t="str">
        <f t="shared" si="47"/>
        <v/>
      </c>
      <c r="AE205" s="77" t="str">
        <f t="shared" si="38"/>
        <v/>
      </c>
    </row>
    <row r="206" spans="2:31" x14ac:dyDescent="0.35">
      <c r="B206" s="2">
        <v>2019</v>
      </c>
      <c r="C206" s="2">
        <v>1</v>
      </c>
      <c r="D206" s="2">
        <v>1</v>
      </c>
      <c r="E206" s="78">
        <f>'CRU historical'!F205</f>
        <v>44.8</v>
      </c>
      <c r="F206" s="78">
        <f>'CRU historical'!I205</f>
        <v>85</v>
      </c>
      <c r="G206" s="78" t="str">
        <f>'CRU historical'!L205</f>
        <v xml:space="preserve"> </v>
      </c>
      <c r="H206" s="78" t="str">
        <f>'CRU historical'!O205</f>
        <v xml:space="preserve"> </v>
      </c>
      <c r="I206" s="78">
        <f>'CRU historical'!R205</f>
        <v>113.2</v>
      </c>
      <c r="J206" s="78">
        <f>AVERAGE('CRU historical'!U205, 'CRU historical'!X205, 'CRU historical'!AA205, 'CRU historical'!AD205)</f>
        <v>141.80000000000001</v>
      </c>
      <c r="L206" s="78" cm="1">
        <f t="array" ref="L206">IFERROR(SUMPRODUCT(('Sulphuric Acid freights'!$B$3:$B$513=B206)*('Sulphuric Acid freights'!$D$3:$D$513=D206)*('Sulphuric Acid freights'!$P$3:$P$513))/SUMPRODUCT(('Sulphuric Acid freights'!$B$3:$B$513=B206)*('Sulphuric Acid freights'!$D$3:$D$513=D206)*1), AVERAGE('Sulphuric Acid freights'!$P$3:$P$513))*2/3</f>
        <v>37.333333333333336</v>
      </c>
      <c r="M206" s="78" cm="1">
        <f t="array" ref="M206">IFERROR(SUMPRODUCT(('Sulphuric Acid freights'!$B$3:$B$513=B206)*('Sulphuric Acid freights'!$D$3:$D$513=D206)*('Sulphuric Acid freights'!$M$3:$M$513))/SUMPRODUCT(('Sulphuric Acid freights'!$B$3:$B$513=B206)*('Sulphuric Acid freights'!$D$3:$D$513=D206)*1)*2/3, AVERAGE('Sulphuric Acid freights'!$M$3:$M$513))</f>
        <v>13.333333333333334</v>
      </c>
      <c r="N206" s="78">
        <f t="shared" si="39"/>
        <v>33.6</v>
      </c>
      <c r="O206" s="78" cm="1">
        <f t="array" ref="O206">IF(SUMPRODUCT(('Sulphur freight'!$B$3:$B$1976=B206)*('Sulphur freight'!$D$3:$D$1976=D206)*('Sulphur freight'!$G$3:$G$1976))/SUMPRODUCT(('Sulphur freight'!$B$3:$B$1976=B206)*('Sulphur freight'!$D$3:$D$1976=D206)*1)=0, AVERAGE('Sulphur freight'!$G$3:$G$1976),SUMPRODUCT(('Sulphur freight'!$B$3:$B$1976=B206)*('Sulphur freight'!$D$3:$D$1976=D206)*('Sulphur freight'!$G$3:$G$1976))/SUMPRODUCT(('Sulphur freight'!$B$3:$B$1976=B206)*('Sulphur freight'!$D$3:$D$1976=D206)*1))</f>
        <v>20</v>
      </c>
      <c r="P206" s="78">
        <v>20</v>
      </c>
      <c r="R206" s="78" t="str">
        <f t="shared" si="40"/>
        <v xml:space="preserve"> </v>
      </c>
      <c r="S206" s="78">
        <f t="shared" si="41"/>
        <v>98.333333333333329</v>
      </c>
      <c r="T206" s="78">
        <f t="shared" si="36"/>
        <v>82.133333333333326</v>
      </c>
      <c r="U206" s="78" t="str">
        <f t="shared" si="42"/>
        <v/>
      </c>
      <c r="V206" s="78">
        <f>IFERROR(I206+O206, "")</f>
        <v>133.19999999999999</v>
      </c>
      <c r="W206" s="78">
        <f t="shared" si="43"/>
        <v>161.80000000000001</v>
      </c>
      <c r="X206" s="78">
        <f t="shared" si="44"/>
        <v>61.955999999999996</v>
      </c>
      <c r="Y206" s="78">
        <f t="shared" si="45"/>
        <v>71.394000000000005</v>
      </c>
      <c r="AA206" s="88" t="str">
        <f t="shared" si="46"/>
        <v/>
      </c>
      <c r="AB206" s="77" t="str">
        <f t="shared" si="37"/>
        <v/>
      </c>
      <c r="AD206" s="88" t="str">
        <f t="shared" si="47"/>
        <v/>
      </c>
      <c r="AE206" s="77" t="str">
        <f t="shared" si="38"/>
        <v/>
      </c>
    </row>
    <row r="207" spans="2:31" x14ac:dyDescent="0.35">
      <c r="B207" s="2">
        <v>2019</v>
      </c>
      <c r="C207" s="2">
        <v>1</v>
      </c>
      <c r="D207" s="2">
        <v>2</v>
      </c>
      <c r="E207" s="78">
        <f>'CRU historical'!F206</f>
        <v>40</v>
      </c>
      <c r="F207" s="78">
        <f>'CRU historical'!I206</f>
        <v>89.5</v>
      </c>
      <c r="G207" s="78" t="str">
        <f>'CRU historical'!L206</f>
        <v xml:space="preserve"> </v>
      </c>
      <c r="H207" s="78" t="str">
        <f>'CRU historical'!O206</f>
        <v xml:space="preserve"> </v>
      </c>
      <c r="I207" s="78">
        <f>'CRU historical'!R206</f>
        <v>103</v>
      </c>
      <c r="J207" s="78">
        <f>AVERAGE('CRU historical'!U206, 'CRU historical'!X206, 'CRU historical'!AA206, 'CRU historical'!AD206)</f>
        <v>116</v>
      </c>
      <c r="L207" s="78" cm="1">
        <f t="array" ref="L207">IFERROR(SUMPRODUCT(('Sulphuric Acid freights'!$B$3:$B$513=B207)*('Sulphuric Acid freights'!$D$3:$D$513=D207)*('Sulphuric Acid freights'!$P$3:$P$513))/SUMPRODUCT(('Sulphuric Acid freights'!$B$3:$B$513=B207)*('Sulphuric Acid freights'!$D$3:$D$513=D207)*1), AVERAGE('Sulphuric Acid freights'!$P$3:$P$513))*2/3</f>
        <v>37.333333333333336</v>
      </c>
      <c r="M207" s="78" cm="1">
        <f t="array" ref="M207">IFERROR(SUMPRODUCT(('Sulphuric Acid freights'!$B$3:$B$513=B207)*('Sulphuric Acid freights'!$D$3:$D$513=D207)*('Sulphuric Acid freights'!$M$3:$M$513))/SUMPRODUCT(('Sulphuric Acid freights'!$B$3:$B$513=B207)*('Sulphuric Acid freights'!$D$3:$D$513=D207)*1)*2/3, AVERAGE('Sulphuric Acid freights'!$M$3:$M$513))</f>
        <v>13.333333333333334</v>
      </c>
      <c r="N207" s="78">
        <f t="shared" si="39"/>
        <v>33.6</v>
      </c>
      <c r="O207" s="78" cm="1">
        <f t="array" ref="O207">IF(SUMPRODUCT(('Sulphur freight'!$B$3:$B$1976=B207)*('Sulphur freight'!$D$3:$D$1976=D207)*('Sulphur freight'!$G$3:$G$1976))/SUMPRODUCT(('Sulphur freight'!$B$3:$B$1976=B207)*('Sulphur freight'!$D$3:$D$1976=D207)*1)=0, AVERAGE('Sulphur freight'!$G$3:$G$1976),SUMPRODUCT(('Sulphur freight'!$B$3:$B$1976=B207)*('Sulphur freight'!$D$3:$D$1976=D207)*('Sulphur freight'!$G$3:$G$1976))/SUMPRODUCT(('Sulphur freight'!$B$3:$B$1976=B207)*('Sulphur freight'!$D$3:$D$1976=D207)*1))</f>
        <v>16.5</v>
      </c>
      <c r="P207" s="78">
        <v>20</v>
      </c>
      <c r="R207" s="78" t="str">
        <f t="shared" si="40"/>
        <v xml:space="preserve"> </v>
      </c>
      <c r="S207" s="78">
        <f t="shared" si="41"/>
        <v>102.83333333333333</v>
      </c>
      <c r="T207" s="78">
        <f t="shared" si="36"/>
        <v>77.333333333333343</v>
      </c>
      <c r="U207" s="78" t="str">
        <f t="shared" si="42"/>
        <v/>
      </c>
      <c r="V207" s="78">
        <f>IFERROR(I207+O207, "")</f>
        <v>119.5</v>
      </c>
      <c r="W207" s="78">
        <f t="shared" si="43"/>
        <v>136</v>
      </c>
      <c r="X207" s="78">
        <f t="shared" si="44"/>
        <v>57.435000000000002</v>
      </c>
      <c r="Y207" s="78">
        <f t="shared" si="45"/>
        <v>62.88</v>
      </c>
      <c r="AA207" s="88" t="str">
        <f t="shared" si="46"/>
        <v/>
      </c>
      <c r="AB207" s="77" t="str">
        <f t="shared" si="37"/>
        <v/>
      </c>
      <c r="AD207" s="88" t="str">
        <f t="shared" si="47"/>
        <v/>
      </c>
      <c r="AE207" s="77" t="str">
        <f t="shared" si="38"/>
        <v/>
      </c>
    </row>
    <row r="208" spans="2:31" x14ac:dyDescent="0.35">
      <c r="B208" s="2">
        <v>2019</v>
      </c>
      <c r="C208" s="2">
        <v>1</v>
      </c>
      <c r="D208" s="2">
        <v>3</v>
      </c>
      <c r="E208" s="78">
        <f>'CRU historical'!F207</f>
        <v>37.5</v>
      </c>
      <c r="F208" s="78">
        <f>'CRU historical'!I207</f>
        <v>88</v>
      </c>
      <c r="G208" s="78" t="str">
        <f>'CRU historical'!L207</f>
        <v xml:space="preserve"> </v>
      </c>
      <c r="H208" s="78" t="str">
        <f>'CRU historical'!O207</f>
        <v xml:space="preserve"> </v>
      </c>
      <c r="I208" s="78">
        <f>'CRU historical'!R207</f>
        <v>102.75</v>
      </c>
      <c r="J208" s="78">
        <f>AVERAGE('CRU historical'!U207, 'CRU historical'!X207, 'CRU historical'!AA207, 'CRU historical'!AD207)</f>
        <v>116</v>
      </c>
      <c r="L208" s="78" cm="1">
        <f t="array" ref="L208">IFERROR(SUMPRODUCT(('Sulphuric Acid freights'!$B$3:$B$513=B208)*('Sulphuric Acid freights'!$D$3:$D$513=D208)*('Sulphuric Acid freights'!$P$3:$P$513))/SUMPRODUCT(('Sulphuric Acid freights'!$B$3:$B$513=B208)*('Sulphuric Acid freights'!$D$3:$D$513=D208)*1), AVERAGE('Sulphuric Acid freights'!$P$3:$P$513))*2/3</f>
        <v>37.333333333333336</v>
      </c>
      <c r="M208" s="78" cm="1">
        <f t="array" ref="M208">IFERROR(SUMPRODUCT(('Sulphuric Acid freights'!$B$3:$B$513=B208)*('Sulphuric Acid freights'!$D$3:$D$513=D208)*('Sulphuric Acid freights'!$M$3:$M$513))/SUMPRODUCT(('Sulphuric Acid freights'!$B$3:$B$513=B208)*('Sulphuric Acid freights'!$D$3:$D$513=D208)*1)*2/3, AVERAGE('Sulphuric Acid freights'!$M$3:$M$513))</f>
        <v>13.333333333333334</v>
      </c>
      <c r="N208" s="78">
        <f t="shared" si="39"/>
        <v>33.6</v>
      </c>
      <c r="O208" s="78" cm="1">
        <f t="array" ref="O208">IF(SUMPRODUCT(('Sulphur freight'!$B$3:$B$1976=B208)*('Sulphur freight'!$D$3:$D$1976=D208)*('Sulphur freight'!$G$3:$G$1976))/SUMPRODUCT(('Sulphur freight'!$B$3:$B$1976=B208)*('Sulphur freight'!$D$3:$D$1976=D208)*1)=0, AVERAGE('Sulphur freight'!$G$3:$G$1976),SUMPRODUCT(('Sulphur freight'!$B$3:$B$1976=B208)*('Sulphur freight'!$D$3:$D$1976=D208)*('Sulphur freight'!$G$3:$G$1976))/SUMPRODUCT(('Sulphur freight'!$B$3:$B$1976=B208)*('Sulphur freight'!$D$3:$D$1976=D208)*1))</f>
        <v>17</v>
      </c>
      <c r="P208" s="78">
        <v>20</v>
      </c>
      <c r="R208" s="78" t="str">
        <f t="shared" si="40"/>
        <v xml:space="preserve"> </v>
      </c>
      <c r="S208" s="78">
        <f t="shared" si="41"/>
        <v>101.33333333333333</v>
      </c>
      <c r="T208" s="78">
        <f t="shared" si="36"/>
        <v>74.833333333333343</v>
      </c>
      <c r="U208" s="78" t="str">
        <f t="shared" si="42"/>
        <v/>
      </c>
      <c r="V208" s="78">
        <f>IFERROR(I208+O208, "")</f>
        <v>119.75</v>
      </c>
      <c r="W208" s="78">
        <f t="shared" si="43"/>
        <v>136</v>
      </c>
      <c r="X208" s="78">
        <f t="shared" si="44"/>
        <v>57.517500000000005</v>
      </c>
      <c r="Y208" s="78">
        <f t="shared" si="45"/>
        <v>62.88</v>
      </c>
      <c r="AA208" s="88" t="str">
        <f t="shared" si="46"/>
        <v/>
      </c>
      <c r="AB208" s="77" t="str">
        <f t="shared" si="37"/>
        <v/>
      </c>
      <c r="AD208" s="88" t="str">
        <f t="shared" si="47"/>
        <v/>
      </c>
      <c r="AE208" s="77" t="str">
        <f t="shared" si="38"/>
        <v/>
      </c>
    </row>
    <row r="209" spans="2:31" x14ac:dyDescent="0.35">
      <c r="B209" s="2">
        <v>2019</v>
      </c>
      <c r="C209" s="2">
        <v>2</v>
      </c>
      <c r="D209" s="2">
        <v>4</v>
      </c>
      <c r="E209" s="78">
        <f>'CRU historical'!F208</f>
        <v>32.75</v>
      </c>
      <c r="F209" s="78">
        <f>'CRU historical'!I208</f>
        <v>74</v>
      </c>
      <c r="G209" s="78" t="str">
        <f>'CRU historical'!L208</f>
        <v xml:space="preserve"> </v>
      </c>
      <c r="H209" s="78" t="str">
        <f>'CRU historical'!O208</f>
        <v xml:space="preserve"> </v>
      </c>
      <c r="I209" s="78">
        <f>'CRU historical'!R208</f>
        <v>103</v>
      </c>
      <c r="J209" s="78">
        <f>AVERAGE('CRU historical'!U208, 'CRU historical'!X208, 'CRU historical'!AA208, 'CRU historical'!AD208)</f>
        <v>102.5</v>
      </c>
      <c r="L209" s="78" cm="1">
        <f t="array" ref="L209">IFERROR(SUMPRODUCT(('Sulphuric Acid freights'!$B$3:$B$513=B209)*('Sulphuric Acid freights'!$D$3:$D$513=D209)*('Sulphuric Acid freights'!$P$3:$P$513))/SUMPRODUCT(('Sulphuric Acid freights'!$B$3:$B$513=B209)*('Sulphuric Acid freights'!$D$3:$D$513=D209)*1), AVERAGE('Sulphuric Acid freights'!$P$3:$P$513))*2/3</f>
        <v>37.333333333333336</v>
      </c>
      <c r="M209" s="78" cm="1">
        <f t="array" ref="M209">IFERROR(SUMPRODUCT(('Sulphuric Acid freights'!$B$3:$B$513=B209)*('Sulphuric Acid freights'!$D$3:$D$513=D209)*('Sulphuric Acid freights'!$M$3:$M$513))/SUMPRODUCT(('Sulphuric Acid freights'!$B$3:$B$513=B209)*('Sulphuric Acid freights'!$D$3:$D$513=D209)*1)*2/3, AVERAGE('Sulphuric Acid freights'!$M$3:$M$513))</f>
        <v>13.333333333333334</v>
      </c>
      <c r="N209" s="78">
        <f t="shared" si="39"/>
        <v>33.6</v>
      </c>
      <c r="O209" s="78" cm="1">
        <f t="array" ref="O209">IF(SUMPRODUCT(('Sulphur freight'!$B$3:$B$1976=B209)*('Sulphur freight'!$D$3:$D$1976=D209)*('Sulphur freight'!$G$3:$G$1976))/SUMPRODUCT(('Sulphur freight'!$B$3:$B$1976=B209)*('Sulphur freight'!$D$3:$D$1976=D209)*1)=0, AVERAGE('Sulphur freight'!$G$3:$G$1976),SUMPRODUCT(('Sulphur freight'!$B$3:$B$1976=B209)*('Sulphur freight'!$D$3:$D$1976=D209)*('Sulphur freight'!$G$3:$G$1976))/SUMPRODUCT(('Sulphur freight'!$B$3:$B$1976=B209)*('Sulphur freight'!$D$3:$D$1976=D209)*1))</f>
        <v>18</v>
      </c>
      <c r="P209" s="78">
        <v>20</v>
      </c>
      <c r="R209" s="78" t="str">
        <f t="shared" si="40"/>
        <v xml:space="preserve"> </v>
      </c>
      <c r="S209" s="78">
        <f t="shared" si="41"/>
        <v>87.333333333333329</v>
      </c>
      <c r="T209" s="78">
        <f t="shared" si="36"/>
        <v>70.083333333333343</v>
      </c>
      <c r="U209" s="78" t="str">
        <f t="shared" si="42"/>
        <v/>
      </c>
      <c r="V209" s="78">
        <f>IFERROR(I209+O209, "")</f>
        <v>121</v>
      </c>
      <c r="W209" s="78">
        <f t="shared" si="43"/>
        <v>122.5</v>
      </c>
      <c r="X209" s="78">
        <f t="shared" si="44"/>
        <v>57.93</v>
      </c>
      <c r="Y209" s="78">
        <f t="shared" si="45"/>
        <v>58.425000000000004</v>
      </c>
      <c r="AA209" s="88" t="str">
        <f t="shared" si="46"/>
        <v/>
      </c>
      <c r="AB209" s="77" t="str">
        <f t="shared" si="37"/>
        <v/>
      </c>
      <c r="AD209" s="88" t="str">
        <f t="shared" si="47"/>
        <v/>
      </c>
      <c r="AE209" s="77" t="str">
        <f t="shared" si="38"/>
        <v/>
      </c>
    </row>
    <row r="210" spans="2:31" x14ac:dyDescent="0.35">
      <c r="B210" s="2">
        <v>2019</v>
      </c>
      <c r="C210" s="2">
        <v>2</v>
      </c>
      <c r="D210" s="2">
        <v>5</v>
      </c>
      <c r="E210" s="78">
        <f>'CRU historical'!F209</f>
        <v>27</v>
      </c>
      <c r="F210" s="78">
        <f>'CRU historical'!I209</f>
        <v>57.2</v>
      </c>
      <c r="G210" s="78" t="str">
        <f>'CRU historical'!L209</f>
        <v xml:space="preserve"> </v>
      </c>
      <c r="H210" s="78" t="str">
        <f>'CRU historical'!O209</f>
        <v xml:space="preserve"> </v>
      </c>
      <c r="I210" s="78">
        <f>'CRU historical'!R209</f>
        <v>103</v>
      </c>
      <c r="J210" s="78">
        <f>AVERAGE('CRU historical'!U209, 'CRU historical'!X209, 'CRU historical'!AA209, 'CRU historical'!AD209)</f>
        <v>89</v>
      </c>
      <c r="L210" s="78" cm="1">
        <f t="array" ref="L210">IFERROR(SUMPRODUCT(('Sulphuric Acid freights'!$B$3:$B$513=B210)*('Sulphuric Acid freights'!$D$3:$D$513=D210)*('Sulphuric Acid freights'!$P$3:$P$513))/SUMPRODUCT(('Sulphuric Acid freights'!$B$3:$B$513=B210)*('Sulphuric Acid freights'!$D$3:$D$513=D210)*1), AVERAGE('Sulphuric Acid freights'!$P$3:$P$513))*2/3</f>
        <v>37.333333333333336</v>
      </c>
      <c r="M210" s="78" cm="1">
        <f t="array" ref="M210">IFERROR(SUMPRODUCT(('Sulphuric Acid freights'!$B$3:$B$513=B210)*('Sulphuric Acid freights'!$D$3:$D$513=D210)*('Sulphuric Acid freights'!$M$3:$M$513))/SUMPRODUCT(('Sulphuric Acid freights'!$B$3:$B$513=B210)*('Sulphuric Acid freights'!$D$3:$D$513=D210)*1)*2/3, AVERAGE('Sulphuric Acid freights'!$M$3:$M$513))</f>
        <v>13.333333333333334</v>
      </c>
      <c r="N210" s="78">
        <f t="shared" si="39"/>
        <v>33.6</v>
      </c>
      <c r="O210" s="78" cm="1">
        <f t="array" ref="O210">IF(SUMPRODUCT(('Sulphur freight'!$B$3:$B$1976=B210)*('Sulphur freight'!$D$3:$D$1976=D210)*('Sulphur freight'!$G$3:$G$1976))/SUMPRODUCT(('Sulphur freight'!$B$3:$B$1976=B210)*('Sulphur freight'!$D$3:$D$1976=D210)*1)=0, AVERAGE('Sulphur freight'!$G$3:$G$1976),SUMPRODUCT(('Sulphur freight'!$B$3:$B$1976=B210)*('Sulphur freight'!$D$3:$D$1976=D210)*('Sulphur freight'!$G$3:$G$1976))/SUMPRODUCT(('Sulphur freight'!$B$3:$B$1976=B210)*('Sulphur freight'!$D$3:$D$1976=D210)*1))</f>
        <v>17.399999999999999</v>
      </c>
      <c r="P210" s="78">
        <v>20</v>
      </c>
      <c r="R210" s="78" t="str">
        <f t="shared" si="40"/>
        <v xml:space="preserve"> </v>
      </c>
      <c r="S210" s="78">
        <f t="shared" si="41"/>
        <v>70.533333333333331</v>
      </c>
      <c r="T210" s="78">
        <f t="shared" si="36"/>
        <v>64.333333333333343</v>
      </c>
      <c r="U210" s="78" t="str">
        <f t="shared" si="42"/>
        <v/>
      </c>
      <c r="V210" s="78">
        <f>IFERROR(I210+O210, "")</f>
        <v>120.4</v>
      </c>
      <c r="W210" s="78">
        <f t="shared" si="43"/>
        <v>109</v>
      </c>
      <c r="X210" s="78">
        <f t="shared" si="44"/>
        <v>57.732000000000006</v>
      </c>
      <c r="Y210" s="78">
        <f t="shared" si="45"/>
        <v>53.97</v>
      </c>
      <c r="AA210" s="88" t="str">
        <f t="shared" si="46"/>
        <v/>
      </c>
      <c r="AB210" s="77" t="str">
        <f t="shared" si="37"/>
        <v/>
      </c>
      <c r="AD210" s="88" t="str">
        <f t="shared" si="47"/>
        <v/>
      </c>
      <c r="AE210" s="77" t="str">
        <f t="shared" si="38"/>
        <v/>
      </c>
    </row>
    <row r="211" spans="2:31" x14ac:dyDescent="0.35">
      <c r="B211" s="2">
        <v>2019</v>
      </c>
      <c r="C211" s="2">
        <v>2</v>
      </c>
      <c r="D211" s="2">
        <v>6</v>
      </c>
      <c r="E211" s="78">
        <f>'CRU historical'!F210</f>
        <v>15.5</v>
      </c>
      <c r="F211" s="78">
        <f>'CRU historical'!I210</f>
        <v>37.5</v>
      </c>
      <c r="G211" s="78" t="str">
        <f>'CRU historical'!L210</f>
        <v xml:space="preserve"> </v>
      </c>
      <c r="H211" s="78" t="str">
        <f>'CRU historical'!O210</f>
        <v xml:space="preserve"> </v>
      </c>
      <c r="I211" s="78">
        <f>'CRU historical'!R210</f>
        <v>102.5</v>
      </c>
      <c r="J211" s="78">
        <f>AVERAGE('CRU historical'!U210, 'CRU historical'!X210, 'CRU historical'!AA210, 'CRU historical'!AD210)</f>
        <v>89</v>
      </c>
      <c r="L211" s="78" cm="1">
        <f t="array" ref="L211">IFERROR(SUMPRODUCT(('Sulphuric Acid freights'!$B$3:$B$513=B211)*('Sulphuric Acid freights'!$D$3:$D$513=D211)*('Sulphuric Acid freights'!$P$3:$P$513))/SUMPRODUCT(('Sulphuric Acid freights'!$B$3:$B$513=B211)*('Sulphuric Acid freights'!$D$3:$D$513=D211)*1), AVERAGE('Sulphuric Acid freights'!$P$3:$P$513))*2/3</f>
        <v>37.333333333333336</v>
      </c>
      <c r="M211" s="78" cm="1">
        <f t="array" ref="M211">IFERROR(SUMPRODUCT(('Sulphuric Acid freights'!$B$3:$B$513=B211)*('Sulphuric Acid freights'!$D$3:$D$513=D211)*('Sulphuric Acid freights'!$M$3:$M$513))/SUMPRODUCT(('Sulphuric Acid freights'!$B$3:$B$513=B211)*('Sulphuric Acid freights'!$D$3:$D$513=D211)*1)*2/3, AVERAGE('Sulphuric Acid freights'!$M$3:$M$513))</f>
        <v>13.333333333333334</v>
      </c>
      <c r="N211" s="78">
        <f t="shared" si="39"/>
        <v>33.6</v>
      </c>
      <c r="O211" s="78" cm="1">
        <f t="array" ref="O211">IF(SUMPRODUCT(('Sulphur freight'!$B$3:$B$1976=B211)*('Sulphur freight'!$D$3:$D$1976=D211)*('Sulphur freight'!$G$3:$G$1976))/SUMPRODUCT(('Sulphur freight'!$B$3:$B$1976=B211)*('Sulphur freight'!$D$3:$D$1976=D211)*1)=0, AVERAGE('Sulphur freight'!$G$3:$G$1976),SUMPRODUCT(('Sulphur freight'!$B$3:$B$1976=B211)*('Sulphur freight'!$D$3:$D$1976=D211)*('Sulphur freight'!$G$3:$G$1976))/SUMPRODUCT(('Sulphur freight'!$B$3:$B$1976=B211)*('Sulphur freight'!$D$3:$D$1976=D211)*1))</f>
        <v>18.25</v>
      </c>
      <c r="P211" s="78">
        <v>20</v>
      </c>
      <c r="R211" s="78" t="str">
        <f t="shared" si="40"/>
        <v xml:space="preserve"> </v>
      </c>
      <c r="S211" s="78">
        <f t="shared" si="41"/>
        <v>50.833333333333336</v>
      </c>
      <c r="T211" s="78">
        <f t="shared" si="36"/>
        <v>52.833333333333336</v>
      </c>
      <c r="U211" s="78" t="str">
        <f t="shared" si="42"/>
        <v/>
      </c>
      <c r="V211" s="78">
        <f>IFERROR(I211+O211, "")</f>
        <v>120.75</v>
      </c>
      <c r="W211" s="78">
        <f t="shared" si="43"/>
        <v>109</v>
      </c>
      <c r="X211" s="78">
        <f t="shared" si="44"/>
        <v>57.847500000000004</v>
      </c>
      <c r="Y211" s="78">
        <f t="shared" si="45"/>
        <v>53.97</v>
      </c>
      <c r="AA211" s="88" t="str">
        <f t="shared" si="46"/>
        <v/>
      </c>
      <c r="AB211" s="77" t="str">
        <f t="shared" si="37"/>
        <v/>
      </c>
      <c r="AD211" s="88" t="str">
        <f t="shared" si="47"/>
        <v/>
      </c>
      <c r="AE211" s="77" t="str">
        <f t="shared" si="38"/>
        <v/>
      </c>
    </row>
    <row r="212" spans="2:31" x14ac:dyDescent="0.35">
      <c r="B212" s="2">
        <v>2019</v>
      </c>
      <c r="C212" s="2">
        <v>3</v>
      </c>
      <c r="D212" s="2">
        <v>7</v>
      </c>
      <c r="E212" s="78">
        <f>'CRU historical'!F211</f>
        <v>13</v>
      </c>
      <c r="F212" s="78">
        <f>'CRU historical'!I211</f>
        <v>35</v>
      </c>
      <c r="G212" s="78" t="str">
        <f>'CRU historical'!L211</f>
        <v xml:space="preserve"> </v>
      </c>
      <c r="H212" s="78" t="str">
        <f>'CRU historical'!O211</f>
        <v xml:space="preserve"> </v>
      </c>
      <c r="I212" s="78">
        <f>'CRU historical'!R211</f>
        <v>95.25</v>
      </c>
      <c r="J212" s="78">
        <f>AVERAGE('CRU historical'!U211, 'CRU historical'!X211, 'CRU historical'!AA211, 'CRU historical'!AD211)</f>
        <v>89</v>
      </c>
      <c r="L212" s="78" cm="1">
        <f t="array" ref="L212">IFERROR(SUMPRODUCT(('Sulphuric Acid freights'!$B$3:$B$513=B212)*('Sulphuric Acid freights'!$D$3:$D$513=D212)*('Sulphuric Acid freights'!$P$3:$P$513))/SUMPRODUCT(('Sulphuric Acid freights'!$B$3:$B$513=B212)*('Sulphuric Acid freights'!$D$3:$D$513=D212)*1), AVERAGE('Sulphuric Acid freights'!$P$3:$P$513))*2/3</f>
        <v>37.333333333333336</v>
      </c>
      <c r="M212" s="78" cm="1">
        <f t="array" ref="M212">IFERROR(SUMPRODUCT(('Sulphuric Acid freights'!$B$3:$B$513=B212)*('Sulphuric Acid freights'!$D$3:$D$513=D212)*('Sulphuric Acid freights'!$M$3:$M$513))/SUMPRODUCT(('Sulphuric Acid freights'!$B$3:$B$513=B212)*('Sulphuric Acid freights'!$D$3:$D$513=D212)*1)*2/3, AVERAGE('Sulphuric Acid freights'!$M$3:$M$513))</f>
        <v>13.333333333333334</v>
      </c>
      <c r="N212" s="78">
        <f t="shared" si="39"/>
        <v>33.6</v>
      </c>
      <c r="O212" s="78" cm="1">
        <f t="array" ref="O212">IF(SUMPRODUCT(('Sulphur freight'!$B$3:$B$1976=B212)*('Sulphur freight'!$D$3:$D$1976=D212)*('Sulphur freight'!$G$3:$G$1976))/SUMPRODUCT(('Sulphur freight'!$B$3:$B$1976=B212)*('Sulphur freight'!$D$3:$D$1976=D212)*1)=0, AVERAGE('Sulphur freight'!$G$3:$G$1976),SUMPRODUCT(('Sulphur freight'!$B$3:$B$1976=B212)*('Sulphur freight'!$D$3:$D$1976=D212)*('Sulphur freight'!$G$3:$G$1976))/SUMPRODUCT(('Sulphur freight'!$B$3:$B$1976=B212)*('Sulphur freight'!$D$3:$D$1976=D212)*1))</f>
        <v>19.75</v>
      </c>
      <c r="P212" s="78">
        <v>20</v>
      </c>
      <c r="R212" s="78" t="str">
        <f t="shared" si="40"/>
        <v xml:space="preserve"> </v>
      </c>
      <c r="S212" s="78">
        <f t="shared" si="41"/>
        <v>48.333333333333336</v>
      </c>
      <c r="T212" s="78">
        <f t="shared" si="36"/>
        <v>50.333333333333336</v>
      </c>
      <c r="U212" s="78" t="str">
        <f t="shared" si="42"/>
        <v/>
      </c>
      <c r="V212" s="78">
        <f>IFERROR(I212+O212, "")</f>
        <v>115</v>
      </c>
      <c r="W212" s="78">
        <f t="shared" si="43"/>
        <v>109</v>
      </c>
      <c r="X212" s="78">
        <f t="shared" si="44"/>
        <v>55.95</v>
      </c>
      <c r="Y212" s="78">
        <f t="shared" si="45"/>
        <v>53.97</v>
      </c>
      <c r="AA212" s="88" t="str">
        <f t="shared" si="46"/>
        <v/>
      </c>
      <c r="AB212" s="77" t="str">
        <f t="shared" si="37"/>
        <v/>
      </c>
      <c r="AD212" s="88" t="str">
        <f t="shared" si="47"/>
        <v/>
      </c>
      <c r="AE212" s="77" t="str">
        <f t="shared" si="38"/>
        <v/>
      </c>
    </row>
    <row r="213" spans="2:31" x14ac:dyDescent="0.35">
      <c r="B213" s="2">
        <v>2019</v>
      </c>
      <c r="C213" s="2">
        <v>3</v>
      </c>
      <c r="D213" s="2">
        <v>8</v>
      </c>
      <c r="E213" s="78">
        <f>'CRU historical'!F212</f>
        <v>13</v>
      </c>
      <c r="F213" s="78">
        <f>'CRU historical'!I212</f>
        <v>30</v>
      </c>
      <c r="G213" s="78" t="str">
        <f>'CRU historical'!L212</f>
        <v xml:space="preserve"> </v>
      </c>
      <c r="H213" s="78" t="str">
        <f>'CRU historical'!O212</f>
        <v xml:space="preserve"> </v>
      </c>
      <c r="I213" s="78">
        <f>'CRU historical'!R212</f>
        <v>73</v>
      </c>
      <c r="J213" s="78">
        <f>AVERAGE('CRU historical'!U212, 'CRU historical'!X212, 'CRU historical'!AA212, 'CRU historical'!AD212)</f>
        <v>89</v>
      </c>
      <c r="L213" s="78" cm="1">
        <f t="array" ref="L213">IFERROR(SUMPRODUCT(('Sulphuric Acid freights'!$B$3:$B$513=B213)*('Sulphuric Acid freights'!$D$3:$D$513=D213)*('Sulphuric Acid freights'!$P$3:$P$513))/SUMPRODUCT(('Sulphuric Acid freights'!$B$3:$B$513=B213)*('Sulphuric Acid freights'!$D$3:$D$513=D213)*1), AVERAGE('Sulphuric Acid freights'!$P$3:$P$513))*2/3</f>
        <v>37.333333333333336</v>
      </c>
      <c r="M213" s="78" cm="1">
        <f t="array" ref="M213">IFERROR(SUMPRODUCT(('Sulphuric Acid freights'!$B$3:$B$513=B213)*('Sulphuric Acid freights'!$D$3:$D$513=D213)*('Sulphuric Acid freights'!$M$3:$M$513))/SUMPRODUCT(('Sulphuric Acid freights'!$B$3:$B$513=B213)*('Sulphuric Acid freights'!$D$3:$D$513=D213)*1)*2/3, AVERAGE('Sulphuric Acid freights'!$M$3:$M$513))</f>
        <v>13.333333333333334</v>
      </c>
      <c r="N213" s="78">
        <f t="shared" si="39"/>
        <v>33.6</v>
      </c>
      <c r="O213" s="78" cm="1">
        <f t="array" ref="O213">IF(SUMPRODUCT(('Sulphur freight'!$B$3:$B$1976=B213)*('Sulphur freight'!$D$3:$D$1976=D213)*('Sulphur freight'!$G$3:$G$1976))/SUMPRODUCT(('Sulphur freight'!$B$3:$B$1976=B213)*('Sulphur freight'!$D$3:$D$1976=D213)*1)=0, AVERAGE('Sulphur freight'!$G$3:$G$1976),SUMPRODUCT(('Sulphur freight'!$B$3:$B$1976=B213)*('Sulphur freight'!$D$3:$D$1976=D213)*('Sulphur freight'!$G$3:$G$1976))/SUMPRODUCT(('Sulphur freight'!$B$3:$B$1976=B213)*('Sulphur freight'!$D$3:$D$1976=D213)*1))</f>
        <v>21.2</v>
      </c>
      <c r="P213" s="78">
        <v>20</v>
      </c>
      <c r="R213" s="78" t="str">
        <f t="shared" si="40"/>
        <v xml:space="preserve"> </v>
      </c>
      <c r="S213" s="78">
        <f t="shared" si="41"/>
        <v>43.333333333333336</v>
      </c>
      <c r="T213" s="78">
        <f t="shared" si="36"/>
        <v>50.333333333333336</v>
      </c>
      <c r="U213" s="78" t="str">
        <f t="shared" si="42"/>
        <v/>
      </c>
      <c r="V213" s="78">
        <f>IFERROR(I213+O213, "")</f>
        <v>94.2</v>
      </c>
      <c r="W213" s="78">
        <f t="shared" si="43"/>
        <v>109</v>
      </c>
      <c r="X213" s="78">
        <f t="shared" si="44"/>
        <v>49.085999999999999</v>
      </c>
      <c r="Y213" s="78">
        <f t="shared" si="45"/>
        <v>53.97</v>
      </c>
      <c r="AA213" s="88" t="str">
        <f t="shared" si="46"/>
        <v/>
      </c>
      <c r="AB213" s="77" t="str">
        <f t="shared" si="37"/>
        <v/>
      </c>
      <c r="AD213" s="88" t="str">
        <f t="shared" si="47"/>
        <v/>
      </c>
      <c r="AE213" s="77" t="str">
        <f t="shared" si="38"/>
        <v/>
      </c>
    </row>
    <row r="214" spans="2:31" x14ac:dyDescent="0.35">
      <c r="B214" s="2">
        <v>2019</v>
      </c>
      <c r="C214" s="2">
        <v>3</v>
      </c>
      <c r="D214" s="2">
        <v>9</v>
      </c>
      <c r="E214" s="78">
        <f>'CRU historical'!F213</f>
        <v>9.5</v>
      </c>
      <c r="F214" s="78">
        <f>'CRU historical'!I213</f>
        <v>31.25</v>
      </c>
      <c r="G214" s="78" t="str">
        <f>'CRU historical'!L213</f>
        <v xml:space="preserve"> </v>
      </c>
      <c r="H214" s="78" t="str">
        <f>'CRU historical'!O213</f>
        <v xml:space="preserve"> </v>
      </c>
      <c r="I214" s="78">
        <f>'CRU historical'!R213</f>
        <v>56</v>
      </c>
      <c r="J214" s="78">
        <f>AVERAGE('CRU historical'!U213, 'CRU historical'!X213, 'CRU historical'!AA213, 'CRU historical'!AD213)</f>
        <v>89</v>
      </c>
      <c r="L214" s="78" cm="1">
        <f t="array" ref="L214">IFERROR(SUMPRODUCT(('Sulphuric Acid freights'!$B$3:$B$513=B214)*('Sulphuric Acid freights'!$D$3:$D$513=D214)*('Sulphuric Acid freights'!$P$3:$P$513))/SUMPRODUCT(('Sulphuric Acid freights'!$B$3:$B$513=B214)*('Sulphuric Acid freights'!$D$3:$D$513=D214)*1), AVERAGE('Sulphuric Acid freights'!$P$3:$P$513))*2/3</f>
        <v>37.333333333333336</v>
      </c>
      <c r="M214" s="78" cm="1">
        <f t="array" ref="M214">IFERROR(SUMPRODUCT(('Sulphuric Acid freights'!$B$3:$B$513=B214)*('Sulphuric Acid freights'!$D$3:$D$513=D214)*('Sulphuric Acid freights'!$M$3:$M$513))/SUMPRODUCT(('Sulphuric Acid freights'!$B$3:$B$513=B214)*('Sulphuric Acid freights'!$D$3:$D$513=D214)*1)*2/3, AVERAGE('Sulphuric Acid freights'!$M$3:$M$513))</f>
        <v>13.333333333333334</v>
      </c>
      <c r="N214" s="78">
        <f t="shared" si="39"/>
        <v>33.6</v>
      </c>
      <c r="O214" s="78" cm="1">
        <f t="array" ref="O214">IF(SUMPRODUCT(('Sulphur freight'!$B$3:$B$1976=B214)*('Sulphur freight'!$D$3:$D$1976=D214)*('Sulphur freight'!$G$3:$G$1976))/SUMPRODUCT(('Sulphur freight'!$B$3:$B$1976=B214)*('Sulphur freight'!$D$3:$D$1976=D214)*1)=0, AVERAGE('Sulphur freight'!$G$3:$G$1976),SUMPRODUCT(('Sulphur freight'!$B$3:$B$1976=B214)*('Sulphur freight'!$D$3:$D$1976=D214)*('Sulphur freight'!$G$3:$G$1976))/SUMPRODUCT(('Sulphur freight'!$B$3:$B$1976=B214)*('Sulphur freight'!$D$3:$D$1976=D214)*1))</f>
        <v>22.25</v>
      </c>
      <c r="P214" s="78">
        <v>20</v>
      </c>
      <c r="R214" s="78" t="str">
        <f t="shared" si="40"/>
        <v xml:space="preserve"> </v>
      </c>
      <c r="S214" s="78">
        <f t="shared" si="41"/>
        <v>44.583333333333336</v>
      </c>
      <c r="T214" s="78">
        <f t="shared" si="36"/>
        <v>46.833333333333336</v>
      </c>
      <c r="U214" s="78" t="str">
        <f t="shared" si="42"/>
        <v/>
      </c>
      <c r="V214" s="78">
        <f>IFERROR(I214+O214, "")</f>
        <v>78.25</v>
      </c>
      <c r="W214" s="78">
        <f t="shared" si="43"/>
        <v>109</v>
      </c>
      <c r="X214" s="78">
        <f t="shared" si="44"/>
        <v>43.822500000000005</v>
      </c>
      <c r="Y214" s="78">
        <f t="shared" si="45"/>
        <v>53.97</v>
      </c>
      <c r="AA214" s="88" t="str">
        <f t="shared" si="46"/>
        <v/>
      </c>
      <c r="AB214" s="77" t="str">
        <f t="shared" si="37"/>
        <v/>
      </c>
      <c r="AD214" s="88" t="str">
        <f t="shared" si="47"/>
        <v/>
      </c>
      <c r="AE214" s="77" t="str">
        <f t="shared" si="38"/>
        <v/>
      </c>
    </row>
    <row r="215" spans="2:31" x14ac:dyDescent="0.35">
      <c r="B215" s="2">
        <v>2019</v>
      </c>
      <c r="C215" s="2">
        <v>4</v>
      </c>
      <c r="D215" s="2">
        <v>10</v>
      </c>
      <c r="E215" s="78">
        <f>'CRU historical'!F214</f>
        <v>9</v>
      </c>
      <c r="F215" s="78">
        <f>'CRU historical'!I214</f>
        <v>39</v>
      </c>
      <c r="G215" s="78" t="str">
        <f>'CRU historical'!L214</f>
        <v xml:space="preserve"> </v>
      </c>
      <c r="H215" s="78" t="str">
        <f>'CRU historical'!O214</f>
        <v xml:space="preserve"> </v>
      </c>
      <c r="I215" s="78">
        <f>'CRU historical'!R214</f>
        <v>47.2</v>
      </c>
      <c r="J215" s="78">
        <f>AVERAGE('CRU historical'!U214, 'CRU historical'!X214, 'CRU historical'!AA214, 'CRU historical'!AD214)</f>
        <v>71</v>
      </c>
      <c r="L215" s="78" cm="1">
        <f t="array" ref="L215">IFERROR(SUMPRODUCT(('Sulphuric Acid freights'!$B$3:$B$513=B215)*('Sulphuric Acid freights'!$D$3:$D$513=D215)*('Sulphuric Acid freights'!$P$3:$P$513))/SUMPRODUCT(('Sulphuric Acid freights'!$B$3:$B$513=B215)*('Sulphuric Acid freights'!$D$3:$D$513=D215)*1), AVERAGE('Sulphuric Acid freights'!$P$3:$P$513))*2/3</f>
        <v>44.533333333333331</v>
      </c>
      <c r="M215" s="78" cm="1">
        <f t="array" ref="M215">IFERROR(SUMPRODUCT(('Sulphuric Acid freights'!$B$3:$B$513=B215)*('Sulphuric Acid freights'!$D$3:$D$513=D215)*('Sulphuric Acid freights'!$M$3:$M$513))/SUMPRODUCT(('Sulphuric Acid freights'!$B$3:$B$513=B215)*('Sulphuric Acid freights'!$D$3:$D$513=D215)*1)*2/3, AVERAGE('Sulphuric Acid freights'!$M$3:$M$513))</f>
        <v>13.333333333333334</v>
      </c>
      <c r="N215" s="78">
        <f t="shared" si="39"/>
        <v>40.08</v>
      </c>
      <c r="O215" s="78" cm="1">
        <f t="array" ref="O215">IF(SUMPRODUCT(('Sulphur freight'!$B$3:$B$1976=B215)*('Sulphur freight'!$D$3:$D$1976=D215)*('Sulphur freight'!$G$3:$G$1976))/SUMPRODUCT(('Sulphur freight'!$B$3:$B$1976=B215)*('Sulphur freight'!$D$3:$D$1976=D215)*1)=0, AVERAGE('Sulphur freight'!$G$3:$G$1976),SUMPRODUCT(('Sulphur freight'!$B$3:$B$1976=B215)*('Sulphur freight'!$D$3:$D$1976=D215)*('Sulphur freight'!$G$3:$G$1976))/SUMPRODUCT(('Sulphur freight'!$B$3:$B$1976=B215)*('Sulphur freight'!$D$3:$D$1976=D215)*1))</f>
        <v>20.8</v>
      </c>
      <c r="P215" s="78">
        <v>20</v>
      </c>
      <c r="R215" s="78" t="str">
        <f t="shared" si="40"/>
        <v xml:space="preserve"> </v>
      </c>
      <c r="S215" s="78">
        <f t="shared" si="41"/>
        <v>52.333333333333336</v>
      </c>
      <c r="T215" s="78">
        <f t="shared" si="36"/>
        <v>53.533333333333331</v>
      </c>
      <c r="U215" s="78" t="str">
        <f t="shared" si="42"/>
        <v/>
      </c>
      <c r="V215" s="78">
        <f>IFERROR(I215+O215, "")</f>
        <v>68</v>
      </c>
      <c r="W215" s="78">
        <f t="shared" si="43"/>
        <v>91</v>
      </c>
      <c r="X215" s="78">
        <f t="shared" si="44"/>
        <v>40.44</v>
      </c>
      <c r="Y215" s="78">
        <f t="shared" si="45"/>
        <v>48.03</v>
      </c>
      <c r="AA215" s="88" t="str">
        <f t="shared" si="46"/>
        <v/>
      </c>
      <c r="AB215" s="77" t="str">
        <f t="shared" si="37"/>
        <v/>
      </c>
      <c r="AD215" s="88" t="str">
        <f t="shared" si="47"/>
        <v/>
      </c>
      <c r="AE215" s="77" t="str">
        <f t="shared" si="38"/>
        <v/>
      </c>
    </row>
    <row r="216" spans="2:31" x14ac:dyDescent="0.35">
      <c r="B216" s="2">
        <v>2019</v>
      </c>
      <c r="C216" s="2">
        <v>4</v>
      </c>
      <c r="D216" s="2">
        <v>11</v>
      </c>
      <c r="E216" s="78">
        <f>'CRU historical'!F215</f>
        <v>8.25</v>
      </c>
      <c r="F216" s="78">
        <f>'CRU historical'!I215</f>
        <v>35</v>
      </c>
      <c r="G216" s="78" t="str">
        <f>'CRU historical'!L215</f>
        <v xml:space="preserve"> </v>
      </c>
      <c r="H216" s="78" t="str">
        <f>'CRU historical'!O215</f>
        <v xml:space="preserve"> </v>
      </c>
      <c r="I216" s="78">
        <f>'CRU historical'!R215</f>
        <v>43</v>
      </c>
      <c r="J216" s="78">
        <f>AVERAGE('CRU historical'!U215, 'CRU historical'!X215, 'CRU historical'!AA215, 'CRU historical'!AD215)</f>
        <v>59</v>
      </c>
      <c r="L216" s="78" cm="1">
        <f t="array" ref="L216">IFERROR(SUMPRODUCT(('Sulphuric Acid freights'!$B$3:$B$513=B216)*('Sulphuric Acid freights'!$D$3:$D$513=D216)*('Sulphuric Acid freights'!$P$3:$P$513))/SUMPRODUCT(('Sulphuric Acid freights'!$B$3:$B$513=B216)*('Sulphuric Acid freights'!$D$3:$D$513=D216)*1), AVERAGE('Sulphuric Acid freights'!$P$3:$P$513))*2/3</f>
        <v>45.333333333333336</v>
      </c>
      <c r="M216" s="78" cm="1">
        <f t="array" ref="M216">IFERROR(SUMPRODUCT(('Sulphuric Acid freights'!$B$3:$B$513=B216)*('Sulphuric Acid freights'!$D$3:$D$513=D216)*('Sulphuric Acid freights'!$M$3:$M$513))/SUMPRODUCT(('Sulphuric Acid freights'!$B$3:$B$513=B216)*('Sulphuric Acid freights'!$D$3:$D$513=D216)*1)*2/3, AVERAGE('Sulphuric Acid freights'!$M$3:$M$513))</f>
        <v>14.5</v>
      </c>
      <c r="N216" s="78">
        <f t="shared" si="39"/>
        <v>40.800000000000004</v>
      </c>
      <c r="O216" s="78" cm="1">
        <f t="array" ref="O216">IF(SUMPRODUCT(('Sulphur freight'!$B$3:$B$1976=B216)*('Sulphur freight'!$D$3:$D$1976=D216)*('Sulphur freight'!$G$3:$G$1976))/SUMPRODUCT(('Sulphur freight'!$B$3:$B$1976=B216)*('Sulphur freight'!$D$3:$D$1976=D216)*1)=0, AVERAGE('Sulphur freight'!$G$3:$G$1976),SUMPRODUCT(('Sulphur freight'!$B$3:$B$1976=B216)*('Sulphur freight'!$D$3:$D$1976=D216)*('Sulphur freight'!$G$3:$G$1976))/SUMPRODUCT(('Sulphur freight'!$B$3:$B$1976=B216)*('Sulphur freight'!$D$3:$D$1976=D216)*1))</f>
        <v>19.75</v>
      </c>
      <c r="P216" s="78">
        <v>20</v>
      </c>
      <c r="R216" s="78" t="str">
        <f t="shared" si="40"/>
        <v xml:space="preserve"> </v>
      </c>
      <c r="S216" s="78">
        <f t="shared" si="41"/>
        <v>49.5</v>
      </c>
      <c r="T216" s="78">
        <f t="shared" si="36"/>
        <v>53.583333333333336</v>
      </c>
      <c r="U216" s="78" t="str">
        <f t="shared" si="42"/>
        <v/>
      </c>
      <c r="V216" s="78">
        <f>IFERROR(I216+O216, "")</f>
        <v>62.75</v>
      </c>
      <c r="W216" s="78">
        <f t="shared" si="43"/>
        <v>79</v>
      </c>
      <c r="X216" s="78">
        <f t="shared" si="44"/>
        <v>38.707499999999996</v>
      </c>
      <c r="Y216" s="78">
        <f t="shared" si="45"/>
        <v>44.07</v>
      </c>
      <c r="AA216" s="88" t="str">
        <f t="shared" si="46"/>
        <v/>
      </c>
      <c r="AB216" s="77" t="str">
        <f t="shared" si="37"/>
        <v/>
      </c>
      <c r="AD216" s="88" t="str">
        <f t="shared" si="47"/>
        <v/>
      </c>
      <c r="AE216" s="77" t="str">
        <f t="shared" si="38"/>
        <v/>
      </c>
    </row>
    <row r="217" spans="2:31" x14ac:dyDescent="0.35">
      <c r="B217" s="2">
        <v>2019</v>
      </c>
      <c r="C217" s="2">
        <v>4</v>
      </c>
      <c r="D217" s="2">
        <v>12</v>
      </c>
      <c r="E217" s="78">
        <f>'CRU historical'!F216</f>
        <v>8</v>
      </c>
      <c r="F217" s="78">
        <f>'CRU historical'!I216</f>
        <v>35</v>
      </c>
      <c r="G217" s="78" t="str">
        <f>'CRU historical'!L216</f>
        <v xml:space="preserve"> </v>
      </c>
      <c r="H217" s="78" t="str">
        <f>'CRU historical'!O216</f>
        <v xml:space="preserve"> </v>
      </c>
      <c r="I217" s="78">
        <f>'CRU historical'!R216</f>
        <v>40.666666666666664</v>
      </c>
      <c r="J217" s="78">
        <f>AVERAGE('CRU historical'!U216, 'CRU historical'!X216, 'CRU historical'!AA216, 'CRU historical'!AD216)</f>
        <v>59</v>
      </c>
      <c r="L217" s="78" cm="1">
        <f t="array" ref="L217">IFERROR(SUMPRODUCT(('Sulphuric Acid freights'!$B$3:$B$513=B217)*('Sulphuric Acid freights'!$D$3:$D$513=D217)*('Sulphuric Acid freights'!$P$3:$P$513))/SUMPRODUCT(('Sulphuric Acid freights'!$B$3:$B$513=B217)*('Sulphuric Acid freights'!$D$3:$D$513=D217)*1), AVERAGE('Sulphuric Acid freights'!$P$3:$P$513))*2/3</f>
        <v>46</v>
      </c>
      <c r="M217" s="78" cm="1">
        <f t="array" ref="M217">IFERROR(SUMPRODUCT(('Sulphuric Acid freights'!$B$3:$B$513=B217)*('Sulphuric Acid freights'!$D$3:$D$513=D217)*('Sulphuric Acid freights'!$M$3:$M$513))/SUMPRODUCT(('Sulphuric Acid freights'!$B$3:$B$513=B217)*('Sulphuric Acid freights'!$D$3:$D$513=D217)*1)*2/3, AVERAGE('Sulphuric Acid freights'!$M$3:$M$513))</f>
        <v>14.666666666666666</v>
      </c>
      <c r="N217" s="78">
        <f t="shared" si="39"/>
        <v>41.4</v>
      </c>
      <c r="O217" s="78" cm="1">
        <f t="array" ref="O217">IF(SUMPRODUCT(('Sulphur freight'!$B$3:$B$1976=B217)*('Sulphur freight'!$D$3:$D$1976=D217)*('Sulphur freight'!$G$3:$G$1976))/SUMPRODUCT(('Sulphur freight'!$B$3:$B$1976=B217)*('Sulphur freight'!$D$3:$D$1976=D217)*1)=0, AVERAGE('Sulphur freight'!$G$3:$G$1976),SUMPRODUCT(('Sulphur freight'!$B$3:$B$1976=B217)*('Sulphur freight'!$D$3:$D$1976=D217)*('Sulphur freight'!$G$3:$G$1976))/SUMPRODUCT(('Sulphur freight'!$B$3:$B$1976=B217)*('Sulphur freight'!$D$3:$D$1976=D217)*1))</f>
        <v>23.25</v>
      </c>
      <c r="P217" s="78">
        <v>20</v>
      </c>
      <c r="R217" s="78" t="str">
        <f t="shared" si="40"/>
        <v xml:space="preserve"> </v>
      </c>
      <c r="S217" s="78">
        <f t="shared" si="41"/>
        <v>49.666666666666664</v>
      </c>
      <c r="T217" s="78">
        <f t="shared" si="36"/>
        <v>54</v>
      </c>
      <c r="U217" s="78" t="str">
        <f t="shared" si="42"/>
        <v/>
      </c>
      <c r="V217" s="78">
        <f>IFERROR(I217+O217, "")</f>
        <v>63.916666666666664</v>
      </c>
      <c r="W217" s="78">
        <f t="shared" si="43"/>
        <v>79</v>
      </c>
      <c r="X217" s="78">
        <f t="shared" si="44"/>
        <v>39.092500000000001</v>
      </c>
      <c r="Y217" s="78">
        <f t="shared" si="45"/>
        <v>44.07</v>
      </c>
      <c r="AA217" s="88" t="str">
        <f t="shared" si="46"/>
        <v/>
      </c>
      <c r="AB217" s="77" t="str">
        <f t="shared" si="37"/>
        <v/>
      </c>
      <c r="AD217" s="88" t="str">
        <f t="shared" si="47"/>
        <v/>
      </c>
      <c r="AE217" s="77" t="str">
        <f t="shared" si="38"/>
        <v/>
      </c>
    </row>
    <row r="218" spans="2:31" x14ac:dyDescent="0.35">
      <c r="B218" s="2">
        <v>2020</v>
      </c>
      <c r="C218" s="2">
        <v>1</v>
      </c>
      <c r="D218" s="2">
        <v>1</v>
      </c>
      <c r="E218" s="78">
        <f>'CRU historical'!F217</f>
        <v>5.2</v>
      </c>
      <c r="F218" s="78">
        <f>'CRU historical'!I217</f>
        <v>31.4</v>
      </c>
      <c r="G218" s="78" t="str">
        <f>'CRU historical'!L217</f>
        <v xml:space="preserve"> </v>
      </c>
      <c r="H218" s="78" t="str">
        <f>'CRU historical'!O217</f>
        <v xml:space="preserve"> </v>
      </c>
      <c r="I218" s="78">
        <f>'CRU historical'!R217</f>
        <v>40.200000000000003</v>
      </c>
      <c r="J218" s="78">
        <f>AVERAGE('CRU historical'!U217, 'CRU historical'!X217, 'CRU historical'!AA217, 'CRU historical'!AD217)</f>
        <v>53.6</v>
      </c>
      <c r="L218" s="78" cm="1">
        <f t="array" ref="L218">IFERROR(SUMPRODUCT(('Sulphuric Acid freights'!$B$3:$B$513=B218)*('Sulphuric Acid freights'!$D$3:$D$513=D218)*('Sulphuric Acid freights'!$P$3:$P$513))/SUMPRODUCT(('Sulphuric Acid freights'!$B$3:$B$513=B218)*('Sulphuric Acid freights'!$D$3:$D$513=D218)*1), AVERAGE('Sulphuric Acid freights'!$P$3:$P$513))*2/3</f>
        <v>47.066666666666663</v>
      </c>
      <c r="M218" s="78" cm="1">
        <f t="array" ref="M218">IFERROR(SUMPRODUCT(('Sulphuric Acid freights'!$B$3:$B$513=B218)*('Sulphuric Acid freights'!$D$3:$D$513=D218)*('Sulphuric Acid freights'!$M$3:$M$513))/SUMPRODUCT(('Sulphuric Acid freights'!$B$3:$B$513=B218)*('Sulphuric Acid freights'!$D$3:$D$513=D218)*1)*2/3, AVERAGE('Sulphuric Acid freights'!$M$3:$M$513))</f>
        <v>15.733333333333334</v>
      </c>
      <c r="N218" s="78">
        <f t="shared" si="39"/>
        <v>42.36</v>
      </c>
      <c r="O218" s="78" cm="1">
        <f t="array" ref="O218">IF(SUMPRODUCT(('Sulphur freight'!$B$3:$B$1976=B218)*('Sulphur freight'!$D$3:$D$1976=D218)*('Sulphur freight'!$G$3:$G$1976))/SUMPRODUCT(('Sulphur freight'!$B$3:$B$1976=B218)*('Sulphur freight'!$D$3:$D$1976=D218)*1)=0, AVERAGE('Sulphur freight'!$G$3:$G$1976),SUMPRODUCT(('Sulphur freight'!$B$3:$B$1976=B218)*('Sulphur freight'!$D$3:$D$1976=D218)*('Sulphur freight'!$G$3:$G$1976))/SUMPRODUCT(('Sulphur freight'!$B$3:$B$1976=B218)*('Sulphur freight'!$D$3:$D$1976=D218)*1))</f>
        <v>21.2</v>
      </c>
      <c r="P218" s="78">
        <v>20</v>
      </c>
      <c r="R218" s="78" t="str">
        <f t="shared" si="40"/>
        <v xml:space="preserve"> </v>
      </c>
      <c r="S218" s="78">
        <f t="shared" si="41"/>
        <v>47.133333333333333</v>
      </c>
      <c r="T218" s="78">
        <f t="shared" si="36"/>
        <v>52.266666666666666</v>
      </c>
      <c r="U218" s="78" t="str">
        <f t="shared" si="42"/>
        <v/>
      </c>
      <c r="V218" s="78">
        <f>IFERROR(I218+O218, "")</f>
        <v>61.400000000000006</v>
      </c>
      <c r="W218" s="78">
        <f t="shared" si="43"/>
        <v>73.599999999999994</v>
      </c>
      <c r="X218" s="78">
        <f t="shared" si="44"/>
        <v>38.262</v>
      </c>
      <c r="Y218" s="78">
        <f t="shared" si="45"/>
        <v>42.287999999999997</v>
      </c>
      <c r="AA218" s="88" t="str">
        <f t="shared" si="46"/>
        <v/>
      </c>
      <c r="AB218" s="77" t="str">
        <f t="shared" si="37"/>
        <v/>
      </c>
      <c r="AD218" s="88" t="str">
        <f t="shared" si="47"/>
        <v/>
      </c>
      <c r="AE218" s="77" t="str">
        <f t="shared" si="38"/>
        <v/>
      </c>
    </row>
    <row r="219" spans="2:31" x14ac:dyDescent="0.35">
      <c r="B219" s="2">
        <v>2020</v>
      </c>
      <c r="C219" s="2">
        <v>1</v>
      </c>
      <c r="D219" s="2">
        <v>2</v>
      </c>
      <c r="E219" s="78">
        <f>'CRU historical'!F218</f>
        <v>-2.5</v>
      </c>
      <c r="F219" s="78">
        <f>'CRU historical'!I218</f>
        <v>17.75</v>
      </c>
      <c r="G219" s="78" t="str">
        <f>'CRU historical'!L218</f>
        <v xml:space="preserve"> </v>
      </c>
      <c r="H219" s="78" t="str">
        <f>'CRU historical'!O218</f>
        <v xml:space="preserve"> </v>
      </c>
      <c r="I219" s="78">
        <f>'CRU historical'!R218</f>
        <v>42</v>
      </c>
      <c r="J219" s="78">
        <f>AVERAGE('CRU historical'!U218, 'CRU historical'!X218, 'CRU historical'!AA218, 'CRU historical'!AD218)</f>
        <v>50</v>
      </c>
      <c r="L219" s="78" cm="1">
        <f t="array" ref="L219">IFERROR(SUMPRODUCT(('Sulphuric Acid freights'!$B$3:$B$513=B219)*('Sulphuric Acid freights'!$D$3:$D$513=D219)*('Sulphuric Acid freights'!$P$3:$P$513))/SUMPRODUCT(('Sulphuric Acid freights'!$B$3:$B$513=B219)*('Sulphuric Acid freights'!$D$3:$D$513=D219)*1), AVERAGE('Sulphuric Acid freights'!$P$3:$P$513))*2/3</f>
        <v>45.5</v>
      </c>
      <c r="M219" s="78" cm="1">
        <f t="array" ref="M219">IFERROR(SUMPRODUCT(('Sulphuric Acid freights'!$B$3:$B$513=B219)*('Sulphuric Acid freights'!$D$3:$D$513=D219)*('Sulphuric Acid freights'!$M$3:$M$513))/SUMPRODUCT(('Sulphuric Acid freights'!$B$3:$B$513=B219)*('Sulphuric Acid freights'!$D$3:$D$513=D219)*1)*2/3, AVERAGE('Sulphuric Acid freights'!$M$3:$M$513))</f>
        <v>16</v>
      </c>
      <c r="N219" s="78">
        <f t="shared" si="39"/>
        <v>40.950000000000003</v>
      </c>
      <c r="O219" s="78" cm="1">
        <f t="array" ref="O219">IF(SUMPRODUCT(('Sulphur freight'!$B$3:$B$1976=B219)*('Sulphur freight'!$D$3:$D$1976=D219)*('Sulphur freight'!$G$3:$G$1976))/SUMPRODUCT(('Sulphur freight'!$B$3:$B$1976=B219)*('Sulphur freight'!$D$3:$D$1976=D219)*1)=0, AVERAGE('Sulphur freight'!$G$3:$G$1976),SUMPRODUCT(('Sulphur freight'!$B$3:$B$1976=B219)*('Sulphur freight'!$D$3:$D$1976=D219)*('Sulphur freight'!$G$3:$G$1976))/SUMPRODUCT(('Sulphur freight'!$B$3:$B$1976=B219)*('Sulphur freight'!$D$3:$D$1976=D219)*1))</f>
        <v>17.25</v>
      </c>
      <c r="P219" s="78">
        <v>20</v>
      </c>
      <c r="R219" s="78" t="str">
        <f t="shared" si="40"/>
        <v xml:space="preserve"> </v>
      </c>
      <c r="S219" s="78">
        <f t="shared" si="41"/>
        <v>33.75</v>
      </c>
      <c r="T219" s="78">
        <f t="shared" si="36"/>
        <v>43</v>
      </c>
      <c r="U219" s="78" t="str">
        <f t="shared" si="42"/>
        <v/>
      </c>
      <c r="V219" s="78">
        <f>IFERROR(I219+O219, "")</f>
        <v>59.25</v>
      </c>
      <c r="W219" s="78">
        <f t="shared" si="43"/>
        <v>70</v>
      </c>
      <c r="X219" s="78">
        <f t="shared" si="44"/>
        <v>37.552500000000002</v>
      </c>
      <c r="Y219" s="78">
        <f t="shared" si="45"/>
        <v>41.1</v>
      </c>
      <c r="AA219" s="88" t="str">
        <f t="shared" si="46"/>
        <v/>
      </c>
      <c r="AB219" s="77" t="str">
        <f t="shared" si="37"/>
        <v/>
      </c>
      <c r="AD219" s="88" t="str">
        <f t="shared" si="47"/>
        <v/>
      </c>
      <c r="AE219" s="77" t="str">
        <f t="shared" si="38"/>
        <v/>
      </c>
    </row>
    <row r="220" spans="2:31" x14ac:dyDescent="0.35">
      <c r="B220" s="2">
        <v>2020</v>
      </c>
      <c r="C220" s="2">
        <v>1</v>
      </c>
      <c r="D220" s="2">
        <v>3</v>
      </c>
      <c r="E220" s="78">
        <f>'CRU historical'!F219</f>
        <v>-16.5</v>
      </c>
      <c r="F220" s="78">
        <f>'CRU historical'!I219</f>
        <v>12.5</v>
      </c>
      <c r="G220" s="78" t="str">
        <f>'CRU historical'!L219</f>
        <v xml:space="preserve"> </v>
      </c>
      <c r="H220" s="78" t="str">
        <f>'CRU historical'!O219</f>
        <v xml:space="preserve"> </v>
      </c>
      <c r="I220" s="78">
        <f>'CRU historical'!R219</f>
        <v>53</v>
      </c>
      <c r="J220" s="78">
        <f>AVERAGE('CRU historical'!U219, 'CRU historical'!X219, 'CRU historical'!AA219, 'CRU historical'!AD219)</f>
        <v>50</v>
      </c>
      <c r="L220" s="78" cm="1">
        <f t="array" ref="L220">IFERROR(SUMPRODUCT(('Sulphuric Acid freights'!$B$3:$B$513=B220)*('Sulphuric Acid freights'!$D$3:$D$513=D220)*('Sulphuric Acid freights'!$P$3:$P$513))/SUMPRODUCT(('Sulphuric Acid freights'!$B$3:$B$513=B220)*('Sulphuric Acid freights'!$D$3:$D$513=D220)*1), AVERAGE('Sulphuric Acid freights'!$P$3:$P$513))*2/3</f>
        <v>42</v>
      </c>
      <c r="M220" s="78" cm="1">
        <f t="array" ref="M220">IFERROR(SUMPRODUCT(('Sulphuric Acid freights'!$B$3:$B$513=B220)*('Sulphuric Acid freights'!$D$3:$D$513=D220)*('Sulphuric Acid freights'!$M$3:$M$513))/SUMPRODUCT(('Sulphuric Acid freights'!$B$3:$B$513=B220)*('Sulphuric Acid freights'!$D$3:$D$513=D220)*1)*2/3, AVERAGE('Sulphuric Acid freights'!$M$3:$M$513))</f>
        <v>15</v>
      </c>
      <c r="N220" s="78">
        <f t="shared" si="39"/>
        <v>37.800000000000004</v>
      </c>
      <c r="O220" s="78" cm="1">
        <f t="array" ref="O220">IF(SUMPRODUCT(('Sulphur freight'!$B$3:$B$1976=B220)*('Sulphur freight'!$D$3:$D$1976=D220)*('Sulphur freight'!$G$3:$G$1976))/SUMPRODUCT(('Sulphur freight'!$B$3:$B$1976=B220)*('Sulphur freight'!$D$3:$D$1976=D220)*1)=0, AVERAGE('Sulphur freight'!$G$3:$G$1976),SUMPRODUCT(('Sulphur freight'!$B$3:$B$1976=B220)*('Sulphur freight'!$D$3:$D$1976=D220)*('Sulphur freight'!$G$3:$G$1976))/SUMPRODUCT(('Sulphur freight'!$B$3:$B$1976=B220)*('Sulphur freight'!$D$3:$D$1976=D220)*1))</f>
        <v>17.5</v>
      </c>
      <c r="P220" s="78">
        <v>20</v>
      </c>
      <c r="R220" s="78" t="str">
        <f t="shared" si="40"/>
        <v xml:space="preserve"> </v>
      </c>
      <c r="S220" s="78">
        <f t="shared" si="41"/>
        <v>27.5</v>
      </c>
      <c r="T220" s="78">
        <f t="shared" si="36"/>
        <v>25.5</v>
      </c>
      <c r="U220" s="78" t="str">
        <f t="shared" si="42"/>
        <v/>
      </c>
      <c r="V220" s="78">
        <f>IFERROR(I220+O220, "")</f>
        <v>70.5</v>
      </c>
      <c r="W220" s="78">
        <f t="shared" si="43"/>
        <v>70</v>
      </c>
      <c r="X220" s="78">
        <f t="shared" si="44"/>
        <v>41.265000000000001</v>
      </c>
      <c r="Y220" s="78">
        <f t="shared" si="45"/>
        <v>41.1</v>
      </c>
      <c r="AA220" s="88" t="str">
        <f t="shared" si="46"/>
        <v/>
      </c>
      <c r="AB220" s="77" t="str">
        <f t="shared" si="37"/>
        <v/>
      </c>
      <c r="AD220" s="88" t="str">
        <f t="shared" si="47"/>
        <v/>
      </c>
      <c r="AE220" s="77" t="str">
        <f t="shared" si="38"/>
        <v/>
      </c>
    </row>
    <row r="221" spans="2:31" x14ac:dyDescent="0.35">
      <c r="B221" s="2">
        <v>2020</v>
      </c>
      <c r="C221" s="2">
        <v>2</v>
      </c>
      <c r="D221" s="2">
        <v>4</v>
      </c>
      <c r="E221" s="78">
        <f>'CRU historical'!F220</f>
        <v>-26.4</v>
      </c>
      <c r="F221" s="78">
        <f>'CRU historical'!I220</f>
        <v>-4.4000000000000004</v>
      </c>
      <c r="G221" s="78" t="str">
        <f>'CRU historical'!L220</f>
        <v xml:space="preserve"> </v>
      </c>
      <c r="H221" s="78" t="str">
        <f>'CRU historical'!O220</f>
        <v xml:space="preserve"> </v>
      </c>
      <c r="I221" s="78">
        <f>'CRU historical'!R220</f>
        <v>58.6</v>
      </c>
      <c r="J221" s="78">
        <f>AVERAGE('CRU historical'!U220, 'CRU historical'!X220, 'CRU historical'!AA220, 'CRU historical'!AD220)</f>
        <v>57.8</v>
      </c>
      <c r="L221" s="78" cm="1">
        <f t="array" ref="L221">IFERROR(SUMPRODUCT(('Sulphuric Acid freights'!$B$3:$B$513=B221)*('Sulphuric Acid freights'!$D$3:$D$513=D221)*('Sulphuric Acid freights'!$P$3:$P$513))/SUMPRODUCT(('Sulphuric Acid freights'!$B$3:$B$513=B221)*('Sulphuric Acid freights'!$D$3:$D$513=D221)*1), AVERAGE('Sulphuric Acid freights'!$P$3:$P$513))*2/3</f>
        <v>40.666666666666664</v>
      </c>
      <c r="M221" s="78" cm="1">
        <f t="array" ref="M221">IFERROR(SUMPRODUCT(('Sulphuric Acid freights'!$B$3:$B$513=B221)*('Sulphuric Acid freights'!$D$3:$D$513=D221)*('Sulphuric Acid freights'!$M$3:$M$513))/SUMPRODUCT(('Sulphuric Acid freights'!$B$3:$B$513=B221)*('Sulphuric Acid freights'!$D$3:$D$513=D221)*1)*2/3, AVERAGE('Sulphuric Acid freights'!$M$3:$M$513))</f>
        <v>15.200000000000001</v>
      </c>
      <c r="N221" s="78">
        <f t="shared" si="39"/>
        <v>36.6</v>
      </c>
      <c r="O221" s="78" cm="1">
        <f t="array" ref="O221">IF(SUMPRODUCT(('Sulphur freight'!$B$3:$B$1976=B221)*('Sulphur freight'!$D$3:$D$1976=D221)*('Sulphur freight'!$G$3:$G$1976))/SUMPRODUCT(('Sulphur freight'!$B$3:$B$1976=B221)*('Sulphur freight'!$D$3:$D$1976=D221)*1)=0, AVERAGE('Sulphur freight'!$G$3:$G$1976),SUMPRODUCT(('Sulphur freight'!$B$3:$B$1976=B221)*('Sulphur freight'!$D$3:$D$1976=D221)*('Sulphur freight'!$G$3:$G$1976))/SUMPRODUCT(('Sulphur freight'!$B$3:$B$1976=B221)*('Sulphur freight'!$D$3:$D$1976=D221)*1))</f>
        <v>15</v>
      </c>
      <c r="P221" s="78">
        <v>20</v>
      </c>
      <c r="R221" s="78" t="str">
        <f t="shared" si="40"/>
        <v xml:space="preserve"> </v>
      </c>
      <c r="S221" s="78">
        <f t="shared" si="41"/>
        <v>10.8</v>
      </c>
      <c r="T221" s="78">
        <f t="shared" si="36"/>
        <v>14.266666666666666</v>
      </c>
      <c r="U221" s="78" t="str">
        <f t="shared" si="42"/>
        <v/>
      </c>
      <c r="V221" s="78">
        <f>IFERROR(I221+O221, "")</f>
        <v>73.599999999999994</v>
      </c>
      <c r="W221" s="78">
        <f t="shared" si="43"/>
        <v>77.8</v>
      </c>
      <c r="X221" s="78">
        <f t="shared" si="44"/>
        <v>42.287999999999997</v>
      </c>
      <c r="Y221" s="78">
        <f t="shared" si="45"/>
        <v>43.673999999999999</v>
      </c>
      <c r="AA221" s="88" t="str">
        <f t="shared" si="46"/>
        <v/>
      </c>
      <c r="AB221" s="77" t="str">
        <f t="shared" si="37"/>
        <v/>
      </c>
      <c r="AD221" s="88" t="str">
        <f t="shared" si="47"/>
        <v/>
      </c>
      <c r="AE221" s="77" t="str">
        <f t="shared" si="38"/>
        <v/>
      </c>
    </row>
    <row r="222" spans="2:31" x14ac:dyDescent="0.35">
      <c r="B222" s="2">
        <v>2020</v>
      </c>
      <c r="C222" s="2">
        <v>2</v>
      </c>
      <c r="D222" s="2">
        <v>5</v>
      </c>
      <c r="E222" s="78">
        <f>'CRU historical'!F221</f>
        <v>-18.25</v>
      </c>
      <c r="F222" s="78">
        <f>'CRU historical'!I221</f>
        <v>-4</v>
      </c>
      <c r="G222" s="78" t="str">
        <f>'CRU historical'!L221</f>
        <v xml:space="preserve"> </v>
      </c>
      <c r="H222" s="78" t="str">
        <f>'CRU historical'!O221</f>
        <v xml:space="preserve"> </v>
      </c>
      <c r="I222" s="78">
        <f>'CRU historical'!R221</f>
        <v>53</v>
      </c>
      <c r="J222" s="78">
        <f>AVERAGE('CRU historical'!U221, 'CRU historical'!X221, 'CRU historical'!AA221, 'CRU historical'!AD221)</f>
        <v>63</v>
      </c>
      <c r="L222" s="78" cm="1">
        <f t="array" ref="L222">IFERROR(SUMPRODUCT(('Sulphuric Acid freights'!$B$3:$B$513=B222)*('Sulphuric Acid freights'!$D$3:$D$513=D222)*('Sulphuric Acid freights'!$P$3:$P$513))/SUMPRODUCT(('Sulphuric Acid freights'!$B$3:$B$513=B222)*('Sulphuric Acid freights'!$D$3:$D$513=D222)*1), AVERAGE('Sulphuric Acid freights'!$P$3:$P$513))*2/3</f>
        <v>41.666666666666664</v>
      </c>
      <c r="M222" s="78" cm="1">
        <f t="array" ref="M222">IFERROR(SUMPRODUCT(('Sulphuric Acid freights'!$B$3:$B$513=B222)*('Sulphuric Acid freights'!$D$3:$D$513=D222)*('Sulphuric Acid freights'!$M$3:$M$513))/SUMPRODUCT(('Sulphuric Acid freights'!$B$3:$B$513=B222)*('Sulphuric Acid freights'!$D$3:$D$513=D222)*1)*2/3, AVERAGE('Sulphuric Acid freights'!$M$3:$M$513))</f>
        <v>15.333333333333334</v>
      </c>
      <c r="N222" s="78">
        <f t="shared" si="39"/>
        <v>37.5</v>
      </c>
      <c r="O222" s="78" cm="1">
        <f t="array" ref="O222">IF(SUMPRODUCT(('Sulphur freight'!$B$3:$B$1976=B222)*('Sulphur freight'!$D$3:$D$1976=D222)*('Sulphur freight'!$G$3:$G$1976))/SUMPRODUCT(('Sulphur freight'!$B$3:$B$1976=B222)*('Sulphur freight'!$D$3:$D$1976=D222)*1)=0, AVERAGE('Sulphur freight'!$G$3:$G$1976),SUMPRODUCT(('Sulphur freight'!$B$3:$B$1976=B222)*('Sulphur freight'!$D$3:$D$1976=D222)*('Sulphur freight'!$G$3:$G$1976))/SUMPRODUCT(('Sulphur freight'!$B$3:$B$1976=B222)*('Sulphur freight'!$D$3:$D$1976=D222)*1))</f>
        <v>15.25</v>
      </c>
      <c r="P222" s="78">
        <v>20</v>
      </c>
      <c r="R222" s="78" t="str">
        <f t="shared" si="40"/>
        <v xml:space="preserve"> </v>
      </c>
      <c r="S222" s="78">
        <f t="shared" si="41"/>
        <v>11.333333333333334</v>
      </c>
      <c r="T222" s="78">
        <f t="shared" si="36"/>
        <v>23.416666666666664</v>
      </c>
      <c r="U222" s="78" t="str">
        <f t="shared" si="42"/>
        <v/>
      </c>
      <c r="V222" s="78">
        <f>IFERROR(I222+O222, "")</f>
        <v>68.25</v>
      </c>
      <c r="W222" s="78">
        <f t="shared" si="43"/>
        <v>83</v>
      </c>
      <c r="X222" s="78">
        <f t="shared" si="44"/>
        <v>40.522500000000001</v>
      </c>
      <c r="Y222" s="78">
        <f t="shared" si="45"/>
        <v>45.39</v>
      </c>
      <c r="AA222" s="88" t="str">
        <f t="shared" si="46"/>
        <v/>
      </c>
      <c r="AB222" s="77" t="str">
        <f t="shared" si="37"/>
        <v/>
      </c>
      <c r="AD222" s="88" t="str">
        <f t="shared" si="47"/>
        <v/>
      </c>
      <c r="AE222" s="77" t="str">
        <f t="shared" si="38"/>
        <v/>
      </c>
    </row>
    <row r="223" spans="2:31" x14ac:dyDescent="0.35">
      <c r="B223" s="2">
        <v>2020</v>
      </c>
      <c r="C223" s="2">
        <v>2</v>
      </c>
      <c r="D223" s="2">
        <v>6</v>
      </c>
      <c r="E223" s="78">
        <f>'CRU historical'!F222</f>
        <v>-15</v>
      </c>
      <c r="F223" s="78">
        <f>'CRU historical'!I222</f>
        <v>1.5</v>
      </c>
      <c r="G223" s="78" t="str">
        <f>'CRU historical'!L222</f>
        <v xml:space="preserve"> </v>
      </c>
      <c r="H223" s="78" t="str">
        <f>'CRU historical'!O222</f>
        <v xml:space="preserve"> </v>
      </c>
      <c r="I223" s="78">
        <f>'CRU historical'!R222</f>
        <v>59.5</v>
      </c>
      <c r="J223" s="78">
        <f>AVERAGE('CRU historical'!U222, 'CRU historical'!X222, 'CRU historical'!AA222, 'CRU historical'!AD222)</f>
        <v>63</v>
      </c>
      <c r="L223" s="78" cm="1">
        <f t="array" ref="L223">IFERROR(SUMPRODUCT(('Sulphuric Acid freights'!$B$3:$B$513=B223)*('Sulphuric Acid freights'!$D$3:$D$513=D223)*('Sulphuric Acid freights'!$P$3:$P$513))/SUMPRODUCT(('Sulphuric Acid freights'!$B$3:$B$513=B223)*('Sulphuric Acid freights'!$D$3:$D$513=D223)*1), AVERAGE('Sulphuric Acid freights'!$P$3:$P$513))*2/3</f>
        <v>40</v>
      </c>
      <c r="M223" s="78" cm="1">
        <f t="array" ref="M223">IFERROR(SUMPRODUCT(('Sulphuric Acid freights'!$B$3:$B$513=B223)*('Sulphuric Acid freights'!$D$3:$D$513=D223)*('Sulphuric Acid freights'!$M$3:$M$513))/SUMPRODUCT(('Sulphuric Acid freights'!$B$3:$B$513=B223)*('Sulphuric Acid freights'!$D$3:$D$513=D223)*1)*2/3, AVERAGE('Sulphuric Acid freights'!$M$3:$M$513))</f>
        <v>13.666666666666666</v>
      </c>
      <c r="N223" s="78">
        <f t="shared" si="39"/>
        <v>36</v>
      </c>
      <c r="O223" s="78" cm="1">
        <f t="array" ref="O223">IF(SUMPRODUCT(('Sulphur freight'!$B$3:$B$1976=B223)*('Sulphur freight'!$D$3:$D$1976=D223)*('Sulphur freight'!$G$3:$G$1976))/SUMPRODUCT(('Sulphur freight'!$B$3:$B$1976=B223)*('Sulphur freight'!$D$3:$D$1976=D223)*1)=0, AVERAGE('Sulphur freight'!$G$3:$G$1976),SUMPRODUCT(('Sulphur freight'!$B$3:$B$1976=B223)*('Sulphur freight'!$D$3:$D$1976=D223)*('Sulphur freight'!$G$3:$G$1976))/SUMPRODUCT(('Sulphur freight'!$B$3:$B$1976=B223)*('Sulphur freight'!$D$3:$D$1976=D223)*1))</f>
        <v>18.75</v>
      </c>
      <c r="P223" s="78">
        <v>20</v>
      </c>
      <c r="R223" s="78" t="str">
        <f t="shared" si="40"/>
        <v xml:space="preserve"> </v>
      </c>
      <c r="S223" s="78">
        <f t="shared" si="41"/>
        <v>15.166666666666666</v>
      </c>
      <c r="T223" s="78">
        <f t="shared" si="36"/>
        <v>25</v>
      </c>
      <c r="U223" s="78" t="str">
        <f t="shared" si="42"/>
        <v/>
      </c>
      <c r="V223" s="78">
        <f>IFERROR(I223+O223, "")</f>
        <v>78.25</v>
      </c>
      <c r="W223" s="78">
        <f t="shared" si="43"/>
        <v>83</v>
      </c>
      <c r="X223" s="78">
        <f t="shared" si="44"/>
        <v>43.822500000000005</v>
      </c>
      <c r="Y223" s="78">
        <f t="shared" si="45"/>
        <v>45.39</v>
      </c>
      <c r="AA223" s="88" t="str">
        <f t="shared" si="46"/>
        <v/>
      </c>
      <c r="AB223" s="77" t="str">
        <f t="shared" si="37"/>
        <v/>
      </c>
      <c r="AD223" s="88" t="str">
        <f t="shared" si="47"/>
        <v/>
      </c>
      <c r="AE223" s="77" t="str">
        <f t="shared" si="38"/>
        <v/>
      </c>
    </row>
    <row r="224" spans="2:31" x14ac:dyDescent="0.35">
      <c r="B224" s="2">
        <v>2020</v>
      </c>
      <c r="C224" s="2">
        <v>3</v>
      </c>
      <c r="D224" s="2">
        <v>7</v>
      </c>
      <c r="E224" s="78">
        <f>'CRU historical'!F223</f>
        <v>-15</v>
      </c>
      <c r="F224" s="78">
        <f>'CRU historical'!I223</f>
        <v>5</v>
      </c>
      <c r="G224" s="78" t="str">
        <f>'CRU historical'!L223</f>
        <v xml:space="preserve"> </v>
      </c>
      <c r="H224" s="78" t="str">
        <f>'CRU historical'!O223</f>
        <v xml:space="preserve"> </v>
      </c>
      <c r="I224" s="78">
        <f>'CRU historical'!R223</f>
        <v>57.4</v>
      </c>
      <c r="J224" s="78">
        <f>AVERAGE('CRU historical'!U223, 'CRU historical'!X223, 'CRU historical'!AA223, 'CRU historical'!AD223)</f>
        <v>63</v>
      </c>
      <c r="L224" s="78" cm="1">
        <f t="array" ref="L224">IFERROR(SUMPRODUCT(('Sulphuric Acid freights'!$B$3:$B$513=B224)*('Sulphuric Acid freights'!$D$3:$D$513=D224)*('Sulphuric Acid freights'!$P$3:$P$513))/SUMPRODUCT(('Sulphuric Acid freights'!$B$3:$B$513=B224)*('Sulphuric Acid freights'!$D$3:$D$513=D224)*1), AVERAGE('Sulphuric Acid freights'!$P$3:$P$513))*2/3</f>
        <v>39.6</v>
      </c>
      <c r="M224" s="78" cm="1">
        <f t="array" ref="M224">IFERROR(SUMPRODUCT(('Sulphuric Acid freights'!$B$3:$B$513=B224)*('Sulphuric Acid freights'!$D$3:$D$513=D224)*('Sulphuric Acid freights'!$M$3:$M$513))/SUMPRODUCT(('Sulphuric Acid freights'!$B$3:$B$513=B224)*('Sulphuric Acid freights'!$D$3:$D$513=D224)*1)*2/3, AVERAGE('Sulphuric Acid freights'!$M$3:$M$513))</f>
        <v>12</v>
      </c>
      <c r="N224" s="78">
        <f t="shared" si="39"/>
        <v>35.64</v>
      </c>
      <c r="O224" s="78" cm="1">
        <f t="array" ref="O224">IF(SUMPRODUCT(('Sulphur freight'!$B$3:$B$1976=B224)*('Sulphur freight'!$D$3:$D$1976=D224)*('Sulphur freight'!$G$3:$G$1976))/SUMPRODUCT(('Sulphur freight'!$B$3:$B$1976=B224)*('Sulphur freight'!$D$3:$D$1976=D224)*1)=0, AVERAGE('Sulphur freight'!$G$3:$G$1976),SUMPRODUCT(('Sulphur freight'!$B$3:$B$1976=B224)*('Sulphur freight'!$D$3:$D$1976=D224)*('Sulphur freight'!$G$3:$G$1976))/SUMPRODUCT(('Sulphur freight'!$B$3:$B$1976=B224)*('Sulphur freight'!$D$3:$D$1976=D224)*1))</f>
        <v>19.2</v>
      </c>
      <c r="P224" s="78">
        <v>20</v>
      </c>
      <c r="R224" s="78" t="str">
        <f t="shared" si="40"/>
        <v xml:space="preserve"> </v>
      </c>
      <c r="S224" s="78">
        <f t="shared" si="41"/>
        <v>17</v>
      </c>
      <c r="T224" s="78">
        <f t="shared" si="36"/>
        <v>24.6</v>
      </c>
      <c r="U224" s="78" t="str">
        <f t="shared" si="42"/>
        <v/>
      </c>
      <c r="V224" s="78">
        <f>IFERROR(I224+O224, "")</f>
        <v>76.599999999999994</v>
      </c>
      <c r="W224" s="78">
        <f t="shared" si="43"/>
        <v>83</v>
      </c>
      <c r="X224" s="78">
        <f t="shared" si="44"/>
        <v>43.277999999999999</v>
      </c>
      <c r="Y224" s="78">
        <f t="shared" si="45"/>
        <v>45.39</v>
      </c>
      <c r="AA224" s="88" t="str">
        <f t="shared" si="46"/>
        <v/>
      </c>
      <c r="AB224" s="77" t="str">
        <f t="shared" si="37"/>
        <v/>
      </c>
      <c r="AD224" s="88" t="str">
        <f t="shared" si="47"/>
        <v/>
      </c>
      <c r="AE224" s="77" t="str">
        <f t="shared" si="38"/>
        <v/>
      </c>
    </row>
    <row r="225" spans="2:31" x14ac:dyDescent="0.35">
      <c r="B225" s="2">
        <v>2020</v>
      </c>
      <c r="C225" s="2">
        <v>3</v>
      </c>
      <c r="D225" s="2">
        <v>8</v>
      </c>
      <c r="E225" s="78">
        <f>'CRU historical'!F224</f>
        <v>-15</v>
      </c>
      <c r="F225" s="78">
        <f>'CRU historical'!I224</f>
        <v>10</v>
      </c>
      <c r="G225" s="78" t="str">
        <f>'CRU historical'!L224</f>
        <v xml:space="preserve"> </v>
      </c>
      <c r="H225" s="78" t="str">
        <f>'CRU historical'!O224</f>
        <v xml:space="preserve"> </v>
      </c>
      <c r="I225" s="78">
        <f>'CRU historical'!R224</f>
        <v>52.75</v>
      </c>
      <c r="J225" s="78">
        <f>AVERAGE('CRU historical'!U224, 'CRU historical'!X224, 'CRU historical'!AA224, 'CRU historical'!AD224)</f>
        <v>63</v>
      </c>
      <c r="L225" s="78" cm="1">
        <f t="array" ref="L225">IFERROR(SUMPRODUCT(('Sulphuric Acid freights'!$B$3:$B$513=B225)*('Sulphuric Acid freights'!$D$3:$D$513=D225)*('Sulphuric Acid freights'!$P$3:$P$513))/SUMPRODUCT(('Sulphuric Acid freights'!$B$3:$B$513=B225)*('Sulphuric Acid freights'!$D$3:$D$513=D225)*1), AVERAGE('Sulphuric Acid freights'!$P$3:$P$513))*2/3</f>
        <v>39</v>
      </c>
      <c r="M225" s="78" cm="1">
        <f t="array" ref="M225">IFERROR(SUMPRODUCT(('Sulphuric Acid freights'!$B$3:$B$513=B225)*('Sulphuric Acid freights'!$D$3:$D$513=D225)*('Sulphuric Acid freights'!$M$3:$M$513))/SUMPRODUCT(('Sulphuric Acid freights'!$B$3:$B$513=B225)*('Sulphuric Acid freights'!$D$3:$D$513=D225)*1)*2/3, AVERAGE('Sulphuric Acid freights'!$M$3:$M$513))</f>
        <v>12</v>
      </c>
      <c r="N225" s="78">
        <f t="shared" si="39"/>
        <v>35.1</v>
      </c>
      <c r="O225" s="78" cm="1">
        <f t="array" ref="O225">IF(SUMPRODUCT(('Sulphur freight'!$B$3:$B$1976=B225)*('Sulphur freight'!$D$3:$D$1976=D225)*('Sulphur freight'!$G$3:$G$1976))/SUMPRODUCT(('Sulphur freight'!$B$3:$B$1976=B225)*('Sulphur freight'!$D$3:$D$1976=D225)*1)=0, AVERAGE('Sulphur freight'!$G$3:$G$1976),SUMPRODUCT(('Sulphur freight'!$B$3:$B$1976=B225)*('Sulphur freight'!$D$3:$D$1976=D225)*('Sulphur freight'!$G$3:$G$1976))/SUMPRODUCT(('Sulphur freight'!$B$3:$B$1976=B225)*('Sulphur freight'!$D$3:$D$1976=D225)*1))</f>
        <v>18.75</v>
      </c>
      <c r="P225" s="78">
        <v>20</v>
      </c>
      <c r="R225" s="78" t="str">
        <f t="shared" si="40"/>
        <v xml:space="preserve"> </v>
      </c>
      <c r="S225" s="78">
        <f t="shared" si="41"/>
        <v>22</v>
      </c>
      <c r="T225" s="78">
        <f t="shared" si="36"/>
        <v>24</v>
      </c>
      <c r="U225" s="78" t="str">
        <f t="shared" si="42"/>
        <v/>
      </c>
      <c r="V225" s="78">
        <f>IFERROR(I225+O225, "")</f>
        <v>71.5</v>
      </c>
      <c r="W225" s="78">
        <f t="shared" si="43"/>
        <v>83</v>
      </c>
      <c r="X225" s="78">
        <f t="shared" si="44"/>
        <v>41.594999999999999</v>
      </c>
      <c r="Y225" s="78">
        <f t="shared" si="45"/>
        <v>45.39</v>
      </c>
      <c r="AA225" s="88" t="str">
        <f t="shared" si="46"/>
        <v/>
      </c>
      <c r="AB225" s="77" t="str">
        <f t="shared" si="37"/>
        <v/>
      </c>
      <c r="AD225" s="88" t="str">
        <f t="shared" si="47"/>
        <v/>
      </c>
      <c r="AE225" s="77" t="str">
        <f t="shared" si="38"/>
        <v/>
      </c>
    </row>
    <row r="226" spans="2:31" x14ac:dyDescent="0.35">
      <c r="B226" s="2">
        <v>2020</v>
      </c>
      <c r="C226" s="2">
        <v>3</v>
      </c>
      <c r="D226" s="2">
        <v>9</v>
      </c>
      <c r="E226" s="78">
        <f>'CRU historical'!F225</f>
        <v>-13</v>
      </c>
      <c r="F226" s="78">
        <f>'CRU historical'!I225</f>
        <v>13.25</v>
      </c>
      <c r="G226" s="78" t="str">
        <f>'CRU historical'!L225</f>
        <v xml:space="preserve"> </v>
      </c>
      <c r="H226" s="78" t="str">
        <f>'CRU historical'!O225</f>
        <v xml:space="preserve"> </v>
      </c>
      <c r="I226" s="78">
        <f>'CRU historical'!R225</f>
        <v>63</v>
      </c>
      <c r="J226" s="78">
        <f>AVERAGE('CRU historical'!U225, 'CRU historical'!X225, 'CRU historical'!AA225, 'CRU historical'!AD225)</f>
        <v>63</v>
      </c>
      <c r="L226" s="78" cm="1">
        <f t="array" ref="L226">IFERROR(SUMPRODUCT(('Sulphuric Acid freights'!$B$3:$B$513=B226)*('Sulphuric Acid freights'!$D$3:$D$513=D226)*('Sulphuric Acid freights'!$P$3:$P$513))/SUMPRODUCT(('Sulphuric Acid freights'!$B$3:$B$513=B226)*('Sulphuric Acid freights'!$D$3:$D$513=D226)*1), AVERAGE('Sulphuric Acid freights'!$P$3:$P$513))*2/3</f>
        <v>36.666666666666664</v>
      </c>
      <c r="M226" s="78" cm="1">
        <f t="array" ref="M226">IFERROR(SUMPRODUCT(('Sulphuric Acid freights'!$B$3:$B$513=B226)*('Sulphuric Acid freights'!$D$3:$D$513=D226)*('Sulphuric Acid freights'!$M$3:$M$513))/SUMPRODUCT(('Sulphuric Acid freights'!$B$3:$B$513=B226)*('Sulphuric Acid freights'!$D$3:$D$513=D226)*1)*2/3, AVERAGE('Sulphuric Acid freights'!$M$3:$M$513))</f>
        <v>12</v>
      </c>
      <c r="N226" s="78">
        <f t="shared" si="39"/>
        <v>33</v>
      </c>
      <c r="O226" s="78" cm="1">
        <f t="array" ref="O226">IF(SUMPRODUCT(('Sulphur freight'!$B$3:$B$1976=B226)*('Sulphur freight'!$D$3:$D$1976=D226)*('Sulphur freight'!$G$3:$G$1976))/SUMPRODUCT(('Sulphur freight'!$B$3:$B$1976=B226)*('Sulphur freight'!$D$3:$D$1976=D226)*1)=0, AVERAGE('Sulphur freight'!$G$3:$G$1976),SUMPRODUCT(('Sulphur freight'!$B$3:$B$1976=B226)*('Sulphur freight'!$D$3:$D$1976=D226)*('Sulphur freight'!$G$3:$G$1976))/SUMPRODUCT(('Sulphur freight'!$B$3:$B$1976=B226)*('Sulphur freight'!$D$3:$D$1976=D226)*1))</f>
        <v>18</v>
      </c>
      <c r="P226" s="78">
        <v>20</v>
      </c>
      <c r="R226" s="78" t="str">
        <f t="shared" si="40"/>
        <v xml:space="preserve"> </v>
      </c>
      <c r="S226" s="78">
        <f t="shared" si="41"/>
        <v>25.25</v>
      </c>
      <c r="T226" s="78">
        <f t="shared" si="36"/>
        <v>23.666666666666664</v>
      </c>
      <c r="U226" s="78" t="str">
        <f t="shared" si="42"/>
        <v/>
      </c>
      <c r="V226" s="78">
        <f>IFERROR(I226+O226, "")</f>
        <v>81</v>
      </c>
      <c r="W226" s="78">
        <f t="shared" si="43"/>
        <v>83</v>
      </c>
      <c r="X226" s="78">
        <f t="shared" si="44"/>
        <v>44.730000000000004</v>
      </c>
      <c r="Y226" s="78">
        <f t="shared" si="45"/>
        <v>45.39</v>
      </c>
      <c r="AA226" s="88" t="str">
        <f t="shared" si="46"/>
        <v/>
      </c>
      <c r="AB226" s="77" t="str">
        <f t="shared" si="37"/>
        <v/>
      </c>
      <c r="AD226" s="88" t="str">
        <f t="shared" si="47"/>
        <v/>
      </c>
      <c r="AE226" s="77" t="str">
        <f t="shared" si="38"/>
        <v/>
      </c>
    </row>
    <row r="227" spans="2:31" x14ac:dyDescent="0.35">
      <c r="B227" s="2">
        <v>2020</v>
      </c>
      <c r="C227" s="2">
        <v>4</v>
      </c>
      <c r="D227" s="2">
        <v>10</v>
      </c>
      <c r="E227" s="78">
        <f>'CRU historical'!F226</f>
        <v>-10.4</v>
      </c>
      <c r="F227" s="78">
        <f>'CRU historical'!I226</f>
        <v>16.8</v>
      </c>
      <c r="G227" s="78" t="str">
        <f>'CRU historical'!L226</f>
        <v xml:space="preserve"> </v>
      </c>
      <c r="H227" s="78" t="str">
        <f>'CRU historical'!O226</f>
        <v xml:space="preserve"> </v>
      </c>
      <c r="I227" s="78">
        <f>'CRU historical'!R226</f>
        <v>70.8</v>
      </c>
      <c r="J227" s="78">
        <f>AVERAGE('CRU historical'!U226, 'CRU historical'!X226, 'CRU historical'!AA226, 'CRU historical'!AD226)</f>
        <v>66.599999999999994</v>
      </c>
      <c r="L227" s="78" cm="1">
        <f t="array" ref="L227">IFERROR(SUMPRODUCT(('Sulphuric Acid freights'!$B$3:$B$513=B227)*('Sulphuric Acid freights'!$D$3:$D$513=D227)*('Sulphuric Acid freights'!$P$3:$P$513))/SUMPRODUCT(('Sulphuric Acid freights'!$B$3:$B$513=B227)*('Sulphuric Acid freights'!$D$3:$D$513=D227)*1), AVERAGE('Sulphuric Acid freights'!$P$3:$P$513))*2/3</f>
        <v>36.93333333333333</v>
      </c>
      <c r="M227" s="78" cm="1">
        <f t="array" ref="M227">IFERROR(SUMPRODUCT(('Sulphuric Acid freights'!$B$3:$B$513=B227)*('Sulphuric Acid freights'!$D$3:$D$513=D227)*('Sulphuric Acid freights'!$M$3:$M$513))/SUMPRODUCT(('Sulphuric Acid freights'!$B$3:$B$513=B227)*('Sulphuric Acid freights'!$D$3:$D$513=D227)*1)*2/3, AVERAGE('Sulphuric Acid freights'!$M$3:$M$513))</f>
        <v>12</v>
      </c>
      <c r="N227" s="78">
        <f t="shared" si="39"/>
        <v>33.239999999999995</v>
      </c>
      <c r="O227" s="78" cm="1">
        <f t="array" ref="O227">IF(SUMPRODUCT(('Sulphur freight'!$B$3:$B$1976=B227)*('Sulphur freight'!$D$3:$D$1976=D227)*('Sulphur freight'!$G$3:$G$1976))/SUMPRODUCT(('Sulphur freight'!$B$3:$B$1976=B227)*('Sulphur freight'!$D$3:$D$1976=D227)*1)=0, AVERAGE('Sulphur freight'!$G$3:$G$1976),SUMPRODUCT(('Sulphur freight'!$B$3:$B$1976=B227)*('Sulphur freight'!$D$3:$D$1976=D227)*('Sulphur freight'!$G$3:$G$1976))/SUMPRODUCT(('Sulphur freight'!$B$3:$B$1976=B227)*('Sulphur freight'!$D$3:$D$1976=D227)*1))</f>
        <v>18</v>
      </c>
      <c r="P227" s="78">
        <v>20</v>
      </c>
      <c r="R227" s="78" t="str">
        <f t="shared" si="40"/>
        <v xml:space="preserve"> </v>
      </c>
      <c r="S227" s="78">
        <f t="shared" si="41"/>
        <v>28.8</v>
      </c>
      <c r="T227" s="78">
        <f t="shared" si="36"/>
        <v>26.533333333333331</v>
      </c>
      <c r="U227" s="78" t="str">
        <f t="shared" si="42"/>
        <v/>
      </c>
      <c r="V227" s="78">
        <f>IFERROR(I227+O227, "")</f>
        <v>88.8</v>
      </c>
      <c r="W227" s="78">
        <f t="shared" si="43"/>
        <v>86.6</v>
      </c>
      <c r="X227" s="78">
        <f t="shared" si="44"/>
        <v>47.304000000000002</v>
      </c>
      <c r="Y227" s="78">
        <f t="shared" si="45"/>
        <v>46.578000000000003</v>
      </c>
      <c r="AA227" s="88" t="str">
        <f t="shared" si="46"/>
        <v/>
      </c>
      <c r="AB227" s="77" t="str">
        <f t="shared" si="37"/>
        <v/>
      </c>
      <c r="AD227" s="88" t="str">
        <f t="shared" si="47"/>
        <v/>
      </c>
      <c r="AE227" s="77" t="str">
        <f t="shared" si="38"/>
        <v/>
      </c>
    </row>
    <row r="228" spans="2:31" x14ac:dyDescent="0.35">
      <c r="B228" s="2">
        <v>2020</v>
      </c>
      <c r="C228" s="2">
        <v>4</v>
      </c>
      <c r="D228" s="2">
        <v>11</v>
      </c>
      <c r="E228" s="78">
        <f>'CRU historical'!F227</f>
        <v>-5</v>
      </c>
      <c r="F228" s="78">
        <f>'CRU historical'!I227</f>
        <v>20</v>
      </c>
      <c r="G228" s="78" t="str">
        <f>'CRU historical'!L227</f>
        <v xml:space="preserve"> </v>
      </c>
      <c r="H228" s="78" t="str">
        <f>'CRU historical'!O227</f>
        <v xml:space="preserve"> </v>
      </c>
      <c r="I228" s="78">
        <f>'CRU historical'!R227</f>
        <v>77.25</v>
      </c>
      <c r="J228" s="78">
        <f>AVERAGE('CRU historical'!U227, 'CRU historical'!X227, 'CRU historical'!AA227, 'CRU historical'!AD227)</f>
        <v>69</v>
      </c>
      <c r="L228" s="78" cm="1">
        <f t="array" ref="L228">IFERROR(SUMPRODUCT(('Sulphuric Acid freights'!$B$3:$B$513=B228)*('Sulphuric Acid freights'!$D$3:$D$513=D228)*('Sulphuric Acid freights'!$P$3:$P$513))/SUMPRODUCT(('Sulphuric Acid freights'!$B$3:$B$513=B228)*('Sulphuric Acid freights'!$D$3:$D$513=D228)*1), AVERAGE('Sulphuric Acid freights'!$P$3:$P$513))*2/3</f>
        <v>37.666666666666664</v>
      </c>
      <c r="M228" s="78" cm="1">
        <f t="array" ref="M228">IFERROR(SUMPRODUCT(('Sulphuric Acid freights'!$B$3:$B$513=B228)*('Sulphuric Acid freights'!$D$3:$D$513=D228)*('Sulphuric Acid freights'!$M$3:$M$513))/SUMPRODUCT(('Sulphuric Acid freights'!$B$3:$B$513=B228)*('Sulphuric Acid freights'!$D$3:$D$513=D228)*1)*2/3, AVERAGE('Sulphuric Acid freights'!$M$3:$M$513))</f>
        <v>12</v>
      </c>
      <c r="N228" s="78">
        <f t="shared" si="39"/>
        <v>33.9</v>
      </c>
      <c r="O228" s="78" cm="1">
        <f t="array" ref="O228">IF(SUMPRODUCT(('Sulphur freight'!$B$3:$B$1976=B228)*('Sulphur freight'!$D$3:$D$1976=D228)*('Sulphur freight'!$G$3:$G$1976))/SUMPRODUCT(('Sulphur freight'!$B$3:$B$1976=B228)*('Sulphur freight'!$D$3:$D$1976=D228)*1)=0, AVERAGE('Sulphur freight'!$G$3:$G$1976),SUMPRODUCT(('Sulphur freight'!$B$3:$B$1976=B228)*('Sulphur freight'!$D$3:$D$1976=D228)*('Sulphur freight'!$G$3:$G$1976))/SUMPRODUCT(('Sulphur freight'!$B$3:$B$1976=B228)*('Sulphur freight'!$D$3:$D$1976=D228)*1))</f>
        <v>18.75</v>
      </c>
      <c r="P228" s="78">
        <v>20</v>
      </c>
      <c r="R228" s="78" t="str">
        <f t="shared" si="40"/>
        <v xml:space="preserve"> </v>
      </c>
      <c r="S228" s="78">
        <f t="shared" si="41"/>
        <v>32</v>
      </c>
      <c r="T228" s="78">
        <f t="shared" si="36"/>
        <v>32.666666666666664</v>
      </c>
      <c r="U228" s="78" t="str">
        <f t="shared" si="42"/>
        <v/>
      </c>
      <c r="V228" s="78">
        <f>IFERROR(I228+O228, "")</f>
        <v>96</v>
      </c>
      <c r="W228" s="78">
        <f t="shared" si="43"/>
        <v>89</v>
      </c>
      <c r="X228" s="78">
        <f t="shared" si="44"/>
        <v>49.68</v>
      </c>
      <c r="Y228" s="78">
        <f t="shared" si="45"/>
        <v>47.370000000000005</v>
      </c>
      <c r="AA228" s="88" t="str">
        <f t="shared" si="46"/>
        <v/>
      </c>
      <c r="AB228" s="77" t="str">
        <f t="shared" si="37"/>
        <v/>
      </c>
      <c r="AD228" s="88" t="str">
        <f t="shared" si="47"/>
        <v/>
      </c>
      <c r="AE228" s="77" t="str">
        <f t="shared" si="38"/>
        <v/>
      </c>
    </row>
    <row r="229" spans="2:31" x14ac:dyDescent="0.35">
      <c r="B229" s="2">
        <v>2020</v>
      </c>
      <c r="C229" s="2">
        <v>4</v>
      </c>
      <c r="D229" s="2">
        <v>12</v>
      </c>
      <c r="E229" s="78">
        <f>'CRU historical'!F228</f>
        <v>0</v>
      </c>
      <c r="F229" s="78">
        <f>'CRU historical'!I228</f>
        <v>23.75</v>
      </c>
      <c r="G229" s="78" t="str">
        <f>'CRU historical'!L228</f>
        <v xml:space="preserve"> </v>
      </c>
      <c r="H229" s="78" t="str">
        <f>'CRU historical'!O228</f>
        <v xml:space="preserve"> </v>
      </c>
      <c r="I229" s="78">
        <f>'CRU historical'!R228</f>
        <v>91.25</v>
      </c>
      <c r="J229" s="78">
        <f>AVERAGE('CRU historical'!U228, 'CRU historical'!X228, 'CRU historical'!AA228, 'CRU historical'!AD228)</f>
        <v>69</v>
      </c>
      <c r="L229" s="78" cm="1">
        <f t="array" ref="L229">IFERROR(SUMPRODUCT(('Sulphuric Acid freights'!$B$3:$B$513=B229)*('Sulphuric Acid freights'!$D$3:$D$513=D229)*('Sulphuric Acid freights'!$P$3:$P$513))/SUMPRODUCT(('Sulphuric Acid freights'!$B$3:$B$513=B229)*('Sulphuric Acid freights'!$D$3:$D$513=D229)*1), AVERAGE('Sulphuric Acid freights'!$P$3:$P$513))*2/3</f>
        <v>30.133333333333336</v>
      </c>
      <c r="M229" s="78" cm="1">
        <f t="array" ref="M229">IFERROR(SUMPRODUCT(('Sulphuric Acid freights'!$B$3:$B$513=B229)*('Sulphuric Acid freights'!$D$3:$D$513=D229)*('Sulphuric Acid freights'!$M$3:$M$513))/SUMPRODUCT(('Sulphuric Acid freights'!$B$3:$B$513=B229)*('Sulphuric Acid freights'!$D$3:$D$513=D229)*1)*2/3, AVERAGE('Sulphuric Acid freights'!$M$3:$M$513))</f>
        <v>9.6</v>
      </c>
      <c r="N229" s="78">
        <f t="shared" si="39"/>
        <v>27.120000000000005</v>
      </c>
      <c r="O229" s="78" cm="1">
        <f t="array" ref="O229">IF(SUMPRODUCT(('Sulphur freight'!$B$3:$B$1976=B229)*('Sulphur freight'!$D$3:$D$1976=D229)*('Sulphur freight'!$G$3:$G$1976))/SUMPRODUCT(('Sulphur freight'!$B$3:$B$1976=B229)*('Sulphur freight'!$D$3:$D$1976=D229)*1)=0, AVERAGE('Sulphur freight'!$G$3:$G$1976),SUMPRODUCT(('Sulphur freight'!$B$3:$B$1976=B229)*('Sulphur freight'!$D$3:$D$1976=D229)*('Sulphur freight'!$G$3:$G$1976))/SUMPRODUCT(('Sulphur freight'!$B$3:$B$1976=B229)*('Sulphur freight'!$D$3:$D$1976=D229)*1))</f>
        <v>14.6</v>
      </c>
      <c r="P229" s="78">
        <v>20</v>
      </c>
      <c r="R229" s="78" t="str">
        <f t="shared" si="40"/>
        <v xml:space="preserve"> </v>
      </c>
      <c r="S229" s="78">
        <f t="shared" si="41"/>
        <v>33.35</v>
      </c>
      <c r="T229" s="78">
        <f t="shared" si="36"/>
        <v>30.133333333333336</v>
      </c>
      <c r="U229" s="78" t="str">
        <f t="shared" si="42"/>
        <v/>
      </c>
      <c r="V229" s="78">
        <f>IFERROR(I229+O229, "")</f>
        <v>105.85</v>
      </c>
      <c r="W229" s="78">
        <f t="shared" si="43"/>
        <v>89</v>
      </c>
      <c r="X229" s="78">
        <f t="shared" si="44"/>
        <v>52.930500000000002</v>
      </c>
      <c r="Y229" s="78">
        <f t="shared" si="45"/>
        <v>47.370000000000005</v>
      </c>
      <c r="AA229" s="88" t="str">
        <f t="shared" si="46"/>
        <v/>
      </c>
      <c r="AB229" s="77" t="str">
        <f t="shared" si="37"/>
        <v/>
      </c>
      <c r="AD229" s="88" t="str">
        <f t="shared" si="47"/>
        <v/>
      </c>
      <c r="AE229" s="77" t="str">
        <f t="shared" si="38"/>
        <v/>
      </c>
    </row>
    <row r="230" spans="2:31" x14ac:dyDescent="0.35">
      <c r="B230" s="2">
        <v>2021</v>
      </c>
      <c r="C230" s="2">
        <v>1</v>
      </c>
      <c r="D230" s="2">
        <v>1</v>
      </c>
      <c r="E230" s="78">
        <f>'CRU historical'!F229</f>
        <v>17</v>
      </c>
      <c r="F230" s="78">
        <f>'CRU historical'!I229</f>
        <v>32.5</v>
      </c>
      <c r="G230" s="78" t="str">
        <f>'CRU historical'!L229</f>
        <v xml:space="preserve"> </v>
      </c>
      <c r="H230" s="78" t="str">
        <f>'CRU historical'!O229</f>
        <v xml:space="preserve"> </v>
      </c>
      <c r="I230" s="78">
        <f>'CRU historical'!R229</f>
        <v>110.25</v>
      </c>
      <c r="J230" s="78">
        <f>AVERAGE('CRU historical'!U229, 'CRU historical'!X229, 'CRU historical'!AA229, 'CRU historical'!AD229)</f>
        <v>82.5</v>
      </c>
      <c r="L230" s="78" cm="1">
        <f t="array" ref="L230">IFERROR(SUMPRODUCT(('Sulphuric Acid freights'!$B$3:$B$513=B230)*('Sulphuric Acid freights'!$D$3:$D$513=D230)*('Sulphuric Acid freights'!$P$3:$P$513))/SUMPRODUCT(('Sulphuric Acid freights'!$B$3:$B$513=B230)*('Sulphuric Acid freights'!$D$3:$D$513=D230)*1), AVERAGE('Sulphuric Acid freights'!$P$3:$P$513))*2/3</f>
        <v>37</v>
      </c>
      <c r="M230" s="78" cm="1">
        <f t="array" ref="M230">IFERROR(SUMPRODUCT(('Sulphuric Acid freights'!$B$3:$B$513=B230)*('Sulphuric Acid freights'!$D$3:$D$513=D230)*('Sulphuric Acid freights'!$M$3:$M$513))/SUMPRODUCT(('Sulphuric Acid freights'!$B$3:$B$513=B230)*('Sulphuric Acid freights'!$D$3:$D$513=D230)*1)*2/3, AVERAGE('Sulphuric Acid freights'!$M$3:$M$513))</f>
        <v>12</v>
      </c>
      <c r="N230" s="78">
        <f t="shared" si="39"/>
        <v>33.300000000000004</v>
      </c>
      <c r="O230" s="78" cm="1">
        <f t="array" ref="O230">IF(SUMPRODUCT(('Sulphur freight'!$B$3:$B$1976=B230)*('Sulphur freight'!$D$3:$D$1976=D230)*('Sulphur freight'!$G$3:$G$1976))/SUMPRODUCT(('Sulphur freight'!$B$3:$B$1976=B230)*('Sulphur freight'!$D$3:$D$1976=D230)*1)=0, AVERAGE('Sulphur freight'!$G$3:$G$1976),SUMPRODUCT(('Sulphur freight'!$B$3:$B$1976=B230)*('Sulphur freight'!$D$3:$D$1976=D230)*('Sulphur freight'!$G$3:$G$1976))/SUMPRODUCT(('Sulphur freight'!$B$3:$B$1976=B230)*('Sulphur freight'!$D$3:$D$1976=D230)*1))</f>
        <v>22.5</v>
      </c>
      <c r="P230" s="78">
        <v>20</v>
      </c>
      <c r="R230" s="78" t="str">
        <f t="shared" si="40"/>
        <v xml:space="preserve"> </v>
      </c>
      <c r="S230" s="78">
        <f t="shared" si="41"/>
        <v>44.5</v>
      </c>
      <c r="T230" s="78">
        <f t="shared" si="36"/>
        <v>54</v>
      </c>
      <c r="U230" s="78" t="str">
        <f t="shared" si="42"/>
        <v/>
      </c>
      <c r="V230" s="78">
        <f>IFERROR(I230+O230, "")</f>
        <v>132.75</v>
      </c>
      <c r="W230" s="78">
        <f t="shared" si="43"/>
        <v>102.5</v>
      </c>
      <c r="X230" s="78">
        <f t="shared" si="44"/>
        <v>61.807500000000005</v>
      </c>
      <c r="Y230" s="78">
        <f t="shared" si="45"/>
        <v>51.825000000000003</v>
      </c>
      <c r="AA230" s="88" t="str">
        <f t="shared" si="46"/>
        <v/>
      </c>
      <c r="AB230" s="77" t="str">
        <f t="shared" si="37"/>
        <v/>
      </c>
      <c r="AD230" s="88" t="str">
        <f t="shared" si="47"/>
        <v/>
      </c>
      <c r="AE230" s="77" t="str">
        <f t="shared" si="38"/>
        <v/>
      </c>
    </row>
    <row r="231" spans="2:31" x14ac:dyDescent="0.35">
      <c r="B231" s="2">
        <v>2021</v>
      </c>
      <c r="C231" s="2">
        <v>1</v>
      </c>
      <c r="D231" s="2">
        <v>2</v>
      </c>
      <c r="E231" s="78">
        <f>'CRU historical'!F230</f>
        <v>30</v>
      </c>
      <c r="F231" s="78">
        <f>'CRU historical'!I230</f>
        <v>56.25</v>
      </c>
      <c r="G231" s="78" t="str">
        <f>'CRU historical'!L230</f>
        <v xml:space="preserve"> </v>
      </c>
      <c r="H231" s="78" t="str">
        <f>'CRU historical'!O230</f>
        <v xml:space="preserve"> </v>
      </c>
      <c r="I231" s="78">
        <f>'CRU historical'!R230</f>
        <v>152</v>
      </c>
      <c r="J231" s="78">
        <f>AVERAGE('CRU historical'!U230, 'CRU historical'!X230, 'CRU historical'!AA230, 'CRU historical'!AD230)</f>
        <v>87</v>
      </c>
      <c r="L231" s="78" cm="1">
        <f t="array" ref="L231">IFERROR(SUMPRODUCT(('Sulphuric Acid freights'!$B$3:$B$513=B231)*('Sulphuric Acid freights'!$D$3:$D$513=D231)*('Sulphuric Acid freights'!$P$3:$P$513))/SUMPRODUCT(('Sulphuric Acid freights'!$B$3:$B$513=B231)*('Sulphuric Acid freights'!$D$3:$D$513=D231)*1), AVERAGE('Sulphuric Acid freights'!$P$3:$P$513))*2/3</f>
        <v>37.166666666666664</v>
      </c>
      <c r="M231" s="78" cm="1">
        <f t="array" ref="M231">IFERROR(SUMPRODUCT(('Sulphuric Acid freights'!$B$3:$B$513=B231)*('Sulphuric Acid freights'!$D$3:$D$513=D231)*('Sulphuric Acid freights'!$M$3:$M$513))/SUMPRODUCT(('Sulphuric Acid freights'!$B$3:$B$513=B231)*('Sulphuric Acid freights'!$D$3:$D$513=D231)*1)*2/3, AVERAGE('Sulphuric Acid freights'!$M$3:$M$513))</f>
        <v>12</v>
      </c>
      <c r="N231" s="78">
        <f t="shared" si="39"/>
        <v>33.449999999999996</v>
      </c>
      <c r="O231" s="78" cm="1">
        <f t="array" ref="O231">IF(SUMPRODUCT(('Sulphur freight'!$B$3:$B$1976=B231)*('Sulphur freight'!$D$3:$D$1976=D231)*('Sulphur freight'!$G$3:$G$1976))/SUMPRODUCT(('Sulphur freight'!$B$3:$B$1976=B231)*('Sulphur freight'!$D$3:$D$1976=D231)*1)=0, AVERAGE('Sulphur freight'!$G$3:$G$1976),SUMPRODUCT(('Sulphur freight'!$B$3:$B$1976=B231)*('Sulphur freight'!$D$3:$D$1976=D231)*('Sulphur freight'!$G$3:$G$1976))/SUMPRODUCT(('Sulphur freight'!$B$3:$B$1976=B231)*('Sulphur freight'!$D$3:$D$1976=D231)*1))</f>
        <v>27.75</v>
      </c>
      <c r="P231" s="78">
        <v>20</v>
      </c>
      <c r="R231" s="78" t="str">
        <f t="shared" si="40"/>
        <v xml:space="preserve"> </v>
      </c>
      <c r="S231" s="78">
        <f t="shared" si="41"/>
        <v>68.25</v>
      </c>
      <c r="T231" s="78">
        <f t="shared" si="36"/>
        <v>67.166666666666657</v>
      </c>
      <c r="U231" s="78" t="str">
        <f t="shared" si="42"/>
        <v/>
      </c>
      <c r="V231" s="78">
        <f>IFERROR(I231+O231, "")</f>
        <v>179.75</v>
      </c>
      <c r="W231" s="78">
        <f t="shared" si="43"/>
        <v>107</v>
      </c>
      <c r="X231" s="78">
        <f t="shared" si="44"/>
        <v>77.317499999999995</v>
      </c>
      <c r="Y231" s="78">
        <f t="shared" si="45"/>
        <v>53.31</v>
      </c>
      <c r="AA231" s="88" t="str">
        <f t="shared" si="46"/>
        <v/>
      </c>
      <c r="AB231" s="77" t="str">
        <f t="shared" si="37"/>
        <v/>
      </c>
      <c r="AD231" s="88" t="str">
        <f t="shared" si="47"/>
        <v/>
      </c>
      <c r="AE231" s="77" t="str">
        <f t="shared" si="38"/>
        <v/>
      </c>
    </row>
    <row r="232" spans="2:31" x14ac:dyDescent="0.35">
      <c r="B232" s="2">
        <v>2021</v>
      </c>
      <c r="C232" s="2">
        <v>1</v>
      </c>
      <c r="D232" s="2">
        <v>3</v>
      </c>
      <c r="E232" s="78">
        <f>'CRU historical'!F231</f>
        <v>33.75</v>
      </c>
      <c r="F232" s="78">
        <f>'CRU historical'!I231</f>
        <v>84.5</v>
      </c>
      <c r="G232" s="78" t="str">
        <f>'CRU historical'!L231</f>
        <v xml:space="preserve"> </v>
      </c>
      <c r="H232" s="78" t="str">
        <f>'CRU historical'!O231</f>
        <v xml:space="preserve"> </v>
      </c>
      <c r="I232" s="78">
        <f>'CRU historical'!R231</f>
        <v>188.25</v>
      </c>
      <c r="J232" s="78">
        <f>AVERAGE('CRU historical'!U231, 'CRU historical'!X231, 'CRU historical'!AA231, 'CRU historical'!AD231)</f>
        <v>87</v>
      </c>
      <c r="L232" s="78" cm="1">
        <f t="array" ref="L232">IFERROR(SUMPRODUCT(('Sulphuric Acid freights'!$B$3:$B$513=B232)*('Sulphuric Acid freights'!$D$3:$D$513=D232)*('Sulphuric Acid freights'!$P$3:$P$513))/SUMPRODUCT(('Sulphuric Acid freights'!$B$3:$B$513=B232)*('Sulphuric Acid freights'!$D$3:$D$513=D232)*1), AVERAGE('Sulphuric Acid freights'!$P$3:$P$513))*2/3</f>
        <v>38.333333333333336</v>
      </c>
      <c r="M232" s="78" cm="1">
        <f t="array" ref="M232">IFERROR(SUMPRODUCT(('Sulphuric Acid freights'!$B$3:$B$513=B232)*('Sulphuric Acid freights'!$D$3:$D$513=D232)*('Sulphuric Acid freights'!$M$3:$M$513))/SUMPRODUCT(('Sulphuric Acid freights'!$B$3:$B$513=B232)*('Sulphuric Acid freights'!$D$3:$D$513=D232)*1)*2/3, AVERAGE('Sulphuric Acid freights'!$M$3:$M$513))</f>
        <v>12</v>
      </c>
      <c r="N232" s="78">
        <f t="shared" si="39"/>
        <v>34.5</v>
      </c>
      <c r="O232" s="78" cm="1">
        <f t="array" ref="O232">IF(SUMPRODUCT(('Sulphur freight'!$B$3:$B$1976=B232)*('Sulphur freight'!$D$3:$D$1976=D232)*('Sulphur freight'!$G$3:$G$1976))/SUMPRODUCT(('Sulphur freight'!$B$3:$B$1976=B232)*('Sulphur freight'!$D$3:$D$1976=D232)*1)=0, AVERAGE('Sulphur freight'!$G$3:$G$1976),SUMPRODUCT(('Sulphur freight'!$B$3:$B$1976=B232)*('Sulphur freight'!$D$3:$D$1976=D232)*('Sulphur freight'!$G$3:$G$1976))/SUMPRODUCT(('Sulphur freight'!$B$3:$B$1976=B232)*('Sulphur freight'!$D$3:$D$1976=D232)*1))</f>
        <v>34</v>
      </c>
      <c r="P232" s="78">
        <v>20</v>
      </c>
      <c r="R232" s="78" t="str">
        <f t="shared" si="40"/>
        <v xml:space="preserve"> </v>
      </c>
      <c r="S232" s="78">
        <f t="shared" si="41"/>
        <v>96.5</v>
      </c>
      <c r="T232" s="78">
        <f t="shared" si="36"/>
        <v>72.083333333333343</v>
      </c>
      <c r="U232" s="78" t="str">
        <f t="shared" si="42"/>
        <v/>
      </c>
      <c r="V232" s="78">
        <f>IFERROR(I232+O232, "")</f>
        <v>222.25</v>
      </c>
      <c r="W232" s="78">
        <f t="shared" si="43"/>
        <v>107</v>
      </c>
      <c r="X232" s="78">
        <f t="shared" si="44"/>
        <v>91.342500000000001</v>
      </c>
      <c r="Y232" s="78">
        <f t="shared" si="45"/>
        <v>53.31</v>
      </c>
      <c r="AA232" s="88" t="str">
        <f t="shared" si="46"/>
        <v/>
      </c>
      <c r="AB232" s="77" t="str">
        <f t="shared" si="37"/>
        <v/>
      </c>
      <c r="AD232" s="88" t="str">
        <f t="shared" si="47"/>
        <v/>
      </c>
      <c r="AE232" s="77" t="str">
        <f t="shared" si="38"/>
        <v/>
      </c>
    </row>
    <row r="233" spans="2:31" x14ac:dyDescent="0.35">
      <c r="B233" s="2">
        <v>2021</v>
      </c>
      <c r="C233" s="2">
        <v>2</v>
      </c>
      <c r="D233" s="2">
        <v>4</v>
      </c>
      <c r="E233" s="78">
        <f>'CRU historical'!F232</f>
        <v>48.4</v>
      </c>
      <c r="F233" s="78">
        <f>'CRU historical'!I232</f>
        <v>97</v>
      </c>
      <c r="G233" s="78">
        <f>'CRU historical'!L232</f>
        <v>87.75</v>
      </c>
      <c r="H233" s="78" t="str">
        <f>'CRU historical'!O232</f>
        <v xml:space="preserve"> </v>
      </c>
      <c r="I233" s="78">
        <f>'CRU historical'!R232</f>
        <v>185</v>
      </c>
      <c r="J233" s="78">
        <f>AVERAGE('CRU historical'!U232, 'CRU historical'!X232, 'CRU historical'!AA232, 'CRU historical'!AD232)</f>
        <v>133.80000000000001</v>
      </c>
      <c r="L233" s="78" cm="1">
        <f t="array" ref="L233">IFERROR(SUMPRODUCT(('Sulphuric Acid freights'!$B$3:$B$513=B233)*('Sulphuric Acid freights'!$D$3:$D$513=D233)*('Sulphuric Acid freights'!$P$3:$P$513))/SUMPRODUCT(('Sulphuric Acid freights'!$B$3:$B$513=B233)*('Sulphuric Acid freights'!$D$3:$D$513=D233)*1), AVERAGE('Sulphuric Acid freights'!$P$3:$P$513))*2/3</f>
        <v>41.866666666666667</v>
      </c>
      <c r="M233" s="78" cm="1">
        <f t="array" ref="M233">IFERROR(SUMPRODUCT(('Sulphuric Acid freights'!$B$3:$B$513=B233)*('Sulphuric Acid freights'!$D$3:$D$513=D233)*('Sulphuric Acid freights'!$M$3:$M$513))/SUMPRODUCT(('Sulphuric Acid freights'!$B$3:$B$513=B233)*('Sulphuric Acid freights'!$D$3:$D$513=D233)*1)*2/3, AVERAGE('Sulphuric Acid freights'!$M$3:$M$513))</f>
        <v>11.466666666666667</v>
      </c>
      <c r="N233" s="78">
        <f t="shared" si="39"/>
        <v>37.68</v>
      </c>
      <c r="O233" s="78" cm="1">
        <f t="array" ref="O233">IF(SUMPRODUCT(('Sulphur freight'!$B$3:$B$1976=B233)*('Sulphur freight'!$D$3:$D$1976=D233)*('Sulphur freight'!$G$3:$G$1976))/SUMPRODUCT(('Sulphur freight'!$B$3:$B$1976=B233)*('Sulphur freight'!$D$3:$D$1976=D233)*1)=0, AVERAGE('Sulphur freight'!$G$3:$G$1976),SUMPRODUCT(('Sulphur freight'!$B$3:$B$1976=B233)*('Sulphur freight'!$D$3:$D$1976=D233)*('Sulphur freight'!$G$3:$G$1976))/SUMPRODUCT(('Sulphur freight'!$B$3:$B$1976=B233)*('Sulphur freight'!$D$3:$D$1976=D233)*1))</f>
        <v>37.200000000000003</v>
      </c>
      <c r="P233" s="78">
        <v>20</v>
      </c>
      <c r="R233" s="78" t="str">
        <f t="shared" si="40"/>
        <v xml:space="preserve"> </v>
      </c>
      <c r="S233" s="78">
        <f t="shared" si="41"/>
        <v>108.46666666666667</v>
      </c>
      <c r="T233" s="78">
        <f t="shared" si="36"/>
        <v>90.266666666666666</v>
      </c>
      <c r="U233" s="78">
        <f t="shared" si="42"/>
        <v>125.43</v>
      </c>
      <c r="V233" s="78">
        <f>IFERROR(I233+O233, "")</f>
        <v>222.2</v>
      </c>
      <c r="W233" s="78">
        <f t="shared" si="43"/>
        <v>153.80000000000001</v>
      </c>
      <c r="X233" s="78">
        <f t="shared" si="44"/>
        <v>91.325999999999993</v>
      </c>
      <c r="Y233" s="78">
        <f t="shared" si="45"/>
        <v>68.754000000000005</v>
      </c>
      <c r="AA233" s="88">
        <f t="shared" si="46"/>
        <v>108.09566666666666</v>
      </c>
      <c r="AB233" s="77">
        <f t="shared" si="37"/>
        <v>-16.769666666666666</v>
      </c>
      <c r="AD233" s="88">
        <f t="shared" si="47"/>
        <v>68.754000000000005</v>
      </c>
      <c r="AE233" s="77">
        <f>IF(AD233="", "", MAX(AA233, AB233)-AD233)</f>
        <v>39.341666666666654</v>
      </c>
    </row>
    <row r="234" spans="2:31" x14ac:dyDescent="0.35">
      <c r="B234" s="2">
        <v>2021</v>
      </c>
      <c r="C234" s="2">
        <v>2</v>
      </c>
      <c r="D234" s="2">
        <v>5</v>
      </c>
      <c r="E234" s="78">
        <f>'CRU historical'!F233</f>
        <v>52</v>
      </c>
      <c r="F234" s="78">
        <f>'CRU historical'!I233</f>
        <v>113.75</v>
      </c>
      <c r="G234" s="78">
        <f>'CRU historical'!L233</f>
        <v>95</v>
      </c>
      <c r="H234" s="78" t="str">
        <f>'CRU historical'!O233</f>
        <v xml:space="preserve"> </v>
      </c>
      <c r="I234" s="78">
        <f>'CRU historical'!R233</f>
        <v>185</v>
      </c>
      <c r="J234" s="78">
        <f>AVERAGE('CRU historical'!U233, 'CRU historical'!X233, 'CRU historical'!AA233, 'CRU historical'!AD233)</f>
        <v>204</v>
      </c>
      <c r="L234" s="78" cm="1">
        <f t="array" ref="L234">IFERROR(SUMPRODUCT(('Sulphuric Acid freights'!$B$3:$B$513=B234)*('Sulphuric Acid freights'!$D$3:$D$513=D234)*('Sulphuric Acid freights'!$P$3:$P$513))/SUMPRODUCT(('Sulphuric Acid freights'!$B$3:$B$513=B234)*('Sulphuric Acid freights'!$D$3:$D$513=D234)*1), AVERAGE('Sulphuric Acid freights'!$P$3:$P$513))*2/3</f>
        <v>45.166666666666664</v>
      </c>
      <c r="M234" s="78" cm="1">
        <f t="array" ref="M234">IFERROR(SUMPRODUCT(('Sulphuric Acid freights'!$B$3:$B$513=B234)*('Sulphuric Acid freights'!$D$3:$D$513=D234)*('Sulphuric Acid freights'!$M$3:$M$513))/SUMPRODUCT(('Sulphuric Acid freights'!$B$3:$B$513=B234)*('Sulphuric Acid freights'!$D$3:$D$513=D234)*1)*2/3, AVERAGE('Sulphuric Acid freights'!$M$3:$M$513))</f>
        <v>10.666666666666666</v>
      </c>
      <c r="N234" s="78">
        <f t="shared" si="39"/>
        <v>40.65</v>
      </c>
      <c r="O234" s="78" cm="1">
        <f t="array" ref="O234">IF(SUMPRODUCT(('Sulphur freight'!$B$3:$B$1976=B234)*('Sulphur freight'!$D$3:$D$1976=D234)*('Sulphur freight'!$G$3:$G$1976))/SUMPRODUCT(('Sulphur freight'!$B$3:$B$1976=B234)*('Sulphur freight'!$D$3:$D$1976=D234)*1)=0, AVERAGE('Sulphur freight'!$G$3:$G$1976),SUMPRODUCT(('Sulphur freight'!$B$3:$B$1976=B234)*('Sulphur freight'!$D$3:$D$1976=D234)*('Sulphur freight'!$G$3:$G$1976))/SUMPRODUCT(('Sulphur freight'!$B$3:$B$1976=B234)*('Sulphur freight'!$D$3:$D$1976=D234)*1))</f>
        <v>42</v>
      </c>
      <c r="P234" s="78">
        <v>20</v>
      </c>
      <c r="R234" s="78" t="str">
        <f t="shared" si="40"/>
        <v xml:space="preserve"> </v>
      </c>
      <c r="S234" s="78">
        <f t="shared" si="41"/>
        <v>124.41666666666667</v>
      </c>
      <c r="T234" s="78">
        <f t="shared" si="36"/>
        <v>97.166666666666657</v>
      </c>
      <c r="U234" s="78">
        <f t="shared" si="42"/>
        <v>135.65</v>
      </c>
      <c r="V234" s="78">
        <f>IFERROR(I234+O234, "")</f>
        <v>227</v>
      </c>
      <c r="W234" s="78">
        <f t="shared" si="43"/>
        <v>224</v>
      </c>
      <c r="X234" s="78">
        <f t="shared" si="44"/>
        <v>92.91</v>
      </c>
      <c r="Y234" s="78">
        <f t="shared" si="45"/>
        <v>91.92</v>
      </c>
      <c r="AA234" s="88">
        <f t="shared" si="46"/>
        <v>119.61166666666668</v>
      </c>
      <c r="AB234" s="77">
        <f t="shared" si="37"/>
        <v>-26.701666666666682</v>
      </c>
      <c r="AD234" s="88">
        <f t="shared" si="47"/>
        <v>91.92</v>
      </c>
      <c r="AE234" s="77">
        <f t="shared" si="38"/>
        <v>27.691666666666677</v>
      </c>
    </row>
    <row r="235" spans="2:31" x14ac:dyDescent="0.35">
      <c r="B235" s="2">
        <v>2021</v>
      </c>
      <c r="C235" s="2">
        <v>2</v>
      </c>
      <c r="D235" s="2">
        <v>6</v>
      </c>
      <c r="E235" s="78">
        <f>'CRU historical'!F234</f>
        <v>60.5</v>
      </c>
      <c r="F235" s="78">
        <f>'CRU historical'!I234</f>
        <v>132.5</v>
      </c>
      <c r="G235" s="78">
        <f>'CRU historical'!L234</f>
        <v>117.5</v>
      </c>
      <c r="H235" s="78" t="str">
        <f>'CRU historical'!O234</f>
        <v xml:space="preserve"> </v>
      </c>
      <c r="I235" s="78">
        <f>'CRU historical'!R234</f>
        <v>186</v>
      </c>
      <c r="J235" s="78">
        <f>AVERAGE('CRU historical'!U234, 'CRU historical'!X234, 'CRU historical'!AA234, 'CRU historical'!AD234)</f>
        <v>204</v>
      </c>
      <c r="L235" s="78" cm="1">
        <f t="array" ref="L235">IFERROR(SUMPRODUCT(('Sulphuric Acid freights'!$B$3:$B$513=B235)*('Sulphuric Acid freights'!$D$3:$D$513=D235)*('Sulphuric Acid freights'!$P$3:$P$513))/SUMPRODUCT(('Sulphuric Acid freights'!$B$3:$B$513=B235)*('Sulphuric Acid freights'!$D$3:$D$513=D235)*1), AVERAGE('Sulphuric Acid freights'!$P$3:$P$513))*2/3</f>
        <v>45.333333333333336</v>
      </c>
      <c r="M235" s="78" cm="1">
        <f t="array" ref="M235">IFERROR(SUMPRODUCT(('Sulphuric Acid freights'!$B$3:$B$513=B235)*('Sulphuric Acid freights'!$D$3:$D$513=D235)*('Sulphuric Acid freights'!$M$3:$M$513))/SUMPRODUCT(('Sulphuric Acid freights'!$B$3:$B$513=B235)*('Sulphuric Acid freights'!$D$3:$D$513=D235)*1)*2/3, AVERAGE('Sulphuric Acid freights'!$M$3:$M$513))</f>
        <v>10.666666666666666</v>
      </c>
      <c r="N235" s="78">
        <f t="shared" si="39"/>
        <v>40.800000000000004</v>
      </c>
      <c r="O235" s="78" cm="1">
        <f t="array" ref="O235">IF(SUMPRODUCT(('Sulphur freight'!$B$3:$B$1976=B235)*('Sulphur freight'!$D$3:$D$1976=D235)*('Sulphur freight'!$G$3:$G$1976))/SUMPRODUCT(('Sulphur freight'!$B$3:$B$1976=B235)*('Sulphur freight'!$D$3:$D$1976=D235)*1)=0, AVERAGE('Sulphur freight'!$G$3:$G$1976),SUMPRODUCT(('Sulphur freight'!$B$3:$B$1976=B235)*('Sulphur freight'!$D$3:$D$1976=D235)*('Sulphur freight'!$G$3:$G$1976))/SUMPRODUCT(('Sulphur freight'!$B$3:$B$1976=B235)*('Sulphur freight'!$D$3:$D$1976=D235)*1))</f>
        <v>46.75</v>
      </c>
      <c r="P235" s="78">
        <v>20</v>
      </c>
      <c r="R235" s="78" t="str">
        <f t="shared" si="40"/>
        <v xml:space="preserve"> </v>
      </c>
      <c r="S235" s="78">
        <f t="shared" si="41"/>
        <v>143.16666666666666</v>
      </c>
      <c r="T235" s="78">
        <f t="shared" si="36"/>
        <v>105.83333333333334</v>
      </c>
      <c r="U235" s="78">
        <f t="shared" si="42"/>
        <v>158.30000000000001</v>
      </c>
      <c r="V235" s="78">
        <f>IFERROR(I235+O235, "")</f>
        <v>232.75</v>
      </c>
      <c r="W235" s="78">
        <f t="shared" si="43"/>
        <v>224</v>
      </c>
      <c r="X235" s="78">
        <f t="shared" si="44"/>
        <v>94.807500000000005</v>
      </c>
      <c r="Y235" s="78">
        <f t="shared" si="45"/>
        <v>91.92</v>
      </c>
      <c r="AA235" s="88">
        <f t="shared" si="46"/>
        <v>136.50666666666666</v>
      </c>
      <c r="AB235" s="77">
        <f t="shared" si="37"/>
        <v>-41.699166666666656</v>
      </c>
      <c r="AD235" s="88">
        <f t="shared" si="47"/>
        <v>91.92</v>
      </c>
      <c r="AE235" s="77">
        <f t="shared" si="38"/>
        <v>44.586666666666659</v>
      </c>
    </row>
    <row r="236" spans="2:31" x14ac:dyDescent="0.35">
      <c r="B236" s="2">
        <v>2021</v>
      </c>
      <c r="C236" s="2">
        <v>3</v>
      </c>
      <c r="D236" s="2">
        <v>7</v>
      </c>
      <c r="E236" s="78">
        <f>'CRU historical'!F235</f>
        <v>74.599999999999994</v>
      </c>
      <c r="F236" s="78">
        <f>'CRU historical'!I235</f>
        <v>160</v>
      </c>
      <c r="G236" s="78">
        <f>'CRU historical'!L235</f>
        <v>133</v>
      </c>
      <c r="H236" s="78" t="str">
        <f>'CRU historical'!O235</f>
        <v xml:space="preserve"> </v>
      </c>
      <c r="I236" s="78">
        <f>'CRU historical'!R235</f>
        <v>175.2</v>
      </c>
      <c r="J236" s="78">
        <f>AVERAGE('CRU historical'!U235, 'CRU historical'!X235, 'CRU historical'!AA235, 'CRU historical'!AD235)</f>
        <v>204</v>
      </c>
      <c r="L236" s="78" cm="1">
        <f t="array" ref="L236">IFERROR(SUMPRODUCT(('Sulphuric Acid freights'!$B$3:$B$513=B236)*('Sulphuric Acid freights'!$D$3:$D$513=D236)*('Sulphuric Acid freights'!$P$3:$P$513))/SUMPRODUCT(('Sulphuric Acid freights'!$B$3:$B$513=B236)*('Sulphuric Acid freights'!$D$3:$D$513=D236)*1), AVERAGE('Sulphuric Acid freights'!$P$3:$P$513))*2/3</f>
        <v>46.933333333333337</v>
      </c>
      <c r="M236" s="78" cm="1">
        <f t="array" ref="M236">IFERROR(SUMPRODUCT(('Sulphuric Acid freights'!$B$3:$B$513=B236)*('Sulphuric Acid freights'!$D$3:$D$513=D236)*('Sulphuric Acid freights'!$M$3:$M$513))/SUMPRODUCT(('Sulphuric Acid freights'!$B$3:$B$513=B236)*('Sulphuric Acid freights'!$D$3:$D$513=D236)*1)*2/3, AVERAGE('Sulphuric Acid freights'!$M$3:$M$513))</f>
        <v>10.666666666666666</v>
      </c>
      <c r="N236" s="78">
        <f t="shared" si="39"/>
        <v>42.24</v>
      </c>
      <c r="O236" s="78" cm="1">
        <f t="array" ref="O236">IF(SUMPRODUCT(('Sulphur freight'!$B$3:$B$1976=B236)*('Sulphur freight'!$D$3:$D$1976=D236)*('Sulphur freight'!$G$3:$G$1976))/SUMPRODUCT(('Sulphur freight'!$B$3:$B$1976=B236)*('Sulphur freight'!$D$3:$D$1976=D236)*1)=0, AVERAGE('Sulphur freight'!$G$3:$G$1976),SUMPRODUCT(('Sulphur freight'!$B$3:$B$1976=B236)*('Sulphur freight'!$D$3:$D$1976=D236)*('Sulphur freight'!$G$3:$G$1976))/SUMPRODUCT(('Sulphur freight'!$B$3:$B$1976=B236)*('Sulphur freight'!$D$3:$D$1976=D236)*1))</f>
        <v>54.6</v>
      </c>
      <c r="P236" s="78">
        <v>20</v>
      </c>
      <c r="R236" s="78" t="str">
        <f t="shared" si="40"/>
        <v xml:space="preserve"> </v>
      </c>
      <c r="S236" s="78">
        <f t="shared" si="41"/>
        <v>170.66666666666666</v>
      </c>
      <c r="T236" s="78">
        <f t="shared" si="36"/>
        <v>121.53333333333333</v>
      </c>
      <c r="U236" s="78">
        <f t="shared" si="42"/>
        <v>175.24</v>
      </c>
      <c r="V236" s="78">
        <f>IFERROR(I236+O236, "")</f>
        <v>229.79999999999998</v>
      </c>
      <c r="W236" s="78">
        <f t="shared" si="43"/>
        <v>224</v>
      </c>
      <c r="X236" s="78">
        <f t="shared" si="44"/>
        <v>93.834000000000003</v>
      </c>
      <c r="Y236" s="78">
        <f t="shared" si="45"/>
        <v>91.92</v>
      </c>
      <c r="AA236" s="88">
        <f t="shared" si="46"/>
        <v>157.29866666666666</v>
      </c>
      <c r="AB236" s="77">
        <f t="shared" si="37"/>
        <v>-63.464666666666659</v>
      </c>
      <c r="AD236" s="88">
        <f t="shared" si="47"/>
        <v>91.92</v>
      </c>
      <c r="AE236" s="77">
        <f t="shared" si="38"/>
        <v>65.37866666666666</v>
      </c>
    </row>
    <row r="237" spans="2:31" x14ac:dyDescent="0.35">
      <c r="B237" s="2">
        <v>2021</v>
      </c>
      <c r="C237" s="2">
        <v>3</v>
      </c>
      <c r="D237" s="2">
        <v>8</v>
      </c>
      <c r="E237" s="78">
        <f>'CRU historical'!F236</f>
        <v>80</v>
      </c>
      <c r="F237" s="78">
        <f>'CRU historical'!I236</f>
        <v>182.5</v>
      </c>
      <c r="G237" s="78">
        <f>'CRU historical'!L236</f>
        <v>139</v>
      </c>
      <c r="H237" s="78" t="str">
        <f>'CRU historical'!O236</f>
        <v xml:space="preserve"> </v>
      </c>
      <c r="I237" s="78">
        <f>'CRU historical'!R236</f>
        <v>169.75</v>
      </c>
      <c r="J237" s="78">
        <f>AVERAGE('CRU historical'!U236, 'CRU historical'!X236, 'CRU historical'!AA236, 'CRU historical'!AD236)</f>
        <v>201</v>
      </c>
      <c r="L237" s="78" cm="1">
        <f t="array" ref="L237">IFERROR(SUMPRODUCT(('Sulphuric Acid freights'!$B$3:$B$513=B237)*('Sulphuric Acid freights'!$D$3:$D$513=D237)*('Sulphuric Acid freights'!$P$3:$P$513))/SUMPRODUCT(('Sulphuric Acid freights'!$B$3:$B$513=B237)*('Sulphuric Acid freights'!$D$3:$D$513=D237)*1), AVERAGE('Sulphuric Acid freights'!$P$3:$P$513))*2/3</f>
        <v>53.333333333333336</v>
      </c>
      <c r="M237" s="78" cm="1">
        <f t="array" ref="M237">IFERROR(SUMPRODUCT(('Sulphuric Acid freights'!$B$3:$B$513=B237)*('Sulphuric Acid freights'!$D$3:$D$513=D237)*('Sulphuric Acid freights'!$M$3:$M$513))/SUMPRODUCT(('Sulphuric Acid freights'!$B$3:$B$513=B237)*('Sulphuric Acid freights'!$D$3:$D$513=D237)*1)*2/3, AVERAGE('Sulphuric Acid freights'!$M$3:$M$513))</f>
        <v>10</v>
      </c>
      <c r="N237" s="78">
        <f t="shared" si="39"/>
        <v>48</v>
      </c>
      <c r="O237" s="78" cm="1">
        <f t="array" ref="O237">IF(SUMPRODUCT(('Sulphur freight'!$B$3:$B$1976=B237)*('Sulphur freight'!$D$3:$D$1976=D237)*('Sulphur freight'!$G$3:$G$1976))/SUMPRODUCT(('Sulphur freight'!$B$3:$B$1976=B237)*('Sulphur freight'!$D$3:$D$1976=D237)*1)=0, AVERAGE('Sulphur freight'!$G$3:$G$1976),SUMPRODUCT(('Sulphur freight'!$B$3:$B$1976=B237)*('Sulphur freight'!$D$3:$D$1976=D237)*('Sulphur freight'!$G$3:$G$1976))/SUMPRODUCT(('Sulphur freight'!$B$3:$B$1976=B237)*('Sulphur freight'!$D$3:$D$1976=D237)*1))</f>
        <v>58.25</v>
      </c>
      <c r="P237" s="78">
        <v>20</v>
      </c>
      <c r="R237" s="78" t="str">
        <f t="shared" si="40"/>
        <v xml:space="preserve"> </v>
      </c>
      <c r="S237" s="78">
        <f t="shared" si="41"/>
        <v>192.5</v>
      </c>
      <c r="T237" s="78">
        <f t="shared" si="36"/>
        <v>133.33333333333334</v>
      </c>
      <c r="U237" s="78">
        <f t="shared" si="42"/>
        <v>187</v>
      </c>
      <c r="V237" s="78">
        <f>IFERROR(I237+O237, "")</f>
        <v>228</v>
      </c>
      <c r="W237" s="78">
        <f t="shared" si="43"/>
        <v>221</v>
      </c>
      <c r="X237" s="78">
        <f t="shared" si="44"/>
        <v>93.240000000000009</v>
      </c>
      <c r="Y237" s="78">
        <f t="shared" si="45"/>
        <v>90.93</v>
      </c>
      <c r="AA237" s="88">
        <f t="shared" si="46"/>
        <v>173.1</v>
      </c>
      <c r="AB237" s="77">
        <f t="shared" si="37"/>
        <v>-79.859999999999985</v>
      </c>
      <c r="AD237" s="88">
        <f t="shared" si="47"/>
        <v>90.93</v>
      </c>
      <c r="AE237" s="77">
        <f t="shared" si="38"/>
        <v>82.169999999999987</v>
      </c>
    </row>
    <row r="238" spans="2:31" x14ac:dyDescent="0.35">
      <c r="B238" s="2">
        <v>2021</v>
      </c>
      <c r="C238" s="2">
        <v>3</v>
      </c>
      <c r="D238" s="2">
        <v>9</v>
      </c>
      <c r="E238" s="78">
        <f>'CRU historical'!F237</f>
        <v>90</v>
      </c>
      <c r="F238" s="78">
        <f>'CRU historical'!I237</f>
        <v>192</v>
      </c>
      <c r="G238" s="78">
        <f>'CRU historical'!L237</f>
        <v>163</v>
      </c>
      <c r="H238" s="78" t="str">
        <f>'CRU historical'!O237</f>
        <v xml:space="preserve"> </v>
      </c>
      <c r="I238" s="78">
        <f>'CRU historical'!R237</f>
        <v>181.6</v>
      </c>
      <c r="J238" s="78">
        <f>AVERAGE('CRU historical'!U237, 'CRU historical'!X237, 'CRU historical'!AA237, 'CRU historical'!AD237)</f>
        <v>201</v>
      </c>
      <c r="L238" s="78" cm="1">
        <f t="array" ref="L238">IFERROR(SUMPRODUCT(('Sulphuric Acid freights'!$B$3:$B$513=B238)*('Sulphuric Acid freights'!$D$3:$D$513=D238)*('Sulphuric Acid freights'!$P$3:$P$513))/SUMPRODUCT(('Sulphuric Acid freights'!$B$3:$B$513=B238)*('Sulphuric Acid freights'!$D$3:$D$513=D238)*1), AVERAGE('Sulphuric Acid freights'!$P$3:$P$513))*2/3</f>
        <v>54.666666666666664</v>
      </c>
      <c r="M238" s="78" cm="1">
        <f t="array" ref="M238">IFERROR(SUMPRODUCT(('Sulphuric Acid freights'!$B$3:$B$513=B238)*('Sulphuric Acid freights'!$D$3:$D$513=D238)*('Sulphuric Acid freights'!$M$3:$M$513))/SUMPRODUCT(('Sulphuric Acid freights'!$B$3:$B$513=B238)*('Sulphuric Acid freights'!$D$3:$D$513=D238)*1)*2/3, AVERAGE('Sulphuric Acid freights'!$M$3:$M$513))</f>
        <v>9.3333333333333339</v>
      </c>
      <c r="N238" s="78">
        <f t="shared" si="39"/>
        <v>49.199999999999996</v>
      </c>
      <c r="O238" s="78" cm="1">
        <f t="array" ref="O238">IF(SUMPRODUCT(('Sulphur freight'!$B$3:$B$1976=B238)*('Sulphur freight'!$D$3:$D$1976=D238)*('Sulphur freight'!$G$3:$G$1976))/SUMPRODUCT(('Sulphur freight'!$B$3:$B$1976=B238)*('Sulphur freight'!$D$3:$D$1976=D238)*1)=0, AVERAGE('Sulphur freight'!$G$3:$G$1976),SUMPRODUCT(('Sulphur freight'!$B$3:$B$1976=B238)*('Sulphur freight'!$D$3:$D$1976=D238)*('Sulphur freight'!$G$3:$G$1976))/SUMPRODUCT(('Sulphur freight'!$B$3:$B$1976=B238)*('Sulphur freight'!$D$3:$D$1976=D238)*1))</f>
        <v>56.8</v>
      </c>
      <c r="P238" s="78">
        <v>20</v>
      </c>
      <c r="R238" s="78" t="str">
        <f t="shared" si="40"/>
        <v xml:space="preserve"> </v>
      </c>
      <c r="S238" s="78">
        <f t="shared" si="41"/>
        <v>201.33333333333334</v>
      </c>
      <c r="T238" s="78">
        <f t="shared" si="36"/>
        <v>144.66666666666666</v>
      </c>
      <c r="U238" s="78">
        <f t="shared" si="42"/>
        <v>212.2</v>
      </c>
      <c r="V238" s="78">
        <f>IFERROR(I238+O238, "")</f>
        <v>238.39999999999998</v>
      </c>
      <c r="W238" s="78">
        <f t="shared" si="43"/>
        <v>221</v>
      </c>
      <c r="X238" s="78">
        <f t="shared" si="44"/>
        <v>96.671999999999997</v>
      </c>
      <c r="Y238" s="78">
        <f t="shared" si="45"/>
        <v>90.93</v>
      </c>
      <c r="AA238" s="88">
        <f t="shared" si="46"/>
        <v>187.59333333333333</v>
      </c>
      <c r="AB238" s="77">
        <f t="shared" si="37"/>
        <v>-90.921333333333337</v>
      </c>
      <c r="AD238" s="88">
        <f t="shared" si="47"/>
        <v>90.93</v>
      </c>
      <c r="AE238" s="77">
        <f t="shared" si="38"/>
        <v>96.663333333333327</v>
      </c>
    </row>
    <row r="239" spans="2:31" x14ac:dyDescent="0.35">
      <c r="B239" s="2">
        <v>2021</v>
      </c>
      <c r="C239" s="2">
        <v>4</v>
      </c>
      <c r="D239" s="2">
        <v>10</v>
      </c>
      <c r="E239" s="78">
        <f>'CRU historical'!F238</f>
        <v>105</v>
      </c>
      <c r="F239" s="78">
        <f>'CRU historical'!I238</f>
        <v>200</v>
      </c>
      <c r="G239" s="78">
        <f>'CRU historical'!L238</f>
        <v>168</v>
      </c>
      <c r="H239" s="78" t="str">
        <f>'CRU historical'!O238</f>
        <v xml:space="preserve"> </v>
      </c>
      <c r="I239" s="78">
        <f>'CRU historical'!R238</f>
        <v>207.5</v>
      </c>
      <c r="J239" s="78">
        <f>AVERAGE('CRU historical'!U238, 'CRU historical'!X238, 'CRU historical'!AA238, 'CRU historical'!AD238)</f>
        <v>210</v>
      </c>
      <c r="L239" s="78" cm="1">
        <f t="array" ref="L239">IFERROR(SUMPRODUCT(('Sulphuric Acid freights'!$B$3:$B$513=B239)*('Sulphuric Acid freights'!$D$3:$D$513=D239)*('Sulphuric Acid freights'!$P$3:$P$513))/SUMPRODUCT(('Sulphuric Acid freights'!$B$3:$B$513=B239)*('Sulphuric Acid freights'!$D$3:$D$513=D239)*1), AVERAGE('Sulphuric Acid freights'!$P$3:$P$513))*2/3</f>
        <v>54.666666666666664</v>
      </c>
      <c r="M239" s="78" cm="1">
        <f t="array" ref="M239">IFERROR(SUMPRODUCT(('Sulphuric Acid freights'!$B$3:$B$513=B239)*('Sulphuric Acid freights'!$D$3:$D$513=D239)*('Sulphuric Acid freights'!$M$3:$M$513))/SUMPRODUCT(('Sulphuric Acid freights'!$B$3:$B$513=B239)*('Sulphuric Acid freights'!$D$3:$D$513=D239)*1)*2/3, AVERAGE('Sulphuric Acid freights'!$M$3:$M$513))</f>
        <v>10.333333333333334</v>
      </c>
      <c r="N239" s="78">
        <f t="shared" si="39"/>
        <v>49.199999999999996</v>
      </c>
      <c r="O239" s="78" cm="1">
        <f t="array" ref="O239">IF(SUMPRODUCT(('Sulphur freight'!$B$3:$B$1976=B239)*('Sulphur freight'!$D$3:$D$1976=D239)*('Sulphur freight'!$G$3:$G$1976))/SUMPRODUCT(('Sulphur freight'!$B$3:$B$1976=B239)*('Sulphur freight'!$D$3:$D$1976=D239)*1)=0, AVERAGE('Sulphur freight'!$G$3:$G$1976),SUMPRODUCT(('Sulphur freight'!$B$3:$B$1976=B239)*('Sulphur freight'!$D$3:$D$1976=D239)*('Sulphur freight'!$G$3:$G$1976))/SUMPRODUCT(('Sulphur freight'!$B$3:$B$1976=B239)*('Sulphur freight'!$D$3:$D$1976=D239)*1))</f>
        <v>52.5</v>
      </c>
      <c r="P239" s="78">
        <v>20</v>
      </c>
      <c r="R239" s="78" t="str">
        <f t="shared" si="40"/>
        <v xml:space="preserve"> </v>
      </c>
      <c r="S239" s="78">
        <f t="shared" si="41"/>
        <v>210.33333333333334</v>
      </c>
      <c r="T239" s="78">
        <f t="shared" si="36"/>
        <v>159.66666666666666</v>
      </c>
      <c r="U239" s="78">
        <f t="shared" si="42"/>
        <v>217.2</v>
      </c>
      <c r="V239" s="78">
        <f>IFERROR(I239+O239, "")</f>
        <v>260</v>
      </c>
      <c r="W239" s="78">
        <f t="shared" si="43"/>
        <v>230</v>
      </c>
      <c r="X239" s="78">
        <f t="shared" si="44"/>
        <v>103.8</v>
      </c>
      <c r="Y239" s="78">
        <f t="shared" si="45"/>
        <v>93.9</v>
      </c>
      <c r="AA239" s="88">
        <f t="shared" si="46"/>
        <v>197.19333333333333</v>
      </c>
      <c r="AB239" s="77">
        <f t="shared" si="37"/>
        <v>-93.393333333333331</v>
      </c>
      <c r="AD239" s="88">
        <f t="shared" si="47"/>
        <v>93.9</v>
      </c>
      <c r="AE239" s="77">
        <f t="shared" si="38"/>
        <v>103.29333333333332</v>
      </c>
    </row>
    <row r="240" spans="2:31" x14ac:dyDescent="0.35">
      <c r="B240" s="2">
        <v>2021</v>
      </c>
      <c r="C240" s="2">
        <v>4</v>
      </c>
      <c r="D240" s="2">
        <v>11</v>
      </c>
      <c r="E240" s="78">
        <f>'CRU historical'!F239</f>
        <v>105</v>
      </c>
      <c r="F240" s="78">
        <f>'CRU historical'!I239</f>
        <v>200</v>
      </c>
      <c r="G240" s="78">
        <f>'CRU historical'!L239</f>
        <v>158.75</v>
      </c>
      <c r="H240" s="78" t="str">
        <f>'CRU historical'!O239</f>
        <v xml:space="preserve"> </v>
      </c>
      <c r="I240" s="78">
        <f>'CRU historical'!R239</f>
        <v>245</v>
      </c>
      <c r="J240" s="78">
        <f>AVERAGE('CRU historical'!U239, 'CRU historical'!X239, 'CRU historical'!AA239, 'CRU historical'!AD239)</f>
        <v>213</v>
      </c>
      <c r="L240" s="78" cm="1">
        <f t="array" ref="L240">IFERROR(SUMPRODUCT(('Sulphuric Acid freights'!$B$3:$B$513=B240)*('Sulphuric Acid freights'!$D$3:$D$513=D240)*('Sulphuric Acid freights'!$P$3:$P$513))/SUMPRODUCT(('Sulphuric Acid freights'!$B$3:$B$513=B240)*('Sulphuric Acid freights'!$D$3:$D$513=D240)*1), AVERAGE('Sulphuric Acid freights'!$P$3:$P$513))*2/3</f>
        <v>56.666666666666664</v>
      </c>
      <c r="M240" s="78" cm="1">
        <f t="array" ref="M240">IFERROR(SUMPRODUCT(('Sulphuric Acid freights'!$B$3:$B$513=B240)*('Sulphuric Acid freights'!$D$3:$D$513=D240)*('Sulphuric Acid freights'!$M$3:$M$513))/SUMPRODUCT(('Sulphuric Acid freights'!$B$3:$B$513=B240)*('Sulphuric Acid freights'!$D$3:$D$513=D240)*1)*2/3, AVERAGE('Sulphuric Acid freights'!$M$3:$M$513))</f>
        <v>11.333333333333334</v>
      </c>
      <c r="N240" s="78">
        <f t="shared" si="39"/>
        <v>51</v>
      </c>
      <c r="O240" s="78" cm="1">
        <f t="array" ref="O240">IF(SUMPRODUCT(('Sulphur freight'!$B$3:$B$1976=B240)*('Sulphur freight'!$D$3:$D$1976=D240)*('Sulphur freight'!$G$3:$G$1976))/SUMPRODUCT(('Sulphur freight'!$B$3:$B$1976=B240)*('Sulphur freight'!$D$3:$D$1976=D240)*1)=0, AVERAGE('Sulphur freight'!$G$3:$G$1976),SUMPRODUCT(('Sulphur freight'!$B$3:$B$1976=B240)*('Sulphur freight'!$D$3:$D$1976=D240)*('Sulphur freight'!$G$3:$G$1976))/SUMPRODUCT(('Sulphur freight'!$B$3:$B$1976=B240)*('Sulphur freight'!$D$3:$D$1976=D240)*1))</f>
        <v>38.75</v>
      </c>
      <c r="P240" s="78">
        <v>20</v>
      </c>
      <c r="R240" s="78" t="str">
        <f t="shared" si="40"/>
        <v xml:space="preserve"> </v>
      </c>
      <c r="S240" s="78">
        <f t="shared" si="41"/>
        <v>211.33333333333334</v>
      </c>
      <c r="T240" s="78">
        <f t="shared" si="36"/>
        <v>161.66666666666666</v>
      </c>
      <c r="U240" s="78">
        <f t="shared" si="42"/>
        <v>209.75</v>
      </c>
      <c r="V240" s="78">
        <f>IFERROR(I240+O240, "")</f>
        <v>283.75</v>
      </c>
      <c r="W240" s="78">
        <f t="shared" si="43"/>
        <v>233</v>
      </c>
      <c r="X240" s="78">
        <f t="shared" si="44"/>
        <v>111.6375</v>
      </c>
      <c r="Y240" s="78">
        <f t="shared" si="45"/>
        <v>94.89</v>
      </c>
      <c r="AA240" s="88">
        <f t="shared" si="46"/>
        <v>195.95833333333331</v>
      </c>
      <c r="AB240" s="77">
        <f t="shared" si="37"/>
        <v>-84.320833333333312</v>
      </c>
      <c r="AD240" s="88">
        <f t="shared" si="47"/>
        <v>94.89</v>
      </c>
      <c r="AE240" s="77">
        <f t="shared" si="38"/>
        <v>101.06833333333331</v>
      </c>
    </row>
    <row r="241" spans="2:31" x14ac:dyDescent="0.35">
      <c r="B241" s="2">
        <v>2021</v>
      </c>
      <c r="C241" s="2">
        <v>4</v>
      </c>
      <c r="D241" s="2">
        <v>12</v>
      </c>
      <c r="E241" s="78">
        <f>'CRU historical'!F240</f>
        <v>103.5</v>
      </c>
      <c r="F241" s="78">
        <f>'CRU historical'!I240</f>
        <v>212.5</v>
      </c>
      <c r="G241" s="78">
        <f>'CRU historical'!L240</f>
        <v>141.25</v>
      </c>
      <c r="H241" s="78" t="str">
        <f>'CRU historical'!O240</f>
        <v xml:space="preserve"> </v>
      </c>
      <c r="I241" s="78">
        <f>'CRU historical'!R240</f>
        <v>273.25</v>
      </c>
      <c r="J241" s="78">
        <f>AVERAGE('CRU historical'!U240, 'CRU historical'!X240, 'CRU historical'!AA240, 'CRU historical'!AD240)</f>
        <v>213</v>
      </c>
      <c r="L241" s="78" cm="1">
        <f t="array" ref="L241">IFERROR(SUMPRODUCT(('Sulphuric Acid freights'!$B$3:$B$513=B241)*('Sulphuric Acid freights'!$D$3:$D$513=D241)*('Sulphuric Acid freights'!$P$3:$P$513))/SUMPRODUCT(('Sulphuric Acid freights'!$B$3:$B$513=B241)*('Sulphuric Acid freights'!$D$3:$D$513=D241)*1), AVERAGE('Sulphuric Acid freights'!$P$3:$P$513))*2/3</f>
        <v>50.133333333333333</v>
      </c>
      <c r="M241" s="78" cm="1">
        <f t="array" ref="M241">IFERROR(SUMPRODUCT(('Sulphuric Acid freights'!$B$3:$B$513=B241)*('Sulphuric Acid freights'!$D$3:$D$513=D241)*('Sulphuric Acid freights'!$M$3:$M$513))/SUMPRODUCT(('Sulphuric Acid freights'!$B$3:$B$513=B241)*('Sulphuric Acid freights'!$D$3:$D$513=D241)*1)*2/3, AVERAGE('Sulphuric Acid freights'!$M$3:$M$513))</f>
        <v>10.4</v>
      </c>
      <c r="N241" s="78">
        <f t="shared" si="39"/>
        <v>45.12</v>
      </c>
      <c r="O241" s="78" cm="1">
        <f t="array" ref="O241">IF(SUMPRODUCT(('Sulphur freight'!$B$3:$B$1976=B241)*('Sulphur freight'!$D$3:$D$1976=D241)*('Sulphur freight'!$G$3:$G$1976))/SUMPRODUCT(('Sulphur freight'!$B$3:$B$1976=B241)*('Sulphur freight'!$D$3:$D$1976=D241)*1)=0, AVERAGE('Sulphur freight'!$G$3:$G$1976),SUMPRODUCT(('Sulphur freight'!$B$3:$B$1976=B241)*('Sulphur freight'!$D$3:$D$1976=D241)*('Sulphur freight'!$G$3:$G$1976))/SUMPRODUCT(('Sulphur freight'!$B$3:$B$1976=B241)*('Sulphur freight'!$D$3:$D$1976=D241)*1))</f>
        <v>34</v>
      </c>
      <c r="P241" s="78">
        <v>20</v>
      </c>
      <c r="R241" s="78" t="str">
        <f t="shared" si="40"/>
        <v xml:space="preserve"> </v>
      </c>
      <c r="S241" s="78">
        <f t="shared" si="41"/>
        <v>222.9</v>
      </c>
      <c r="T241" s="78">
        <f t="shared" si="36"/>
        <v>153.63333333333333</v>
      </c>
      <c r="U241" s="78">
        <f t="shared" si="42"/>
        <v>186.37</v>
      </c>
      <c r="V241" s="78">
        <f>IFERROR(I241+O241, "")</f>
        <v>307.25</v>
      </c>
      <c r="W241" s="78">
        <f t="shared" si="43"/>
        <v>233</v>
      </c>
      <c r="X241" s="78">
        <f t="shared" si="44"/>
        <v>119.3925</v>
      </c>
      <c r="Y241" s="78">
        <f t="shared" si="45"/>
        <v>94.89</v>
      </c>
      <c r="AA241" s="88">
        <f t="shared" si="46"/>
        <v>191.161</v>
      </c>
      <c r="AB241" s="77">
        <f t="shared" si="37"/>
        <v>-71.768500000000003</v>
      </c>
      <c r="AD241" s="88">
        <f t="shared" si="47"/>
        <v>94.89</v>
      </c>
      <c r="AE241" s="77">
        <f t="shared" si="38"/>
        <v>96.271000000000001</v>
      </c>
    </row>
    <row r="242" spans="2:31" x14ac:dyDescent="0.35">
      <c r="B242" s="2">
        <v>2022</v>
      </c>
      <c r="C242" s="2">
        <v>1</v>
      </c>
      <c r="D242" s="2">
        <v>1</v>
      </c>
      <c r="E242" s="78">
        <f>'CRU historical'!F241</f>
        <v>87.25</v>
      </c>
      <c r="F242" s="78">
        <f>'CRU historical'!I241</f>
        <v>220</v>
      </c>
      <c r="G242" s="78">
        <f>'CRU historical'!L241</f>
        <v>140</v>
      </c>
      <c r="H242" s="78" t="str">
        <f>'CRU historical'!O241</f>
        <v xml:space="preserve"> </v>
      </c>
      <c r="I242" s="78">
        <f>'CRU historical'!R241</f>
        <v>303.75</v>
      </c>
      <c r="J242" s="78">
        <f>AVERAGE('CRU historical'!U241, 'CRU historical'!X241, 'CRU historical'!AA241, 'CRU historical'!AD241)</f>
        <v>279</v>
      </c>
      <c r="L242" s="78" cm="1">
        <f t="array" ref="L242">IFERROR(SUMPRODUCT(('Sulphuric Acid freights'!$B$3:$B$513=B242)*('Sulphuric Acid freights'!$D$3:$D$513=D242)*('Sulphuric Acid freights'!$P$3:$P$513))/SUMPRODUCT(('Sulphuric Acid freights'!$B$3:$B$513=B242)*('Sulphuric Acid freights'!$D$3:$D$513=D242)*1), AVERAGE('Sulphuric Acid freights'!$P$3:$P$513))*2/3</f>
        <v>63.333333333333336</v>
      </c>
      <c r="M242" s="78" cm="1">
        <f t="array" ref="M242">IFERROR(SUMPRODUCT(('Sulphuric Acid freights'!$B$3:$B$513=B242)*('Sulphuric Acid freights'!$D$3:$D$513=D242)*('Sulphuric Acid freights'!$M$3:$M$513))/SUMPRODUCT(('Sulphuric Acid freights'!$B$3:$B$513=B242)*('Sulphuric Acid freights'!$D$3:$D$513=D242)*1)*2/3, AVERAGE('Sulphuric Acid freights'!$M$3:$M$513))</f>
        <v>13.333333333333334</v>
      </c>
      <c r="N242" s="78">
        <f t="shared" si="39"/>
        <v>57</v>
      </c>
      <c r="O242" s="78" cm="1">
        <f t="array" ref="O242">IF(SUMPRODUCT(('Sulphur freight'!$B$3:$B$1976=B242)*('Sulphur freight'!$D$3:$D$1976=D242)*('Sulphur freight'!$G$3:$G$1976))/SUMPRODUCT(('Sulphur freight'!$B$3:$B$1976=B242)*('Sulphur freight'!$D$3:$D$1976=D242)*1)=0, AVERAGE('Sulphur freight'!$G$3:$G$1976),SUMPRODUCT(('Sulphur freight'!$B$3:$B$1976=B242)*('Sulphur freight'!$D$3:$D$1976=D242)*('Sulphur freight'!$G$3:$G$1976))/SUMPRODUCT(('Sulphur freight'!$B$3:$B$1976=B242)*('Sulphur freight'!$D$3:$D$1976=D242)*1))</f>
        <v>36.5</v>
      </c>
      <c r="P242" s="78">
        <v>20</v>
      </c>
      <c r="R242" s="78" t="str">
        <f t="shared" si="40"/>
        <v xml:space="preserve"> </v>
      </c>
      <c r="S242" s="78">
        <f t="shared" si="41"/>
        <v>233.33333333333334</v>
      </c>
      <c r="T242" s="78">
        <f t="shared" si="36"/>
        <v>150.58333333333334</v>
      </c>
      <c r="U242" s="78">
        <f t="shared" si="42"/>
        <v>197</v>
      </c>
      <c r="V242" s="78">
        <f>IFERROR(I242+O242, "")</f>
        <v>340.25</v>
      </c>
      <c r="W242" s="78">
        <f t="shared" si="43"/>
        <v>299</v>
      </c>
      <c r="X242" s="78">
        <f t="shared" si="44"/>
        <v>130.2825</v>
      </c>
      <c r="Y242" s="78">
        <f t="shared" si="45"/>
        <v>116.67</v>
      </c>
      <c r="AA242" s="88">
        <f t="shared" si="46"/>
        <v>197.60833333333335</v>
      </c>
      <c r="AB242" s="77">
        <f t="shared" si="37"/>
        <v>-67.32583333333335</v>
      </c>
      <c r="AD242" s="88">
        <f t="shared" si="47"/>
        <v>116.67</v>
      </c>
      <c r="AE242" s="77">
        <f t="shared" si="38"/>
        <v>80.938333333333347</v>
      </c>
    </row>
    <row r="243" spans="2:31" x14ac:dyDescent="0.35">
      <c r="B243" s="2">
        <v>2022</v>
      </c>
      <c r="C243" s="2">
        <v>1</v>
      </c>
      <c r="D243" s="2">
        <v>2</v>
      </c>
      <c r="E243" s="78">
        <f>'CRU historical'!F242</f>
        <v>83.5</v>
      </c>
      <c r="F243" s="78">
        <f>'CRU historical'!I242</f>
        <v>220</v>
      </c>
      <c r="G243" s="78">
        <f>'CRU historical'!L242</f>
        <v>135.75</v>
      </c>
      <c r="H243" s="78" t="str">
        <f>'CRU historical'!O242</f>
        <v xml:space="preserve"> </v>
      </c>
      <c r="I243" s="78">
        <f>'CRU historical'!R242</f>
        <v>313.75</v>
      </c>
      <c r="J243" s="78">
        <f>AVERAGE('CRU historical'!U242, 'CRU historical'!X242, 'CRU historical'!AA242, 'CRU historical'!AD242)</f>
        <v>301</v>
      </c>
      <c r="L243" s="78" cm="1">
        <f t="array" ref="L243">IFERROR(SUMPRODUCT(('Sulphuric Acid freights'!$B$3:$B$513=B243)*('Sulphuric Acid freights'!$D$3:$D$513=D243)*('Sulphuric Acid freights'!$P$3:$P$513))/SUMPRODUCT(('Sulphuric Acid freights'!$B$3:$B$513=B243)*('Sulphuric Acid freights'!$D$3:$D$513=D243)*1), AVERAGE('Sulphuric Acid freights'!$P$3:$P$513))*2/3</f>
        <v>62.666666666666664</v>
      </c>
      <c r="M243" s="78" cm="1">
        <f t="array" ref="M243">IFERROR(SUMPRODUCT(('Sulphuric Acid freights'!$B$3:$B$513=B243)*('Sulphuric Acid freights'!$D$3:$D$513=D243)*('Sulphuric Acid freights'!$M$3:$M$513))/SUMPRODUCT(('Sulphuric Acid freights'!$B$3:$B$513=B243)*('Sulphuric Acid freights'!$D$3:$D$513=D243)*1)*2/3, AVERAGE('Sulphuric Acid freights'!$M$3:$M$513))</f>
        <v>14</v>
      </c>
      <c r="N243" s="78">
        <f t="shared" si="39"/>
        <v>56.4</v>
      </c>
      <c r="O243" s="78" cm="1">
        <f t="array" ref="O243">IF(SUMPRODUCT(('Sulphur freight'!$B$3:$B$1976=B243)*('Sulphur freight'!$D$3:$D$1976=D243)*('Sulphur freight'!$G$3:$G$1976))/SUMPRODUCT(('Sulphur freight'!$B$3:$B$1976=B243)*('Sulphur freight'!$D$3:$D$1976=D243)*1)=0, AVERAGE('Sulphur freight'!$G$3:$G$1976),SUMPRODUCT(('Sulphur freight'!$B$3:$B$1976=B243)*('Sulphur freight'!$D$3:$D$1976=D243)*('Sulphur freight'!$G$3:$G$1976))/SUMPRODUCT(('Sulphur freight'!$B$3:$B$1976=B243)*('Sulphur freight'!$D$3:$D$1976=D243)*1))</f>
        <v>44.5</v>
      </c>
      <c r="P243" s="78">
        <v>20</v>
      </c>
      <c r="R243" s="78" t="str">
        <f t="shared" si="40"/>
        <v xml:space="preserve"> </v>
      </c>
      <c r="S243" s="78">
        <f t="shared" si="41"/>
        <v>234</v>
      </c>
      <c r="T243" s="78">
        <f t="shared" si="36"/>
        <v>146.16666666666666</v>
      </c>
      <c r="U243" s="78">
        <f t="shared" si="42"/>
        <v>192.15</v>
      </c>
      <c r="V243" s="78">
        <f>IFERROR(I243+O243, "")</f>
        <v>358.25</v>
      </c>
      <c r="W243" s="78">
        <f t="shared" si="43"/>
        <v>321</v>
      </c>
      <c r="X243" s="78">
        <f t="shared" si="44"/>
        <v>136.22250000000003</v>
      </c>
      <c r="Y243" s="78">
        <f t="shared" si="45"/>
        <v>123.93</v>
      </c>
      <c r="AA243" s="88">
        <f t="shared" si="46"/>
        <v>195.09499999999997</v>
      </c>
      <c r="AB243" s="77">
        <f t="shared" si="37"/>
        <v>-58.872499999999945</v>
      </c>
      <c r="AD243" s="88">
        <f t="shared" si="47"/>
        <v>123.93</v>
      </c>
      <c r="AE243" s="77">
        <f t="shared" si="38"/>
        <v>71.164999999999964</v>
      </c>
    </row>
    <row r="244" spans="2:31" x14ac:dyDescent="0.35">
      <c r="B244" s="2">
        <v>2022</v>
      </c>
      <c r="C244" s="2">
        <v>1</v>
      </c>
      <c r="D244" s="2">
        <v>3</v>
      </c>
      <c r="E244" s="78">
        <f>'CRU historical'!F243</f>
        <v>81.8</v>
      </c>
      <c r="F244" s="78">
        <f>'CRU historical'!I243</f>
        <v>220</v>
      </c>
      <c r="G244" s="78">
        <f>'CRU historical'!L243</f>
        <v>129.6</v>
      </c>
      <c r="H244" s="78" t="str">
        <f>'CRU historical'!O243</f>
        <v xml:space="preserve"> </v>
      </c>
      <c r="I244" s="78">
        <f>'CRU historical'!R243</f>
        <v>393</v>
      </c>
      <c r="J244" s="78">
        <f>AVERAGE('CRU historical'!U243, 'CRU historical'!X243, 'CRU historical'!AA243, 'CRU historical'!AD243)</f>
        <v>301</v>
      </c>
      <c r="L244" s="78" cm="1">
        <f t="array" ref="L244">IFERROR(SUMPRODUCT(('Sulphuric Acid freights'!$B$3:$B$513=B244)*('Sulphuric Acid freights'!$D$3:$D$513=D244)*('Sulphuric Acid freights'!$P$3:$P$513))/SUMPRODUCT(('Sulphuric Acid freights'!$B$3:$B$513=B244)*('Sulphuric Acid freights'!$D$3:$D$513=D244)*1), AVERAGE('Sulphuric Acid freights'!$P$3:$P$513))*2/3</f>
        <v>66.666666666666671</v>
      </c>
      <c r="M244" s="78" cm="1">
        <f t="array" ref="M244">IFERROR(SUMPRODUCT(('Sulphuric Acid freights'!$B$3:$B$513=B244)*('Sulphuric Acid freights'!$D$3:$D$513=D244)*('Sulphuric Acid freights'!$M$3:$M$513))/SUMPRODUCT(('Sulphuric Acid freights'!$B$3:$B$513=B244)*('Sulphuric Acid freights'!$D$3:$D$513=D244)*1)*2/3, AVERAGE('Sulphuric Acid freights'!$M$3:$M$513))</f>
        <v>16</v>
      </c>
      <c r="N244" s="78">
        <f t="shared" si="39"/>
        <v>60.000000000000007</v>
      </c>
      <c r="O244" s="78" cm="1">
        <f t="array" ref="O244">IF(SUMPRODUCT(('Sulphur freight'!$B$3:$B$1976=B244)*('Sulphur freight'!$D$3:$D$1976=D244)*('Sulphur freight'!$G$3:$G$1976))/SUMPRODUCT(('Sulphur freight'!$B$3:$B$1976=B244)*('Sulphur freight'!$D$3:$D$1976=D244)*1)=0, AVERAGE('Sulphur freight'!$G$3:$G$1976),SUMPRODUCT(('Sulphur freight'!$B$3:$B$1976=B244)*('Sulphur freight'!$D$3:$D$1976=D244)*('Sulphur freight'!$G$3:$G$1976))/SUMPRODUCT(('Sulphur freight'!$B$3:$B$1976=B244)*('Sulphur freight'!$D$3:$D$1976=D244)*1))</f>
        <v>67.599999999999994</v>
      </c>
      <c r="P244" s="78">
        <v>20</v>
      </c>
      <c r="R244" s="78" t="str">
        <f t="shared" si="40"/>
        <v xml:space="preserve"> </v>
      </c>
      <c r="S244" s="78">
        <f t="shared" si="41"/>
        <v>236</v>
      </c>
      <c r="T244" s="78">
        <f t="shared" si="36"/>
        <v>148.46666666666667</v>
      </c>
      <c r="U244" s="78">
        <f t="shared" si="42"/>
        <v>189.6</v>
      </c>
      <c r="V244" s="78">
        <f>IFERROR(I244+O244, "")</f>
        <v>460.6</v>
      </c>
      <c r="W244" s="78">
        <f t="shared" si="43"/>
        <v>321</v>
      </c>
      <c r="X244" s="78">
        <f t="shared" si="44"/>
        <v>169.99800000000002</v>
      </c>
      <c r="Y244" s="78">
        <f t="shared" si="45"/>
        <v>123.93</v>
      </c>
      <c r="AA244" s="88">
        <f t="shared" si="46"/>
        <v>195.82</v>
      </c>
      <c r="AB244" s="77">
        <f t="shared" si="37"/>
        <v>-25.821999999999974</v>
      </c>
      <c r="AD244" s="88">
        <f t="shared" si="47"/>
        <v>123.93</v>
      </c>
      <c r="AE244" s="77">
        <f t="shared" si="38"/>
        <v>71.889999999999986</v>
      </c>
    </row>
    <row r="245" spans="2:31" x14ac:dyDescent="0.35">
      <c r="B245" s="2">
        <v>2022</v>
      </c>
      <c r="C245" s="2">
        <v>2</v>
      </c>
      <c r="D245" s="2">
        <v>4</v>
      </c>
      <c r="E245" s="78">
        <f>'CRU historical'!F244</f>
        <v>89</v>
      </c>
      <c r="F245" s="78">
        <f>'CRU historical'!I244</f>
        <v>220</v>
      </c>
      <c r="G245" s="78">
        <f>'CRU historical'!L244</f>
        <v>137.5</v>
      </c>
      <c r="H245" s="78" t="str">
        <f>'CRU historical'!O244</f>
        <v xml:space="preserve"> </v>
      </c>
      <c r="I245" s="78">
        <f>'CRU historical'!R244</f>
        <v>453.75</v>
      </c>
      <c r="J245" s="78">
        <f>AVERAGE('CRU historical'!U244, 'CRU historical'!X244, 'CRU historical'!AA244, 'CRU historical'!AD244)</f>
        <v>420</v>
      </c>
      <c r="L245" s="78" cm="1">
        <f t="array" ref="L245">IFERROR(SUMPRODUCT(('Sulphuric Acid freights'!$B$3:$B$513=B245)*('Sulphuric Acid freights'!$D$3:$D$513=D245)*('Sulphuric Acid freights'!$P$3:$P$513))/SUMPRODUCT(('Sulphuric Acid freights'!$B$3:$B$513=B245)*('Sulphuric Acid freights'!$D$3:$D$513=D245)*1), AVERAGE('Sulphuric Acid freights'!$P$3:$P$513))*2/3</f>
        <v>70.666666666666671</v>
      </c>
      <c r="M245" s="78" cm="1">
        <f t="array" ref="M245">IFERROR(SUMPRODUCT(('Sulphuric Acid freights'!$B$3:$B$513=B245)*('Sulphuric Acid freights'!$D$3:$D$513=D245)*('Sulphuric Acid freights'!$M$3:$M$513))/SUMPRODUCT(('Sulphuric Acid freights'!$B$3:$B$513=B245)*('Sulphuric Acid freights'!$D$3:$D$513=D245)*1)*2/3, AVERAGE('Sulphuric Acid freights'!$M$3:$M$513))</f>
        <v>16.666666666666668</v>
      </c>
      <c r="N245" s="78">
        <f t="shared" si="39"/>
        <v>63.600000000000009</v>
      </c>
      <c r="O245" s="78" cm="1">
        <f t="array" ref="O245">IF(SUMPRODUCT(('Sulphur freight'!$B$3:$B$1976=B245)*('Sulphur freight'!$D$3:$D$1976=D245)*('Sulphur freight'!$G$3:$G$1976))/SUMPRODUCT(('Sulphur freight'!$B$3:$B$1976=B245)*('Sulphur freight'!$D$3:$D$1976=D245)*1)=0, AVERAGE('Sulphur freight'!$G$3:$G$1976),SUMPRODUCT(('Sulphur freight'!$B$3:$B$1976=B245)*('Sulphur freight'!$D$3:$D$1976=D245)*('Sulphur freight'!$G$3:$G$1976))/SUMPRODUCT(('Sulphur freight'!$B$3:$B$1976=B245)*('Sulphur freight'!$D$3:$D$1976=D245)*1))</f>
        <v>59.75</v>
      </c>
      <c r="P245" s="78">
        <v>20</v>
      </c>
      <c r="R245" s="78" t="str">
        <f t="shared" si="40"/>
        <v xml:space="preserve"> </v>
      </c>
      <c r="S245" s="78">
        <f t="shared" si="41"/>
        <v>236.66666666666666</v>
      </c>
      <c r="T245" s="78">
        <f t="shared" si="36"/>
        <v>159.66666666666669</v>
      </c>
      <c r="U245" s="78">
        <f t="shared" si="42"/>
        <v>201.10000000000002</v>
      </c>
      <c r="V245" s="78">
        <f>IFERROR(I245+O245, "")</f>
        <v>513.5</v>
      </c>
      <c r="W245" s="78">
        <f t="shared" si="43"/>
        <v>440</v>
      </c>
      <c r="X245" s="78">
        <f t="shared" si="44"/>
        <v>187.45500000000001</v>
      </c>
      <c r="Y245" s="78">
        <f t="shared" si="45"/>
        <v>163.20000000000002</v>
      </c>
      <c r="AA245" s="88">
        <f t="shared" si="46"/>
        <v>202.89666666666668</v>
      </c>
      <c r="AB245" s="77">
        <f t="shared" si="37"/>
        <v>-15.441666666666663</v>
      </c>
      <c r="AD245" s="88">
        <f t="shared" si="47"/>
        <v>163.20000000000002</v>
      </c>
      <c r="AE245" s="77">
        <f t="shared" si="38"/>
        <v>39.696666666666658</v>
      </c>
    </row>
    <row r="246" spans="2:31" x14ac:dyDescent="0.35">
      <c r="B246" s="2">
        <v>2022</v>
      </c>
      <c r="C246" s="2">
        <v>2</v>
      </c>
      <c r="D246" s="2">
        <v>5</v>
      </c>
      <c r="E246" s="78">
        <f>'CRU historical'!F245</f>
        <v>95.75</v>
      </c>
      <c r="F246" s="78">
        <f>'CRU historical'!I245</f>
        <v>220</v>
      </c>
      <c r="G246" s="78">
        <f>'CRU historical'!L245</f>
        <v>146.25</v>
      </c>
      <c r="H246" s="78" t="str">
        <f>'CRU historical'!O245</f>
        <v xml:space="preserve"> </v>
      </c>
      <c r="I246" s="78">
        <f>'CRU historical'!R245</f>
        <v>469.75</v>
      </c>
      <c r="J246" s="78">
        <f>AVERAGE('CRU historical'!U245, 'CRU historical'!X245, 'CRU historical'!AA245, 'CRU historical'!AD245)</f>
        <v>420</v>
      </c>
      <c r="L246" s="78" cm="1">
        <f t="array" ref="L246">IFERROR(SUMPRODUCT(('Sulphuric Acid freights'!$B$3:$B$513=B246)*('Sulphuric Acid freights'!$D$3:$D$513=D246)*('Sulphuric Acid freights'!$P$3:$P$513))/SUMPRODUCT(('Sulphuric Acid freights'!$B$3:$B$513=B246)*('Sulphuric Acid freights'!$D$3:$D$513=D246)*1), AVERAGE('Sulphuric Acid freights'!$P$3:$P$513))*2/3</f>
        <v>76</v>
      </c>
      <c r="M246" s="78" cm="1">
        <f t="array" ref="M246">IFERROR(SUMPRODUCT(('Sulphuric Acid freights'!$B$3:$B$513=B246)*('Sulphuric Acid freights'!$D$3:$D$513=D246)*('Sulphuric Acid freights'!$M$3:$M$513))/SUMPRODUCT(('Sulphuric Acid freights'!$B$3:$B$513=B246)*('Sulphuric Acid freights'!$D$3:$D$513=D246)*1)*2/3, AVERAGE('Sulphuric Acid freights'!$M$3:$M$513))</f>
        <v>16.666666666666668</v>
      </c>
      <c r="N246" s="78">
        <f t="shared" si="39"/>
        <v>68.400000000000006</v>
      </c>
      <c r="O246" s="78" cm="1">
        <f t="array" ref="O246">IF(SUMPRODUCT(('Sulphur freight'!$B$3:$B$1976=B246)*('Sulphur freight'!$D$3:$D$1976=D246)*('Sulphur freight'!$G$3:$G$1976))/SUMPRODUCT(('Sulphur freight'!$B$3:$B$1976=B246)*('Sulphur freight'!$D$3:$D$1976=D246)*1)=0, AVERAGE('Sulphur freight'!$G$3:$G$1976),SUMPRODUCT(('Sulphur freight'!$B$3:$B$1976=B246)*('Sulphur freight'!$D$3:$D$1976=D246)*('Sulphur freight'!$G$3:$G$1976))/SUMPRODUCT(('Sulphur freight'!$B$3:$B$1976=B246)*('Sulphur freight'!$D$3:$D$1976=D246)*1))</f>
        <v>61.75</v>
      </c>
      <c r="P246" s="78">
        <v>20</v>
      </c>
      <c r="R246" s="78" t="str">
        <f t="shared" si="40"/>
        <v xml:space="preserve"> </v>
      </c>
      <c r="S246" s="78">
        <f t="shared" si="41"/>
        <v>236.66666666666666</v>
      </c>
      <c r="T246" s="78">
        <f t="shared" si="36"/>
        <v>171.75</v>
      </c>
      <c r="U246" s="78">
        <f t="shared" si="42"/>
        <v>214.65</v>
      </c>
      <c r="V246" s="78">
        <f>IFERROR(I246+O246, "")</f>
        <v>531.5</v>
      </c>
      <c r="W246" s="78">
        <f t="shared" si="43"/>
        <v>440</v>
      </c>
      <c r="X246" s="78">
        <f t="shared" si="44"/>
        <v>193.39500000000001</v>
      </c>
      <c r="Y246" s="78">
        <f t="shared" si="45"/>
        <v>163.20000000000002</v>
      </c>
      <c r="AA246" s="88">
        <f t="shared" si="46"/>
        <v>210.58666666666664</v>
      </c>
      <c r="AB246" s="77">
        <f t="shared" si="37"/>
        <v>-17.191666666666634</v>
      </c>
      <c r="AD246" s="88">
        <f t="shared" si="47"/>
        <v>163.20000000000002</v>
      </c>
      <c r="AE246" s="77">
        <f t="shared" si="38"/>
        <v>47.386666666666628</v>
      </c>
    </row>
    <row r="247" spans="2:31" x14ac:dyDescent="0.35">
      <c r="B247" s="2">
        <v>2022</v>
      </c>
      <c r="C247" s="2">
        <v>2</v>
      </c>
      <c r="D247" s="2">
        <v>6</v>
      </c>
      <c r="E247" s="78">
        <f>'CRU historical'!F246</f>
        <v>96.8</v>
      </c>
      <c r="F247" s="78">
        <f>'CRU historical'!I246</f>
        <v>218</v>
      </c>
      <c r="G247" s="78">
        <f>'CRU historical'!L246</f>
        <v>143</v>
      </c>
      <c r="H247" s="78" t="str">
        <f>'CRU historical'!O246</f>
        <v xml:space="preserve"> </v>
      </c>
      <c r="I247" s="78">
        <f>'CRU historical'!R246</f>
        <v>463.8</v>
      </c>
      <c r="J247" s="78">
        <f>AVERAGE('CRU historical'!U246, 'CRU historical'!X246, 'CRU historical'!AA246, 'CRU historical'!AD246)</f>
        <v>420</v>
      </c>
      <c r="L247" s="78" cm="1">
        <f t="array" ref="L247">IFERROR(SUMPRODUCT(('Sulphuric Acid freights'!$B$3:$B$513=B247)*('Sulphuric Acid freights'!$D$3:$D$513=D247)*('Sulphuric Acid freights'!$P$3:$P$513))/SUMPRODUCT(('Sulphuric Acid freights'!$B$3:$B$513=B247)*('Sulphuric Acid freights'!$D$3:$D$513=D247)*1), AVERAGE('Sulphuric Acid freights'!$P$3:$P$513))*2/3</f>
        <v>79.2</v>
      </c>
      <c r="M247" s="78" cm="1">
        <f t="array" ref="M247">IFERROR(SUMPRODUCT(('Sulphuric Acid freights'!$B$3:$B$513=B247)*('Sulphuric Acid freights'!$D$3:$D$513=D247)*('Sulphuric Acid freights'!$M$3:$M$513))/SUMPRODUCT(('Sulphuric Acid freights'!$B$3:$B$513=B247)*('Sulphuric Acid freights'!$D$3:$D$513=D247)*1)*2/3, AVERAGE('Sulphuric Acid freights'!$M$3:$M$513))</f>
        <v>18.533333333333335</v>
      </c>
      <c r="N247" s="78">
        <f t="shared" si="39"/>
        <v>71.28</v>
      </c>
      <c r="O247" s="78" cm="1">
        <f t="array" ref="O247">IF(SUMPRODUCT(('Sulphur freight'!$B$3:$B$1976=B247)*('Sulphur freight'!$D$3:$D$1976=D247)*('Sulphur freight'!$G$3:$G$1976))/SUMPRODUCT(('Sulphur freight'!$B$3:$B$1976=B247)*('Sulphur freight'!$D$3:$D$1976=D247)*1)=0, AVERAGE('Sulphur freight'!$G$3:$G$1976),SUMPRODUCT(('Sulphur freight'!$B$3:$B$1976=B247)*('Sulphur freight'!$D$3:$D$1976=D247)*('Sulphur freight'!$G$3:$G$1976))/SUMPRODUCT(('Sulphur freight'!$B$3:$B$1976=B247)*('Sulphur freight'!$D$3:$D$1976=D247)*1))</f>
        <v>62.6</v>
      </c>
      <c r="P247" s="78">
        <v>20</v>
      </c>
      <c r="R247" s="78" t="str">
        <f t="shared" si="40"/>
        <v xml:space="preserve"> </v>
      </c>
      <c r="S247" s="78">
        <f t="shared" si="41"/>
        <v>236.53333333333333</v>
      </c>
      <c r="T247" s="78">
        <f t="shared" si="36"/>
        <v>176</v>
      </c>
      <c r="U247" s="78">
        <f t="shared" si="42"/>
        <v>214.28</v>
      </c>
      <c r="V247" s="78">
        <f>IFERROR(I247+O247, "")</f>
        <v>526.4</v>
      </c>
      <c r="W247" s="78">
        <f t="shared" si="43"/>
        <v>440</v>
      </c>
      <c r="X247" s="78">
        <f t="shared" si="44"/>
        <v>191.71199999999999</v>
      </c>
      <c r="Y247" s="78">
        <f t="shared" si="45"/>
        <v>163.20000000000002</v>
      </c>
      <c r="AA247" s="88">
        <f t="shared" si="46"/>
        <v>211.69733333333335</v>
      </c>
      <c r="AB247" s="77">
        <f t="shared" si="37"/>
        <v>-19.985333333333358</v>
      </c>
      <c r="AD247" s="88">
        <f t="shared" si="47"/>
        <v>163.20000000000002</v>
      </c>
      <c r="AE247" s="77">
        <f t="shared" si="38"/>
        <v>48.49733333333333</v>
      </c>
    </row>
    <row r="248" spans="2:31" x14ac:dyDescent="0.35">
      <c r="B248" s="2">
        <v>2022</v>
      </c>
      <c r="C248" s="2">
        <v>3</v>
      </c>
      <c r="D248" s="2">
        <v>7</v>
      </c>
      <c r="E248" s="78">
        <f>'CRU historical'!F247</f>
        <v>91.25</v>
      </c>
      <c r="F248" s="78">
        <f>'CRU historical'!I247</f>
        <v>198.75</v>
      </c>
      <c r="G248" s="78">
        <f>'CRU historical'!L247</f>
        <v>117.5</v>
      </c>
      <c r="H248" s="78" t="str">
        <f>'CRU historical'!O247</f>
        <v xml:space="preserve"> </v>
      </c>
      <c r="I248" s="78">
        <f>'CRU historical'!R247</f>
        <v>260</v>
      </c>
      <c r="J248" s="78">
        <f>AVERAGE('CRU historical'!U247, 'CRU historical'!X247, 'CRU historical'!AA247, 'CRU historical'!AD247)</f>
        <v>422.25</v>
      </c>
      <c r="L248" s="78" cm="1">
        <f t="array" ref="L248">IFERROR(SUMPRODUCT(('Sulphuric Acid freights'!$B$3:$B$513=B248)*('Sulphuric Acid freights'!$D$3:$D$513=D248)*('Sulphuric Acid freights'!$P$3:$P$513))/SUMPRODUCT(('Sulphuric Acid freights'!$B$3:$B$513=B248)*('Sulphuric Acid freights'!$D$3:$D$513=D248)*1), AVERAGE('Sulphuric Acid freights'!$P$3:$P$513))*2/3</f>
        <v>87.333333333333329</v>
      </c>
      <c r="M248" s="78" cm="1">
        <f t="array" ref="M248">IFERROR(SUMPRODUCT(('Sulphuric Acid freights'!$B$3:$B$513=B248)*('Sulphuric Acid freights'!$D$3:$D$513=D248)*('Sulphuric Acid freights'!$M$3:$M$513))/SUMPRODUCT(('Sulphuric Acid freights'!$B$3:$B$513=B248)*('Sulphuric Acid freights'!$D$3:$D$513=D248)*1)*2/3, AVERAGE('Sulphuric Acid freights'!$M$3:$M$513))</f>
        <v>21.333333333333332</v>
      </c>
      <c r="N248" s="78">
        <f t="shared" si="39"/>
        <v>78.599999999999994</v>
      </c>
      <c r="O248" s="78" cm="1">
        <f t="array" ref="O248">IF(SUMPRODUCT(('Sulphur freight'!$B$3:$B$1976=B248)*('Sulphur freight'!$D$3:$D$1976=D248)*('Sulphur freight'!$G$3:$G$1976))/SUMPRODUCT(('Sulphur freight'!$B$3:$B$1976=B248)*('Sulphur freight'!$D$3:$D$1976=D248)*1)=0, AVERAGE('Sulphur freight'!$G$3:$G$1976),SUMPRODUCT(('Sulphur freight'!$B$3:$B$1976=B248)*('Sulphur freight'!$D$3:$D$1976=D248)*('Sulphur freight'!$G$3:$G$1976))/SUMPRODUCT(('Sulphur freight'!$B$3:$B$1976=B248)*('Sulphur freight'!$D$3:$D$1976=D248)*1))</f>
        <v>52.25</v>
      </c>
      <c r="P248" s="78">
        <v>20</v>
      </c>
      <c r="R248" s="78" t="str">
        <f t="shared" si="40"/>
        <v xml:space="preserve"> </v>
      </c>
      <c r="S248" s="78">
        <f t="shared" si="41"/>
        <v>220.08333333333334</v>
      </c>
      <c r="T248" s="78">
        <f t="shared" si="36"/>
        <v>178.58333333333331</v>
      </c>
      <c r="U248" s="78">
        <f t="shared" si="42"/>
        <v>196.1</v>
      </c>
      <c r="V248" s="78">
        <f>IFERROR(I248+O248, "")</f>
        <v>312.25</v>
      </c>
      <c r="W248" s="78">
        <f t="shared" si="43"/>
        <v>442.25</v>
      </c>
      <c r="X248" s="78">
        <f t="shared" si="44"/>
        <v>121.0425</v>
      </c>
      <c r="Y248" s="78">
        <f t="shared" si="45"/>
        <v>163.9425</v>
      </c>
      <c r="AA248" s="88">
        <f t="shared" si="46"/>
        <v>200.43833333333333</v>
      </c>
      <c r="AB248" s="77">
        <f t="shared" si="37"/>
        <v>-36.495833333333337</v>
      </c>
      <c r="AD248" s="88">
        <f t="shared" si="47"/>
        <v>163.9425</v>
      </c>
      <c r="AE248" s="77">
        <f t="shared" si="38"/>
        <v>36.495833333333337</v>
      </c>
    </row>
    <row r="249" spans="2:31" x14ac:dyDescent="0.35">
      <c r="B249" s="2">
        <v>2022</v>
      </c>
      <c r="C249" s="2">
        <v>3</v>
      </c>
      <c r="D249" s="2">
        <v>8</v>
      </c>
      <c r="E249" s="78">
        <f>'CRU historical'!F248</f>
        <v>61.25</v>
      </c>
      <c r="F249" s="78">
        <f>'CRU historical'!I248</f>
        <v>153.75</v>
      </c>
      <c r="G249" s="78">
        <f>'CRU historical'!L248</f>
        <v>57.5</v>
      </c>
      <c r="H249" s="78" t="str">
        <f>'CRU historical'!O248</f>
        <v xml:space="preserve"> </v>
      </c>
      <c r="I249" s="78">
        <f>'CRU historical'!R248</f>
        <v>78.5</v>
      </c>
      <c r="J249" s="78">
        <f>AVERAGE('CRU historical'!U248, 'CRU historical'!X248, 'CRU historical'!AA248, 'CRU historical'!AD248)</f>
        <v>225.75</v>
      </c>
      <c r="L249" s="78" cm="1">
        <f t="array" ref="L249">IFERROR(SUMPRODUCT(('Sulphuric Acid freights'!$B$3:$B$513=B249)*('Sulphuric Acid freights'!$D$3:$D$513=D249)*('Sulphuric Acid freights'!$P$3:$P$513))/SUMPRODUCT(('Sulphuric Acid freights'!$B$3:$B$513=B249)*('Sulphuric Acid freights'!$D$3:$D$513=D249)*1), AVERAGE('Sulphuric Acid freights'!$P$3:$P$513))*2/3</f>
        <v>88</v>
      </c>
      <c r="M249" s="78" cm="1">
        <f t="array" ref="M249">IFERROR(SUMPRODUCT(('Sulphuric Acid freights'!$B$3:$B$513=B249)*('Sulphuric Acid freights'!$D$3:$D$513=D249)*('Sulphuric Acid freights'!$M$3:$M$513))/SUMPRODUCT(('Sulphuric Acid freights'!$B$3:$B$513=B249)*('Sulphuric Acid freights'!$D$3:$D$513=D249)*1)*2/3, AVERAGE('Sulphuric Acid freights'!$M$3:$M$513))</f>
        <v>22</v>
      </c>
      <c r="N249" s="78">
        <f t="shared" si="39"/>
        <v>79.2</v>
      </c>
      <c r="O249" s="78" cm="1">
        <f t="array" ref="O249">IF(SUMPRODUCT(('Sulphur freight'!$B$3:$B$1976=B249)*('Sulphur freight'!$D$3:$D$1976=D249)*('Sulphur freight'!$G$3:$G$1976))/SUMPRODUCT(('Sulphur freight'!$B$3:$B$1976=B249)*('Sulphur freight'!$D$3:$D$1976=D249)*1)=0, AVERAGE('Sulphur freight'!$G$3:$G$1976),SUMPRODUCT(('Sulphur freight'!$B$3:$B$1976=B249)*('Sulphur freight'!$D$3:$D$1976=D249)*('Sulphur freight'!$G$3:$G$1976))/SUMPRODUCT(('Sulphur freight'!$B$3:$B$1976=B249)*('Sulphur freight'!$D$3:$D$1976=D249)*1))</f>
        <v>43.25</v>
      </c>
      <c r="P249" s="78">
        <v>20</v>
      </c>
      <c r="R249" s="78" t="str">
        <f t="shared" si="40"/>
        <v xml:space="preserve"> </v>
      </c>
      <c r="S249" s="78">
        <f t="shared" si="41"/>
        <v>175.75</v>
      </c>
      <c r="T249" s="78">
        <f t="shared" si="36"/>
        <v>149.25</v>
      </c>
      <c r="U249" s="78">
        <f t="shared" si="42"/>
        <v>136.69999999999999</v>
      </c>
      <c r="V249" s="78">
        <f>IFERROR(I249+O249, "")</f>
        <v>121.75</v>
      </c>
      <c r="W249" s="78">
        <f t="shared" si="43"/>
        <v>245.75</v>
      </c>
      <c r="X249" s="78">
        <f t="shared" si="44"/>
        <v>58.177500000000002</v>
      </c>
      <c r="Y249" s="78">
        <f t="shared" si="45"/>
        <v>99.097500000000011</v>
      </c>
      <c r="AA249" s="88">
        <f t="shared" si="46"/>
        <v>156.08499999999998</v>
      </c>
      <c r="AB249" s="77">
        <f t="shared" si="37"/>
        <v>-56.987499999999969</v>
      </c>
      <c r="AD249" s="88">
        <f t="shared" si="47"/>
        <v>99.097500000000011</v>
      </c>
      <c r="AE249" s="77">
        <f t="shared" si="38"/>
        <v>56.987499999999969</v>
      </c>
    </row>
    <row r="250" spans="2:31" x14ac:dyDescent="0.35">
      <c r="B250" s="2">
        <v>2022</v>
      </c>
      <c r="C250" s="2">
        <v>3</v>
      </c>
      <c r="D250" s="2">
        <v>9</v>
      </c>
      <c r="E250" s="78">
        <f>'CRU historical'!F249</f>
        <v>32</v>
      </c>
      <c r="F250" s="78">
        <f>'CRU historical'!I249</f>
        <v>71.599999999999994</v>
      </c>
      <c r="G250" s="78">
        <f>'CRU historical'!L249</f>
        <v>14</v>
      </c>
      <c r="H250" s="78" t="str">
        <f>'CRU historical'!O249</f>
        <v xml:space="preserve"> </v>
      </c>
      <c r="I250" s="78">
        <f>'CRU historical'!R249</f>
        <v>95.8</v>
      </c>
      <c r="J250" s="78">
        <f>AVERAGE('CRU historical'!U249, 'CRU historical'!X249, 'CRU historical'!AA249, 'CRU historical'!AD249)</f>
        <v>160</v>
      </c>
      <c r="L250" s="78" cm="1">
        <f t="array" ref="L250">IFERROR(SUMPRODUCT(('Sulphuric Acid freights'!$B$3:$B$513=B250)*('Sulphuric Acid freights'!$D$3:$D$513=D250)*('Sulphuric Acid freights'!$P$3:$P$513))/SUMPRODUCT(('Sulphuric Acid freights'!$B$3:$B$513=B250)*('Sulphuric Acid freights'!$D$3:$D$513=D250)*1), AVERAGE('Sulphuric Acid freights'!$P$3:$P$513))*2/3</f>
        <v>89.066666666666663</v>
      </c>
      <c r="M250" s="78" cm="1">
        <f t="array" ref="M250">IFERROR(SUMPRODUCT(('Sulphuric Acid freights'!$B$3:$B$513=B250)*('Sulphuric Acid freights'!$D$3:$D$513=D250)*('Sulphuric Acid freights'!$M$3:$M$513))/SUMPRODUCT(('Sulphuric Acid freights'!$B$3:$B$513=B250)*('Sulphuric Acid freights'!$D$3:$D$513=D250)*1)*2/3, AVERAGE('Sulphuric Acid freights'!$M$3:$M$513))</f>
        <v>22</v>
      </c>
      <c r="N250" s="78">
        <f t="shared" si="39"/>
        <v>80.16</v>
      </c>
      <c r="O250" s="78" cm="1">
        <f t="array" ref="O250">IF(SUMPRODUCT(('Sulphur freight'!$B$3:$B$1976=B250)*('Sulphur freight'!$D$3:$D$1976=D250)*('Sulphur freight'!$G$3:$G$1976))/SUMPRODUCT(('Sulphur freight'!$B$3:$B$1976=B250)*('Sulphur freight'!$D$3:$D$1976=D250)*1)=0, AVERAGE('Sulphur freight'!$G$3:$G$1976),SUMPRODUCT(('Sulphur freight'!$B$3:$B$1976=B250)*('Sulphur freight'!$D$3:$D$1976=D250)*('Sulphur freight'!$G$3:$G$1976))/SUMPRODUCT(('Sulphur freight'!$B$3:$B$1976=B250)*('Sulphur freight'!$D$3:$D$1976=D250)*1))</f>
        <v>40</v>
      </c>
      <c r="P250" s="78">
        <v>20</v>
      </c>
      <c r="R250" s="78" t="str">
        <f t="shared" si="40"/>
        <v xml:space="preserve"> </v>
      </c>
      <c r="S250" s="78">
        <f t="shared" si="41"/>
        <v>93.6</v>
      </c>
      <c r="T250" s="78">
        <f t="shared" si="36"/>
        <v>121.06666666666666</v>
      </c>
      <c r="U250" s="78">
        <f t="shared" si="42"/>
        <v>94.16</v>
      </c>
      <c r="V250" s="78">
        <f>IFERROR(I250+O250, "")</f>
        <v>135.80000000000001</v>
      </c>
      <c r="W250" s="78">
        <f t="shared" si="43"/>
        <v>180</v>
      </c>
      <c r="X250" s="78">
        <f t="shared" si="44"/>
        <v>62.814000000000007</v>
      </c>
      <c r="Y250" s="78">
        <f t="shared" si="45"/>
        <v>77.400000000000006</v>
      </c>
      <c r="AA250" s="88">
        <f t="shared" si="46"/>
        <v>102.00799999999998</v>
      </c>
      <c r="AB250" s="77">
        <f t="shared" si="37"/>
        <v>-24.607999999999976</v>
      </c>
      <c r="AD250" s="88">
        <f t="shared" si="47"/>
        <v>77.400000000000006</v>
      </c>
      <c r="AE250" s="77">
        <f t="shared" si="38"/>
        <v>24.607999999999976</v>
      </c>
    </row>
    <row r="251" spans="2:31" x14ac:dyDescent="0.35">
      <c r="B251" s="2">
        <v>2022</v>
      </c>
      <c r="C251" s="2">
        <v>4</v>
      </c>
      <c r="D251" s="2">
        <v>10</v>
      </c>
      <c r="E251" s="78">
        <f>'CRU historical'!F250</f>
        <v>17.5</v>
      </c>
      <c r="F251" s="78">
        <f>'CRU historical'!I250</f>
        <v>48</v>
      </c>
      <c r="G251" s="78">
        <f>'CRU historical'!L250</f>
        <v>13.75</v>
      </c>
      <c r="H251" s="78" t="str">
        <f>'CRU historical'!O250</f>
        <v xml:space="preserve"> </v>
      </c>
      <c r="I251" s="78">
        <f>'CRU historical'!R250</f>
        <v>118.75</v>
      </c>
      <c r="J251" s="78">
        <f>AVERAGE('CRU historical'!U250, 'CRU historical'!X250, 'CRU historical'!AA250, 'CRU historical'!AD250)</f>
        <v>124.75</v>
      </c>
      <c r="L251" s="78" cm="1">
        <f t="array" ref="L251">IFERROR(SUMPRODUCT(('Sulphuric Acid freights'!$B$3:$B$513=B251)*('Sulphuric Acid freights'!$D$3:$D$513=D251)*('Sulphuric Acid freights'!$P$3:$P$513))/SUMPRODUCT(('Sulphuric Acid freights'!$B$3:$B$513=B251)*('Sulphuric Acid freights'!$D$3:$D$513=D251)*1), AVERAGE('Sulphuric Acid freights'!$P$3:$P$513))*2/3</f>
        <v>90.5</v>
      </c>
      <c r="M251" s="78" cm="1">
        <f t="array" ref="M251">IFERROR(SUMPRODUCT(('Sulphuric Acid freights'!$B$3:$B$513=B251)*('Sulphuric Acid freights'!$D$3:$D$513=D251)*('Sulphuric Acid freights'!$M$3:$M$513))/SUMPRODUCT(('Sulphuric Acid freights'!$B$3:$B$513=B251)*('Sulphuric Acid freights'!$D$3:$D$513=D251)*1)*2/3, AVERAGE('Sulphuric Acid freights'!$M$3:$M$513))</f>
        <v>22.833333333333332</v>
      </c>
      <c r="N251" s="78">
        <f t="shared" si="39"/>
        <v>81.45</v>
      </c>
      <c r="O251" s="78" cm="1">
        <f t="array" ref="O251">IF(SUMPRODUCT(('Sulphur freight'!$B$3:$B$1976=B251)*('Sulphur freight'!$D$3:$D$1976=D251)*('Sulphur freight'!$G$3:$G$1976))/SUMPRODUCT(('Sulphur freight'!$B$3:$B$1976=B251)*('Sulphur freight'!$D$3:$D$1976=D251)*1)=0, AVERAGE('Sulphur freight'!$G$3:$G$1976),SUMPRODUCT(('Sulphur freight'!$B$3:$B$1976=B251)*('Sulphur freight'!$D$3:$D$1976=D251)*('Sulphur freight'!$G$3:$G$1976))/SUMPRODUCT(('Sulphur freight'!$B$3:$B$1976=B251)*('Sulphur freight'!$D$3:$D$1976=D251)*1))</f>
        <v>38.75</v>
      </c>
      <c r="P251" s="78">
        <v>20</v>
      </c>
      <c r="R251" s="78" t="str">
        <f t="shared" si="40"/>
        <v xml:space="preserve"> </v>
      </c>
      <c r="S251" s="78">
        <f t="shared" si="41"/>
        <v>70.833333333333329</v>
      </c>
      <c r="T251" s="78">
        <f t="shared" si="36"/>
        <v>108</v>
      </c>
      <c r="U251" s="78">
        <f t="shared" si="42"/>
        <v>95.2</v>
      </c>
      <c r="V251" s="78">
        <f>IFERROR(I251+O251, "")</f>
        <v>157.5</v>
      </c>
      <c r="W251" s="78">
        <f t="shared" si="43"/>
        <v>144.75</v>
      </c>
      <c r="X251" s="78">
        <f t="shared" si="44"/>
        <v>69.974999999999994</v>
      </c>
      <c r="Y251" s="78">
        <f t="shared" si="45"/>
        <v>65.767500000000013</v>
      </c>
      <c r="AA251" s="88">
        <f t="shared" si="46"/>
        <v>89.293333333333337</v>
      </c>
      <c r="AB251" s="77">
        <f t="shared" si="37"/>
        <v>-19.318333333333342</v>
      </c>
      <c r="AD251" s="88">
        <f t="shared" si="47"/>
        <v>65.767500000000013</v>
      </c>
      <c r="AE251" s="77">
        <f t="shared" si="38"/>
        <v>23.525833333333324</v>
      </c>
    </row>
    <row r="252" spans="2:31" x14ac:dyDescent="0.35">
      <c r="B252" s="2">
        <v>2022</v>
      </c>
      <c r="C252" s="2">
        <v>4</v>
      </c>
      <c r="D252" s="2">
        <v>11</v>
      </c>
      <c r="E252" s="78">
        <f>'CRU historical'!F251</f>
        <v>15</v>
      </c>
      <c r="F252" s="78">
        <f>'CRU historical'!I251</f>
        <v>38.5</v>
      </c>
      <c r="G252" s="78">
        <f>'CRU historical'!L251</f>
        <v>17.25</v>
      </c>
      <c r="H252" s="78" t="str">
        <f>'CRU historical'!O251</f>
        <v xml:space="preserve"> </v>
      </c>
      <c r="I252" s="78">
        <f>'CRU historical'!R251</f>
        <v>168.75</v>
      </c>
      <c r="J252" s="78">
        <f>AVERAGE('CRU historical'!U251, 'CRU historical'!X251, 'CRU historical'!AA251, 'CRU historical'!AD251)</f>
        <v>113</v>
      </c>
      <c r="L252" s="78" cm="1">
        <f t="array" ref="L252">IFERROR(SUMPRODUCT(('Sulphuric Acid freights'!$B$3:$B$513=B252)*('Sulphuric Acid freights'!$D$3:$D$513=D252)*('Sulphuric Acid freights'!$P$3:$P$513))/SUMPRODUCT(('Sulphuric Acid freights'!$B$3:$B$513=B252)*('Sulphuric Acid freights'!$D$3:$D$513=D252)*1), AVERAGE('Sulphuric Acid freights'!$P$3:$P$513))*2/3</f>
        <v>91.666666666666671</v>
      </c>
      <c r="M252" s="78" cm="1">
        <f t="array" ref="M252">IFERROR(SUMPRODUCT(('Sulphuric Acid freights'!$B$3:$B$513=B252)*('Sulphuric Acid freights'!$D$3:$D$513=D252)*('Sulphuric Acid freights'!$M$3:$M$513))/SUMPRODUCT(('Sulphuric Acid freights'!$B$3:$B$513=B252)*('Sulphuric Acid freights'!$D$3:$D$513=D252)*1)*2/3, AVERAGE('Sulphuric Acid freights'!$M$3:$M$513))</f>
        <v>24.5</v>
      </c>
      <c r="N252" s="78">
        <f t="shared" si="39"/>
        <v>82.5</v>
      </c>
      <c r="O252" s="78" cm="1">
        <f t="array" ref="O252">IF(SUMPRODUCT(('Sulphur freight'!$B$3:$B$1976=B252)*('Sulphur freight'!$D$3:$D$1976=D252)*('Sulphur freight'!$G$3:$G$1976))/SUMPRODUCT(('Sulphur freight'!$B$3:$B$1976=B252)*('Sulphur freight'!$D$3:$D$1976=D252)*1)=0, AVERAGE('Sulphur freight'!$G$3:$G$1976),SUMPRODUCT(('Sulphur freight'!$B$3:$B$1976=B252)*('Sulphur freight'!$D$3:$D$1976=D252)*('Sulphur freight'!$G$3:$G$1976))/SUMPRODUCT(('Sulphur freight'!$B$3:$B$1976=B252)*('Sulphur freight'!$D$3:$D$1976=D252)*1))</f>
        <v>32.25</v>
      </c>
      <c r="P252" s="78">
        <v>20</v>
      </c>
      <c r="R252" s="78" t="str">
        <f t="shared" si="40"/>
        <v xml:space="preserve"> </v>
      </c>
      <c r="S252" s="78">
        <f t="shared" si="41"/>
        <v>63</v>
      </c>
      <c r="T252" s="78">
        <f t="shared" si="36"/>
        <v>106.66666666666667</v>
      </c>
      <c r="U252" s="78">
        <f t="shared" si="42"/>
        <v>99.75</v>
      </c>
      <c r="V252" s="78">
        <f>IFERROR(I252+O252, "")</f>
        <v>201</v>
      </c>
      <c r="W252" s="78">
        <f t="shared" si="43"/>
        <v>133</v>
      </c>
      <c r="X252" s="78">
        <f t="shared" si="44"/>
        <v>84.33</v>
      </c>
      <c r="Y252" s="78">
        <f t="shared" si="45"/>
        <v>61.89</v>
      </c>
      <c r="AA252" s="88">
        <f t="shared" si="46"/>
        <v>87.125</v>
      </c>
      <c r="AB252" s="77">
        <f t="shared" si="37"/>
        <v>-2.7950000000000017</v>
      </c>
      <c r="AD252" s="88">
        <f t="shared" si="47"/>
        <v>61.89</v>
      </c>
      <c r="AE252" s="77">
        <f t="shared" si="38"/>
        <v>25.234999999999999</v>
      </c>
    </row>
    <row r="253" spans="2:31" x14ac:dyDescent="0.35">
      <c r="B253" s="2">
        <v>2022</v>
      </c>
      <c r="C253" s="2">
        <v>4</v>
      </c>
      <c r="D253" s="2">
        <v>12</v>
      </c>
      <c r="E253" s="78">
        <f>'CRU historical'!F252</f>
        <v>15</v>
      </c>
      <c r="F253" s="78">
        <f>'CRU historical'!I252</f>
        <v>36.5</v>
      </c>
      <c r="G253" s="78">
        <f>'CRU historical'!L252</f>
        <v>16.5</v>
      </c>
      <c r="H253" s="78" t="str">
        <f>'CRU historical'!O252</f>
        <v xml:space="preserve"> </v>
      </c>
      <c r="I253" s="78">
        <f>'CRU historical'!R252</f>
        <v>177.75</v>
      </c>
      <c r="J253" s="78">
        <f>AVERAGE('CRU historical'!U252, 'CRU historical'!X252, 'CRU historical'!AA252, 'CRU historical'!AD252)</f>
        <v>113</v>
      </c>
      <c r="L253" s="78" cm="1">
        <f t="array" ref="L253">IFERROR(SUMPRODUCT(('Sulphuric Acid freights'!$B$3:$B$513=B253)*('Sulphuric Acid freights'!$D$3:$D$513=D253)*('Sulphuric Acid freights'!$P$3:$P$513))/SUMPRODUCT(('Sulphuric Acid freights'!$B$3:$B$513=B253)*('Sulphuric Acid freights'!$D$3:$D$513=D253)*1), AVERAGE('Sulphuric Acid freights'!$P$3:$P$513))*2/3</f>
        <v>73.333333333333329</v>
      </c>
      <c r="M253" s="78" cm="1">
        <f t="array" ref="M253">IFERROR(SUMPRODUCT(('Sulphuric Acid freights'!$B$3:$B$513=B253)*('Sulphuric Acid freights'!$D$3:$D$513=D253)*('Sulphuric Acid freights'!$M$3:$M$513))/SUMPRODUCT(('Sulphuric Acid freights'!$B$3:$B$513=B253)*('Sulphuric Acid freights'!$D$3:$D$513=D253)*1)*2/3, AVERAGE('Sulphuric Acid freights'!$M$3:$M$513))</f>
        <v>20.533333333333335</v>
      </c>
      <c r="N253" s="78">
        <f t="shared" si="39"/>
        <v>66</v>
      </c>
      <c r="O253" s="78" cm="1">
        <f t="array" ref="O253">IF(SUMPRODUCT(('Sulphur freight'!$B$3:$B$1976=B253)*('Sulphur freight'!$D$3:$D$1976=D253)*('Sulphur freight'!$G$3:$G$1976))/SUMPRODUCT(('Sulphur freight'!$B$3:$B$1976=B253)*('Sulphur freight'!$D$3:$D$1976=D253)*1)=0, AVERAGE('Sulphur freight'!$G$3:$G$1976),SUMPRODUCT(('Sulphur freight'!$B$3:$B$1976=B253)*('Sulphur freight'!$D$3:$D$1976=D253)*('Sulphur freight'!$G$3:$G$1976))/SUMPRODUCT(('Sulphur freight'!$B$3:$B$1976=B253)*('Sulphur freight'!$D$3:$D$1976=D253)*1))</f>
        <v>23</v>
      </c>
      <c r="P253" s="78">
        <v>20</v>
      </c>
      <c r="R253" s="78" t="str">
        <f t="shared" si="40"/>
        <v xml:space="preserve"> </v>
      </c>
      <c r="S253" s="78">
        <f t="shared" si="41"/>
        <v>57.033333333333331</v>
      </c>
      <c r="T253" s="78">
        <f t="shared" si="36"/>
        <v>88.333333333333329</v>
      </c>
      <c r="U253" s="78">
        <f t="shared" si="42"/>
        <v>82.5</v>
      </c>
      <c r="V253" s="78">
        <f>IFERROR(I253+O253, "")</f>
        <v>200.75</v>
      </c>
      <c r="W253" s="78">
        <f t="shared" si="43"/>
        <v>133</v>
      </c>
      <c r="X253" s="78">
        <f t="shared" si="44"/>
        <v>84.247500000000002</v>
      </c>
      <c r="Y253" s="78">
        <f t="shared" si="45"/>
        <v>61.89</v>
      </c>
      <c r="AA253" s="88">
        <f t="shared" si="46"/>
        <v>74.063333333333333</v>
      </c>
      <c r="AB253" s="77">
        <f t="shared" si="37"/>
        <v>10.18416666666667</v>
      </c>
      <c r="AD253" s="88">
        <f t="shared" si="47"/>
        <v>61.89</v>
      </c>
      <c r="AE253" s="77">
        <f t="shared" si="38"/>
        <v>12.173333333333332</v>
      </c>
    </row>
    <row r="254" spans="2:31" x14ac:dyDescent="0.35">
      <c r="B254" s="2">
        <v>2023</v>
      </c>
      <c r="C254" s="2">
        <v>1</v>
      </c>
      <c r="D254" s="2">
        <v>1</v>
      </c>
      <c r="E254" s="78">
        <f>'CRU historical'!F253</f>
        <v>10.75</v>
      </c>
      <c r="F254" s="78">
        <f>'CRU historical'!I253</f>
        <v>34</v>
      </c>
      <c r="G254" s="78">
        <f>'CRU historical'!L253</f>
        <v>15</v>
      </c>
      <c r="H254" s="78" t="str">
        <f>'CRU historical'!O253</f>
        <v xml:space="preserve"> </v>
      </c>
      <c r="I254" s="78">
        <f>'CRU historical'!R253</f>
        <v>141.25</v>
      </c>
      <c r="J254" s="78">
        <f>AVERAGE('CRU historical'!U253, 'CRU historical'!X253, 'CRU historical'!AA253, 'CRU historical'!AD253)</f>
        <v>149</v>
      </c>
      <c r="L254" s="78" cm="1">
        <f t="array" ref="L254">IFERROR(SUMPRODUCT(('Sulphuric Acid freights'!$B$3:$B$513=B254)*('Sulphuric Acid freights'!$D$3:$D$513=D254)*('Sulphuric Acid freights'!$P$3:$P$513))/SUMPRODUCT(('Sulphuric Acid freights'!$B$3:$B$513=B254)*('Sulphuric Acid freights'!$D$3:$D$513=D254)*1), AVERAGE('Sulphuric Acid freights'!$P$3:$P$513))*2/3</f>
        <v>89.666666666666671</v>
      </c>
      <c r="M254" s="78" cm="1">
        <f t="array" ref="M254">IFERROR(SUMPRODUCT(('Sulphuric Acid freights'!$B$3:$B$513=B254)*('Sulphuric Acid freights'!$D$3:$D$513=D254)*('Sulphuric Acid freights'!$M$3:$M$513))/SUMPRODUCT(('Sulphuric Acid freights'!$B$3:$B$513=B254)*('Sulphuric Acid freights'!$D$3:$D$513=D254)*1)*2/3, AVERAGE('Sulphuric Acid freights'!$M$3:$M$513))</f>
        <v>26</v>
      </c>
      <c r="N254" s="78">
        <f t="shared" si="39"/>
        <v>80.7</v>
      </c>
      <c r="O254" s="78" cm="1">
        <f t="array" ref="O254">IF(SUMPRODUCT(('Sulphur freight'!$B$3:$B$1976=B254)*('Sulphur freight'!$D$3:$D$1976=D254)*('Sulphur freight'!$G$3:$G$1976))/SUMPRODUCT(('Sulphur freight'!$B$3:$B$1976=B254)*('Sulphur freight'!$D$3:$D$1976=D254)*1)=0, AVERAGE('Sulphur freight'!$G$3:$G$1976),SUMPRODUCT(('Sulphur freight'!$B$3:$B$1976=B254)*('Sulphur freight'!$D$3:$D$1976=D254)*('Sulphur freight'!$G$3:$G$1976))/SUMPRODUCT(('Sulphur freight'!$B$3:$B$1976=B254)*('Sulphur freight'!$D$3:$D$1976=D254)*1))</f>
        <v>28</v>
      </c>
      <c r="P254" s="78">
        <v>20</v>
      </c>
      <c r="R254" s="78" t="str">
        <f t="shared" si="40"/>
        <v xml:space="preserve"> </v>
      </c>
      <c r="S254" s="78">
        <f t="shared" si="41"/>
        <v>60</v>
      </c>
      <c r="T254" s="78">
        <f t="shared" si="36"/>
        <v>100.41666666666667</v>
      </c>
      <c r="U254" s="78">
        <f t="shared" si="42"/>
        <v>95.7</v>
      </c>
      <c r="V254" s="78">
        <f>IFERROR(I254+O254, "")</f>
        <v>169.25</v>
      </c>
      <c r="W254" s="78">
        <f t="shared" si="43"/>
        <v>169</v>
      </c>
      <c r="X254" s="78">
        <f t="shared" si="44"/>
        <v>73.852499999999992</v>
      </c>
      <c r="Y254" s="78">
        <f t="shared" si="45"/>
        <v>73.77000000000001</v>
      </c>
      <c r="AA254" s="88">
        <f t="shared" si="46"/>
        <v>82.835000000000008</v>
      </c>
      <c r="AB254" s="77">
        <f t="shared" si="37"/>
        <v>-8.9825000000000159</v>
      </c>
      <c r="AD254" s="88">
        <f t="shared" si="47"/>
        <v>70.710000000000008</v>
      </c>
      <c r="AE254" s="77">
        <f t="shared" si="38"/>
        <v>12.125</v>
      </c>
    </row>
    <row r="255" spans="2:31" x14ac:dyDescent="0.35">
      <c r="B255" s="2">
        <v>2023</v>
      </c>
      <c r="C255" s="2">
        <v>1</v>
      </c>
      <c r="D255" s="2">
        <v>2</v>
      </c>
      <c r="E255" s="78">
        <f>'CRU historical'!F254</f>
        <v>6.75</v>
      </c>
      <c r="F255" s="78">
        <f>'CRU historical'!I254</f>
        <v>28</v>
      </c>
      <c r="G255" s="78">
        <f>'CRU historical'!L254</f>
        <v>7.75</v>
      </c>
      <c r="H255" s="78" t="str">
        <f>'CRU historical'!O254</f>
        <v xml:space="preserve"> </v>
      </c>
      <c r="I255" s="78">
        <f>'CRU historical'!R254</f>
        <v>128.25</v>
      </c>
      <c r="J255" s="78">
        <f>AVERAGE('CRU historical'!U254, 'CRU historical'!X254, 'CRU historical'!AA254, 'CRU historical'!AD254)</f>
        <v>161</v>
      </c>
      <c r="L255" s="78" cm="1">
        <f t="array" ref="L255">IFERROR(SUMPRODUCT(('Sulphuric Acid freights'!$B$3:$B$513=B255)*('Sulphuric Acid freights'!$D$3:$D$513=D255)*('Sulphuric Acid freights'!$P$3:$P$513))/SUMPRODUCT(('Sulphuric Acid freights'!$B$3:$B$513=B255)*('Sulphuric Acid freights'!$D$3:$D$513=D255)*1), AVERAGE('Sulphuric Acid freights'!$P$3:$P$513))*2/3</f>
        <v>86.333333333333329</v>
      </c>
      <c r="M255" s="78" cm="1">
        <f t="array" ref="M255">IFERROR(SUMPRODUCT(('Sulphuric Acid freights'!$B$3:$B$513=B255)*('Sulphuric Acid freights'!$D$3:$D$513=D255)*('Sulphuric Acid freights'!$M$3:$M$513))/SUMPRODUCT(('Sulphuric Acid freights'!$B$3:$B$513=B255)*('Sulphuric Acid freights'!$D$3:$D$513=D255)*1)*2/3, AVERAGE('Sulphuric Acid freights'!$M$3:$M$513))</f>
        <v>26.333333333333332</v>
      </c>
      <c r="N255" s="78">
        <f t="shared" si="39"/>
        <v>77.7</v>
      </c>
      <c r="O255" s="78" cm="1">
        <f t="array" ref="O255">IF(SUMPRODUCT(('Sulphur freight'!$B$3:$B$1976=B255)*('Sulphur freight'!$D$3:$D$1976=D255)*('Sulphur freight'!$G$3:$G$1976))/SUMPRODUCT(('Sulphur freight'!$B$3:$B$1976=B255)*('Sulphur freight'!$D$3:$D$1976=D255)*1)=0, AVERAGE('Sulphur freight'!$G$3:$G$1976),SUMPRODUCT(('Sulphur freight'!$B$3:$B$1976=B255)*('Sulphur freight'!$D$3:$D$1976=D255)*('Sulphur freight'!$G$3:$G$1976))/SUMPRODUCT(('Sulphur freight'!$B$3:$B$1976=B255)*('Sulphur freight'!$D$3:$D$1976=D255)*1))</f>
        <v>29.5</v>
      </c>
      <c r="P255" s="78">
        <v>20</v>
      </c>
      <c r="R255" s="78" t="str">
        <f t="shared" si="40"/>
        <v xml:space="preserve"> </v>
      </c>
      <c r="S255" s="78">
        <f t="shared" si="41"/>
        <v>54.333333333333329</v>
      </c>
      <c r="T255" s="78">
        <f t="shared" si="36"/>
        <v>93.083333333333329</v>
      </c>
      <c r="U255" s="78">
        <f t="shared" si="42"/>
        <v>85.45</v>
      </c>
      <c r="V255" s="78">
        <f>IFERROR(I255+O255, "")</f>
        <v>157.75</v>
      </c>
      <c r="W255" s="78">
        <f t="shared" si="43"/>
        <v>181</v>
      </c>
      <c r="X255" s="78">
        <f t="shared" si="44"/>
        <v>70.057500000000005</v>
      </c>
      <c r="Y255" s="78">
        <f t="shared" si="45"/>
        <v>77.73</v>
      </c>
      <c r="AA255" s="88">
        <f t="shared" si="46"/>
        <v>75.293333333333337</v>
      </c>
      <c r="AB255" s="77">
        <f t="shared" si="37"/>
        <v>2.4366666666666674</v>
      </c>
      <c r="AD255" s="88">
        <f t="shared" si="47"/>
        <v>63.668333333333322</v>
      </c>
      <c r="AE255" s="77">
        <f t="shared" si="38"/>
        <v>11.625000000000014</v>
      </c>
    </row>
    <row r="256" spans="2:31" x14ac:dyDescent="0.35">
      <c r="B256" s="2">
        <v>2023</v>
      </c>
      <c r="C256" s="2">
        <v>1</v>
      </c>
      <c r="D256" s="2">
        <v>3</v>
      </c>
      <c r="E256" s="78">
        <f>'CRU historical'!F255</f>
        <v>-4.8</v>
      </c>
      <c r="F256" s="78">
        <f>'CRU historical'!I255</f>
        <v>11.6</v>
      </c>
      <c r="G256" s="78">
        <f>'CRU historical'!L255</f>
        <v>0.6</v>
      </c>
      <c r="H256" s="78" t="str">
        <f>'CRU historical'!O255</f>
        <v xml:space="preserve"> </v>
      </c>
      <c r="I256" s="78">
        <f>'CRU historical'!R255</f>
        <v>125.6</v>
      </c>
      <c r="J256" s="78">
        <f>AVERAGE('CRU historical'!U255, 'CRU historical'!X255, 'CRU historical'!AA255, 'CRU historical'!AD255)</f>
        <v>161</v>
      </c>
      <c r="L256" s="78" cm="1">
        <f t="array" ref="L256">IFERROR(SUMPRODUCT(('Sulphuric Acid freights'!$B$3:$B$513=B256)*('Sulphuric Acid freights'!$D$3:$D$513=D256)*('Sulphuric Acid freights'!$P$3:$P$513))/SUMPRODUCT(('Sulphuric Acid freights'!$B$3:$B$513=B256)*('Sulphuric Acid freights'!$D$3:$D$513=D256)*1), AVERAGE('Sulphuric Acid freights'!$P$3:$P$513))*2/3</f>
        <v>83.733333333333334</v>
      </c>
      <c r="M256" s="78" cm="1">
        <f t="array" ref="M256">IFERROR(SUMPRODUCT(('Sulphuric Acid freights'!$B$3:$B$513=B256)*('Sulphuric Acid freights'!$D$3:$D$513=D256)*('Sulphuric Acid freights'!$M$3:$M$513))/SUMPRODUCT(('Sulphuric Acid freights'!$B$3:$B$513=B256)*('Sulphuric Acid freights'!$D$3:$D$513=D256)*1)*2/3, AVERAGE('Sulphuric Acid freights'!$M$3:$M$513))</f>
        <v>24.8</v>
      </c>
      <c r="N256" s="78">
        <f t="shared" si="39"/>
        <v>75.36</v>
      </c>
      <c r="O256" s="78" cm="1">
        <f t="array" ref="O256">IF(SUMPRODUCT(('Sulphur freight'!$B$3:$B$1976=B256)*('Sulphur freight'!$D$3:$D$1976=D256)*('Sulphur freight'!$G$3:$G$1976))/SUMPRODUCT(('Sulphur freight'!$B$3:$B$1976=B256)*('Sulphur freight'!$D$3:$D$1976=D256)*1)=0, AVERAGE('Sulphur freight'!$G$3:$G$1976),SUMPRODUCT(('Sulphur freight'!$B$3:$B$1976=B256)*('Sulphur freight'!$D$3:$D$1976=D256)*('Sulphur freight'!$G$3:$G$1976))/SUMPRODUCT(('Sulphur freight'!$B$3:$B$1976=B256)*('Sulphur freight'!$D$3:$D$1976=D256)*1))</f>
        <v>36</v>
      </c>
      <c r="P256" s="78">
        <v>20</v>
      </c>
      <c r="R256" s="78" t="str">
        <f t="shared" si="40"/>
        <v xml:space="preserve"> </v>
      </c>
      <c r="S256" s="78">
        <f t="shared" si="41"/>
        <v>36.4</v>
      </c>
      <c r="T256" s="78">
        <f t="shared" si="36"/>
        <v>78.933333333333337</v>
      </c>
      <c r="U256" s="78">
        <f t="shared" si="42"/>
        <v>75.959999999999994</v>
      </c>
      <c r="V256" s="78">
        <f>IFERROR(I256+O256, "")</f>
        <v>161.6</v>
      </c>
      <c r="W256" s="78">
        <f t="shared" si="43"/>
        <v>181</v>
      </c>
      <c r="X256" s="78">
        <f t="shared" si="44"/>
        <v>71.328000000000003</v>
      </c>
      <c r="Y256" s="78">
        <f t="shared" si="45"/>
        <v>77.73</v>
      </c>
      <c r="AA256" s="88">
        <f t="shared" si="46"/>
        <v>61.027999999999999</v>
      </c>
      <c r="AB256" s="77">
        <f t="shared" si="37"/>
        <v>16.702000000000005</v>
      </c>
      <c r="AD256" s="88">
        <f t="shared" si="47"/>
        <v>48.267999999999994</v>
      </c>
      <c r="AE256" s="77">
        <f t="shared" si="38"/>
        <v>12.760000000000005</v>
      </c>
    </row>
    <row r="257" spans="2:31" x14ac:dyDescent="0.35">
      <c r="B257" s="2">
        <v>2023</v>
      </c>
      <c r="C257" s="2">
        <v>2</v>
      </c>
      <c r="D257" s="2">
        <v>4</v>
      </c>
      <c r="E257" s="78">
        <f>'CRU historical'!F256</f>
        <v>-0.75</v>
      </c>
      <c r="F257" s="78">
        <f>'CRU historical'!I256</f>
        <v>10</v>
      </c>
      <c r="G257" s="78">
        <f>'CRU historical'!L256</f>
        <v>3</v>
      </c>
      <c r="H257" s="78" t="str">
        <f>'CRU historical'!O256</f>
        <v xml:space="preserve"> </v>
      </c>
      <c r="I257" s="78">
        <f>'CRU historical'!R256</f>
        <v>96.5</v>
      </c>
      <c r="J257" s="78">
        <f>AVERAGE('CRU historical'!U256, 'CRU historical'!X256, 'CRU historical'!AA256, 'CRU historical'!AD256)</f>
        <v>143</v>
      </c>
      <c r="L257" s="78" cm="1">
        <f t="array" ref="L257">IFERROR(SUMPRODUCT(('Sulphuric Acid freights'!$B$3:$B$513=B257)*('Sulphuric Acid freights'!$D$3:$D$513=D257)*('Sulphuric Acid freights'!$P$3:$P$513))/SUMPRODUCT(('Sulphuric Acid freights'!$B$3:$B$513=B257)*('Sulphuric Acid freights'!$D$3:$D$513=D257)*1), AVERAGE('Sulphuric Acid freights'!$P$3:$P$513))*2/3</f>
        <v>79</v>
      </c>
      <c r="M257" s="78" cm="1">
        <f t="array" ref="M257">IFERROR(SUMPRODUCT(('Sulphuric Acid freights'!$B$3:$B$513=B257)*('Sulphuric Acid freights'!$D$3:$D$513=D257)*('Sulphuric Acid freights'!$M$3:$M$513))/SUMPRODUCT(('Sulphuric Acid freights'!$B$3:$B$513=B257)*('Sulphuric Acid freights'!$D$3:$D$513=D257)*1)*2/3, AVERAGE('Sulphuric Acid freights'!$M$3:$M$513))</f>
        <v>24</v>
      </c>
      <c r="N257" s="78">
        <f t="shared" si="39"/>
        <v>71.100000000000009</v>
      </c>
      <c r="O257" s="78" cm="1">
        <f t="array" ref="O257">IF(SUMPRODUCT(('Sulphur freight'!$B$3:$B$1976=B257)*('Sulphur freight'!$D$3:$D$1976=D257)*('Sulphur freight'!$G$3:$G$1976))/SUMPRODUCT(('Sulphur freight'!$B$3:$B$1976=B257)*('Sulphur freight'!$D$3:$D$1976=D257)*1)=0, AVERAGE('Sulphur freight'!$G$3:$G$1976),SUMPRODUCT(('Sulphur freight'!$B$3:$B$1976=B257)*('Sulphur freight'!$D$3:$D$1976=D257)*('Sulphur freight'!$G$3:$G$1976))/SUMPRODUCT(('Sulphur freight'!$B$3:$B$1976=B257)*('Sulphur freight'!$D$3:$D$1976=D257)*1))</f>
        <v>32</v>
      </c>
      <c r="P257" s="78">
        <v>20</v>
      </c>
      <c r="R257" s="78" t="str">
        <f t="shared" si="40"/>
        <v xml:space="preserve"> </v>
      </c>
      <c r="S257" s="78">
        <f t="shared" si="41"/>
        <v>34</v>
      </c>
      <c r="T257" s="78">
        <f t="shared" si="36"/>
        <v>78.25</v>
      </c>
      <c r="U257" s="78">
        <f t="shared" si="42"/>
        <v>74.100000000000009</v>
      </c>
      <c r="V257" s="78">
        <f>IFERROR(I257+O257, "")</f>
        <v>128.5</v>
      </c>
      <c r="W257" s="78">
        <f t="shared" si="43"/>
        <v>163</v>
      </c>
      <c r="X257" s="78">
        <f t="shared" si="44"/>
        <v>60.405000000000001</v>
      </c>
      <c r="Y257" s="78">
        <f t="shared" si="45"/>
        <v>71.789999999999992</v>
      </c>
      <c r="AA257" s="88">
        <f t="shared" si="46"/>
        <v>59.305000000000007</v>
      </c>
      <c r="AB257" s="77">
        <f t="shared" si="37"/>
        <v>12.484999999999985</v>
      </c>
      <c r="AD257" s="88">
        <f t="shared" si="47"/>
        <v>46.03</v>
      </c>
      <c r="AE257" s="77">
        <f t="shared" si="38"/>
        <v>13.275000000000006</v>
      </c>
    </row>
    <row r="258" spans="2:31" x14ac:dyDescent="0.35">
      <c r="B258" s="2">
        <v>2023</v>
      </c>
      <c r="C258" s="2">
        <v>2</v>
      </c>
      <c r="D258" s="2">
        <v>5</v>
      </c>
      <c r="E258" s="78">
        <f>'CRU historical'!F257</f>
        <v>2.25</v>
      </c>
      <c r="F258" s="78">
        <f>'CRU historical'!I257</f>
        <v>13</v>
      </c>
      <c r="G258" s="78">
        <f>'CRU historical'!L257</f>
        <v>4.5</v>
      </c>
      <c r="H258" s="78" t="str">
        <f>'CRU historical'!O257</f>
        <v xml:space="preserve"> </v>
      </c>
      <c r="I258" s="78">
        <f>'CRU historical'!R257</f>
        <v>85</v>
      </c>
      <c r="J258" s="78">
        <f>AVERAGE('CRU historical'!U257, 'CRU historical'!X257, 'CRU historical'!AA257, 'CRU historical'!AD257)</f>
        <v>125</v>
      </c>
      <c r="L258" s="78" cm="1">
        <f t="array" ref="L258">IFERROR(SUMPRODUCT(('Sulphuric Acid freights'!$B$3:$B$513=B258)*('Sulphuric Acid freights'!$D$3:$D$513=D258)*('Sulphuric Acid freights'!$P$3:$P$513))/SUMPRODUCT(('Sulphuric Acid freights'!$B$3:$B$513=B258)*('Sulphuric Acid freights'!$D$3:$D$513=D258)*1), AVERAGE('Sulphuric Acid freights'!$P$3:$P$513))*2/3</f>
        <v>75.333333333333329</v>
      </c>
      <c r="M258" s="78" cm="1">
        <f t="array" ref="M258">IFERROR(SUMPRODUCT(('Sulphuric Acid freights'!$B$3:$B$513=B258)*('Sulphuric Acid freights'!$D$3:$D$513=D258)*('Sulphuric Acid freights'!$M$3:$M$513))/SUMPRODUCT(('Sulphuric Acid freights'!$B$3:$B$513=B258)*('Sulphuric Acid freights'!$D$3:$D$513=D258)*1)*2/3, AVERAGE('Sulphuric Acid freights'!$M$3:$M$513))</f>
        <v>24</v>
      </c>
      <c r="N258" s="78">
        <f t="shared" si="39"/>
        <v>67.8</v>
      </c>
      <c r="O258" s="78" cm="1">
        <f t="array" ref="O258">IF(SUMPRODUCT(('Sulphur freight'!$B$3:$B$1976=B258)*('Sulphur freight'!$D$3:$D$1976=D258)*('Sulphur freight'!$G$3:$G$1976))/SUMPRODUCT(('Sulphur freight'!$B$3:$B$1976=B258)*('Sulphur freight'!$D$3:$D$1976=D258)*1)=0, AVERAGE('Sulphur freight'!$G$3:$G$1976),SUMPRODUCT(('Sulphur freight'!$B$3:$B$1976=B258)*('Sulphur freight'!$D$3:$D$1976=D258)*('Sulphur freight'!$G$3:$G$1976))/SUMPRODUCT(('Sulphur freight'!$B$3:$B$1976=B258)*('Sulphur freight'!$D$3:$D$1976=D258)*1))</f>
        <v>30.5</v>
      </c>
      <c r="P258" s="78">
        <v>20</v>
      </c>
      <c r="R258" s="78" t="str">
        <f t="shared" si="40"/>
        <v xml:space="preserve"> </v>
      </c>
      <c r="S258" s="78">
        <f t="shared" si="41"/>
        <v>37</v>
      </c>
      <c r="T258" s="78">
        <f t="shared" si="36"/>
        <v>77.583333333333329</v>
      </c>
      <c r="U258" s="78">
        <f t="shared" si="42"/>
        <v>72.3</v>
      </c>
      <c r="V258" s="78">
        <f>IFERROR(I258+O258, "")</f>
        <v>115.5</v>
      </c>
      <c r="W258" s="78">
        <f t="shared" si="43"/>
        <v>145</v>
      </c>
      <c r="X258" s="78">
        <f t="shared" si="44"/>
        <v>56.115000000000002</v>
      </c>
      <c r="Y258" s="78">
        <f t="shared" si="45"/>
        <v>65.849999999999994</v>
      </c>
      <c r="AA258" s="88">
        <f t="shared" si="46"/>
        <v>59.765000000000001</v>
      </c>
      <c r="AB258" s="77">
        <f t="shared" si="37"/>
        <v>6.0849999999999937</v>
      </c>
      <c r="AD258" s="88">
        <f t="shared" si="47"/>
        <v>47.589999999999996</v>
      </c>
      <c r="AE258" s="77">
        <f t="shared" si="38"/>
        <v>12.175000000000004</v>
      </c>
    </row>
    <row r="259" spans="2:31" x14ac:dyDescent="0.35">
      <c r="B259" s="2">
        <v>2023</v>
      </c>
      <c r="C259" s="2">
        <v>2</v>
      </c>
      <c r="D259" s="2">
        <v>6</v>
      </c>
      <c r="E259" s="78">
        <f>'CRU historical'!F258</f>
        <v>0</v>
      </c>
      <c r="F259" s="78">
        <f>'CRU historical'!I258</f>
        <v>11.8</v>
      </c>
      <c r="G259" s="78">
        <f>'CRU historical'!L258</f>
        <v>3</v>
      </c>
      <c r="H259" s="78" t="str">
        <f>'CRU historical'!O258</f>
        <v xml:space="preserve"> </v>
      </c>
      <c r="I259" s="78">
        <f>'CRU historical'!R258</f>
        <v>73.8</v>
      </c>
      <c r="J259" s="78">
        <f>AVERAGE('CRU historical'!U258, 'CRU historical'!X258, 'CRU historical'!AA258, 'CRU historical'!AD258)</f>
        <v>125</v>
      </c>
      <c r="L259" s="78" cm="1">
        <f t="array" ref="L259">IFERROR(SUMPRODUCT(('Sulphuric Acid freights'!$B$3:$B$513=B259)*('Sulphuric Acid freights'!$D$3:$D$513=D259)*('Sulphuric Acid freights'!$P$3:$P$513))/SUMPRODUCT(('Sulphuric Acid freights'!$B$3:$B$513=B259)*('Sulphuric Acid freights'!$D$3:$D$513=D259)*1), AVERAGE('Sulphuric Acid freights'!$P$3:$P$513))*2/3</f>
        <v>70.666666666666671</v>
      </c>
      <c r="M259" s="78" cm="1">
        <f t="array" ref="M259">IFERROR(SUMPRODUCT(('Sulphuric Acid freights'!$B$3:$B$513=B259)*('Sulphuric Acid freights'!$D$3:$D$513=D259)*('Sulphuric Acid freights'!$M$3:$M$513))/SUMPRODUCT(('Sulphuric Acid freights'!$B$3:$B$513=B259)*('Sulphuric Acid freights'!$D$3:$D$513=D259)*1)*2/3, AVERAGE('Sulphuric Acid freights'!$M$3:$M$513))</f>
        <v>22.666666666666668</v>
      </c>
      <c r="N259" s="78">
        <f t="shared" si="39"/>
        <v>63.600000000000009</v>
      </c>
      <c r="O259" s="78" cm="1">
        <f t="array" ref="O259">IF(SUMPRODUCT(('Sulphur freight'!$B$3:$B$1976=B259)*('Sulphur freight'!$D$3:$D$1976=D259)*('Sulphur freight'!$G$3:$G$1976))/SUMPRODUCT(('Sulphur freight'!$B$3:$B$1976=B259)*('Sulphur freight'!$D$3:$D$1976=D259)*1)=0, AVERAGE('Sulphur freight'!$G$3:$G$1976),SUMPRODUCT(('Sulphur freight'!$B$3:$B$1976=B259)*('Sulphur freight'!$D$3:$D$1976=D259)*('Sulphur freight'!$G$3:$G$1976))/SUMPRODUCT(('Sulphur freight'!$B$3:$B$1976=B259)*('Sulphur freight'!$D$3:$D$1976=D259)*1))</f>
        <v>27.2</v>
      </c>
      <c r="P259" s="78">
        <v>20</v>
      </c>
      <c r="R259" s="78" t="str">
        <f t="shared" si="40"/>
        <v xml:space="preserve"> </v>
      </c>
      <c r="S259" s="78">
        <f t="shared" si="41"/>
        <v>34.466666666666669</v>
      </c>
      <c r="T259" s="78">
        <f t="shared" si="36"/>
        <v>70.666666666666671</v>
      </c>
      <c r="U259" s="78">
        <f t="shared" si="42"/>
        <v>66.600000000000009</v>
      </c>
      <c r="V259" s="78">
        <f>IFERROR(I259+O259, "")</f>
        <v>101</v>
      </c>
      <c r="W259" s="78">
        <f t="shared" si="43"/>
        <v>145</v>
      </c>
      <c r="X259" s="78">
        <f t="shared" si="44"/>
        <v>51.33</v>
      </c>
      <c r="Y259" s="78">
        <f t="shared" si="45"/>
        <v>65.849999999999994</v>
      </c>
      <c r="AA259" s="88">
        <f t="shared" si="46"/>
        <v>54.966666666666669</v>
      </c>
      <c r="AB259" s="77">
        <f t="shared" si="37"/>
        <v>10.883333333333326</v>
      </c>
      <c r="AD259" s="88">
        <f t="shared" si="47"/>
        <v>44.106666666666669</v>
      </c>
      <c r="AE259" s="77">
        <f t="shared" si="38"/>
        <v>10.86</v>
      </c>
    </row>
    <row r="260" spans="2:31" x14ac:dyDescent="0.35">
      <c r="B260" s="2">
        <v>2023</v>
      </c>
      <c r="C260" s="2">
        <v>3</v>
      </c>
      <c r="D260" s="2">
        <v>7</v>
      </c>
      <c r="E260" s="78">
        <f>'CRU historical'!F259</f>
        <v>-3.75</v>
      </c>
      <c r="F260" s="78">
        <f>'CRU historical'!I259</f>
        <v>10</v>
      </c>
      <c r="G260" s="78">
        <f>'CRU historical'!L259</f>
        <v>-3.75</v>
      </c>
      <c r="H260" s="78" t="str">
        <f>'CRU historical'!O259</f>
        <v xml:space="preserve"> </v>
      </c>
      <c r="I260" s="78">
        <f>'CRU historical'!R259</f>
        <v>69.5</v>
      </c>
      <c r="J260" s="78">
        <f>AVERAGE('CRU historical'!U259, 'CRU historical'!X259, 'CRU historical'!AA259, 'CRU historical'!AD259)</f>
        <v>89</v>
      </c>
      <c r="L260" s="78" cm="1">
        <f t="array" ref="L260">IFERROR(SUMPRODUCT(('Sulphuric Acid freights'!$B$3:$B$513=B260)*('Sulphuric Acid freights'!$D$3:$D$513=D260)*('Sulphuric Acid freights'!$P$3:$P$513))/SUMPRODUCT(('Sulphuric Acid freights'!$B$3:$B$513=B260)*('Sulphuric Acid freights'!$D$3:$D$513=D260)*1), AVERAGE('Sulphuric Acid freights'!$P$3:$P$513))*2/3</f>
        <v>71.666666666666671</v>
      </c>
      <c r="M260" s="78" cm="1">
        <f t="array" ref="M260">IFERROR(SUMPRODUCT(('Sulphuric Acid freights'!$B$3:$B$513=B260)*('Sulphuric Acid freights'!$D$3:$D$513=D260)*('Sulphuric Acid freights'!$M$3:$M$513))/SUMPRODUCT(('Sulphuric Acid freights'!$B$3:$B$513=B260)*('Sulphuric Acid freights'!$D$3:$D$513=D260)*1)*2/3, AVERAGE('Sulphuric Acid freights'!$M$3:$M$513))</f>
        <v>21.333333333333332</v>
      </c>
      <c r="N260" s="78">
        <f t="shared" si="39"/>
        <v>64.5</v>
      </c>
      <c r="O260" s="78" cm="1">
        <f t="array" ref="O260">IF(SUMPRODUCT(('Sulphur freight'!$B$3:$B$1976=B260)*('Sulphur freight'!$D$3:$D$1976=D260)*('Sulphur freight'!$G$3:$G$1976))/SUMPRODUCT(('Sulphur freight'!$B$3:$B$1976=B260)*('Sulphur freight'!$D$3:$D$1976=D260)*1)=0, AVERAGE('Sulphur freight'!$G$3:$G$1976),SUMPRODUCT(('Sulphur freight'!$B$3:$B$1976=B260)*('Sulphur freight'!$D$3:$D$1976=D260)*('Sulphur freight'!$G$3:$G$1976))/SUMPRODUCT(('Sulphur freight'!$B$3:$B$1976=B260)*('Sulphur freight'!$D$3:$D$1976=D260)*1))</f>
        <v>25.75</v>
      </c>
      <c r="P260" s="78">
        <v>20</v>
      </c>
      <c r="R260" s="78" t="str">
        <f t="shared" si="40"/>
        <v xml:space="preserve"> </v>
      </c>
      <c r="S260" s="78">
        <f t="shared" si="41"/>
        <v>31.333333333333332</v>
      </c>
      <c r="T260" s="78">
        <f t="shared" si="36"/>
        <v>67.916666666666671</v>
      </c>
      <c r="U260" s="78">
        <f t="shared" si="42"/>
        <v>60.75</v>
      </c>
      <c r="V260" s="78">
        <f>IFERROR(I260+O260, "")</f>
        <v>95.25</v>
      </c>
      <c r="W260" s="78">
        <f t="shared" si="43"/>
        <v>109</v>
      </c>
      <c r="X260" s="78">
        <f t="shared" si="44"/>
        <v>49.432500000000005</v>
      </c>
      <c r="Y260" s="78">
        <f t="shared" si="45"/>
        <v>53.97</v>
      </c>
      <c r="AA260" s="88">
        <f t="shared" si="46"/>
        <v>51.133333333333326</v>
      </c>
      <c r="AB260" s="77">
        <f t="shared" si="37"/>
        <v>2.8366666666666731</v>
      </c>
      <c r="AD260" s="88">
        <f t="shared" si="47"/>
        <v>40.158333333333331</v>
      </c>
      <c r="AE260" s="77">
        <f t="shared" si="38"/>
        <v>10.974999999999994</v>
      </c>
    </row>
    <row r="261" spans="2:31" x14ac:dyDescent="0.35">
      <c r="B261" s="2">
        <v>2023</v>
      </c>
      <c r="C261" s="2">
        <v>3</v>
      </c>
      <c r="D261" s="2">
        <v>8</v>
      </c>
      <c r="E261" s="78">
        <f>'CRU historical'!F260</f>
        <v>-1</v>
      </c>
      <c r="F261" s="78">
        <f>'CRU historical'!I260</f>
        <v>16</v>
      </c>
      <c r="G261" s="78">
        <f>'CRU historical'!L260</f>
        <v>7</v>
      </c>
      <c r="H261" s="78">
        <f>'CRU historical'!O260</f>
        <v>90</v>
      </c>
      <c r="I261" s="78">
        <f>'CRU historical'!R260</f>
        <v>91.6</v>
      </c>
      <c r="J261" s="78">
        <f>AVERAGE('CRU historical'!U260, 'CRU historical'!X260, 'CRU historical'!AA260, 'CRU historical'!AD260)</f>
        <v>77</v>
      </c>
      <c r="L261" s="78" cm="1">
        <f t="array" ref="L261">IFERROR(SUMPRODUCT(('Sulphuric Acid freights'!$B$3:$B$513=B261)*('Sulphuric Acid freights'!$D$3:$D$513=D261)*('Sulphuric Acid freights'!$P$3:$P$513))/SUMPRODUCT(('Sulphuric Acid freights'!$B$3:$B$513=B261)*('Sulphuric Acid freights'!$D$3:$D$513=D261)*1), AVERAGE('Sulphuric Acid freights'!$P$3:$P$513))*2/3</f>
        <v>72</v>
      </c>
      <c r="M261" s="78" cm="1">
        <f t="array" ref="M261">IFERROR(SUMPRODUCT(('Sulphuric Acid freights'!$B$3:$B$513=B261)*('Sulphuric Acid freights'!$D$3:$D$513=D261)*('Sulphuric Acid freights'!$M$3:$M$513))/SUMPRODUCT(('Sulphuric Acid freights'!$B$3:$B$513=B261)*('Sulphuric Acid freights'!$D$3:$D$513=D261)*1)*2/3, AVERAGE('Sulphuric Acid freights'!$M$3:$M$513))</f>
        <v>17.866666666666667</v>
      </c>
      <c r="N261" s="78">
        <f t="shared" si="39"/>
        <v>64.8</v>
      </c>
      <c r="O261" s="78" cm="1">
        <f t="array" ref="O261">IF(SUMPRODUCT(('Sulphur freight'!$B$3:$B$1976=B261)*('Sulphur freight'!$D$3:$D$1976=D261)*('Sulphur freight'!$G$3:$G$1976))/SUMPRODUCT(('Sulphur freight'!$B$3:$B$1976=B261)*('Sulphur freight'!$D$3:$D$1976=D261)*1)=0, AVERAGE('Sulphur freight'!$G$3:$G$1976),SUMPRODUCT(('Sulphur freight'!$B$3:$B$1976=B261)*('Sulphur freight'!$D$3:$D$1976=D261)*('Sulphur freight'!$G$3:$G$1976))/SUMPRODUCT(('Sulphur freight'!$B$3:$B$1976=B261)*('Sulphur freight'!$D$3:$D$1976=D261)*1))</f>
        <v>28.8</v>
      </c>
      <c r="P261" s="78">
        <v>20</v>
      </c>
      <c r="R261" s="78">
        <f t="shared" si="40"/>
        <v>90</v>
      </c>
      <c r="S261" s="78">
        <f>IF(F261=0, "", F261+M261)</f>
        <v>33.866666666666667</v>
      </c>
      <c r="T261" s="78">
        <f t="shared" si="36"/>
        <v>71</v>
      </c>
      <c r="U261" s="78">
        <f t="shared" si="42"/>
        <v>71.8</v>
      </c>
      <c r="V261" s="78">
        <f>IFERROR(I261+O261, "")</f>
        <v>120.39999999999999</v>
      </c>
      <c r="W261" s="78">
        <f t="shared" si="43"/>
        <v>97</v>
      </c>
      <c r="X261" s="78">
        <f t="shared" si="44"/>
        <v>57.731999999999999</v>
      </c>
      <c r="Y261" s="78">
        <f t="shared" si="45"/>
        <v>50.01</v>
      </c>
      <c r="AA261" s="88">
        <f t="shared" si="46"/>
        <v>78.84</v>
      </c>
      <c r="AB261" s="77">
        <f t="shared" si="37"/>
        <v>-21.108000000000004</v>
      </c>
      <c r="AD261" s="88">
        <f t="shared" si="47"/>
        <v>50.01</v>
      </c>
      <c r="AE261" s="77">
        <f t="shared" si="38"/>
        <v>28.830000000000005</v>
      </c>
    </row>
    <row r="262" spans="2:31" x14ac:dyDescent="0.35">
      <c r="B262" s="2">
        <v>2023</v>
      </c>
      <c r="C262" s="2">
        <v>3</v>
      </c>
      <c r="D262" s="2">
        <v>9</v>
      </c>
      <c r="E262" s="78">
        <f>'CRU historical'!F261</f>
        <v>12.75</v>
      </c>
      <c r="F262" s="78">
        <f>'CRU historical'!I261</f>
        <v>47</v>
      </c>
      <c r="G262" s="78">
        <f>'CRU historical'!L261</f>
        <v>34.5</v>
      </c>
      <c r="H262" s="78">
        <f>'CRU historical'!O261</f>
        <v>90</v>
      </c>
      <c r="I262" s="78">
        <f>'CRU historical'!R261</f>
        <v>107.25</v>
      </c>
      <c r="J262" s="78">
        <f>AVERAGE('CRU historical'!U261, 'CRU historical'!X261, 'CRU historical'!AA261, 'CRU historical'!AD261)</f>
        <v>77</v>
      </c>
      <c r="L262" s="78" cm="1">
        <f t="array" ref="L262">IFERROR(SUMPRODUCT(('Sulphuric Acid freights'!$B$3:$B$513=B262)*('Sulphuric Acid freights'!$D$3:$D$513=D262)*('Sulphuric Acid freights'!$P$3:$P$513))/SUMPRODUCT(('Sulphuric Acid freights'!$B$3:$B$513=B262)*('Sulphuric Acid freights'!$D$3:$D$513=D262)*1), AVERAGE('Sulphuric Acid freights'!$P$3:$P$513))*2/3</f>
        <v>68</v>
      </c>
      <c r="M262" s="78" cm="1">
        <f t="array" ref="M262">IFERROR(SUMPRODUCT(('Sulphuric Acid freights'!$B$3:$B$513=B262)*('Sulphuric Acid freights'!$D$3:$D$513=D262)*('Sulphuric Acid freights'!$M$3:$M$513))/SUMPRODUCT(('Sulphuric Acid freights'!$B$3:$B$513=B262)*('Sulphuric Acid freights'!$D$3:$D$513=D262)*1)*2/3, AVERAGE('Sulphuric Acid freights'!$M$3:$M$513))</f>
        <v>18</v>
      </c>
      <c r="N262" s="78">
        <f t="shared" si="39"/>
        <v>61.2</v>
      </c>
      <c r="O262" s="78" cm="1">
        <f t="array" ref="O262">IF(SUMPRODUCT(('Sulphur freight'!$B$3:$B$1976=B262)*('Sulphur freight'!$D$3:$D$1976=D262)*('Sulphur freight'!$G$3:$G$1976))/SUMPRODUCT(('Sulphur freight'!$B$3:$B$1976=B262)*('Sulphur freight'!$D$3:$D$1976=D262)*1)=0, AVERAGE('Sulphur freight'!$G$3:$G$1976),SUMPRODUCT(('Sulphur freight'!$B$3:$B$1976=B262)*('Sulphur freight'!$D$3:$D$1976=D262)*('Sulphur freight'!$G$3:$G$1976))/SUMPRODUCT(('Sulphur freight'!$B$3:$B$1976=B262)*('Sulphur freight'!$D$3:$D$1976=D262)*1))</f>
        <v>31.75</v>
      </c>
      <c r="P262" s="78">
        <v>20</v>
      </c>
      <c r="R262" s="78">
        <f t="shared" si="40"/>
        <v>90</v>
      </c>
      <c r="S262" s="78">
        <f t="shared" si="41"/>
        <v>65</v>
      </c>
      <c r="T262" s="78">
        <f t="shared" ref="T262:T289" si="48">IFERROR( E262+L262, "")</f>
        <v>80.75</v>
      </c>
      <c r="U262" s="78">
        <f t="shared" si="42"/>
        <v>95.7</v>
      </c>
      <c r="V262" s="78">
        <f>IFERROR(I262+O262, "")</f>
        <v>139</v>
      </c>
      <c r="W262" s="78">
        <f t="shared" si="43"/>
        <v>97</v>
      </c>
      <c r="X262" s="78">
        <f t="shared" si="44"/>
        <v>63.870000000000005</v>
      </c>
      <c r="Y262" s="78">
        <f t="shared" si="45"/>
        <v>50.01</v>
      </c>
      <c r="AA262" s="88">
        <f t="shared" si="46"/>
        <v>88.935000000000002</v>
      </c>
      <c r="AB262" s="77">
        <f t="shared" ref="AB262:AB263" si="49">IF(AA262="", "", MAX(X262, Y262)-AA262)</f>
        <v>-25.064999999999998</v>
      </c>
      <c r="AD262" s="88">
        <f t="shared" si="47"/>
        <v>50.01</v>
      </c>
      <c r="AE262" s="77">
        <f t="shared" ref="AE262:AE263" si="50">IF(AD262="", "", MAX(AA262, AB262)-AD262)</f>
        <v>38.925000000000004</v>
      </c>
    </row>
    <row r="263" spans="2:31" x14ac:dyDescent="0.35">
      <c r="B263" s="2">
        <v>2023</v>
      </c>
      <c r="C263" s="2">
        <v>4</v>
      </c>
      <c r="D263" s="2">
        <v>10</v>
      </c>
      <c r="E263" s="78">
        <f>'CRU historical'!F262</f>
        <v>18</v>
      </c>
      <c r="F263" s="78">
        <f>'CRU historical'!I262</f>
        <v>68.75</v>
      </c>
      <c r="G263" s="78">
        <f>'CRU historical'!L262</f>
        <v>41.75</v>
      </c>
      <c r="H263" s="78">
        <f>'CRU historical'!O262</f>
        <v>100</v>
      </c>
      <c r="I263" s="78">
        <f>'CRU historical'!R262</f>
        <v>107.75</v>
      </c>
      <c r="J263" s="78">
        <f>AVERAGE('CRU historical'!U262, 'CRU historical'!X262, 'CRU historical'!AA262, 'CRU historical'!AD262)</f>
        <v>96</v>
      </c>
      <c r="L263" s="78" cm="1">
        <f t="array" ref="L263">IFERROR(SUMPRODUCT(('Sulphuric Acid freights'!$B$3:$B$513=B263)*('Sulphuric Acid freights'!$D$3:$D$513=D263)*('Sulphuric Acid freights'!$P$3:$P$513))/SUMPRODUCT(('Sulphuric Acid freights'!$B$3:$B$513=B263)*('Sulphuric Acid freights'!$D$3:$D$513=D263)*1), AVERAGE('Sulphuric Acid freights'!$P$3:$P$513))*2/3</f>
        <v>69.666666666666671</v>
      </c>
      <c r="M263" s="78" cm="1">
        <f t="array" ref="M263">IFERROR(SUMPRODUCT(('Sulphuric Acid freights'!$B$3:$B$513=B263)*('Sulphuric Acid freights'!$D$3:$D$513=D263)*('Sulphuric Acid freights'!$M$3:$M$513))/SUMPRODUCT(('Sulphuric Acid freights'!$B$3:$B$513=B263)*('Sulphuric Acid freights'!$D$3:$D$513=D263)*1)*2/3, AVERAGE('Sulphuric Acid freights'!$M$3:$M$513))</f>
        <v>20.166666666666668</v>
      </c>
      <c r="N263" s="78">
        <f t="shared" ref="N263:N289" si="51">IFERROR(L263*0.9, "")</f>
        <v>62.7</v>
      </c>
      <c r="O263" s="78" cm="1">
        <f t="array" ref="O263">IF(SUMPRODUCT(('Sulphur freight'!$B$3:$B$1976=B263)*('Sulphur freight'!$D$3:$D$1976=D263)*('Sulphur freight'!$G$3:$G$1976))/SUMPRODUCT(('Sulphur freight'!$B$3:$B$1976=B263)*('Sulphur freight'!$D$3:$D$1976=D263)*1)=0, AVERAGE('Sulphur freight'!$G$3:$G$1976),SUMPRODUCT(('Sulphur freight'!$B$3:$B$1976=B263)*('Sulphur freight'!$D$3:$D$1976=D263)*('Sulphur freight'!$G$3:$G$1976))/SUMPRODUCT(('Sulphur freight'!$B$3:$B$1976=B263)*('Sulphur freight'!$D$3:$D$1976=D263)*1))</f>
        <v>30</v>
      </c>
      <c r="P263" s="78">
        <v>20</v>
      </c>
      <c r="R263" s="78">
        <f t="shared" ref="R263:R289" si="52">H263</f>
        <v>100</v>
      </c>
      <c r="S263" s="78">
        <f t="shared" ref="S263:S289" si="53">IF(F263=0, "", F263+M263)</f>
        <v>88.916666666666671</v>
      </c>
      <c r="T263" s="78">
        <f t="shared" si="48"/>
        <v>87.666666666666671</v>
      </c>
      <c r="U263" s="78">
        <f t="shared" ref="U263:U289" si="54">IFERROR( G263+N263, "")</f>
        <v>104.45</v>
      </c>
      <c r="V263" s="78">
        <f>IFERROR(I263+O263, "")</f>
        <v>137.75</v>
      </c>
      <c r="W263" s="78">
        <f t="shared" ref="W263:W289" si="55">J263+P263</f>
        <v>116</v>
      </c>
      <c r="X263" s="78">
        <f t="shared" ref="X263:X289" si="56">IFERROR((I263+O263)*0.33+18, "")</f>
        <v>63.457500000000003</v>
      </c>
      <c r="Y263" s="78">
        <f t="shared" ref="Y263:Y289" si="57">IF(J263=0,0,(J263+P263)*0.33+18)</f>
        <v>56.28</v>
      </c>
      <c r="AA263" s="88">
        <f t="shared" ref="AA263:AA289" si="58">IF(OR(S263="", T263="", U263=""), "", MAX(R263,S263)*40%+T263*30%+U263*30%)</f>
        <v>97.634999999999991</v>
      </c>
      <c r="AB263" s="77">
        <f t="shared" si="49"/>
        <v>-34.177499999999988</v>
      </c>
      <c r="AD263" s="88">
        <f t="shared" ref="AD263:AD289" si="59">IFERROR(MIN((MAX(R263,S263)*70%+U263*30%), Y263), "")</f>
        <v>56.28</v>
      </c>
      <c r="AE263" s="77">
        <f t="shared" si="50"/>
        <v>41.35499999999999</v>
      </c>
    </row>
    <row r="264" spans="2:31" x14ac:dyDescent="0.35">
      <c r="B264" s="2">
        <v>2023</v>
      </c>
      <c r="C264" s="2">
        <v>4</v>
      </c>
      <c r="D264" s="2">
        <v>11</v>
      </c>
      <c r="E264" s="78">
        <f>'CRU historical'!F263</f>
        <v>14.4</v>
      </c>
      <c r="F264" s="78">
        <f>'CRU historical'!I263</f>
        <v>58</v>
      </c>
      <c r="G264" s="78">
        <f>'CRU historical'!L263</f>
        <v>34.4</v>
      </c>
      <c r="H264" s="78">
        <f>'CRU historical'!O263</f>
        <v>100</v>
      </c>
      <c r="I264" s="78">
        <f>'CRU historical'!R263</f>
        <v>92.8</v>
      </c>
      <c r="J264" s="78">
        <f>AVERAGE('CRU historical'!U263, 'CRU historical'!X263, 'CRU historical'!AA263, 'CRU historical'!AD263)</f>
        <v>115</v>
      </c>
      <c r="L264" s="78" cm="1">
        <f t="array" ref="L264">IFERROR(SUMPRODUCT(('Sulphuric Acid freights'!$B$3:$B$513=B264)*('Sulphuric Acid freights'!$D$3:$D$513=D264)*('Sulphuric Acid freights'!$P$3:$P$513))/SUMPRODUCT(('Sulphuric Acid freights'!$B$3:$B$513=B264)*('Sulphuric Acid freights'!$D$3:$D$513=D264)*1), AVERAGE('Sulphuric Acid freights'!$P$3:$P$513))*2/3</f>
        <v>70.933333333333337</v>
      </c>
      <c r="M264" s="78" cm="1">
        <f t="array" ref="M264">IFERROR(SUMPRODUCT(('Sulphuric Acid freights'!$B$3:$B$513=B264)*('Sulphuric Acid freights'!$D$3:$D$513=D264)*('Sulphuric Acid freights'!$M$3:$M$513))/SUMPRODUCT(('Sulphuric Acid freights'!$B$3:$B$513=B264)*('Sulphuric Acid freights'!$D$3:$D$513=D264)*1)*2/3, AVERAGE('Sulphuric Acid freights'!$M$3:$M$513))</f>
        <v>21.333333333333332</v>
      </c>
      <c r="N264" s="78">
        <f t="shared" si="51"/>
        <v>63.84</v>
      </c>
      <c r="O264" s="78" cm="1">
        <f t="array" ref="O264">IF(SUMPRODUCT(('Sulphur freight'!$B$3:$B$1976=B264)*('Sulphur freight'!$D$3:$D$1976=D264)*('Sulphur freight'!$G$3:$G$1976))/SUMPRODUCT(('Sulphur freight'!$B$3:$B$1976=B264)*('Sulphur freight'!$D$3:$D$1976=D264)*1)=0, AVERAGE('Sulphur freight'!$G$3:$G$1976),SUMPRODUCT(('Sulphur freight'!$B$3:$B$1976=B264)*('Sulphur freight'!$D$3:$D$1976=D264)*('Sulphur freight'!$G$3:$G$1976))/SUMPRODUCT(('Sulphur freight'!$B$3:$B$1976=B264)*('Sulphur freight'!$D$3:$D$1976=D264)*1))</f>
        <v>29.4</v>
      </c>
      <c r="P264" s="78">
        <v>20</v>
      </c>
      <c r="R264" s="78">
        <f t="shared" si="52"/>
        <v>100</v>
      </c>
      <c r="S264" s="78">
        <f t="shared" si="53"/>
        <v>79.333333333333329</v>
      </c>
      <c r="T264" s="78">
        <f t="shared" si="48"/>
        <v>85.333333333333343</v>
      </c>
      <c r="U264" s="78">
        <f t="shared" si="54"/>
        <v>98.240000000000009</v>
      </c>
      <c r="V264" s="78">
        <f>IFERROR(I264+O264, "")</f>
        <v>122.19999999999999</v>
      </c>
      <c r="W264" s="78">
        <f t="shared" si="55"/>
        <v>135</v>
      </c>
      <c r="X264" s="78">
        <f t="shared" si="56"/>
        <v>58.326000000000001</v>
      </c>
      <c r="Y264" s="78">
        <f t="shared" si="57"/>
        <v>62.550000000000004</v>
      </c>
      <c r="AA264" s="88">
        <f t="shared" si="58"/>
        <v>95.072000000000003</v>
      </c>
      <c r="AB264" s="77">
        <f>IF(AA264="", "", MAX(X264, Y264)-AA264)</f>
        <v>-32.521999999999998</v>
      </c>
      <c r="AD264" s="88">
        <f t="shared" si="59"/>
        <v>62.550000000000004</v>
      </c>
      <c r="AE264" s="77">
        <f>IF(AD264="", "", MAX(AA264, AB264)-AD264)</f>
        <v>32.521999999999998</v>
      </c>
    </row>
    <row r="265" spans="2:31" x14ac:dyDescent="0.35">
      <c r="B265" s="2">
        <v>2023</v>
      </c>
      <c r="C265" s="2">
        <v>4</v>
      </c>
      <c r="D265" s="2">
        <v>12</v>
      </c>
      <c r="E265" s="78">
        <f>'CRU historical'!F264</f>
        <v>6.666666666666667</v>
      </c>
      <c r="F265" s="78">
        <f>'CRU historical'!I264</f>
        <v>49.333333333333336</v>
      </c>
      <c r="G265" s="78">
        <f>'CRU historical'!L264</f>
        <v>23</v>
      </c>
      <c r="H265" s="78">
        <f>'CRU historical'!O264</f>
        <v>95</v>
      </c>
      <c r="I265" s="78">
        <f>'CRU historical'!R264</f>
        <v>79.666666666666671</v>
      </c>
      <c r="J265" s="78">
        <f>AVERAGE('CRU historical'!U264, 'CRU historical'!X264, 'CRU historical'!AA264, 'CRU historical'!AD264)</f>
        <v>115</v>
      </c>
      <c r="L265" s="78" cm="1">
        <f t="array" ref="L265">IFERROR(SUMPRODUCT(('Sulphuric Acid freights'!$B$3:$B$513=B265)*('Sulphuric Acid freights'!$D$3:$D$513=D265)*('Sulphuric Acid freights'!$P$3:$P$513))/SUMPRODUCT(('Sulphuric Acid freights'!$B$3:$B$513=B265)*('Sulphuric Acid freights'!$D$3:$D$513=D265)*1), AVERAGE('Sulphuric Acid freights'!$P$3:$P$513))*2/3</f>
        <v>56.666666666666664</v>
      </c>
      <c r="M265" s="78" cm="1">
        <f t="array" ref="M265">IFERROR(SUMPRODUCT(('Sulphuric Acid freights'!$B$3:$B$513=B265)*('Sulphuric Acid freights'!$D$3:$D$513=D265)*('Sulphuric Acid freights'!$M$3:$M$513))/SUMPRODUCT(('Sulphuric Acid freights'!$B$3:$B$513=B265)*('Sulphuric Acid freights'!$D$3:$D$513=D265)*1)*2/3, AVERAGE('Sulphuric Acid freights'!$M$3:$M$513))</f>
        <v>16</v>
      </c>
      <c r="N265" s="78">
        <f t="shared" si="51"/>
        <v>51</v>
      </c>
      <c r="O265" s="78" cm="1">
        <f t="array" ref="O265">IF(SUMPRODUCT(('Sulphur freight'!$B$3:$B$1976=B265)*('Sulphur freight'!$D$3:$D$1976=D265)*('Sulphur freight'!$G$3:$G$1976))/SUMPRODUCT(('Sulphur freight'!$B$3:$B$1976=B265)*('Sulphur freight'!$D$3:$D$1976=D265)*1)=0, AVERAGE('Sulphur freight'!$G$3:$G$1976),SUMPRODUCT(('Sulphur freight'!$B$3:$B$1976=B265)*('Sulphur freight'!$D$3:$D$1976=D265)*('Sulphur freight'!$G$3:$G$1976))/SUMPRODUCT(('Sulphur freight'!$B$3:$B$1976=B265)*('Sulphur freight'!$D$3:$D$1976=D265)*1))</f>
        <v>23.25</v>
      </c>
      <c r="P265" s="78">
        <v>20</v>
      </c>
      <c r="R265" s="78">
        <f t="shared" si="52"/>
        <v>95</v>
      </c>
      <c r="S265" s="78">
        <f t="shared" si="53"/>
        <v>65.333333333333343</v>
      </c>
      <c r="T265" s="78">
        <f t="shared" si="48"/>
        <v>63.333333333333329</v>
      </c>
      <c r="U265" s="78">
        <f t="shared" si="54"/>
        <v>74</v>
      </c>
      <c r="V265" s="78">
        <f>IFERROR(I265+O265, "")</f>
        <v>102.91666666666667</v>
      </c>
      <c r="W265" s="78">
        <f t="shared" si="55"/>
        <v>135</v>
      </c>
      <c r="X265" s="78">
        <f t="shared" si="56"/>
        <v>51.962500000000006</v>
      </c>
      <c r="Y265" s="78">
        <f t="shared" si="57"/>
        <v>62.550000000000004</v>
      </c>
      <c r="AA265" s="88">
        <f t="shared" si="58"/>
        <v>79.2</v>
      </c>
      <c r="AB265" s="77">
        <f t="shared" ref="AB265:AB289" si="60">IF(AA265="", "", MAX(X265, Y265)-AA265)</f>
        <v>-16.649999999999999</v>
      </c>
      <c r="AD265" s="88">
        <f t="shared" si="59"/>
        <v>62.550000000000004</v>
      </c>
      <c r="AE265" s="77">
        <f t="shared" ref="AE265:AE289" si="61">IF(AD265="", "", MAX(AA265, AB265)-AD265)</f>
        <v>16.649999999999999</v>
      </c>
    </row>
    <row r="266" spans="2:31" x14ac:dyDescent="0.35">
      <c r="B266" s="2">
        <v>2024</v>
      </c>
      <c r="C266" s="2">
        <v>1</v>
      </c>
      <c r="D266" s="2">
        <v>1</v>
      </c>
      <c r="E266" s="78">
        <f>'CRU historical'!F265</f>
        <v>2.75</v>
      </c>
      <c r="F266" s="78">
        <f>'CRU historical'!I265</f>
        <v>41.5</v>
      </c>
      <c r="G266" s="78">
        <f>'CRU historical'!L265</f>
        <v>14.75</v>
      </c>
      <c r="H266" s="78">
        <f>'CRU historical'!O265</f>
        <v>83.5</v>
      </c>
      <c r="I266" s="78">
        <f>'CRU historical'!R265</f>
        <v>72.75</v>
      </c>
      <c r="J266" s="78">
        <f>AVERAGE('CRU historical'!U265, 'CRU historical'!X265, 'CRU historical'!AA265, 'CRU historical'!AD265)</f>
        <v>105</v>
      </c>
      <c r="L266" s="78" cm="1">
        <f t="array" ref="L266">IFERROR(SUMPRODUCT(('Sulphuric Acid freights'!$B$3:$B$513=B266)*('Sulphuric Acid freights'!$D$3:$D$513=D266)*('Sulphuric Acid freights'!$P$3:$P$513))/SUMPRODUCT(('Sulphuric Acid freights'!$B$3:$B$513=B266)*('Sulphuric Acid freights'!$D$3:$D$513=D266)*1), AVERAGE('Sulphuric Acid freights'!$P$3:$P$513))*2/3</f>
        <v>82.666666666666671</v>
      </c>
      <c r="M266" s="78" cm="1">
        <f t="array" ref="M266">IFERROR(SUMPRODUCT(('Sulphuric Acid freights'!$B$3:$B$513=B266)*('Sulphuric Acid freights'!$D$3:$D$513=D266)*('Sulphuric Acid freights'!$M$3:$M$513))/SUMPRODUCT(('Sulphuric Acid freights'!$B$3:$B$513=B266)*('Sulphuric Acid freights'!$D$3:$D$513=D266)*1)*2/3, AVERAGE('Sulphuric Acid freights'!$M$3:$M$513))</f>
        <v>21.333333333333332</v>
      </c>
      <c r="N266" s="78">
        <f t="shared" si="51"/>
        <v>74.400000000000006</v>
      </c>
      <c r="O266" s="78" cm="1">
        <f t="array" ref="O266">IF(SUMPRODUCT(('Sulphur freight'!$B$3:$B$1976=B266)*('Sulphur freight'!$D$3:$D$1976=D266)*('Sulphur freight'!$G$3:$G$1976))/SUMPRODUCT(('Sulphur freight'!$B$3:$B$1976=B266)*('Sulphur freight'!$D$3:$D$1976=D266)*1)=0, AVERAGE('Sulphur freight'!$G$3:$G$1976),SUMPRODUCT(('Sulphur freight'!$B$3:$B$1976=B266)*('Sulphur freight'!$D$3:$D$1976=D266)*('Sulphur freight'!$G$3:$G$1976))/SUMPRODUCT(('Sulphur freight'!$B$3:$B$1976=B266)*('Sulphur freight'!$D$3:$D$1976=D266)*1))</f>
        <v>36</v>
      </c>
      <c r="P266" s="78">
        <v>20</v>
      </c>
      <c r="R266" s="78">
        <f t="shared" si="52"/>
        <v>83.5</v>
      </c>
      <c r="S266" s="78">
        <f t="shared" si="53"/>
        <v>62.833333333333329</v>
      </c>
      <c r="T266" s="78">
        <f t="shared" si="48"/>
        <v>85.416666666666671</v>
      </c>
      <c r="U266" s="78">
        <f t="shared" si="54"/>
        <v>89.15</v>
      </c>
      <c r="V266" s="78">
        <f>IFERROR(I266+O266, "")</f>
        <v>108.75</v>
      </c>
      <c r="W266" s="78">
        <f t="shared" si="55"/>
        <v>125</v>
      </c>
      <c r="X266" s="78">
        <f t="shared" si="56"/>
        <v>53.887500000000003</v>
      </c>
      <c r="Y266" s="78">
        <f t="shared" si="57"/>
        <v>59.25</v>
      </c>
      <c r="AA266" s="88">
        <f t="shared" si="58"/>
        <v>85.77</v>
      </c>
      <c r="AB266" s="77">
        <f t="shared" si="60"/>
        <v>-26.519999999999996</v>
      </c>
      <c r="AD266" s="88">
        <f t="shared" si="59"/>
        <v>59.25</v>
      </c>
      <c r="AE266" s="77">
        <f t="shared" si="61"/>
        <v>26.519999999999996</v>
      </c>
    </row>
    <row r="267" spans="2:31" x14ac:dyDescent="0.35">
      <c r="B267" s="2">
        <v>2024</v>
      </c>
      <c r="C267" s="2">
        <v>1</v>
      </c>
      <c r="D267" s="2">
        <v>2</v>
      </c>
      <c r="E267" s="78">
        <f>'CRU historical'!F266</f>
        <v>-2.4</v>
      </c>
      <c r="F267" s="78">
        <f>'CRU historical'!I266</f>
        <v>42</v>
      </c>
      <c r="G267" s="78">
        <f>'CRU historical'!L266</f>
        <v>10.6</v>
      </c>
      <c r="H267" s="78">
        <f>'CRU historical'!O266</f>
        <v>80</v>
      </c>
      <c r="I267" s="78">
        <f>'CRU historical'!R266</f>
        <v>71</v>
      </c>
      <c r="J267" s="78">
        <f>AVERAGE('CRU historical'!U266, 'CRU historical'!X266, 'CRU historical'!AA266, 'CRU historical'!AD266)</f>
        <v>95</v>
      </c>
      <c r="L267" s="78" cm="1">
        <f t="array" ref="L267">IFERROR(SUMPRODUCT(('Sulphuric Acid freights'!$B$3:$B$513=B267)*('Sulphuric Acid freights'!$D$3:$D$513=D267)*('Sulphuric Acid freights'!$P$3:$P$513))/SUMPRODUCT(('Sulphuric Acid freights'!$B$3:$B$513=B267)*('Sulphuric Acid freights'!$D$3:$D$513=D267)*1), AVERAGE('Sulphuric Acid freights'!$P$3:$P$513))*2/3</f>
        <v>83.733333333333334</v>
      </c>
      <c r="M267" s="78" cm="1">
        <f t="array" ref="M267">IFERROR(SUMPRODUCT(('Sulphuric Acid freights'!$B$3:$B$513=B267)*('Sulphuric Acid freights'!$D$3:$D$513=D267)*('Sulphuric Acid freights'!$M$3:$M$513))/SUMPRODUCT(('Sulphuric Acid freights'!$B$3:$B$513=B267)*('Sulphuric Acid freights'!$D$3:$D$513=D267)*1)*2/3, AVERAGE('Sulphuric Acid freights'!$M$3:$M$513))</f>
        <v>22.400000000000002</v>
      </c>
      <c r="N267" s="78">
        <f t="shared" si="51"/>
        <v>75.36</v>
      </c>
      <c r="O267" s="78" cm="1">
        <f t="array" ref="O267">IF(SUMPRODUCT(('Sulphur freight'!$B$3:$B$1976=B267)*('Sulphur freight'!$D$3:$D$1976=D267)*('Sulphur freight'!$G$3:$G$1976))/SUMPRODUCT(('Sulphur freight'!$B$3:$B$1976=B267)*('Sulphur freight'!$D$3:$D$1976=D267)*1)=0, AVERAGE('Sulphur freight'!$G$3:$G$1976),SUMPRODUCT(('Sulphur freight'!$B$3:$B$1976=B267)*('Sulphur freight'!$D$3:$D$1976=D267)*('Sulphur freight'!$G$3:$G$1976))/SUMPRODUCT(('Sulphur freight'!$B$3:$B$1976=B267)*('Sulphur freight'!$D$3:$D$1976=D267)*1))</f>
        <v>39.200000000000003</v>
      </c>
      <c r="P267" s="78">
        <v>20</v>
      </c>
      <c r="R267" s="78">
        <f t="shared" si="52"/>
        <v>80</v>
      </c>
      <c r="S267" s="78">
        <f t="shared" si="53"/>
        <v>64.400000000000006</v>
      </c>
      <c r="T267" s="78">
        <f t="shared" si="48"/>
        <v>81.333333333333329</v>
      </c>
      <c r="U267" s="78">
        <f t="shared" si="54"/>
        <v>85.96</v>
      </c>
      <c r="V267" s="78">
        <f>IFERROR(I267+O267, "")</f>
        <v>110.2</v>
      </c>
      <c r="W267" s="78">
        <f t="shared" si="55"/>
        <v>115</v>
      </c>
      <c r="X267" s="78">
        <f t="shared" si="56"/>
        <v>54.366</v>
      </c>
      <c r="Y267" s="78">
        <f t="shared" si="57"/>
        <v>55.95</v>
      </c>
      <c r="AA267" s="88">
        <f t="shared" si="58"/>
        <v>82.187999999999988</v>
      </c>
      <c r="AB267" s="77">
        <f t="shared" si="60"/>
        <v>-26.237999999999985</v>
      </c>
      <c r="AD267" s="88">
        <f t="shared" si="59"/>
        <v>55.95</v>
      </c>
      <c r="AE267" s="77">
        <f t="shared" si="61"/>
        <v>26.237999999999985</v>
      </c>
    </row>
    <row r="268" spans="2:31" x14ac:dyDescent="0.35">
      <c r="B268" s="2">
        <v>2024</v>
      </c>
      <c r="C268" s="2">
        <v>1</v>
      </c>
      <c r="D268" s="2">
        <v>3</v>
      </c>
      <c r="E268" s="78">
        <f>'CRU historical'!F267</f>
        <v>0</v>
      </c>
      <c r="F268" s="78">
        <f>'CRU historical'!I267</f>
        <v>51</v>
      </c>
      <c r="G268" s="78">
        <f>'CRU historical'!L267</f>
        <v>13</v>
      </c>
      <c r="H268" s="78">
        <f>'CRU historical'!O267</f>
        <v>81.5</v>
      </c>
      <c r="I268" s="78">
        <f>'CRU historical'!R267</f>
        <v>81</v>
      </c>
      <c r="J268" s="78">
        <f>AVERAGE('CRU historical'!U267, 'CRU historical'!X267, 'CRU historical'!AA267, 'CRU historical'!AD267)</f>
        <v>95</v>
      </c>
      <c r="L268" s="78" cm="1">
        <f t="array" ref="L268">IFERROR(SUMPRODUCT(('Sulphuric Acid freights'!$B$3:$B$513=B268)*('Sulphuric Acid freights'!$D$3:$D$513=D268)*('Sulphuric Acid freights'!$P$3:$P$513))/SUMPRODUCT(('Sulphuric Acid freights'!$B$3:$B$513=B268)*('Sulphuric Acid freights'!$D$3:$D$513=D268)*1), AVERAGE('Sulphuric Acid freights'!$P$3:$P$513))*2/3</f>
        <v>84</v>
      </c>
      <c r="M268" s="78" cm="1">
        <f t="array" ref="M268">IFERROR(SUMPRODUCT(('Sulphuric Acid freights'!$B$3:$B$513=B268)*('Sulphuric Acid freights'!$D$3:$D$513=D268)*('Sulphuric Acid freights'!$M$3:$M$513))/SUMPRODUCT(('Sulphuric Acid freights'!$B$3:$B$513=B268)*('Sulphuric Acid freights'!$D$3:$D$513=D268)*1)*2/3, AVERAGE('Sulphuric Acid freights'!$M$3:$M$513))</f>
        <v>22.666666666666668</v>
      </c>
      <c r="N268" s="78">
        <f t="shared" si="51"/>
        <v>75.600000000000009</v>
      </c>
      <c r="O268" s="78" cm="1">
        <f t="array" ref="O268">IF(SUMPRODUCT(('Sulphur freight'!$B$3:$B$1976=B268)*('Sulphur freight'!$D$3:$D$1976=D268)*('Sulphur freight'!$G$3:$G$1976))/SUMPRODUCT(('Sulphur freight'!$B$3:$B$1976=B268)*('Sulphur freight'!$D$3:$D$1976=D268)*1)=0, AVERAGE('Sulphur freight'!$G$3:$G$1976),SUMPRODUCT(('Sulphur freight'!$B$3:$B$1976=B268)*('Sulphur freight'!$D$3:$D$1976=D268)*('Sulphur freight'!$G$3:$G$1976))/SUMPRODUCT(('Sulphur freight'!$B$3:$B$1976=B268)*('Sulphur freight'!$D$3:$D$1976=D268)*1))</f>
        <v>39.25</v>
      </c>
      <c r="P268" s="78">
        <v>20</v>
      </c>
      <c r="R268" s="78">
        <f t="shared" si="52"/>
        <v>81.5</v>
      </c>
      <c r="S268" s="78">
        <f t="shared" si="53"/>
        <v>73.666666666666671</v>
      </c>
      <c r="T268" s="78">
        <f t="shared" si="48"/>
        <v>84</v>
      </c>
      <c r="U268" s="78">
        <f t="shared" si="54"/>
        <v>88.600000000000009</v>
      </c>
      <c r="V268" s="78">
        <f>IFERROR(I268+O268, "")</f>
        <v>120.25</v>
      </c>
      <c r="W268" s="78">
        <f t="shared" si="55"/>
        <v>115</v>
      </c>
      <c r="X268" s="78">
        <f t="shared" si="56"/>
        <v>57.682500000000005</v>
      </c>
      <c r="Y268" s="78">
        <f t="shared" si="57"/>
        <v>55.95</v>
      </c>
      <c r="AA268" s="88">
        <f t="shared" si="58"/>
        <v>84.38</v>
      </c>
      <c r="AB268" s="77">
        <f t="shared" si="60"/>
        <v>-26.697499999999991</v>
      </c>
      <c r="AD268" s="88">
        <f t="shared" si="59"/>
        <v>55.95</v>
      </c>
      <c r="AE268" s="77">
        <f t="shared" si="61"/>
        <v>28.429999999999993</v>
      </c>
    </row>
    <row r="269" spans="2:31" x14ac:dyDescent="0.35">
      <c r="B269" s="2">
        <v>2024</v>
      </c>
      <c r="C269" s="2">
        <v>2</v>
      </c>
      <c r="D269" s="2">
        <v>4</v>
      </c>
      <c r="E269" s="78">
        <f>'CRU historical'!F268</f>
        <v>2.5</v>
      </c>
      <c r="F269" s="78">
        <f>'CRU historical'!I268</f>
        <v>60.5</v>
      </c>
      <c r="G269" s="78">
        <f>'CRU historical'!L268</f>
        <v>24</v>
      </c>
      <c r="H269" s="78">
        <f>'CRU historical'!O268</f>
        <v>105</v>
      </c>
      <c r="I269" s="78">
        <f>'CRU historical'!R268</f>
        <v>86.25</v>
      </c>
      <c r="J269" s="78">
        <f>AVERAGE('CRU historical'!U268, 'CRU historical'!X268, 'CRU historical'!AA268, 'CRU historical'!AD268)</f>
        <v>100</v>
      </c>
      <c r="L269" s="78" cm="1">
        <f t="array" ref="L269">IFERROR(SUMPRODUCT(('Sulphuric Acid freights'!$B$3:$B$513=B269)*('Sulphuric Acid freights'!$D$3:$D$513=D269)*('Sulphuric Acid freights'!$P$3:$P$513))/SUMPRODUCT(('Sulphuric Acid freights'!$B$3:$B$513=B269)*('Sulphuric Acid freights'!$D$3:$D$513=D269)*1), AVERAGE('Sulphuric Acid freights'!$P$3:$P$513))*2/3</f>
        <v>85.333333333333329</v>
      </c>
      <c r="M269" s="78" cm="1">
        <f t="array" ref="M269">IFERROR(SUMPRODUCT(('Sulphuric Acid freights'!$B$3:$B$513=B269)*('Sulphuric Acid freights'!$D$3:$D$513=D269)*('Sulphuric Acid freights'!$M$3:$M$513))/SUMPRODUCT(('Sulphuric Acid freights'!$B$3:$B$513=B269)*('Sulphuric Acid freights'!$D$3:$D$513=D269)*1)*2/3, AVERAGE('Sulphuric Acid freights'!$M$3:$M$513))</f>
        <v>21.333333333333332</v>
      </c>
      <c r="N269" s="78">
        <f t="shared" si="51"/>
        <v>76.8</v>
      </c>
      <c r="O269" s="78" cm="1">
        <f t="array" ref="O269">IF(SUMPRODUCT(('Sulphur freight'!$B$3:$B$1976=B269)*('Sulphur freight'!$D$3:$D$1976=D269)*('Sulphur freight'!$G$3:$G$1976))/SUMPRODUCT(('Sulphur freight'!$B$3:$B$1976=B269)*('Sulphur freight'!$D$3:$D$1976=D269)*1)=0, AVERAGE('Sulphur freight'!$G$3:$G$1976),SUMPRODUCT(('Sulphur freight'!$B$3:$B$1976=B269)*('Sulphur freight'!$D$3:$D$1976=D269)*('Sulphur freight'!$G$3:$G$1976))/SUMPRODUCT(('Sulphur freight'!$B$3:$B$1976=B269)*('Sulphur freight'!$D$3:$D$1976=D269)*1))</f>
        <v>39</v>
      </c>
      <c r="P269" s="78">
        <v>20</v>
      </c>
      <c r="R269" s="78">
        <f t="shared" si="52"/>
        <v>105</v>
      </c>
      <c r="S269" s="78">
        <f t="shared" si="53"/>
        <v>81.833333333333329</v>
      </c>
      <c r="T269" s="78">
        <f t="shared" si="48"/>
        <v>87.833333333333329</v>
      </c>
      <c r="U269" s="78">
        <f t="shared" si="54"/>
        <v>100.8</v>
      </c>
      <c r="V269" s="78">
        <f>IFERROR(I269+O269, "")</f>
        <v>125.25</v>
      </c>
      <c r="W269" s="78">
        <f t="shared" si="55"/>
        <v>120</v>
      </c>
      <c r="X269" s="78">
        <f t="shared" si="56"/>
        <v>59.332500000000003</v>
      </c>
      <c r="Y269" s="78">
        <f t="shared" si="57"/>
        <v>57.6</v>
      </c>
      <c r="AA269" s="88">
        <f t="shared" si="58"/>
        <v>98.589999999999989</v>
      </c>
      <c r="AB269" s="77">
        <f t="shared" si="60"/>
        <v>-39.257499999999986</v>
      </c>
      <c r="AD269" s="88">
        <f t="shared" si="59"/>
        <v>57.6</v>
      </c>
      <c r="AE269" s="77">
        <f t="shared" si="61"/>
        <v>40.989999999999988</v>
      </c>
    </row>
    <row r="270" spans="2:31" x14ac:dyDescent="0.35">
      <c r="B270" s="2">
        <v>2024</v>
      </c>
      <c r="C270" s="2">
        <v>2</v>
      </c>
      <c r="D270" s="2">
        <v>5</v>
      </c>
      <c r="E270" s="78">
        <f>'CRU historical'!F269</f>
        <v>3.4</v>
      </c>
      <c r="F270" s="78">
        <f>'CRU historical'!I269</f>
        <v>72.2</v>
      </c>
      <c r="G270" s="78">
        <f>'CRU historical'!L269</f>
        <v>24.4</v>
      </c>
      <c r="H270" s="78">
        <f>'CRU historical'!O269</f>
        <v>120</v>
      </c>
      <c r="I270" s="78">
        <f>'CRU historical'!R269</f>
        <v>83.2</v>
      </c>
      <c r="J270" s="78">
        <f>AVERAGE('CRU historical'!U269, 'CRU historical'!X269, 'CRU historical'!AA269, 'CRU historical'!AD269)</f>
        <v>100</v>
      </c>
      <c r="L270" s="78" cm="1">
        <f t="array" ref="L270">IFERROR(SUMPRODUCT(('Sulphuric Acid freights'!$B$3:$B$513=B270)*('Sulphuric Acid freights'!$D$3:$D$513=D270)*('Sulphuric Acid freights'!$P$3:$P$513))/SUMPRODUCT(('Sulphuric Acid freights'!$B$3:$B$513=B270)*('Sulphuric Acid freights'!$D$3:$D$513=D270)*1), AVERAGE('Sulphuric Acid freights'!$P$3:$P$513))*2/3</f>
        <v>86.133333333333326</v>
      </c>
      <c r="M270" s="78" cm="1">
        <f t="array" ref="M270">IFERROR(SUMPRODUCT(('Sulphuric Acid freights'!$B$3:$B$513=B270)*('Sulphuric Acid freights'!$D$3:$D$513=D270)*('Sulphuric Acid freights'!$M$3:$M$513))/SUMPRODUCT(('Sulphuric Acid freights'!$B$3:$B$513=B270)*('Sulphuric Acid freights'!$D$3:$D$513=D270)*1)*2/3, AVERAGE('Sulphuric Acid freights'!$M$3:$M$513))</f>
        <v>21.333333333333332</v>
      </c>
      <c r="N270" s="78">
        <f t="shared" si="51"/>
        <v>77.52</v>
      </c>
      <c r="O270" s="78" cm="1">
        <f t="array" ref="O270">IF(SUMPRODUCT(('Sulphur freight'!$B$3:$B$1976=B270)*('Sulphur freight'!$D$3:$D$1976=D270)*('Sulphur freight'!$G$3:$G$1976))/SUMPRODUCT(('Sulphur freight'!$B$3:$B$1976=B270)*('Sulphur freight'!$D$3:$D$1976=D270)*1)=0, AVERAGE('Sulphur freight'!$G$3:$G$1976),SUMPRODUCT(('Sulphur freight'!$B$3:$B$1976=B270)*('Sulphur freight'!$D$3:$D$1976=D270)*('Sulphur freight'!$G$3:$G$1976))/SUMPRODUCT(('Sulphur freight'!$B$3:$B$1976=B270)*('Sulphur freight'!$D$3:$D$1976=D270)*1))</f>
        <v>41</v>
      </c>
      <c r="P270" s="78">
        <v>20</v>
      </c>
      <c r="R270" s="78">
        <f t="shared" si="52"/>
        <v>120</v>
      </c>
      <c r="S270" s="78">
        <f t="shared" si="53"/>
        <v>93.533333333333331</v>
      </c>
      <c r="T270" s="78">
        <f t="shared" si="48"/>
        <v>89.533333333333331</v>
      </c>
      <c r="U270" s="78">
        <f t="shared" si="54"/>
        <v>101.91999999999999</v>
      </c>
      <c r="V270" s="78">
        <f>IFERROR(I270+O270, "")</f>
        <v>124.2</v>
      </c>
      <c r="W270" s="78">
        <f t="shared" si="55"/>
        <v>120</v>
      </c>
      <c r="X270" s="78">
        <f t="shared" si="56"/>
        <v>58.986000000000004</v>
      </c>
      <c r="Y270" s="78">
        <f t="shared" si="57"/>
        <v>57.6</v>
      </c>
      <c r="AA270" s="88">
        <f t="shared" si="58"/>
        <v>105.43599999999999</v>
      </c>
      <c r="AB270" s="77">
        <f t="shared" si="60"/>
        <v>-46.449999999999989</v>
      </c>
      <c r="AD270" s="88">
        <f t="shared" si="59"/>
        <v>57.6</v>
      </c>
      <c r="AE270" s="77">
        <f t="shared" si="61"/>
        <v>47.835999999999991</v>
      </c>
    </row>
    <row r="271" spans="2:31" x14ac:dyDescent="0.35">
      <c r="B271" s="2">
        <v>2024</v>
      </c>
      <c r="C271" s="2">
        <v>2</v>
      </c>
      <c r="D271" s="2">
        <v>6</v>
      </c>
      <c r="E271" s="78">
        <f>'CRU historical'!F270</f>
        <v>4</v>
      </c>
      <c r="F271" s="78">
        <f>'CRU historical'!I270</f>
        <v>75</v>
      </c>
      <c r="G271" s="78">
        <f>'CRU historical'!L270</f>
        <v>29</v>
      </c>
      <c r="H271" s="78">
        <f>'CRU historical'!O270</f>
        <v>122.5</v>
      </c>
      <c r="I271" s="78">
        <f>'CRU historical'!R270</f>
        <v>79</v>
      </c>
      <c r="J271" s="78">
        <f>AVERAGE('CRU historical'!U270, 'CRU historical'!X270, 'CRU historical'!AA270, 'CRU historical'!AD270)</f>
        <v>100</v>
      </c>
      <c r="L271" s="78" cm="1">
        <f t="array" ref="L271">IFERROR(SUMPRODUCT(('Sulphuric Acid freights'!$B$3:$B$513=B271)*('Sulphuric Acid freights'!$D$3:$D$513=D271)*('Sulphuric Acid freights'!$P$3:$P$513))/SUMPRODUCT(('Sulphuric Acid freights'!$B$3:$B$513=B271)*('Sulphuric Acid freights'!$D$3:$D$513=D271)*1), AVERAGE('Sulphuric Acid freights'!$P$3:$P$513))*2/3</f>
        <v>86.666666666666671</v>
      </c>
      <c r="M271" s="78" cm="1">
        <f t="array" ref="M271">IFERROR(SUMPRODUCT(('Sulphuric Acid freights'!$B$3:$B$513=B271)*('Sulphuric Acid freights'!$D$3:$D$513=D271)*('Sulphuric Acid freights'!$M$3:$M$513))/SUMPRODUCT(('Sulphuric Acid freights'!$B$3:$B$513=B271)*('Sulphuric Acid freights'!$D$3:$D$513=D271)*1)*2/3, AVERAGE('Sulphuric Acid freights'!$M$3:$M$513))</f>
        <v>21.333333333333332</v>
      </c>
      <c r="N271" s="78">
        <f t="shared" si="51"/>
        <v>78</v>
      </c>
      <c r="O271" s="78" cm="1">
        <f t="array" ref="O271">IF(SUMPRODUCT(('Sulphur freight'!$B$3:$B$1976=B271)*('Sulphur freight'!$D$3:$D$1976=D271)*('Sulphur freight'!$G$3:$G$1976))/SUMPRODUCT(('Sulphur freight'!$B$3:$B$1976=B271)*('Sulphur freight'!$D$3:$D$1976=D271)*1)=0, AVERAGE('Sulphur freight'!$G$3:$G$1976),SUMPRODUCT(('Sulphur freight'!$B$3:$B$1976=B271)*('Sulphur freight'!$D$3:$D$1976=D271)*('Sulphur freight'!$G$3:$G$1976))/SUMPRODUCT(('Sulphur freight'!$B$3:$B$1976=B271)*('Sulphur freight'!$D$3:$D$1976=D271)*1))</f>
        <v>42.25</v>
      </c>
      <c r="P271" s="78">
        <v>20</v>
      </c>
      <c r="R271" s="78">
        <f t="shared" si="52"/>
        <v>122.5</v>
      </c>
      <c r="S271" s="78">
        <f t="shared" si="53"/>
        <v>96.333333333333329</v>
      </c>
      <c r="T271" s="78">
        <f t="shared" si="48"/>
        <v>90.666666666666671</v>
      </c>
      <c r="U271" s="78">
        <f t="shared" si="54"/>
        <v>107</v>
      </c>
      <c r="V271" s="78">
        <f>IFERROR(I271+O271, "")</f>
        <v>121.25</v>
      </c>
      <c r="W271" s="78">
        <f t="shared" si="55"/>
        <v>120</v>
      </c>
      <c r="X271" s="78">
        <f t="shared" si="56"/>
        <v>58.012500000000003</v>
      </c>
      <c r="Y271" s="78">
        <f t="shared" si="57"/>
        <v>57.6</v>
      </c>
      <c r="AA271" s="88">
        <f t="shared" si="58"/>
        <v>108.30000000000001</v>
      </c>
      <c r="AB271" s="77">
        <f t="shared" si="60"/>
        <v>-50.287500000000009</v>
      </c>
      <c r="AD271" s="88">
        <f t="shared" si="59"/>
        <v>57.6</v>
      </c>
      <c r="AE271" s="77">
        <f t="shared" si="61"/>
        <v>50.70000000000001</v>
      </c>
    </row>
    <row r="272" spans="2:31" x14ac:dyDescent="0.35">
      <c r="B272" s="2">
        <v>2024</v>
      </c>
      <c r="C272" s="2">
        <v>3</v>
      </c>
      <c r="D272" s="2">
        <v>7</v>
      </c>
      <c r="E272" s="78">
        <f>'CRU historical'!F271</f>
        <v>9</v>
      </c>
      <c r="F272" s="78">
        <f>'CRU historical'!I271</f>
        <v>80</v>
      </c>
      <c r="G272" s="78">
        <f>'CRU historical'!L271</f>
        <v>38.75</v>
      </c>
      <c r="H272" s="78">
        <f>'CRU historical'!O271</f>
        <v>125</v>
      </c>
      <c r="I272" s="78">
        <f>'CRU historical'!R271</f>
        <v>89.25</v>
      </c>
      <c r="J272" s="78">
        <f>AVERAGE('CRU historical'!U271, 'CRU historical'!X271, 'CRU historical'!AA271, 'CRU historical'!AD271)</f>
        <v>99.5</v>
      </c>
      <c r="L272" s="78" cm="1">
        <f t="array" ref="L272">IFERROR(SUMPRODUCT(('Sulphuric Acid freights'!$B$3:$B$513=B272)*('Sulphuric Acid freights'!$D$3:$D$513=D272)*('Sulphuric Acid freights'!$P$3:$P$513))/SUMPRODUCT(('Sulphuric Acid freights'!$B$3:$B$513=B272)*('Sulphuric Acid freights'!$D$3:$D$513=D272)*1), AVERAGE('Sulphuric Acid freights'!$P$3:$P$513))*2/3</f>
        <v>86.666666666666671</v>
      </c>
      <c r="M272" s="78" cm="1">
        <f t="array" ref="M272">IFERROR(SUMPRODUCT(('Sulphuric Acid freights'!$B$3:$B$513=B272)*('Sulphuric Acid freights'!$D$3:$D$513=D272)*('Sulphuric Acid freights'!$M$3:$M$513))/SUMPRODUCT(('Sulphuric Acid freights'!$B$3:$B$513=B272)*('Sulphuric Acid freights'!$D$3:$D$513=D272)*1)*2/3, AVERAGE('Sulphuric Acid freights'!$M$3:$M$513))</f>
        <v>20</v>
      </c>
      <c r="N272" s="78">
        <f t="shared" si="51"/>
        <v>78</v>
      </c>
      <c r="O272" s="78" cm="1">
        <f t="array" ref="O272">IF(SUMPRODUCT(('Sulphur freight'!$B$3:$B$1976=B272)*('Sulphur freight'!$D$3:$D$1976=D272)*('Sulphur freight'!$G$3:$G$1976))/SUMPRODUCT(('Sulphur freight'!$B$3:$B$1976=B272)*('Sulphur freight'!$D$3:$D$1976=D272)*1)=0, AVERAGE('Sulphur freight'!$G$3:$G$1976),SUMPRODUCT(('Sulphur freight'!$B$3:$B$1976=B272)*('Sulphur freight'!$D$3:$D$1976=D272)*('Sulphur freight'!$G$3:$G$1976))/SUMPRODUCT(('Sulphur freight'!$B$3:$B$1976=B272)*('Sulphur freight'!$D$3:$D$1976=D272)*1))</f>
        <v>39.75</v>
      </c>
      <c r="P272" s="78">
        <v>20</v>
      </c>
      <c r="R272" s="78">
        <f t="shared" si="52"/>
        <v>125</v>
      </c>
      <c r="S272" s="78">
        <f t="shared" si="53"/>
        <v>100</v>
      </c>
      <c r="T272" s="78">
        <f t="shared" si="48"/>
        <v>95.666666666666671</v>
      </c>
      <c r="U272" s="78">
        <f t="shared" si="54"/>
        <v>116.75</v>
      </c>
      <c r="V272" s="78">
        <f>IFERROR(I272+O272, "")</f>
        <v>129</v>
      </c>
      <c r="W272" s="78">
        <f t="shared" si="55"/>
        <v>119.5</v>
      </c>
      <c r="X272" s="78">
        <f t="shared" si="56"/>
        <v>60.57</v>
      </c>
      <c r="Y272" s="78">
        <f t="shared" si="57"/>
        <v>57.435000000000002</v>
      </c>
      <c r="AA272" s="88">
        <f t="shared" si="58"/>
        <v>113.72499999999999</v>
      </c>
      <c r="AB272" s="77">
        <f t="shared" si="60"/>
        <v>-53.154999999999994</v>
      </c>
      <c r="AD272" s="88">
        <f t="shared" si="59"/>
        <v>57.435000000000002</v>
      </c>
      <c r="AE272" s="77">
        <f t="shared" si="61"/>
        <v>56.289999999999992</v>
      </c>
    </row>
    <row r="273" spans="2:31" x14ac:dyDescent="0.35">
      <c r="B273" s="2">
        <v>2024</v>
      </c>
      <c r="C273" s="2">
        <v>3</v>
      </c>
      <c r="D273" s="2">
        <v>8</v>
      </c>
      <c r="E273" s="78">
        <f>'CRU historical'!F272</f>
        <v>17</v>
      </c>
      <c r="F273" s="78">
        <f>'CRU historical'!I272</f>
        <v>84</v>
      </c>
      <c r="G273" s="78">
        <f>'CRU historical'!L272</f>
        <v>53</v>
      </c>
      <c r="H273" s="78">
        <f>'CRU historical'!O272</f>
        <v>125</v>
      </c>
      <c r="I273" s="78">
        <f>'CRU historical'!R272</f>
        <v>116.8</v>
      </c>
      <c r="J273" s="78">
        <f>AVERAGE('CRU historical'!U272, 'CRU historical'!X272, 'CRU historical'!AA272, 'CRU historical'!AD272)</f>
        <v>99</v>
      </c>
      <c r="L273" s="78" cm="1">
        <f t="array" ref="L273">IFERROR(SUMPRODUCT(('Sulphuric Acid freights'!$B$3:$B$513=B273)*('Sulphuric Acid freights'!$D$3:$D$513=D273)*('Sulphuric Acid freights'!$P$3:$P$513))/SUMPRODUCT(('Sulphuric Acid freights'!$B$3:$B$513=B273)*('Sulphuric Acid freights'!$D$3:$D$513=D273)*1), AVERAGE('Sulphuric Acid freights'!$P$3:$P$513))*2/3</f>
        <v>86.133333333333326</v>
      </c>
      <c r="M273" s="78" cm="1">
        <f t="array" ref="M273">IFERROR(SUMPRODUCT(('Sulphuric Acid freights'!$B$3:$B$513=B273)*('Sulphuric Acid freights'!$D$3:$D$513=D273)*('Sulphuric Acid freights'!$M$3:$M$513))/SUMPRODUCT(('Sulphuric Acid freights'!$B$3:$B$513=B273)*('Sulphuric Acid freights'!$D$3:$D$513=D273)*1)*2/3, AVERAGE('Sulphuric Acid freights'!$M$3:$M$513))</f>
        <v>20</v>
      </c>
      <c r="N273" s="78">
        <f t="shared" si="51"/>
        <v>77.52</v>
      </c>
      <c r="O273" s="78" cm="1">
        <f t="array" ref="O273">IF(SUMPRODUCT(('Sulphur freight'!$B$3:$B$1976=B273)*('Sulphur freight'!$D$3:$D$1976=D273)*('Sulphur freight'!$G$3:$G$1976))/SUMPRODUCT(('Sulphur freight'!$B$3:$B$1976=B273)*('Sulphur freight'!$D$3:$D$1976=D273)*1)=0, AVERAGE('Sulphur freight'!$G$3:$G$1976),SUMPRODUCT(('Sulphur freight'!$B$3:$B$1976=B273)*('Sulphur freight'!$D$3:$D$1976=D273)*('Sulphur freight'!$G$3:$G$1976))/SUMPRODUCT(('Sulphur freight'!$B$3:$B$1976=B273)*('Sulphur freight'!$D$3:$D$1976=D273)*1))</f>
        <v>38.4</v>
      </c>
      <c r="P273" s="78">
        <v>20</v>
      </c>
      <c r="R273" s="78">
        <f t="shared" si="52"/>
        <v>125</v>
      </c>
      <c r="S273" s="78">
        <f t="shared" si="53"/>
        <v>104</v>
      </c>
      <c r="T273" s="78">
        <f t="shared" si="48"/>
        <v>103.13333333333333</v>
      </c>
      <c r="U273" s="78">
        <f t="shared" si="54"/>
        <v>130.51999999999998</v>
      </c>
      <c r="V273" s="78">
        <f>IFERROR(I273+O273, "")</f>
        <v>155.19999999999999</v>
      </c>
      <c r="W273" s="78">
        <f t="shared" si="55"/>
        <v>119</v>
      </c>
      <c r="X273" s="78">
        <f t="shared" si="56"/>
        <v>69.216000000000008</v>
      </c>
      <c r="Y273" s="78">
        <f t="shared" si="57"/>
        <v>57.27</v>
      </c>
      <c r="AA273" s="88">
        <f t="shared" si="58"/>
        <v>120.09599999999999</v>
      </c>
      <c r="AB273" s="77">
        <f t="shared" si="60"/>
        <v>-50.879999999999981</v>
      </c>
      <c r="AD273" s="88">
        <f t="shared" si="59"/>
        <v>57.27</v>
      </c>
      <c r="AE273" s="77">
        <f t="shared" si="61"/>
        <v>62.825999999999986</v>
      </c>
    </row>
    <row r="274" spans="2:31" x14ac:dyDescent="0.35">
      <c r="B274" s="2">
        <v>2024</v>
      </c>
      <c r="C274" s="2">
        <v>3</v>
      </c>
      <c r="D274" s="2">
        <v>9</v>
      </c>
      <c r="E274" s="78">
        <f>'CRU historical'!F273</f>
        <v>20</v>
      </c>
      <c r="F274" s="78">
        <f>'CRU historical'!I273</f>
        <v>85</v>
      </c>
      <c r="G274" s="78">
        <f>'CRU historical'!L273</f>
        <v>50.25</v>
      </c>
      <c r="H274" s="78">
        <f>'CRU historical'!O273</f>
        <v>127.5</v>
      </c>
      <c r="I274" s="78">
        <f>'CRU historical'!R273</f>
        <v>127</v>
      </c>
      <c r="J274" s="78">
        <f>AVERAGE('CRU historical'!U273, 'CRU historical'!X273, 'CRU historical'!AA273, 'CRU historical'!AD273)</f>
        <v>99</v>
      </c>
      <c r="L274" s="78" cm="1">
        <f t="array" ref="L274">IFERROR(SUMPRODUCT(('Sulphuric Acid freights'!$B$3:$B$513=B274)*('Sulphuric Acid freights'!$D$3:$D$513=D274)*('Sulphuric Acid freights'!$P$3:$P$513))/SUMPRODUCT(('Sulphuric Acid freights'!$B$3:$B$513=B274)*('Sulphuric Acid freights'!$D$3:$D$513=D274)*1), AVERAGE('Sulphuric Acid freights'!$P$3:$P$513))*2/3</f>
        <v>86</v>
      </c>
      <c r="M274" s="78" cm="1">
        <f t="array" ref="M274">IFERROR(SUMPRODUCT(('Sulphuric Acid freights'!$B$3:$B$513=B274)*('Sulphuric Acid freights'!$D$3:$D$513=D274)*('Sulphuric Acid freights'!$M$3:$M$513))/SUMPRODUCT(('Sulphuric Acid freights'!$B$3:$B$513=B274)*('Sulphuric Acid freights'!$D$3:$D$513=D274)*1)*2/3, AVERAGE('Sulphuric Acid freights'!$M$3:$M$513))</f>
        <v>18.666666666666668</v>
      </c>
      <c r="N274" s="78">
        <f t="shared" si="51"/>
        <v>77.400000000000006</v>
      </c>
      <c r="O274" s="78" cm="1">
        <f t="array" ref="O274">IF(SUMPRODUCT(('Sulphur freight'!$B$3:$B$1976=B274)*('Sulphur freight'!$D$3:$D$1976=D274)*('Sulphur freight'!$G$3:$G$1976))/SUMPRODUCT(('Sulphur freight'!$B$3:$B$1976=B274)*('Sulphur freight'!$D$3:$D$1976=D274)*1)=0, AVERAGE('Sulphur freight'!$G$3:$G$1976),SUMPRODUCT(('Sulphur freight'!$B$3:$B$1976=B274)*('Sulphur freight'!$D$3:$D$1976=D274)*('Sulphur freight'!$G$3:$G$1976))/SUMPRODUCT(('Sulphur freight'!$B$3:$B$1976=B274)*('Sulphur freight'!$D$3:$D$1976=D274)*1))</f>
        <v>37.5</v>
      </c>
      <c r="P274" s="78">
        <v>20</v>
      </c>
      <c r="R274" s="78">
        <f t="shared" si="52"/>
        <v>127.5</v>
      </c>
      <c r="S274" s="78">
        <f t="shared" si="53"/>
        <v>103.66666666666667</v>
      </c>
      <c r="T274" s="78">
        <f t="shared" si="48"/>
        <v>106</v>
      </c>
      <c r="U274" s="78">
        <f t="shared" si="54"/>
        <v>127.65</v>
      </c>
      <c r="V274" s="78">
        <f>IFERROR(I274+O274, "")</f>
        <v>164.5</v>
      </c>
      <c r="W274" s="78">
        <f t="shared" si="55"/>
        <v>119</v>
      </c>
      <c r="X274" s="78">
        <f t="shared" si="56"/>
        <v>72.284999999999997</v>
      </c>
      <c r="Y274" s="78">
        <f t="shared" si="57"/>
        <v>57.27</v>
      </c>
      <c r="AA274" s="88">
        <f t="shared" si="58"/>
        <v>121.095</v>
      </c>
      <c r="AB274" s="77">
        <f t="shared" si="60"/>
        <v>-48.81</v>
      </c>
      <c r="AD274" s="88">
        <f t="shared" si="59"/>
        <v>57.27</v>
      </c>
      <c r="AE274" s="77">
        <f t="shared" si="61"/>
        <v>63.824999999999996</v>
      </c>
    </row>
    <row r="275" spans="2:31" x14ac:dyDescent="0.35">
      <c r="B275" s="2">
        <v>2024</v>
      </c>
      <c r="C275" s="2">
        <v>4</v>
      </c>
      <c r="D275" s="2">
        <v>10</v>
      </c>
      <c r="E275" s="78">
        <f>'CRU historical'!F274</f>
        <v>20.6</v>
      </c>
      <c r="F275" s="78">
        <f>'CRU historical'!I274</f>
        <v>102</v>
      </c>
      <c r="G275" s="78">
        <f>'CRU historical'!L274</f>
        <v>51.6</v>
      </c>
      <c r="H275" s="78">
        <f>'CRU historical'!O274</f>
        <v>138</v>
      </c>
      <c r="I275" s="78">
        <f>'CRU historical'!R274</f>
        <v>132.4</v>
      </c>
      <c r="J275" s="78">
        <f>AVERAGE('CRU historical'!U274, 'CRU historical'!X274, 'CRU historical'!AA274, 'CRU historical'!AD274)</f>
        <v>99</v>
      </c>
      <c r="L275" s="78" cm="1">
        <f t="array" ref="L275">IFERROR(SUMPRODUCT(('Sulphuric Acid freights'!$B$3:$B$513=B275)*('Sulphuric Acid freights'!$D$3:$D$513=D275)*('Sulphuric Acid freights'!$P$3:$P$513))/SUMPRODUCT(('Sulphuric Acid freights'!$B$3:$B$513=B275)*('Sulphuric Acid freights'!$D$3:$D$513=D275)*1), AVERAGE('Sulphuric Acid freights'!$P$3:$P$513))*2/3</f>
        <v>87.333333333333329</v>
      </c>
      <c r="M275" s="78" cm="1">
        <f t="array" ref="M275">IFERROR(SUMPRODUCT(('Sulphuric Acid freights'!$B$3:$B$513=B275)*('Sulphuric Acid freights'!$D$3:$D$513=D275)*('Sulphuric Acid freights'!$M$3:$M$513))/SUMPRODUCT(('Sulphuric Acid freights'!$B$3:$B$513=B275)*('Sulphuric Acid freights'!$D$3:$D$513=D275)*1)*2/3, AVERAGE('Sulphuric Acid freights'!$M$3:$M$513))</f>
        <v>18.666666666666668</v>
      </c>
      <c r="N275" s="78">
        <f t="shared" si="51"/>
        <v>78.599999999999994</v>
      </c>
      <c r="O275" s="78" cm="1">
        <f t="array" ref="O275">IF(SUMPRODUCT(('Sulphur freight'!$B$3:$B$1976=B275)*('Sulphur freight'!$D$3:$D$1976=D275)*('Sulphur freight'!$G$3:$G$1976))/SUMPRODUCT(('Sulphur freight'!$B$3:$B$1976=B275)*('Sulphur freight'!$D$3:$D$1976=D275)*1)=0, AVERAGE('Sulphur freight'!$G$3:$G$1976),SUMPRODUCT(('Sulphur freight'!$B$3:$B$1976=B275)*('Sulphur freight'!$D$3:$D$1976=D275)*('Sulphur freight'!$G$3:$G$1976))/SUMPRODUCT(('Sulphur freight'!$B$3:$B$1976=B275)*('Sulphur freight'!$D$3:$D$1976=D275)*1))</f>
        <v>38.200000000000003</v>
      </c>
      <c r="P275" s="78">
        <v>20</v>
      </c>
      <c r="R275" s="78">
        <f t="shared" si="52"/>
        <v>138</v>
      </c>
      <c r="S275" s="78">
        <f t="shared" si="53"/>
        <v>120.66666666666667</v>
      </c>
      <c r="T275" s="78">
        <f t="shared" si="48"/>
        <v>107.93333333333334</v>
      </c>
      <c r="U275" s="78">
        <f t="shared" si="54"/>
        <v>130.19999999999999</v>
      </c>
      <c r="V275" s="78">
        <f>IFERROR(I275+O275, "")</f>
        <v>170.60000000000002</v>
      </c>
      <c r="W275" s="78">
        <f t="shared" si="55"/>
        <v>119</v>
      </c>
      <c r="X275" s="78">
        <f t="shared" si="56"/>
        <v>74.298000000000002</v>
      </c>
      <c r="Y275" s="78">
        <f t="shared" si="57"/>
        <v>57.27</v>
      </c>
      <c r="AA275" s="88">
        <f t="shared" si="58"/>
        <v>126.64000000000001</v>
      </c>
      <c r="AB275" s="77">
        <f t="shared" si="60"/>
        <v>-52.342000000000013</v>
      </c>
      <c r="AD275" s="88">
        <f t="shared" si="59"/>
        <v>57.27</v>
      </c>
      <c r="AE275" s="77">
        <f t="shared" si="61"/>
        <v>69.37</v>
      </c>
    </row>
    <row r="276" spans="2:31" x14ac:dyDescent="0.35">
      <c r="B276" s="2">
        <v>2024</v>
      </c>
      <c r="C276" s="2">
        <v>4</v>
      </c>
      <c r="D276" s="2">
        <v>11</v>
      </c>
      <c r="E276" s="78">
        <f>'CRU historical'!F275</f>
        <v>24.5</v>
      </c>
      <c r="F276" s="78">
        <f>'CRU historical'!I275</f>
        <v>105</v>
      </c>
      <c r="G276" s="78">
        <f>'CRU historical'!L275</f>
        <v>54.5</v>
      </c>
      <c r="H276" s="78">
        <f>'CRU historical'!O275</f>
        <v>150</v>
      </c>
      <c r="I276" s="78">
        <f>'CRU historical'!R275</f>
        <v>147</v>
      </c>
      <c r="J276" s="78">
        <f>AVERAGE('CRU historical'!U275, 'CRU historical'!X275, 'CRU historical'!AA275, 'CRU historical'!AD275)</f>
        <v>130</v>
      </c>
      <c r="L276" s="78" cm="1">
        <f t="array" ref="L276">IFERROR(SUMPRODUCT(('Sulphuric Acid freights'!$B$3:$B$513=B276)*('Sulphuric Acid freights'!$D$3:$D$513=D276)*('Sulphuric Acid freights'!$P$3:$P$513))/SUMPRODUCT(('Sulphuric Acid freights'!$B$3:$B$513=B276)*('Sulphuric Acid freights'!$D$3:$D$513=D276)*1), AVERAGE('Sulphuric Acid freights'!$P$3:$P$513))*2/3</f>
        <v>89.5</v>
      </c>
      <c r="M276" s="78" cm="1">
        <f t="array" ref="M276">IFERROR(SUMPRODUCT(('Sulphuric Acid freights'!$B$3:$B$513=B276)*('Sulphuric Acid freights'!$D$3:$D$513=D276)*('Sulphuric Acid freights'!$M$3:$M$513))/SUMPRODUCT(('Sulphuric Acid freights'!$B$3:$B$513=B276)*('Sulphuric Acid freights'!$D$3:$D$513=D276)*1)*2/3, AVERAGE('Sulphuric Acid freights'!$M$3:$M$513))</f>
        <v>18.333333333333332</v>
      </c>
      <c r="N276" s="78">
        <f t="shared" si="51"/>
        <v>80.55</v>
      </c>
      <c r="O276" s="78" cm="1">
        <f t="array" ref="O276">IF(SUMPRODUCT(('Sulphur freight'!$B$3:$B$1976=B276)*('Sulphur freight'!$D$3:$D$1976=D276)*('Sulphur freight'!$G$3:$G$1976))/SUMPRODUCT(('Sulphur freight'!$B$3:$B$1976=B276)*('Sulphur freight'!$D$3:$D$1976=D276)*1)=0, AVERAGE('Sulphur freight'!$G$3:$G$1976),SUMPRODUCT(('Sulphur freight'!$B$3:$B$1976=B276)*('Sulphur freight'!$D$3:$D$1976=D276)*('Sulphur freight'!$G$3:$G$1976))/SUMPRODUCT(('Sulphur freight'!$B$3:$B$1976=B276)*('Sulphur freight'!$D$3:$D$1976=D276)*1))</f>
        <v>36</v>
      </c>
      <c r="P276" s="78">
        <v>20</v>
      </c>
      <c r="R276" s="78">
        <f t="shared" si="52"/>
        <v>150</v>
      </c>
      <c r="S276" s="78">
        <f t="shared" si="53"/>
        <v>123.33333333333333</v>
      </c>
      <c r="T276" s="78">
        <f t="shared" si="48"/>
        <v>114</v>
      </c>
      <c r="U276" s="78">
        <f t="shared" si="54"/>
        <v>135.05000000000001</v>
      </c>
      <c r="V276" s="78">
        <f>IFERROR(I276+O276, "")</f>
        <v>183</v>
      </c>
      <c r="W276" s="78">
        <f t="shared" si="55"/>
        <v>150</v>
      </c>
      <c r="X276" s="78">
        <f t="shared" si="56"/>
        <v>78.39</v>
      </c>
      <c r="Y276" s="78">
        <f t="shared" si="57"/>
        <v>67.5</v>
      </c>
      <c r="AA276" s="88">
        <f t="shared" si="58"/>
        <v>134.71499999999997</v>
      </c>
      <c r="AB276" s="77">
        <f t="shared" si="60"/>
        <v>-56.324999999999974</v>
      </c>
      <c r="AD276" s="88">
        <f t="shared" si="59"/>
        <v>67.5</v>
      </c>
      <c r="AE276" s="77">
        <f t="shared" si="61"/>
        <v>67.214999999999975</v>
      </c>
    </row>
    <row r="277" spans="2:31" x14ac:dyDescent="0.35">
      <c r="B277" s="2">
        <v>2024</v>
      </c>
      <c r="C277" s="2">
        <v>4</v>
      </c>
      <c r="D277" s="2">
        <v>12</v>
      </c>
      <c r="E277" s="78">
        <f>'CRU historical'!F276</f>
        <v>24.333333333333332</v>
      </c>
      <c r="F277" s="78">
        <f>'CRU historical'!I276</f>
        <v>105</v>
      </c>
      <c r="G277" s="78">
        <f>'CRU historical'!L276</f>
        <v>51.666666666666664</v>
      </c>
      <c r="H277" s="78">
        <f>'CRU historical'!O276</f>
        <v>150</v>
      </c>
      <c r="I277" s="78">
        <f>'CRU historical'!R276</f>
        <v>165.33333333333334</v>
      </c>
      <c r="J277" s="78">
        <f>AVERAGE('CRU historical'!U276, 'CRU historical'!X276, 'CRU historical'!AA276, 'CRU historical'!AD276)</f>
        <v>130</v>
      </c>
      <c r="L277" s="78" cm="1">
        <f t="array" ref="L277">IFERROR(SUMPRODUCT(('Sulphuric Acid freights'!$B$3:$B$513=B277)*('Sulphuric Acid freights'!$D$3:$D$513=D277)*('Sulphuric Acid freights'!$P$3:$P$513))/SUMPRODUCT(('Sulphuric Acid freights'!$B$3:$B$513=B277)*('Sulphuric Acid freights'!$D$3:$D$513=D277)*1), AVERAGE('Sulphuric Acid freights'!$P$3:$P$513))*2/3</f>
        <v>67.5</v>
      </c>
      <c r="M277" s="78" cm="1">
        <f t="array" ref="M277">IFERROR(SUMPRODUCT(('Sulphuric Acid freights'!$B$3:$B$513=B277)*('Sulphuric Acid freights'!$D$3:$D$513=D277)*('Sulphuric Acid freights'!$M$3:$M$513))/SUMPRODUCT(('Sulphuric Acid freights'!$B$3:$B$513=B277)*('Sulphuric Acid freights'!$D$3:$D$513=D277)*1)*2/3, AVERAGE('Sulphuric Acid freights'!$M$3:$M$513))</f>
        <v>13</v>
      </c>
      <c r="N277" s="78">
        <f t="shared" si="51"/>
        <v>60.75</v>
      </c>
      <c r="O277" s="78" cm="1">
        <f t="array" ref="O277">IF(SUMPRODUCT(('Sulphur freight'!$B$3:$B$1976=B277)*('Sulphur freight'!$D$3:$D$1976=D277)*('Sulphur freight'!$G$3:$G$1976))/SUMPRODUCT(('Sulphur freight'!$B$3:$B$1976=B277)*('Sulphur freight'!$D$3:$D$1976=D277)*1)=0, AVERAGE('Sulphur freight'!$G$3:$G$1976),SUMPRODUCT(('Sulphur freight'!$B$3:$B$1976=B277)*('Sulphur freight'!$D$3:$D$1976=D277)*('Sulphur freight'!$G$3:$G$1976))/SUMPRODUCT(('Sulphur freight'!$B$3:$B$1976=B277)*('Sulphur freight'!$D$3:$D$1976=D277)*1))</f>
        <v>26.5</v>
      </c>
      <c r="P277" s="78">
        <v>20</v>
      </c>
      <c r="R277" s="78">
        <f t="shared" si="52"/>
        <v>150</v>
      </c>
      <c r="S277" s="78">
        <f t="shared" si="53"/>
        <v>118</v>
      </c>
      <c r="T277" s="78">
        <f t="shared" si="48"/>
        <v>91.833333333333329</v>
      </c>
      <c r="U277" s="78">
        <f t="shared" si="54"/>
        <v>112.41666666666666</v>
      </c>
      <c r="V277" s="78">
        <f>IFERROR(I277+O277, "")</f>
        <v>191.83333333333334</v>
      </c>
      <c r="W277" s="78">
        <f t="shared" si="55"/>
        <v>150</v>
      </c>
      <c r="X277" s="78">
        <f t="shared" si="56"/>
        <v>81.305000000000007</v>
      </c>
      <c r="Y277" s="78">
        <f t="shared" si="57"/>
        <v>67.5</v>
      </c>
      <c r="AA277" s="88">
        <f t="shared" si="58"/>
        <v>121.27499999999999</v>
      </c>
      <c r="AB277" s="77">
        <f t="shared" si="60"/>
        <v>-39.969999999999985</v>
      </c>
      <c r="AD277" s="88">
        <f t="shared" si="59"/>
        <v>67.5</v>
      </c>
      <c r="AE277" s="77">
        <f t="shared" si="61"/>
        <v>53.774999999999991</v>
      </c>
    </row>
    <row r="278" spans="2:31" x14ac:dyDescent="0.35">
      <c r="B278" s="2">
        <v>2025</v>
      </c>
      <c r="C278" s="2">
        <v>1</v>
      </c>
      <c r="D278" s="2">
        <v>1</v>
      </c>
      <c r="E278" s="78">
        <f>'CRU historical'!F277</f>
        <v>29.4</v>
      </c>
      <c r="F278" s="78">
        <f>'CRU historical'!I277</f>
        <v>115</v>
      </c>
      <c r="G278" s="78">
        <f>'CRU historical'!L277</f>
        <v>52.4</v>
      </c>
      <c r="H278" s="78">
        <f>'CRU historical'!O277</f>
        <v>150</v>
      </c>
      <c r="I278" s="78">
        <f>'CRU historical'!R277</f>
        <v>165</v>
      </c>
      <c r="J278" s="78">
        <f>AVERAGE('CRU historical'!U277, 'CRU historical'!X277, 'CRU historical'!AA277, 'CRU historical'!AD277)</f>
        <v>151</v>
      </c>
      <c r="L278" s="78" cm="1">
        <f t="array" ref="L278">IFERROR(SUMPRODUCT(('Sulphuric Acid freights'!$B$3:$B$513=B278)*('Sulphuric Acid freights'!$D$3:$D$513=D278)*('Sulphuric Acid freights'!$P$3:$P$513))/SUMPRODUCT(('Sulphuric Acid freights'!$B$3:$B$513=B278)*('Sulphuric Acid freights'!$D$3:$D$513=D278)*1), AVERAGE('Sulphuric Acid freights'!$P$3:$P$513))*2/3</f>
        <v>88.666666666666671</v>
      </c>
      <c r="M278" s="78" cm="1">
        <f t="array" ref="M278">IFERROR(SUMPRODUCT(('Sulphuric Acid freights'!$B$3:$B$513=B278)*('Sulphuric Acid freights'!$D$3:$D$513=D278)*('Sulphuric Acid freights'!$M$3:$M$513))/SUMPRODUCT(('Sulphuric Acid freights'!$B$3:$B$513=B278)*('Sulphuric Acid freights'!$D$3:$D$513=D278)*1)*2/3, AVERAGE('Sulphuric Acid freights'!$M$3:$M$513))</f>
        <v>17.333333333333332</v>
      </c>
      <c r="N278" s="78">
        <f t="shared" si="51"/>
        <v>79.800000000000011</v>
      </c>
      <c r="O278" s="78" cm="1">
        <f t="array" ref="O278">IF(SUMPRODUCT(('Sulphur freight'!$B$3:$B$1976=B278)*('Sulphur freight'!$D$3:$D$1976=D278)*('Sulphur freight'!$G$3:$G$1976))/SUMPRODUCT(('Sulphur freight'!$B$3:$B$1976=B278)*('Sulphur freight'!$D$3:$D$1976=D278)*1)=0, AVERAGE('Sulphur freight'!$G$3:$G$1976),SUMPRODUCT(('Sulphur freight'!$B$3:$B$1976=B278)*('Sulphur freight'!$D$3:$D$1976=D278)*('Sulphur freight'!$G$3:$G$1976))/SUMPRODUCT(('Sulphur freight'!$B$3:$B$1976=B278)*('Sulphur freight'!$D$3:$D$1976=D278)*1))</f>
        <v>32.799999999999997</v>
      </c>
      <c r="P278" s="78">
        <v>20</v>
      </c>
      <c r="R278" s="78">
        <f t="shared" si="52"/>
        <v>150</v>
      </c>
      <c r="S278" s="78">
        <f t="shared" si="53"/>
        <v>132.33333333333334</v>
      </c>
      <c r="T278" s="78">
        <f t="shared" si="48"/>
        <v>118.06666666666666</v>
      </c>
      <c r="U278" s="78">
        <f t="shared" si="54"/>
        <v>132.20000000000002</v>
      </c>
      <c r="V278" s="78">
        <f>IFERROR(I278+O278, "")</f>
        <v>197.8</v>
      </c>
      <c r="W278" s="78">
        <f t="shared" si="55"/>
        <v>171</v>
      </c>
      <c r="X278" s="78">
        <f t="shared" si="56"/>
        <v>83.274000000000001</v>
      </c>
      <c r="Y278" s="78">
        <f t="shared" si="57"/>
        <v>74.430000000000007</v>
      </c>
      <c r="AA278" s="88">
        <f t="shared" si="58"/>
        <v>135.07999999999998</v>
      </c>
      <c r="AB278" s="77">
        <f t="shared" si="60"/>
        <v>-51.805999999999983</v>
      </c>
      <c r="AD278" s="88">
        <f t="shared" si="59"/>
        <v>74.430000000000007</v>
      </c>
      <c r="AE278" s="77">
        <f t="shared" si="61"/>
        <v>60.649999999999977</v>
      </c>
    </row>
    <row r="279" spans="2:31" x14ac:dyDescent="0.35">
      <c r="B279" s="2">
        <v>2025</v>
      </c>
      <c r="C279" s="2">
        <v>1</v>
      </c>
      <c r="D279" s="2">
        <v>2</v>
      </c>
      <c r="E279" s="78">
        <f>'CRU historical'!F278</f>
        <v>33</v>
      </c>
      <c r="F279" s="78">
        <f>'CRU historical'!I278</f>
        <v>108.75</v>
      </c>
      <c r="G279" s="78">
        <f>'CRU historical'!L278</f>
        <v>53</v>
      </c>
      <c r="H279" s="78">
        <f>'CRU historical'!O278</f>
        <v>150</v>
      </c>
      <c r="I279" s="78">
        <f>'CRU historical'!R278</f>
        <v>183</v>
      </c>
      <c r="J279" s="78">
        <f>AVERAGE('CRU historical'!U278, 'CRU historical'!X278, 'CRU historical'!AA278, 'CRU historical'!AD278)</f>
        <v>165</v>
      </c>
      <c r="L279" s="78" cm="1">
        <f t="array" ref="L279">IFERROR(SUMPRODUCT(('Sulphuric Acid freights'!$B$3:$B$513=B279)*('Sulphuric Acid freights'!$D$3:$D$513=D279)*('Sulphuric Acid freights'!$P$3:$P$513))/SUMPRODUCT(('Sulphuric Acid freights'!$B$3:$B$513=B279)*('Sulphuric Acid freights'!$D$3:$D$513=D279)*1), AVERAGE('Sulphuric Acid freights'!$P$3:$P$513))*2/3</f>
        <v>81</v>
      </c>
      <c r="M279" s="78" cm="1">
        <f t="array" ref="M279">IFERROR(SUMPRODUCT(('Sulphuric Acid freights'!$B$3:$B$513=B279)*('Sulphuric Acid freights'!$D$3:$D$513=D279)*('Sulphuric Acid freights'!$M$3:$M$513))/SUMPRODUCT(('Sulphuric Acid freights'!$B$3:$B$513=B279)*('Sulphuric Acid freights'!$D$3:$D$513=D279)*1)*2/3, AVERAGE('Sulphuric Acid freights'!$M$3:$M$513))</f>
        <v>16.666666666666668</v>
      </c>
      <c r="N279" s="78">
        <f t="shared" si="51"/>
        <v>72.900000000000006</v>
      </c>
      <c r="O279" s="78" cm="1">
        <f t="array" ref="O279">IF(SUMPRODUCT(('Sulphur freight'!$B$3:$B$1976=B279)*('Sulphur freight'!$D$3:$D$1976=D279)*('Sulphur freight'!$G$3:$G$1976))/SUMPRODUCT(('Sulphur freight'!$B$3:$B$1976=B279)*('Sulphur freight'!$D$3:$D$1976=D279)*1)=0, AVERAGE('Sulphur freight'!$G$3:$G$1976),SUMPRODUCT(('Sulphur freight'!$B$3:$B$1976=B279)*('Sulphur freight'!$D$3:$D$1976=D279)*('Sulphur freight'!$G$3:$G$1976))/SUMPRODUCT(('Sulphur freight'!$B$3:$B$1976=B279)*('Sulphur freight'!$D$3:$D$1976=D279)*1))</f>
        <v>31</v>
      </c>
      <c r="P279" s="78">
        <v>20</v>
      </c>
      <c r="R279" s="78">
        <f t="shared" si="52"/>
        <v>150</v>
      </c>
      <c r="S279" s="78">
        <f t="shared" si="53"/>
        <v>125.41666666666667</v>
      </c>
      <c r="T279" s="78">
        <f t="shared" si="48"/>
        <v>114</v>
      </c>
      <c r="U279" s="78">
        <f t="shared" si="54"/>
        <v>125.9</v>
      </c>
      <c r="V279" s="78">
        <f>IFERROR(I279+O279, "")</f>
        <v>214</v>
      </c>
      <c r="W279" s="78">
        <f t="shared" si="55"/>
        <v>185</v>
      </c>
      <c r="X279" s="78">
        <f t="shared" si="56"/>
        <v>88.62</v>
      </c>
      <c r="Y279" s="78">
        <f t="shared" si="57"/>
        <v>79.050000000000011</v>
      </c>
      <c r="AA279" s="88">
        <f t="shared" si="58"/>
        <v>131.97</v>
      </c>
      <c r="AB279" s="77">
        <f t="shared" si="60"/>
        <v>-43.349999999999994</v>
      </c>
      <c r="AD279" s="88">
        <f t="shared" si="59"/>
        <v>79.050000000000011</v>
      </c>
      <c r="AE279" s="77">
        <f t="shared" si="61"/>
        <v>52.919999999999987</v>
      </c>
    </row>
    <row r="280" spans="2:31" x14ac:dyDescent="0.35">
      <c r="B280" s="2">
        <v>2025</v>
      </c>
      <c r="C280" s="2">
        <v>1</v>
      </c>
      <c r="D280" s="2">
        <v>3</v>
      </c>
      <c r="E280" s="78">
        <f>'CRU historical'!F279</f>
        <v>34.5</v>
      </c>
      <c r="F280" s="78">
        <f>'CRU historical'!I279</f>
        <v>69.75</v>
      </c>
      <c r="G280" s="78">
        <f>'CRU historical'!L279</f>
        <v>65.5</v>
      </c>
      <c r="H280" s="78">
        <f>'CRU historical'!O279</f>
        <v>117.5</v>
      </c>
      <c r="I280" s="78">
        <f>'CRU historical'!R279</f>
        <v>256.5</v>
      </c>
      <c r="J280" s="78">
        <f>AVERAGE('CRU historical'!U279, 'CRU historical'!X279, 'CRU historical'!AA279, 'CRU historical'!AD279)</f>
        <v>165</v>
      </c>
      <c r="L280" s="78" cm="1">
        <f t="array" ref="L280">IFERROR(SUMPRODUCT(('Sulphuric Acid freights'!$B$3:$B$513=B280)*('Sulphuric Acid freights'!$D$3:$D$513=D280)*('Sulphuric Acid freights'!$P$3:$P$513))/SUMPRODUCT(('Sulphuric Acid freights'!$B$3:$B$513=B280)*('Sulphuric Acid freights'!$D$3:$D$513=D280)*1), AVERAGE('Sulphuric Acid freights'!$P$3:$P$513))*2/3</f>
        <v>75.333333333333329</v>
      </c>
      <c r="M280" s="78" cm="1">
        <f t="array" ref="M280">IFERROR(SUMPRODUCT(('Sulphuric Acid freights'!$B$3:$B$513=B280)*('Sulphuric Acid freights'!$D$3:$D$513=D280)*('Sulphuric Acid freights'!$M$3:$M$513))/SUMPRODUCT(('Sulphuric Acid freights'!$B$3:$B$513=B280)*('Sulphuric Acid freights'!$D$3:$D$513=D280)*1)*2/3, AVERAGE('Sulphuric Acid freights'!$M$3:$M$513))</f>
        <v>16</v>
      </c>
      <c r="N280" s="78">
        <f t="shared" si="51"/>
        <v>67.8</v>
      </c>
      <c r="O280" s="78" cm="1">
        <f t="array" ref="O280">IF(SUMPRODUCT(('Sulphur freight'!$B$3:$B$1976=B280)*('Sulphur freight'!$D$3:$D$1976=D280)*('Sulphur freight'!$G$3:$G$1976))/SUMPRODUCT(('Sulphur freight'!$B$3:$B$1976=B280)*('Sulphur freight'!$D$3:$D$1976=D280)*1)=0, AVERAGE('Sulphur freight'!$G$3:$G$1976),SUMPRODUCT(('Sulphur freight'!$B$3:$B$1976=B280)*('Sulphur freight'!$D$3:$D$1976=D280)*('Sulphur freight'!$G$3:$G$1976))/SUMPRODUCT(('Sulphur freight'!$B$3:$B$1976=B280)*('Sulphur freight'!$D$3:$D$1976=D280)*1))</f>
        <v>32.25</v>
      </c>
      <c r="P280" s="78">
        <v>20</v>
      </c>
      <c r="R280" s="78">
        <f t="shared" si="52"/>
        <v>117.5</v>
      </c>
      <c r="S280" s="78">
        <f t="shared" si="53"/>
        <v>85.75</v>
      </c>
      <c r="T280" s="78">
        <f t="shared" si="48"/>
        <v>109.83333333333333</v>
      </c>
      <c r="U280" s="78">
        <f t="shared" si="54"/>
        <v>133.30000000000001</v>
      </c>
      <c r="V280" s="78">
        <f>IFERROR(I280+O280, "")</f>
        <v>288.75</v>
      </c>
      <c r="W280" s="78">
        <f t="shared" si="55"/>
        <v>185</v>
      </c>
      <c r="X280" s="78">
        <f t="shared" si="56"/>
        <v>113.28750000000001</v>
      </c>
      <c r="Y280" s="78">
        <f t="shared" si="57"/>
        <v>79.050000000000011</v>
      </c>
      <c r="AA280" s="88">
        <f t="shared" si="58"/>
        <v>119.94</v>
      </c>
      <c r="AB280" s="77">
        <f t="shared" si="60"/>
        <v>-6.6524999999999892</v>
      </c>
      <c r="AD280" s="88">
        <f t="shared" si="59"/>
        <v>79.050000000000011</v>
      </c>
      <c r="AE280" s="77">
        <f t="shared" si="61"/>
        <v>40.889999999999986</v>
      </c>
    </row>
    <row r="281" spans="2:31" x14ac:dyDescent="0.35">
      <c r="B281" s="2">
        <v>2025</v>
      </c>
      <c r="C281" s="2">
        <v>2</v>
      </c>
      <c r="D281" s="2">
        <v>4</v>
      </c>
      <c r="E281" s="78">
        <f>'CRU historical'!F280</f>
        <v>38.25</v>
      </c>
      <c r="F281" s="78">
        <f>'CRU historical'!I280</f>
        <v>94.5</v>
      </c>
      <c r="G281" s="78">
        <f>'CRU historical'!L280</f>
        <v>72.75</v>
      </c>
      <c r="H281" s="78">
        <f>'CRU historical'!O280</f>
        <v>121.25</v>
      </c>
      <c r="I281" s="78">
        <f>'CRU historical'!R280</f>
        <v>280</v>
      </c>
      <c r="J281" s="78">
        <f>AVERAGE('CRU historical'!U280, 'CRU historical'!X280, 'CRU historical'!AA280, 'CRU historical'!AD280)</f>
        <v>248</v>
      </c>
      <c r="L281" s="78" cm="1">
        <f t="array" ref="L281">IFERROR(SUMPRODUCT(('Sulphuric Acid freights'!$B$3:$B$513=B281)*('Sulphuric Acid freights'!$D$3:$D$513=D281)*('Sulphuric Acid freights'!$P$3:$P$513))/SUMPRODUCT(('Sulphuric Acid freights'!$B$3:$B$513=B281)*('Sulphuric Acid freights'!$D$3:$D$513=D281)*1), AVERAGE('Sulphuric Acid freights'!$P$3:$P$513))*2/3</f>
        <v>74.333333333333329</v>
      </c>
      <c r="M281" s="78" cm="1">
        <f t="array" ref="M281">IFERROR(SUMPRODUCT(('Sulphuric Acid freights'!$B$3:$B$513=B281)*('Sulphuric Acid freights'!$D$3:$D$513=D281)*('Sulphuric Acid freights'!$M$3:$M$513))/SUMPRODUCT(('Sulphuric Acid freights'!$B$3:$B$513=B281)*('Sulphuric Acid freights'!$D$3:$D$513=D281)*1)*2/3, AVERAGE('Sulphuric Acid freights'!$M$3:$M$513))</f>
        <v>16</v>
      </c>
      <c r="N281" s="78">
        <f t="shared" si="51"/>
        <v>66.899999999999991</v>
      </c>
      <c r="O281" s="78" cm="1">
        <f t="array" ref="O281">IF(SUMPRODUCT(('Sulphur freight'!$B$3:$B$1976=B281)*('Sulphur freight'!$D$3:$D$1976=D281)*('Sulphur freight'!$G$3:$G$1976))/SUMPRODUCT(('Sulphur freight'!$B$3:$B$1976=B281)*('Sulphur freight'!$D$3:$D$1976=D281)*1)=0, AVERAGE('Sulphur freight'!$G$3:$G$1976),SUMPRODUCT(('Sulphur freight'!$B$3:$B$1976=B281)*('Sulphur freight'!$D$3:$D$1976=D281)*('Sulphur freight'!$G$3:$G$1976))/SUMPRODUCT(('Sulphur freight'!$B$3:$B$1976=B281)*('Sulphur freight'!$D$3:$D$1976=D281)*1))</f>
        <v>32</v>
      </c>
      <c r="P281" s="78">
        <v>20</v>
      </c>
      <c r="R281" s="78">
        <f t="shared" si="52"/>
        <v>121.25</v>
      </c>
      <c r="S281" s="78">
        <f t="shared" si="53"/>
        <v>110.5</v>
      </c>
      <c r="T281" s="78">
        <f t="shared" si="48"/>
        <v>112.58333333333333</v>
      </c>
      <c r="U281" s="78">
        <f t="shared" si="54"/>
        <v>139.64999999999998</v>
      </c>
      <c r="V281" s="78">
        <f>IFERROR(I281+O281, "")</f>
        <v>312</v>
      </c>
      <c r="W281" s="78">
        <f t="shared" si="55"/>
        <v>268</v>
      </c>
      <c r="X281" s="78">
        <f t="shared" si="56"/>
        <v>120.96000000000001</v>
      </c>
      <c r="Y281" s="78">
        <f t="shared" si="57"/>
        <v>106.44</v>
      </c>
      <c r="AA281" s="88">
        <f t="shared" si="58"/>
        <v>124.16999999999999</v>
      </c>
      <c r="AB281" s="77">
        <f t="shared" si="60"/>
        <v>-3.2099999999999795</v>
      </c>
      <c r="AD281" s="88">
        <f t="shared" si="59"/>
        <v>106.44</v>
      </c>
      <c r="AE281" s="77">
        <f t="shared" si="61"/>
        <v>17.72999999999999</v>
      </c>
    </row>
    <row r="282" spans="2:31" x14ac:dyDescent="0.35">
      <c r="B282" s="2">
        <v>2025</v>
      </c>
      <c r="C282" s="2">
        <v>2</v>
      </c>
      <c r="D282" s="2">
        <v>5</v>
      </c>
      <c r="E282" s="78">
        <f>'CRU historical'!F281</f>
        <v>43.8</v>
      </c>
      <c r="F282" s="78">
        <f>'CRU historical'!I281</f>
        <v>111.2</v>
      </c>
      <c r="G282" s="78">
        <f>'CRU historical'!L281</f>
        <v>74.2</v>
      </c>
      <c r="H282" s="78">
        <f>'CRU historical'!O281</f>
        <v>153</v>
      </c>
      <c r="I282" s="78">
        <f>'CRU historical'!R281</f>
        <v>295</v>
      </c>
      <c r="J282" s="78">
        <f>AVERAGE('CRU historical'!U281, 'CRU historical'!X281, 'CRU historical'!AA281, 'CRU historical'!AD281)</f>
        <v>248</v>
      </c>
      <c r="L282" s="78" cm="1">
        <f t="array" ref="L282">IFERROR(SUMPRODUCT(('Sulphuric Acid freights'!$B$3:$B$513=B282)*('Sulphuric Acid freights'!$D$3:$D$513=D282)*('Sulphuric Acid freights'!$P$3:$P$513))/SUMPRODUCT(('Sulphuric Acid freights'!$B$3:$B$513=B282)*('Sulphuric Acid freights'!$D$3:$D$513=D282)*1), AVERAGE('Sulphuric Acid freights'!$P$3:$P$513))*2/3</f>
        <v>73.333333333333329</v>
      </c>
      <c r="M282" s="78" cm="1">
        <f t="array" ref="M282">IFERROR(SUMPRODUCT(('Sulphuric Acid freights'!$B$3:$B$513=B282)*('Sulphuric Acid freights'!$D$3:$D$513=D282)*('Sulphuric Acid freights'!$M$3:$M$513))/SUMPRODUCT(('Sulphuric Acid freights'!$B$3:$B$513=B282)*('Sulphuric Acid freights'!$D$3:$D$513=D282)*1)*2/3, AVERAGE('Sulphuric Acid freights'!$M$3:$M$513))</f>
        <v>16</v>
      </c>
      <c r="N282" s="78">
        <f t="shared" si="51"/>
        <v>66</v>
      </c>
      <c r="O282" s="78" cm="1">
        <f t="array" ref="O282">IF(SUMPRODUCT(('Sulphur freight'!$B$3:$B$1976=B282)*('Sulphur freight'!$D$3:$D$1976=D282)*('Sulphur freight'!$G$3:$G$1976))/SUMPRODUCT(('Sulphur freight'!$B$3:$B$1976=B282)*('Sulphur freight'!$D$3:$D$1976=D282)*1)=0, AVERAGE('Sulphur freight'!$G$3:$G$1976),SUMPRODUCT(('Sulphur freight'!$B$3:$B$1976=B282)*('Sulphur freight'!$D$3:$D$1976=D282)*('Sulphur freight'!$G$3:$G$1976))/SUMPRODUCT(('Sulphur freight'!$B$3:$B$1976=B282)*('Sulphur freight'!$D$3:$D$1976=D282)*1))</f>
        <v>31.8</v>
      </c>
      <c r="P282" s="78">
        <v>20</v>
      </c>
      <c r="R282" s="78">
        <f t="shared" si="52"/>
        <v>153</v>
      </c>
      <c r="S282" s="78">
        <f t="shared" si="53"/>
        <v>127.2</v>
      </c>
      <c r="T282" s="78">
        <f t="shared" si="48"/>
        <v>117.13333333333333</v>
      </c>
      <c r="U282" s="78">
        <f t="shared" si="54"/>
        <v>140.19999999999999</v>
      </c>
      <c r="V282" s="78">
        <f>IFERROR(I282+O282, "")</f>
        <v>326.8</v>
      </c>
      <c r="W282" s="78">
        <f t="shared" si="55"/>
        <v>268</v>
      </c>
      <c r="X282" s="78">
        <f t="shared" si="56"/>
        <v>125.84400000000001</v>
      </c>
      <c r="Y282" s="78">
        <f t="shared" si="57"/>
        <v>106.44</v>
      </c>
      <c r="AA282" s="88">
        <f t="shared" si="58"/>
        <v>138.4</v>
      </c>
      <c r="AB282" s="77">
        <f t="shared" si="60"/>
        <v>-12.555999999999997</v>
      </c>
      <c r="AD282" s="88">
        <f t="shared" si="59"/>
        <v>106.44</v>
      </c>
      <c r="AE282" s="77">
        <f t="shared" si="61"/>
        <v>31.960000000000008</v>
      </c>
    </row>
    <row r="283" spans="2:31" x14ac:dyDescent="0.35">
      <c r="B283" s="2">
        <v>2025</v>
      </c>
      <c r="C283" s="2">
        <v>2</v>
      </c>
      <c r="D283" s="2">
        <v>6</v>
      </c>
      <c r="E283" s="78">
        <f>'CRU historical'!F282</f>
        <v>47</v>
      </c>
      <c r="F283" s="78">
        <f>'CRU historical'!I282</f>
        <v>131.25</v>
      </c>
      <c r="G283" s="78">
        <f>'CRU historical'!L282</f>
        <v>89.75</v>
      </c>
      <c r="H283" s="78">
        <f>'CRU historical'!O282</f>
        <v>160</v>
      </c>
      <c r="I283" s="78">
        <f>'CRU historical'!R282</f>
        <v>276.25</v>
      </c>
      <c r="J283" s="78">
        <f>AVERAGE('CRU historical'!U282, 'CRU historical'!X282, 'CRU historical'!AA282, 'CRU historical'!AD282)</f>
        <v>248</v>
      </c>
      <c r="L283" s="78" cm="1">
        <f t="array" ref="L283">IFERROR(SUMPRODUCT(('Sulphuric Acid freights'!$B$3:$B$513=B283)*('Sulphuric Acid freights'!$D$3:$D$513=D283)*('Sulphuric Acid freights'!$P$3:$P$513))/SUMPRODUCT(('Sulphuric Acid freights'!$B$3:$B$513=B283)*('Sulphuric Acid freights'!$D$3:$D$513=D283)*1), AVERAGE('Sulphuric Acid freights'!$P$3:$P$513))*2/3</f>
        <v>69.166666666666671</v>
      </c>
      <c r="M283" s="78" cm="1">
        <f t="array" ref="M283">IFERROR(SUMPRODUCT(('Sulphuric Acid freights'!$B$3:$B$513=B283)*('Sulphuric Acid freights'!$D$3:$D$513=D283)*('Sulphuric Acid freights'!$M$3:$M$513))/SUMPRODUCT(('Sulphuric Acid freights'!$B$3:$B$513=B283)*('Sulphuric Acid freights'!$D$3:$D$513=D283)*1)*2/3, AVERAGE('Sulphuric Acid freights'!$M$3:$M$513))</f>
        <v>15</v>
      </c>
      <c r="N283" s="78">
        <f t="shared" si="51"/>
        <v>62.250000000000007</v>
      </c>
      <c r="O283" s="78" cm="1">
        <f t="array" ref="O283">IF(SUMPRODUCT(('Sulphur freight'!$B$3:$B$1976=B283)*('Sulphur freight'!$D$3:$D$1976=D283)*('Sulphur freight'!$G$3:$G$1976))/SUMPRODUCT(('Sulphur freight'!$B$3:$B$1976=B283)*('Sulphur freight'!$D$3:$D$1976=D283)*1)=0, AVERAGE('Sulphur freight'!$G$3:$G$1976),SUMPRODUCT(('Sulphur freight'!$B$3:$B$1976=B283)*('Sulphur freight'!$D$3:$D$1976=D283)*('Sulphur freight'!$G$3:$G$1976))/SUMPRODUCT(('Sulphur freight'!$B$3:$B$1976=B283)*('Sulphur freight'!$D$3:$D$1976=D283)*1))</f>
        <v>30.75</v>
      </c>
      <c r="P283" s="78">
        <v>20</v>
      </c>
      <c r="R283" s="78">
        <f t="shared" si="52"/>
        <v>160</v>
      </c>
      <c r="S283" s="78">
        <f t="shared" si="53"/>
        <v>146.25</v>
      </c>
      <c r="T283" s="78">
        <f t="shared" si="48"/>
        <v>116.16666666666667</v>
      </c>
      <c r="U283" s="78">
        <f t="shared" si="54"/>
        <v>152</v>
      </c>
      <c r="V283" s="78">
        <f>IFERROR(I283+O283, "")</f>
        <v>307</v>
      </c>
      <c r="W283" s="78">
        <f t="shared" si="55"/>
        <v>268</v>
      </c>
      <c r="X283" s="78">
        <f t="shared" si="56"/>
        <v>119.31</v>
      </c>
      <c r="Y283" s="78">
        <f t="shared" si="57"/>
        <v>106.44</v>
      </c>
      <c r="AA283" s="88">
        <f t="shared" si="58"/>
        <v>144.44999999999999</v>
      </c>
      <c r="AB283" s="77">
        <f t="shared" si="60"/>
        <v>-25.139999999999986</v>
      </c>
      <c r="AD283" s="88">
        <f t="shared" si="59"/>
        <v>106.44</v>
      </c>
      <c r="AE283" s="77">
        <f t="shared" si="61"/>
        <v>38.009999999999991</v>
      </c>
    </row>
    <row r="284" spans="2:31" x14ac:dyDescent="0.35">
      <c r="B284" s="2">
        <v>2025</v>
      </c>
      <c r="C284" s="2">
        <v>3</v>
      </c>
      <c r="D284" s="2">
        <v>7</v>
      </c>
      <c r="E284" s="78">
        <f>'CRU historical'!F283</f>
        <v>52</v>
      </c>
      <c r="F284" s="78">
        <f>'CRU historical'!I283</f>
        <v>124</v>
      </c>
      <c r="G284" s="78">
        <f>'CRU historical'!L283</f>
        <v>94.2</v>
      </c>
      <c r="H284" s="78">
        <f>'CRU historical'!O283</f>
        <v>170</v>
      </c>
      <c r="I284" s="78">
        <f>'CRU historical'!R283</f>
        <v>260</v>
      </c>
      <c r="J284" s="78">
        <f>AVERAGE('CRU historical'!U283, 'CRU historical'!X283, 'CRU historical'!AA283, 'CRU historical'!AD283)</f>
        <v>256</v>
      </c>
      <c r="L284" s="78" cm="1">
        <f t="array" ref="L284">IFERROR(SUMPRODUCT(('Sulphuric Acid freights'!$B$3:$B$513=B284)*('Sulphuric Acid freights'!$D$3:$D$513=D284)*('Sulphuric Acid freights'!$P$3:$P$513))/SUMPRODUCT(('Sulphuric Acid freights'!$B$3:$B$513=B284)*('Sulphuric Acid freights'!$D$3:$D$513=D284)*1), AVERAGE('Sulphuric Acid freights'!$P$3:$P$513))*2/3</f>
        <v>67.600000000000009</v>
      </c>
      <c r="M284" s="78" cm="1">
        <f t="array" ref="M284">IFERROR(SUMPRODUCT(('Sulphuric Acid freights'!$B$3:$B$513=B284)*('Sulphuric Acid freights'!$D$3:$D$513=D284)*('Sulphuric Acid freights'!$M$3:$M$513))/SUMPRODUCT(('Sulphuric Acid freights'!$B$3:$B$513=B284)*('Sulphuric Acid freights'!$D$3:$D$513=D284)*1)*2/3, AVERAGE('Sulphuric Acid freights'!$M$3:$M$513))</f>
        <v>14.666666666666666</v>
      </c>
      <c r="N284" s="78">
        <f t="shared" si="51"/>
        <v>60.840000000000011</v>
      </c>
      <c r="O284" s="78" cm="1">
        <f t="array" ref="O284">IF(SUMPRODUCT(('Sulphur freight'!$B$3:$B$1976=B284)*('Sulphur freight'!$D$3:$D$1976=D284)*('Sulphur freight'!$G$3:$G$1976))/SUMPRODUCT(('Sulphur freight'!$B$3:$B$1976=B284)*('Sulphur freight'!$D$3:$D$1976=D284)*1)=0, AVERAGE('Sulphur freight'!$G$3:$G$1976),SUMPRODUCT(('Sulphur freight'!$B$3:$B$1976=B284)*('Sulphur freight'!$D$3:$D$1976=D284)*('Sulphur freight'!$G$3:$G$1976))/SUMPRODUCT(('Sulphur freight'!$B$3:$B$1976=B284)*('Sulphur freight'!$D$3:$D$1976=D284)*1))</f>
        <v>35</v>
      </c>
      <c r="P284" s="78">
        <v>20</v>
      </c>
      <c r="R284" s="78">
        <f t="shared" si="52"/>
        <v>170</v>
      </c>
      <c r="S284" s="78">
        <f t="shared" si="53"/>
        <v>138.66666666666666</v>
      </c>
      <c r="T284" s="78">
        <f t="shared" si="48"/>
        <v>119.60000000000001</v>
      </c>
      <c r="U284" s="78">
        <f t="shared" si="54"/>
        <v>155.04000000000002</v>
      </c>
      <c r="V284" s="78">
        <f>IFERROR(I284+O284, "")</f>
        <v>295</v>
      </c>
      <c r="W284" s="78">
        <f t="shared" si="55"/>
        <v>276</v>
      </c>
      <c r="X284" s="78">
        <f t="shared" si="56"/>
        <v>115.35000000000001</v>
      </c>
      <c r="Y284" s="78">
        <f t="shared" si="57"/>
        <v>109.08</v>
      </c>
      <c r="AA284" s="88">
        <f t="shared" si="58"/>
        <v>150.392</v>
      </c>
      <c r="AB284" s="77">
        <f t="shared" si="60"/>
        <v>-35.041999999999987</v>
      </c>
      <c r="AD284" s="88">
        <f t="shared" si="59"/>
        <v>109.08</v>
      </c>
      <c r="AE284" s="77">
        <f t="shared" si="61"/>
        <v>41.311999999999998</v>
      </c>
    </row>
    <row r="285" spans="2:31" x14ac:dyDescent="0.35">
      <c r="B285" s="2">
        <v>2025</v>
      </c>
      <c r="C285" s="2">
        <v>3</v>
      </c>
      <c r="D285" s="2">
        <v>8</v>
      </c>
      <c r="E285" s="78" t="str">
        <f>'CRU historical'!F284</f>
        <v xml:space="preserve"> </v>
      </c>
      <c r="F285" s="78">
        <f>'CRU historical'!I284</f>
        <v>116.25</v>
      </c>
      <c r="G285" s="78">
        <f>'CRU historical'!L284</f>
        <v>96</v>
      </c>
      <c r="H285" s="78">
        <f>'CRU historical'!O284</f>
        <v>165</v>
      </c>
      <c r="I285" s="78">
        <f>'CRU historical'!R284</f>
        <v>274.75</v>
      </c>
      <c r="J285" s="78">
        <f>AVERAGE('CRU historical'!U284, 'CRU historical'!X284, 'CRU historical'!AA284, 'CRU historical'!AD284)</f>
        <v>268</v>
      </c>
      <c r="L285" s="78" cm="1">
        <f t="array" ref="L285">IFERROR(SUMPRODUCT(('Sulphuric Acid freights'!$B$3:$B$513=B285)*('Sulphuric Acid freights'!$D$3:$D$513=D285)*('Sulphuric Acid freights'!$P$3:$P$513))/SUMPRODUCT(('Sulphuric Acid freights'!$B$3:$B$513=B285)*('Sulphuric Acid freights'!$D$3:$D$513=D285)*1), AVERAGE('Sulphuric Acid freights'!$P$3:$P$513))*2/3</f>
        <v>66</v>
      </c>
      <c r="M285" s="78" cm="1">
        <f t="array" ref="M285">IFERROR(SUMPRODUCT(('Sulphuric Acid freights'!$B$3:$B$513=B285)*('Sulphuric Acid freights'!$D$3:$D$513=D285)*('Sulphuric Acid freights'!$M$3:$M$513))/SUMPRODUCT(('Sulphuric Acid freights'!$B$3:$B$513=B285)*('Sulphuric Acid freights'!$D$3:$D$513=D285)*1)*2/3, AVERAGE('Sulphuric Acid freights'!$M$3:$M$513))</f>
        <v>14.666666666666666</v>
      </c>
      <c r="N285" s="78">
        <f t="shared" si="51"/>
        <v>59.4</v>
      </c>
      <c r="O285" s="78" cm="1">
        <f t="array" ref="O285">IF(SUMPRODUCT(('Sulphur freight'!$B$3:$B$1976=B285)*('Sulphur freight'!$D$3:$D$1976=D285)*('Sulphur freight'!$G$3:$G$1976))/SUMPRODUCT(('Sulphur freight'!$B$3:$B$1976=B285)*('Sulphur freight'!$D$3:$D$1976=D285)*1)=0, AVERAGE('Sulphur freight'!$G$3:$G$1976),SUMPRODUCT(('Sulphur freight'!$B$3:$B$1976=B285)*('Sulphur freight'!$D$3:$D$1976=D285)*('Sulphur freight'!$G$3:$G$1976))/SUMPRODUCT(('Sulphur freight'!$B$3:$B$1976=B285)*('Sulphur freight'!$D$3:$D$1976=D285)*1))</f>
        <v>35.75</v>
      </c>
      <c r="P285" s="78">
        <v>20</v>
      </c>
      <c r="R285" s="78">
        <f t="shared" si="52"/>
        <v>165</v>
      </c>
      <c r="S285" s="78">
        <f t="shared" si="53"/>
        <v>130.91666666666666</v>
      </c>
      <c r="T285" s="94">
        <f>T284*(U285/U284)</f>
        <v>119.87770897832816</v>
      </c>
      <c r="U285" s="78">
        <f t="shared" si="54"/>
        <v>155.4</v>
      </c>
      <c r="V285" s="78">
        <f>IFERROR(I285+O285, "")</f>
        <v>310.5</v>
      </c>
      <c r="W285" s="78">
        <f t="shared" si="55"/>
        <v>288</v>
      </c>
      <c r="X285" s="78">
        <f t="shared" si="56"/>
        <v>120.465</v>
      </c>
      <c r="Y285" s="78">
        <f t="shared" si="57"/>
        <v>113.04</v>
      </c>
      <c r="AA285" s="88">
        <f t="shared" si="58"/>
        <v>148.58331269349844</v>
      </c>
      <c r="AB285" s="77">
        <f t="shared" si="60"/>
        <v>-28.118312693498439</v>
      </c>
      <c r="AD285" s="88">
        <f t="shared" si="59"/>
        <v>113.04</v>
      </c>
      <c r="AE285" s="77">
        <f t="shared" si="61"/>
        <v>35.543312693498436</v>
      </c>
    </row>
    <row r="286" spans="2:31" x14ac:dyDescent="0.35">
      <c r="B286" s="2">
        <v>2025</v>
      </c>
      <c r="C286" s="2">
        <v>3</v>
      </c>
      <c r="D286" s="2">
        <v>9</v>
      </c>
      <c r="E286" s="78" t="str">
        <f>'CRU historical'!F285</f>
        <v xml:space="preserve"> </v>
      </c>
      <c r="F286" s="78">
        <f>'CRU historical'!I285</f>
        <v>79.5</v>
      </c>
      <c r="G286" s="78">
        <f>'CRU historical'!L285</f>
        <v>76</v>
      </c>
      <c r="H286" s="78">
        <f>'CRU historical'!O285</f>
        <v>130</v>
      </c>
      <c r="I286" s="78">
        <f>'CRU historical'!R285</f>
        <v>307.75</v>
      </c>
      <c r="J286" s="78">
        <f>AVERAGE('CRU historical'!U285, 'CRU historical'!X285, 'CRU historical'!AA285, 'CRU historical'!AD285)</f>
        <v>268</v>
      </c>
      <c r="L286" s="78" cm="1">
        <f t="array" ref="L286">IFERROR(SUMPRODUCT(('Sulphuric Acid freights'!$B$3:$B$513=B286)*('Sulphuric Acid freights'!$D$3:$D$513=D286)*('Sulphuric Acid freights'!$P$3:$P$513))/SUMPRODUCT(('Sulphuric Acid freights'!$B$3:$B$513=B286)*('Sulphuric Acid freights'!$D$3:$D$513=D286)*1), AVERAGE('Sulphuric Acid freights'!$P$3:$P$513))*2/3</f>
        <v>66</v>
      </c>
      <c r="M286" s="78" cm="1">
        <f t="array" ref="M286">IFERROR(SUMPRODUCT(('Sulphuric Acid freights'!$B$3:$B$513=B286)*('Sulphuric Acid freights'!$D$3:$D$513=D286)*('Sulphuric Acid freights'!$M$3:$M$513))/SUMPRODUCT(('Sulphuric Acid freights'!$B$3:$B$513=B286)*('Sulphuric Acid freights'!$D$3:$D$513=D286)*1)*2/3, AVERAGE('Sulphuric Acid freights'!$M$3:$M$513))</f>
        <v>14.666666666666666</v>
      </c>
      <c r="N286" s="78">
        <f t="shared" si="51"/>
        <v>59.4</v>
      </c>
      <c r="O286" s="78" cm="1">
        <f t="array" ref="O286">IF(SUMPRODUCT(('Sulphur freight'!$B$3:$B$1976=B286)*('Sulphur freight'!$D$3:$D$1976=D286)*('Sulphur freight'!$G$3:$G$1976))/SUMPRODUCT(('Sulphur freight'!$B$3:$B$1976=B286)*('Sulphur freight'!$D$3:$D$1976=D286)*1)=0, AVERAGE('Sulphur freight'!$G$3:$G$1976),SUMPRODUCT(('Sulphur freight'!$B$3:$B$1976=B286)*('Sulphur freight'!$D$3:$D$1976=D286)*('Sulphur freight'!$G$3:$G$1976))/SUMPRODUCT(('Sulphur freight'!$B$3:$B$1976=B286)*('Sulphur freight'!$D$3:$D$1976=D286)*1))</f>
        <v>35.5</v>
      </c>
      <c r="P286" s="78">
        <v>20</v>
      </c>
      <c r="R286" s="78">
        <f t="shared" si="52"/>
        <v>130</v>
      </c>
      <c r="S286" s="78">
        <f t="shared" si="53"/>
        <v>94.166666666666671</v>
      </c>
      <c r="T286" s="94">
        <f t="shared" ref="T286:T289" si="62">T285*(U286/U285)</f>
        <v>104.44943240454074</v>
      </c>
      <c r="U286" s="78">
        <f t="shared" si="54"/>
        <v>135.4</v>
      </c>
      <c r="V286" s="78">
        <f>IFERROR(I286+O286, "")</f>
        <v>343.25</v>
      </c>
      <c r="W286" s="78">
        <f t="shared" si="55"/>
        <v>288</v>
      </c>
      <c r="X286" s="78">
        <f t="shared" si="56"/>
        <v>131.27250000000001</v>
      </c>
      <c r="Y286" s="78">
        <f t="shared" si="57"/>
        <v>113.04</v>
      </c>
      <c r="AA286" s="88">
        <f t="shared" si="58"/>
        <v>123.95482972136222</v>
      </c>
      <c r="AB286" s="77">
        <f t="shared" si="60"/>
        <v>7.3176702786377916</v>
      </c>
      <c r="AD286" s="88">
        <f t="shared" si="59"/>
        <v>113.04</v>
      </c>
      <c r="AE286" s="77">
        <f t="shared" si="61"/>
        <v>10.91482972136221</v>
      </c>
    </row>
    <row r="287" spans="2:31" x14ac:dyDescent="0.35">
      <c r="B287" s="2">
        <v>2025</v>
      </c>
      <c r="C287" s="2">
        <v>4</v>
      </c>
      <c r="D287" s="2">
        <v>10</v>
      </c>
      <c r="E287" s="78" t="str">
        <f>'CRU historical'!F286</f>
        <v xml:space="preserve"> </v>
      </c>
      <c r="F287" s="78">
        <f>'CRU historical'!I286</f>
        <v>80.2</v>
      </c>
      <c r="G287" s="78">
        <f>'CRU historical'!L286</f>
        <v>79.2</v>
      </c>
      <c r="H287" s="78">
        <f>'CRU historical'!O286</f>
        <v>130</v>
      </c>
      <c r="I287" s="78">
        <f>'CRU historical'!R286</f>
        <v>359.8</v>
      </c>
      <c r="J287" s="78">
        <f>AVERAGE('CRU historical'!U286, 'CRU historical'!X286, 'CRU historical'!AA286, 'CRU historical'!AD286)</f>
        <v>301.60000000000002</v>
      </c>
      <c r="L287" s="78" cm="1">
        <f t="array" ref="L287">IFERROR(SUMPRODUCT(('Sulphuric Acid freights'!$B$3:$B$513=B287)*('Sulphuric Acid freights'!$D$3:$D$513=D287)*('Sulphuric Acid freights'!$P$3:$P$513))/SUMPRODUCT(('Sulphuric Acid freights'!$B$3:$B$513=B287)*('Sulphuric Acid freights'!$D$3:$D$513=D287)*1), AVERAGE('Sulphuric Acid freights'!$P$3:$P$513))*2/3</f>
        <v>66</v>
      </c>
      <c r="M287" s="78" cm="1">
        <f t="array" ref="M287">IFERROR(SUMPRODUCT(('Sulphuric Acid freights'!$B$3:$B$513=B287)*('Sulphuric Acid freights'!$D$3:$D$513=D287)*('Sulphuric Acid freights'!$M$3:$M$513))/SUMPRODUCT(('Sulphuric Acid freights'!$B$3:$B$513=B287)*('Sulphuric Acid freights'!$D$3:$D$513=D287)*1)*2/3, AVERAGE('Sulphuric Acid freights'!$M$3:$M$513))</f>
        <v>13.6</v>
      </c>
      <c r="N287" s="78">
        <f t="shared" si="51"/>
        <v>59.4</v>
      </c>
      <c r="O287" s="78" cm="1">
        <f t="array" ref="O287">IF(SUMPRODUCT(('Sulphur freight'!$B$3:$B$1976=B287)*('Sulphur freight'!$D$3:$D$1976=D287)*('Sulphur freight'!$G$3:$G$1976))/SUMPRODUCT(('Sulphur freight'!$B$3:$B$1976=B287)*('Sulphur freight'!$D$3:$D$1976=D287)*1)=0, AVERAGE('Sulphur freight'!$G$3:$G$1976),SUMPRODUCT(('Sulphur freight'!$B$3:$B$1976=B287)*('Sulphur freight'!$D$3:$D$1976=D287)*('Sulphur freight'!$G$3:$G$1976))/SUMPRODUCT(('Sulphur freight'!$B$3:$B$1976=B287)*('Sulphur freight'!$D$3:$D$1976=D287)*1))</f>
        <v>31</v>
      </c>
      <c r="P287" s="78">
        <v>20</v>
      </c>
      <c r="R287" s="78">
        <f t="shared" si="52"/>
        <v>130</v>
      </c>
      <c r="S287" s="78">
        <f t="shared" si="53"/>
        <v>93.8</v>
      </c>
      <c r="T287" s="94">
        <f t="shared" si="62"/>
        <v>106.91795665634672</v>
      </c>
      <c r="U287" s="78">
        <f t="shared" si="54"/>
        <v>138.6</v>
      </c>
      <c r="V287" s="78">
        <f>IFERROR(I287+O287, "")</f>
        <v>390.8</v>
      </c>
      <c r="W287" s="78">
        <f t="shared" si="55"/>
        <v>321.60000000000002</v>
      </c>
      <c r="X287" s="78">
        <f t="shared" si="56"/>
        <v>146.964</v>
      </c>
      <c r="Y287" s="78">
        <f t="shared" si="57"/>
        <v>124.12800000000001</v>
      </c>
      <c r="AA287" s="88">
        <f t="shared" si="58"/>
        <v>125.65538699690401</v>
      </c>
      <c r="AB287" s="77">
        <f t="shared" si="60"/>
        <v>21.308613003095985</v>
      </c>
      <c r="AD287" s="88">
        <f t="shared" si="59"/>
        <v>124.12800000000001</v>
      </c>
      <c r="AE287" s="77">
        <f t="shared" si="61"/>
        <v>1.5273869969039993</v>
      </c>
    </row>
    <row r="288" spans="2:31" x14ac:dyDescent="0.35">
      <c r="B288" s="2">
        <v>2025</v>
      </c>
      <c r="C288" s="2">
        <v>4</v>
      </c>
      <c r="D288" s="2">
        <v>11</v>
      </c>
      <c r="E288" s="78" t="str">
        <f>'CRU historical'!F287</f>
        <v xml:space="preserve"> </v>
      </c>
      <c r="F288" s="78">
        <f>'CRU historical'!I287</f>
        <v>97.75</v>
      </c>
      <c r="G288" s="78">
        <f>'CRU historical'!L287</f>
        <v>105.75</v>
      </c>
      <c r="H288" s="78">
        <f>'CRU historical'!O287</f>
        <v>132.5</v>
      </c>
      <c r="I288" s="78">
        <f>'CRU historical'!R287</f>
        <v>452</v>
      </c>
      <c r="J288" s="78">
        <f>AVERAGE('CRU historical'!U287, 'CRU historical'!X287, 'CRU historical'!AA287, 'CRU historical'!AD287)</f>
        <v>310</v>
      </c>
      <c r="L288" s="78" cm="1">
        <f t="array" ref="L288">IFERROR(SUMPRODUCT(('Sulphuric Acid freights'!$B$3:$B$513=B288)*('Sulphuric Acid freights'!$D$3:$D$513=D288)*('Sulphuric Acid freights'!$P$3:$P$513))/SUMPRODUCT(('Sulphuric Acid freights'!$B$3:$B$513=B288)*('Sulphuric Acid freights'!$D$3:$D$513=D288)*1), AVERAGE('Sulphuric Acid freights'!$P$3:$P$513))*2/3</f>
        <v>66</v>
      </c>
      <c r="M288" s="78" cm="1">
        <f t="array" ref="M288">IFERROR(SUMPRODUCT(('Sulphuric Acid freights'!$B$3:$B$513=B288)*('Sulphuric Acid freights'!$D$3:$D$513=D288)*('Sulphuric Acid freights'!$M$3:$M$513))/SUMPRODUCT(('Sulphuric Acid freights'!$B$3:$B$513=B288)*('Sulphuric Acid freights'!$D$3:$D$513=D288)*1)*2/3, AVERAGE('Sulphuric Acid freights'!$M$3:$M$513))</f>
        <v>14.666666666666666</v>
      </c>
      <c r="N288" s="78">
        <f t="shared" si="51"/>
        <v>59.4</v>
      </c>
      <c r="O288" s="78" cm="1">
        <f t="array" ref="O288">IF(SUMPRODUCT(('Sulphur freight'!$B$3:$B$1976=B288)*('Sulphur freight'!$D$3:$D$1976=D288)*('Sulphur freight'!$G$3:$G$1976))/SUMPRODUCT(('Sulphur freight'!$B$3:$B$1976=B288)*('Sulphur freight'!$D$3:$D$1976=D288)*1)=0, AVERAGE('Sulphur freight'!$G$3:$G$1976),SUMPRODUCT(('Sulphur freight'!$B$3:$B$1976=B288)*('Sulphur freight'!$D$3:$D$1976=D288)*('Sulphur freight'!$G$3:$G$1976))/SUMPRODUCT(('Sulphur freight'!$B$3:$B$1976=B288)*('Sulphur freight'!$D$3:$D$1976=D288)*1))</f>
        <v>32</v>
      </c>
      <c r="P288" s="78">
        <v>20</v>
      </c>
      <c r="R288" s="78">
        <f t="shared" si="52"/>
        <v>132.5</v>
      </c>
      <c r="S288" s="78">
        <f t="shared" si="53"/>
        <v>112.41666666666667</v>
      </c>
      <c r="T288" s="94">
        <f t="shared" si="62"/>
        <v>127.39899380804951</v>
      </c>
      <c r="U288" s="78">
        <f t="shared" si="54"/>
        <v>165.15</v>
      </c>
      <c r="V288" s="78">
        <f>IFERROR(I288+O288, "")</f>
        <v>484</v>
      </c>
      <c r="W288" s="78">
        <f t="shared" si="55"/>
        <v>330</v>
      </c>
      <c r="X288" s="78">
        <f t="shared" si="56"/>
        <v>177.72</v>
      </c>
      <c r="Y288" s="78">
        <f t="shared" si="57"/>
        <v>126.9</v>
      </c>
      <c r="AA288" s="88">
        <f t="shared" si="58"/>
        <v>140.76469814241483</v>
      </c>
      <c r="AB288" s="77">
        <f t="shared" si="60"/>
        <v>36.95530185758517</v>
      </c>
      <c r="AD288" s="88">
        <f t="shared" si="59"/>
        <v>126.9</v>
      </c>
      <c r="AE288" s="77">
        <f t="shared" si="61"/>
        <v>13.864698142414824</v>
      </c>
    </row>
    <row r="289" spans="2:31" x14ac:dyDescent="0.35">
      <c r="B289" s="2">
        <v>2025</v>
      </c>
      <c r="C289" s="2">
        <v>4</v>
      </c>
      <c r="D289" s="2">
        <v>12</v>
      </c>
      <c r="E289" s="78" t="str">
        <f>'CRU historical'!F288</f>
        <v xml:space="preserve"> </v>
      </c>
      <c r="F289" s="78">
        <f>'CRU historical'!I288</f>
        <v>106</v>
      </c>
      <c r="G289" s="78">
        <f>'CRU historical'!L288</f>
        <v>113</v>
      </c>
      <c r="H289" s="78">
        <f>'CRU historical'!O288</f>
        <v>136</v>
      </c>
      <c r="I289" s="78">
        <f>'CRU historical'!R288</f>
        <v>507</v>
      </c>
      <c r="J289" s="78">
        <f>AVERAGE('CRU historical'!U288, 'CRU historical'!X288, 'CRU historical'!AA288, 'CRU historical'!AD288)</f>
        <v>310</v>
      </c>
      <c r="L289" s="78" cm="1">
        <f t="array" ref="L289">IFERROR(SUMPRODUCT(('Sulphuric Acid freights'!$B$3:$B$513=B289)*('Sulphuric Acid freights'!$D$3:$D$513=D289)*('Sulphuric Acid freights'!$P$3:$P$513))/SUMPRODUCT(('Sulphuric Acid freights'!$B$3:$B$513=B289)*('Sulphuric Acid freights'!$D$3:$D$513=D289)*1), AVERAGE('Sulphuric Acid freights'!$P$3:$P$513))*2/3</f>
        <v>66</v>
      </c>
      <c r="M289" s="78" cm="1">
        <f t="array" ref="M289">IFERROR(SUMPRODUCT(('Sulphuric Acid freights'!$B$3:$B$513=B289)*('Sulphuric Acid freights'!$D$3:$D$513=D289)*('Sulphuric Acid freights'!$M$3:$M$513))/SUMPRODUCT(('Sulphuric Acid freights'!$B$3:$B$513=B289)*('Sulphuric Acid freights'!$D$3:$D$513=D289)*1)*2/3, AVERAGE('Sulphuric Acid freights'!$M$3:$M$513))</f>
        <v>14.666666666666666</v>
      </c>
      <c r="N289" s="78">
        <f t="shared" si="51"/>
        <v>59.4</v>
      </c>
      <c r="O289" s="78" cm="1">
        <f t="array" ref="O289">IF(SUMPRODUCT(('Sulphur freight'!$B$3:$B$1976=B289)*('Sulphur freight'!$D$3:$D$1976=D289)*('Sulphur freight'!$G$3:$G$1976))/SUMPRODUCT(('Sulphur freight'!$B$3:$B$1976=B289)*('Sulphur freight'!$D$3:$D$1976=D289)*1)=0, AVERAGE('Sulphur freight'!$G$3:$G$1976),SUMPRODUCT(('Sulphur freight'!$B$3:$B$1976=B289)*('Sulphur freight'!$D$3:$D$1976=D289)*('Sulphur freight'!$G$3:$G$1976))/SUMPRODUCT(('Sulphur freight'!$B$3:$B$1976=B289)*('Sulphur freight'!$D$3:$D$1976=D289)*1))</f>
        <v>32.666666666666664</v>
      </c>
      <c r="P289" s="78">
        <v>20</v>
      </c>
      <c r="R289" s="78">
        <f t="shared" si="52"/>
        <v>136</v>
      </c>
      <c r="S289" s="78">
        <f t="shared" si="53"/>
        <v>120.66666666666667</v>
      </c>
      <c r="T289" s="94">
        <f t="shared" si="62"/>
        <v>132.99174406604743</v>
      </c>
      <c r="U289" s="78">
        <f t="shared" si="54"/>
        <v>172.4</v>
      </c>
      <c r="V289" s="78">
        <f>IFERROR(I289+O289, "")</f>
        <v>539.66666666666663</v>
      </c>
      <c r="W289" s="78">
        <f t="shared" si="55"/>
        <v>330</v>
      </c>
      <c r="X289" s="78">
        <f>IFERROR(V289*0.33+18, "")</f>
        <v>196.09</v>
      </c>
      <c r="Y289" s="78">
        <f>IF(J289=0,0,W289*0.33+18)</f>
        <v>126.9</v>
      </c>
      <c r="AA289" s="88">
        <f t="shared" si="58"/>
        <v>146.01752321981422</v>
      </c>
      <c r="AB289" s="77">
        <f t="shared" si="60"/>
        <v>50.072476780185781</v>
      </c>
      <c r="AD289" s="88">
        <f t="shared" si="59"/>
        <v>126.9</v>
      </c>
      <c r="AE289" s="77">
        <f t="shared" si="61"/>
        <v>19.117523219814217</v>
      </c>
    </row>
    <row r="291" spans="2:31" x14ac:dyDescent="0.35">
      <c r="B291" s="2">
        <v>2026</v>
      </c>
      <c r="S291" s="78">
        <f>'ACS - CRU Outlook'!D18</f>
        <v>83.482142857142861</v>
      </c>
      <c r="T291" s="78">
        <f>'ACS - CRU Outlook'!H18+'Simulateur sur Avg'!$L$289</f>
        <v>155.67083333333335</v>
      </c>
      <c r="U291" s="78">
        <f>'ACS - CRU Outlook'!I18+'Simulateur sur Avg'!$N$289</f>
        <v>143.65416666666667</v>
      </c>
      <c r="V291" s="78">
        <f>'S - CRU Outlook'!C18+$O$289</f>
        <v>384.95976440337535</v>
      </c>
      <c r="W291" s="78">
        <f>'S - CRU Outlook'!J18+$P$289</f>
        <v>384.31321807773236</v>
      </c>
      <c r="X291" s="78">
        <f>V291*0.33+18</f>
        <v>145.03672225311385</v>
      </c>
      <c r="Y291" s="78">
        <f>W291*0.33+18</f>
        <v>144.82336196565169</v>
      </c>
      <c r="AA291" s="88">
        <f t="shared" ref="AA291:AA295" si="63">IF(OR(S291="", T291="", U291=""), "", MAX(R291,S291)*40%+T291*30%+U291*30%)</f>
        <v>123.19035714285715</v>
      </c>
      <c r="AB291" s="77">
        <f t="shared" ref="AB291:AB295" si="64">IF(AA291="", "", MAX(X291, Y291)-AA291)</f>
        <v>21.846365110256698</v>
      </c>
      <c r="AD291" s="88">
        <f t="shared" ref="AD291:AD295" si="65">IFERROR(MIN((MAX(R291,S291)*70%+U291*30%), Y291), "")</f>
        <v>101.53375</v>
      </c>
      <c r="AE291" s="77">
        <f t="shared" ref="AE291:AE295" si="66">IF(AD291="", "", MAX(AA291, AB291)-AD291)</f>
        <v>21.656607142857155</v>
      </c>
    </row>
    <row r="292" spans="2:31" x14ac:dyDescent="0.35">
      <c r="B292" s="2">
        <v>2027</v>
      </c>
      <c r="S292" s="78">
        <f>'ACS - CRU Outlook'!D19</f>
        <v>80.929218649967368</v>
      </c>
      <c r="T292" s="78">
        <f>'ACS - CRU Outlook'!H19+'Simulateur sur Avg'!$L$289</f>
        <v>125.92921864996737</v>
      </c>
      <c r="U292" s="78">
        <f>'ACS - CRU Outlook'!I19+'Simulateur sur Avg'!$N$289</f>
        <v>125.32921864996737</v>
      </c>
      <c r="V292" s="78">
        <f>'S - CRU Outlook'!C19+$O$289</f>
        <v>274.13202850127527</v>
      </c>
      <c r="W292" s="78">
        <f>'S - CRU Outlook'!J19+$P$289</f>
        <v>273.30843515472282</v>
      </c>
      <c r="X292" s="78">
        <f t="shared" ref="X292:X295" si="67">V292*0.33+18</f>
        <v>108.46356940542084</v>
      </c>
      <c r="Y292" s="78">
        <f t="shared" ref="Y292:Y295" si="68">W292*0.33+18</f>
        <v>108.19178360105853</v>
      </c>
      <c r="AA292" s="88">
        <f t="shared" si="63"/>
        <v>107.74921864996737</v>
      </c>
      <c r="AB292" s="77">
        <f t="shared" si="64"/>
        <v>0.71435075545346649</v>
      </c>
      <c r="AD292" s="88">
        <f t="shared" si="65"/>
        <v>94.249218649967361</v>
      </c>
      <c r="AE292" s="77">
        <f t="shared" si="66"/>
        <v>13.500000000000014</v>
      </c>
    </row>
    <row r="293" spans="2:31" x14ac:dyDescent="0.35">
      <c r="B293" s="2">
        <v>2028</v>
      </c>
      <c r="S293" s="78">
        <f>'ACS - CRU Outlook'!D20</f>
        <v>66.644459411765922</v>
      </c>
      <c r="T293" s="78">
        <f>'ACS - CRU Outlook'!H20+'Simulateur sur Avg'!$L$289</f>
        <v>120.64445941176592</v>
      </c>
      <c r="U293" s="78">
        <f>'ACS - CRU Outlook'!I20+'Simulateur sur Avg'!$N$289</f>
        <v>120.04445941176593</v>
      </c>
      <c r="V293" s="78">
        <f>'S - CRU Outlook'!C20+$O$289</f>
        <v>246.84319993513944</v>
      </c>
      <c r="W293" s="78">
        <f>'S - CRU Outlook'!J20+$P$289</f>
        <v>246.2354260592351</v>
      </c>
      <c r="X293" s="78">
        <f t="shared" si="67"/>
        <v>99.458255978596014</v>
      </c>
      <c r="Y293" s="78">
        <f t="shared" si="68"/>
        <v>99.257690599547587</v>
      </c>
      <c r="AA293" s="88">
        <f t="shared" si="63"/>
        <v>98.864459411765921</v>
      </c>
      <c r="AB293" s="77">
        <f t="shared" si="64"/>
        <v>0.5937965668300933</v>
      </c>
      <c r="AD293" s="88">
        <f t="shared" si="65"/>
        <v>82.664459411765918</v>
      </c>
      <c r="AE293" s="77">
        <f t="shared" si="66"/>
        <v>16.200000000000003</v>
      </c>
    </row>
    <row r="294" spans="2:31" x14ac:dyDescent="0.35">
      <c r="B294" s="2">
        <v>2029</v>
      </c>
      <c r="S294" s="78">
        <f>'ACS - CRU Outlook'!D21</f>
        <v>65.394434091179392</v>
      </c>
      <c r="T294" s="78">
        <f>'ACS - CRU Outlook'!H21+'Simulateur sur Avg'!$L$289</f>
        <v>114.39443409117939</v>
      </c>
      <c r="U294" s="78">
        <f>'ACS - CRU Outlook'!I21+'Simulateur sur Avg'!$N$289</f>
        <v>113.7944340911794</v>
      </c>
      <c r="V294" s="78">
        <f>'S - CRU Outlook'!C21+$O$289</f>
        <v>239.17879229225824</v>
      </c>
      <c r="W294" s="78">
        <f>'S - CRU Outlook'!J21+$P$289</f>
        <v>238.64586806118723</v>
      </c>
      <c r="X294" s="78">
        <f t="shared" si="67"/>
        <v>96.929001456445221</v>
      </c>
      <c r="Y294" s="78">
        <f t="shared" si="68"/>
        <v>96.753136460191783</v>
      </c>
      <c r="AA294" s="88">
        <f t="shared" si="63"/>
        <v>94.61443409117939</v>
      </c>
      <c r="AB294" s="77">
        <f t="shared" si="64"/>
        <v>2.3145673652658303</v>
      </c>
      <c r="AD294" s="88">
        <f t="shared" si="65"/>
        <v>79.914434091179388</v>
      </c>
      <c r="AE294" s="77">
        <f t="shared" si="66"/>
        <v>14.700000000000003</v>
      </c>
    </row>
    <row r="295" spans="2:31" x14ac:dyDescent="0.35">
      <c r="B295" s="2">
        <v>2030</v>
      </c>
      <c r="S295" s="78">
        <f>'ACS - CRU Outlook'!D22</f>
        <v>61.438116229710772</v>
      </c>
      <c r="T295" s="78">
        <f>'ACS - CRU Outlook'!H22+'Simulateur sur Avg'!$L$289</f>
        <v>108.43811622971077</v>
      </c>
      <c r="U295" s="78">
        <f>'ACS - CRU Outlook'!I22+'Simulateur sur Avg'!$N$289</f>
        <v>107.83811622971078</v>
      </c>
      <c r="V295" s="78">
        <f>'S - CRU Outlook'!C22+$O$289</f>
        <v>243.75993644569931</v>
      </c>
      <c r="W295" s="78">
        <f>'S - CRU Outlook'!J22+$P$289</f>
        <v>243.21408778790359</v>
      </c>
      <c r="X295" s="78">
        <f t="shared" si="67"/>
        <v>98.440779027080779</v>
      </c>
      <c r="Y295" s="78">
        <f t="shared" si="68"/>
        <v>98.260648970008191</v>
      </c>
      <c r="AA295" s="88">
        <f t="shared" si="63"/>
        <v>89.458116229710768</v>
      </c>
      <c r="AB295" s="77">
        <f t="shared" si="64"/>
        <v>8.9826627973700113</v>
      </c>
      <c r="AD295" s="88">
        <f t="shared" si="65"/>
        <v>75.35811622971076</v>
      </c>
      <c r="AE295" s="77">
        <f t="shared" si="66"/>
        <v>14.100000000000009</v>
      </c>
    </row>
    <row r="296" spans="2:31" x14ac:dyDescent="0.35">
      <c r="B296" s="2">
        <v>2031</v>
      </c>
    </row>
    <row r="297" spans="2:31" x14ac:dyDescent="0.35">
      <c r="B297" s="2">
        <v>2032</v>
      </c>
    </row>
    <row r="298" spans="2:31" x14ac:dyDescent="0.35">
      <c r="B298" s="2">
        <v>2033</v>
      </c>
    </row>
    <row r="299" spans="2:31" x14ac:dyDescent="0.35">
      <c r="B299" s="2">
        <v>2034</v>
      </c>
    </row>
    <row r="300" spans="2:31" x14ac:dyDescent="0.35">
      <c r="B300" s="2">
        <v>2035</v>
      </c>
    </row>
    <row r="301" spans="2:31" x14ac:dyDescent="0.35">
      <c r="B301" s="2">
        <v>2036</v>
      </c>
    </row>
    <row r="302" spans="2:31" x14ac:dyDescent="0.35">
      <c r="B302" s="2">
        <v>2037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78CA-7975-4525-A6E9-BFFCF01DF80C}">
  <dimension ref="B1:AE453"/>
  <sheetViews>
    <sheetView showGridLines="0" tabSelected="1" workbookViewId="0">
      <pane xSplit="4" ySplit="27" topLeftCell="G28" activePane="bottomRight" state="frozen"/>
      <selection pane="topRight" activeCell="E1" sqref="E1"/>
      <selection pane="bottomLeft" activeCell="A6" sqref="A6"/>
      <selection pane="bottomRight" activeCell="Q18" sqref="Q18:Q23"/>
    </sheetView>
  </sheetViews>
  <sheetFormatPr baseColWidth="10" defaultRowHeight="14.5" x14ac:dyDescent="0.35"/>
  <cols>
    <col min="1" max="1" width="2.7265625" customWidth="1"/>
    <col min="5" max="5" width="18.81640625" style="78" bestFit="1" customWidth="1"/>
    <col min="6" max="6" width="18.90625" style="78" bestFit="1" customWidth="1"/>
    <col min="7" max="7" width="18.81640625" style="78" bestFit="1" customWidth="1"/>
    <col min="8" max="8" width="20.7265625" style="78" bestFit="1" customWidth="1"/>
    <col min="9" max="9" width="21.90625" style="78" bestFit="1" customWidth="1"/>
    <col min="10" max="10" width="21.90625" style="78" customWidth="1"/>
    <col min="11" max="11" width="2.453125" style="78" customWidth="1"/>
    <col min="12" max="12" width="18.81640625" style="78" bestFit="1" customWidth="1"/>
    <col min="13" max="13" width="19.36328125" style="78" bestFit="1" customWidth="1"/>
    <col min="14" max="14" width="18.81640625" style="78" bestFit="1" customWidth="1"/>
    <col min="15" max="15" width="22.08984375" style="78" bestFit="1" customWidth="1"/>
    <col min="16" max="16" width="22.08984375" style="78" customWidth="1"/>
    <col min="17" max="17" width="2.453125" customWidth="1"/>
    <col min="18" max="18" width="13.08984375" style="78" bestFit="1" customWidth="1"/>
    <col min="19" max="19" width="18.54296875" style="78" bestFit="1" customWidth="1"/>
    <col min="20" max="21" width="17.54296875" style="78" bestFit="1" customWidth="1"/>
    <col min="22" max="22" width="20.453125" style="78" bestFit="1" customWidth="1"/>
    <col min="23" max="23" width="18" style="78" customWidth="1"/>
    <col min="24" max="25" width="14.54296875" style="78" customWidth="1"/>
    <col min="26" max="26" width="3" customWidth="1"/>
    <col min="27" max="27" width="27.36328125" style="88" bestFit="1" customWidth="1"/>
    <col min="28" max="28" width="10.90625" style="77"/>
    <col min="29" max="29" width="2.54296875" customWidth="1"/>
    <col min="30" max="30" width="27.36328125" style="88" bestFit="1" customWidth="1"/>
    <col min="31" max="31" width="10.90625" style="77"/>
  </cols>
  <sheetData>
    <row r="1" spans="2:27" x14ac:dyDescent="0.35">
      <c r="AA1" t="s">
        <v>182</v>
      </c>
    </row>
    <row r="2" spans="2:27" x14ac:dyDescent="0.35">
      <c r="B2" t="s">
        <v>186</v>
      </c>
      <c r="C2" t="s">
        <v>187</v>
      </c>
      <c r="D2" s="96">
        <v>0.8</v>
      </c>
      <c r="J2" s="87" t="s">
        <v>171</v>
      </c>
    </row>
    <row r="3" spans="2:27" x14ac:dyDescent="0.35">
      <c r="J3" s="87"/>
      <c r="R3" s="86" t="s">
        <v>183</v>
      </c>
    </row>
    <row r="4" spans="2:27" x14ac:dyDescent="0.35">
      <c r="J4" s="87"/>
    </row>
    <row r="5" spans="2:27" x14ac:dyDescent="0.35">
      <c r="J5" s="87"/>
      <c r="R5" s="78" t="s">
        <v>184</v>
      </c>
    </row>
    <row r="6" spans="2:27" x14ac:dyDescent="0.35">
      <c r="J6" s="87"/>
    </row>
    <row r="7" spans="2:27" x14ac:dyDescent="0.35">
      <c r="J7" s="87"/>
    </row>
    <row r="8" spans="2:27" x14ac:dyDescent="0.35">
      <c r="J8" s="87"/>
    </row>
    <row r="9" spans="2:27" x14ac:dyDescent="0.35">
      <c r="J9" s="87"/>
    </row>
    <row r="10" spans="2:27" x14ac:dyDescent="0.35">
      <c r="J10" s="87"/>
    </row>
    <row r="11" spans="2:27" x14ac:dyDescent="0.35">
      <c r="J11" s="87"/>
    </row>
    <row r="12" spans="2:27" x14ac:dyDescent="0.35">
      <c r="B12" s="95" t="s">
        <v>185</v>
      </c>
      <c r="E12" s="80" t="s">
        <v>65</v>
      </c>
      <c r="F12" s="80" t="s">
        <v>66</v>
      </c>
      <c r="G12" s="80" t="s">
        <v>67</v>
      </c>
      <c r="H12" s="80" t="s">
        <v>158</v>
      </c>
      <c r="I12" s="80" t="s">
        <v>68</v>
      </c>
      <c r="J12" s="80" t="s">
        <v>170</v>
      </c>
      <c r="L12" s="82" t="s">
        <v>69</v>
      </c>
      <c r="M12" s="82" t="s">
        <v>70</v>
      </c>
      <c r="N12" s="82" t="s">
        <v>71</v>
      </c>
      <c r="O12" s="82" t="s">
        <v>72</v>
      </c>
      <c r="P12" s="82" t="s">
        <v>172</v>
      </c>
    </row>
    <row r="13" spans="2:27" x14ac:dyDescent="0.35">
      <c r="B13">
        <v>2026</v>
      </c>
      <c r="E13" s="78">
        <f>'ACS - CRU Outlook'!H18</f>
        <v>89.670833333333334</v>
      </c>
      <c r="F13" s="78">
        <f>'ACS - CRU Outlook'!D18</f>
        <v>83.482142857142861</v>
      </c>
      <c r="G13" s="78">
        <f>'ACS - CRU Outlook'!I18</f>
        <v>84.254166666666677</v>
      </c>
      <c r="H13" s="78">
        <f>F13+25</f>
        <v>108.48214285714286</v>
      </c>
      <c r="I13" s="78">
        <f>'S - CRU Outlook'!C18</f>
        <v>352.29309773670866</v>
      </c>
      <c r="J13" s="87">
        <f>'S - CRU Outlook'!J18</f>
        <v>364.31321807773236</v>
      </c>
      <c r="L13" s="78">
        <f>AVERAGE(L301:L311)</f>
        <v>70.069696969696963</v>
      </c>
      <c r="M13" s="78">
        <f t="shared" ref="M13:P13" si="0">AVERAGE(M301:M311)</f>
        <v>15.145454545454545</v>
      </c>
      <c r="N13" s="78">
        <f t="shared" si="0"/>
        <v>63.062727272727265</v>
      </c>
      <c r="O13" s="78">
        <f t="shared" si="0"/>
        <v>32.701515151515153</v>
      </c>
      <c r="P13" s="78">
        <f t="shared" si="0"/>
        <v>20</v>
      </c>
    </row>
    <row r="14" spans="2:27" x14ac:dyDescent="0.35">
      <c r="B14">
        <v>2027</v>
      </c>
      <c r="E14" s="78">
        <f>'ACS - CRU Outlook'!H19</f>
        <v>59.929218649967368</v>
      </c>
      <c r="F14" s="78">
        <f>'ACS - CRU Outlook'!D19</f>
        <v>80.929218649967368</v>
      </c>
      <c r="G14" s="78">
        <f>'ACS - CRU Outlook'!I19</f>
        <v>65.929218649967368</v>
      </c>
      <c r="H14" s="78">
        <f t="shared" ref="H14:H17" si="1">F14+25</f>
        <v>105.92921864996737</v>
      </c>
      <c r="I14" s="78">
        <f>'S - CRU Outlook'!C19</f>
        <v>241.46536183460859</v>
      </c>
      <c r="J14" s="87">
        <f>'S - CRU Outlook'!J19</f>
        <v>253.30843515472282</v>
      </c>
      <c r="L14" s="78">
        <f>L13</f>
        <v>70.069696969696963</v>
      </c>
      <c r="M14" s="78">
        <f t="shared" ref="M14:M23" si="2">M13</f>
        <v>15.145454545454545</v>
      </c>
      <c r="N14" s="78">
        <f t="shared" ref="N14:N23" si="3">N13</f>
        <v>63.062727272727265</v>
      </c>
      <c r="O14" s="78">
        <f t="shared" ref="O14:O23" si="4">O13</f>
        <v>32.701515151515153</v>
      </c>
      <c r="P14" s="78">
        <f t="shared" ref="P14:P23" si="5">P13</f>
        <v>20</v>
      </c>
    </row>
    <row r="15" spans="2:27" x14ac:dyDescent="0.35">
      <c r="B15">
        <v>2028</v>
      </c>
      <c r="E15" s="78">
        <f>'ACS - CRU Outlook'!H20</f>
        <v>54.644459411765922</v>
      </c>
      <c r="F15" s="78">
        <f>'ACS - CRU Outlook'!D20</f>
        <v>66.644459411765922</v>
      </c>
      <c r="G15" s="78">
        <f>'ACS - CRU Outlook'!I20</f>
        <v>60.644459411765922</v>
      </c>
      <c r="H15" s="78">
        <f t="shared" si="1"/>
        <v>91.644459411765922</v>
      </c>
      <c r="I15" s="78">
        <f>'S - CRU Outlook'!C20</f>
        <v>214.17653326847278</v>
      </c>
      <c r="J15" s="87">
        <f>'S - CRU Outlook'!J20</f>
        <v>226.2354260592351</v>
      </c>
      <c r="L15" s="78">
        <f t="shared" ref="L15:L23" si="6">L14</f>
        <v>70.069696969696963</v>
      </c>
      <c r="M15" s="78">
        <f t="shared" si="2"/>
        <v>15.145454545454545</v>
      </c>
      <c r="N15" s="78">
        <f t="shared" si="3"/>
        <v>63.062727272727265</v>
      </c>
      <c r="O15" s="78">
        <f t="shared" si="4"/>
        <v>32.701515151515153</v>
      </c>
      <c r="P15" s="78">
        <f t="shared" si="5"/>
        <v>20</v>
      </c>
    </row>
    <row r="16" spans="2:27" x14ac:dyDescent="0.35">
      <c r="B16">
        <v>2029</v>
      </c>
      <c r="E16" s="78">
        <f>'ACS - CRU Outlook'!H21</f>
        <v>48.394434091179392</v>
      </c>
      <c r="F16" s="78">
        <f>'ACS - CRU Outlook'!D21</f>
        <v>65.394434091179392</v>
      </c>
      <c r="G16" s="78">
        <f>'ACS - CRU Outlook'!I21</f>
        <v>54.394434091179392</v>
      </c>
      <c r="H16" s="78">
        <f t="shared" si="1"/>
        <v>90.394434091179392</v>
      </c>
      <c r="I16" s="78">
        <f>'S - CRU Outlook'!C21</f>
        <v>206.51212562559158</v>
      </c>
      <c r="J16" s="87">
        <f>'S - CRU Outlook'!J21</f>
        <v>218.64586806118723</v>
      </c>
      <c r="L16" s="78">
        <f t="shared" si="6"/>
        <v>70.069696969696963</v>
      </c>
      <c r="M16" s="78">
        <f t="shared" si="2"/>
        <v>15.145454545454545</v>
      </c>
      <c r="N16" s="78">
        <f t="shared" si="3"/>
        <v>63.062727272727265</v>
      </c>
      <c r="O16" s="78">
        <f t="shared" si="4"/>
        <v>32.701515151515153</v>
      </c>
      <c r="P16" s="78">
        <f t="shared" si="5"/>
        <v>20</v>
      </c>
    </row>
    <row r="17" spans="2:31" x14ac:dyDescent="0.35">
      <c r="B17">
        <v>2030</v>
      </c>
      <c r="E17" s="78">
        <f>'ACS - CRU Outlook'!H22</f>
        <v>42.438116229710772</v>
      </c>
      <c r="F17" s="78">
        <f>'ACS - CRU Outlook'!D22</f>
        <v>61.438116229710772</v>
      </c>
      <c r="G17" s="78">
        <f>'ACS - CRU Outlook'!I22</f>
        <v>48.438116229710772</v>
      </c>
      <c r="H17" s="78">
        <f t="shared" si="1"/>
        <v>86.438116229710772</v>
      </c>
      <c r="I17" s="78">
        <f>'S - CRU Outlook'!C22</f>
        <v>211.09326977903265</v>
      </c>
      <c r="J17" s="87">
        <f>'S - CRU Outlook'!J22</f>
        <v>223.21408778790359</v>
      </c>
      <c r="L17" s="78">
        <f t="shared" si="6"/>
        <v>70.069696969696963</v>
      </c>
      <c r="M17" s="78">
        <f t="shared" si="2"/>
        <v>15.145454545454545</v>
      </c>
      <c r="N17" s="78">
        <f t="shared" si="3"/>
        <v>63.062727272727265</v>
      </c>
      <c r="O17" s="78">
        <f t="shared" si="4"/>
        <v>32.701515151515153</v>
      </c>
      <c r="P17" s="78">
        <f t="shared" si="5"/>
        <v>20</v>
      </c>
    </row>
    <row r="18" spans="2:31" x14ac:dyDescent="0.35">
      <c r="B18">
        <v>2031</v>
      </c>
      <c r="E18" s="78">
        <f>E17</f>
        <v>42.438116229710772</v>
      </c>
      <c r="F18" s="78">
        <f t="shared" ref="F18:F23" si="7">F17</f>
        <v>61.438116229710772</v>
      </c>
      <c r="G18" s="78">
        <f t="shared" ref="G18:G23" si="8">G17</f>
        <v>48.438116229710772</v>
      </c>
      <c r="H18" s="78">
        <f t="shared" ref="H18:H23" si="9">H17</f>
        <v>86.438116229710772</v>
      </c>
      <c r="I18" s="78">
        <f t="shared" ref="I18:I23" si="10">I17</f>
        <v>211.09326977903265</v>
      </c>
      <c r="J18" s="78">
        <f t="shared" ref="J18:J23" si="11">J17</f>
        <v>223.21408778790359</v>
      </c>
      <c r="L18" s="78">
        <f t="shared" si="6"/>
        <v>70.069696969696963</v>
      </c>
      <c r="M18" s="78">
        <f t="shared" si="2"/>
        <v>15.145454545454545</v>
      </c>
      <c r="N18" s="78">
        <f t="shared" si="3"/>
        <v>63.062727272727265</v>
      </c>
      <c r="O18" s="78">
        <f t="shared" si="4"/>
        <v>32.701515151515153</v>
      </c>
      <c r="P18" s="78">
        <f t="shared" si="5"/>
        <v>20</v>
      </c>
      <c r="Q18" s="78"/>
    </row>
    <row r="19" spans="2:31" x14ac:dyDescent="0.35">
      <c r="B19">
        <v>2032</v>
      </c>
      <c r="E19" s="78">
        <f t="shared" ref="E19:E23" si="12">E18</f>
        <v>42.438116229710772</v>
      </c>
      <c r="F19" s="78">
        <f t="shared" si="7"/>
        <v>61.438116229710772</v>
      </c>
      <c r="G19" s="78">
        <f t="shared" si="8"/>
        <v>48.438116229710772</v>
      </c>
      <c r="H19" s="78">
        <f t="shared" si="9"/>
        <v>86.438116229710772</v>
      </c>
      <c r="I19" s="78">
        <f t="shared" si="10"/>
        <v>211.09326977903265</v>
      </c>
      <c r="J19" s="78">
        <f t="shared" si="11"/>
        <v>223.21408778790359</v>
      </c>
      <c r="L19" s="78">
        <f t="shared" si="6"/>
        <v>70.069696969696963</v>
      </c>
      <c r="M19" s="78">
        <f t="shared" si="2"/>
        <v>15.145454545454545</v>
      </c>
      <c r="N19" s="78">
        <f t="shared" si="3"/>
        <v>63.062727272727265</v>
      </c>
      <c r="O19" s="78">
        <f t="shared" si="4"/>
        <v>32.701515151515153</v>
      </c>
      <c r="P19" s="78">
        <f t="shared" si="5"/>
        <v>20</v>
      </c>
      <c r="Q19" s="78"/>
    </row>
    <row r="20" spans="2:31" x14ac:dyDescent="0.35">
      <c r="B20">
        <v>2033</v>
      </c>
      <c r="E20" s="78">
        <f t="shared" si="12"/>
        <v>42.438116229710772</v>
      </c>
      <c r="F20" s="78">
        <f t="shared" si="7"/>
        <v>61.438116229710772</v>
      </c>
      <c r="G20" s="78">
        <f t="shared" si="8"/>
        <v>48.438116229710772</v>
      </c>
      <c r="H20" s="78">
        <f t="shared" si="9"/>
        <v>86.438116229710772</v>
      </c>
      <c r="I20" s="78">
        <f t="shared" si="10"/>
        <v>211.09326977903265</v>
      </c>
      <c r="J20" s="78">
        <f t="shared" si="11"/>
        <v>223.21408778790359</v>
      </c>
      <c r="L20" s="78">
        <f t="shared" si="6"/>
        <v>70.069696969696963</v>
      </c>
      <c r="M20" s="78">
        <f t="shared" si="2"/>
        <v>15.145454545454545</v>
      </c>
      <c r="N20" s="78">
        <f t="shared" si="3"/>
        <v>63.062727272727265</v>
      </c>
      <c r="O20" s="78">
        <f t="shared" si="4"/>
        <v>32.701515151515153</v>
      </c>
      <c r="P20" s="78">
        <f t="shared" si="5"/>
        <v>20</v>
      </c>
      <c r="Q20" s="78"/>
    </row>
    <row r="21" spans="2:31" x14ac:dyDescent="0.35">
      <c r="B21">
        <v>2034</v>
      </c>
      <c r="E21" s="78">
        <f t="shared" si="12"/>
        <v>42.438116229710772</v>
      </c>
      <c r="F21" s="78">
        <f t="shared" si="7"/>
        <v>61.438116229710772</v>
      </c>
      <c r="G21" s="78">
        <f t="shared" si="8"/>
        <v>48.438116229710772</v>
      </c>
      <c r="H21" s="78">
        <f t="shared" si="9"/>
        <v>86.438116229710772</v>
      </c>
      <c r="I21" s="78">
        <f t="shared" si="10"/>
        <v>211.09326977903265</v>
      </c>
      <c r="J21" s="78">
        <f t="shared" si="11"/>
        <v>223.21408778790359</v>
      </c>
      <c r="L21" s="78">
        <f t="shared" si="6"/>
        <v>70.069696969696963</v>
      </c>
      <c r="M21" s="78">
        <f t="shared" si="2"/>
        <v>15.145454545454545</v>
      </c>
      <c r="N21" s="78">
        <f t="shared" si="3"/>
        <v>63.062727272727265</v>
      </c>
      <c r="O21" s="78">
        <f t="shared" si="4"/>
        <v>32.701515151515153</v>
      </c>
      <c r="P21" s="78">
        <f t="shared" si="5"/>
        <v>20</v>
      </c>
      <c r="Q21" s="78"/>
    </row>
    <row r="22" spans="2:31" x14ac:dyDescent="0.35">
      <c r="B22">
        <v>2035</v>
      </c>
      <c r="E22" s="78">
        <f t="shared" si="12"/>
        <v>42.438116229710772</v>
      </c>
      <c r="F22" s="78">
        <f t="shared" si="7"/>
        <v>61.438116229710772</v>
      </c>
      <c r="G22" s="78">
        <f t="shared" si="8"/>
        <v>48.438116229710772</v>
      </c>
      <c r="H22" s="78">
        <f t="shared" si="9"/>
        <v>86.438116229710772</v>
      </c>
      <c r="I22" s="78">
        <f t="shared" si="10"/>
        <v>211.09326977903265</v>
      </c>
      <c r="J22" s="78">
        <f t="shared" si="11"/>
        <v>223.21408778790359</v>
      </c>
      <c r="L22" s="78">
        <f t="shared" si="6"/>
        <v>70.069696969696963</v>
      </c>
      <c r="M22" s="78">
        <f t="shared" si="2"/>
        <v>15.145454545454545</v>
      </c>
      <c r="N22" s="78">
        <f t="shared" si="3"/>
        <v>63.062727272727265</v>
      </c>
      <c r="O22" s="78">
        <f t="shared" si="4"/>
        <v>32.701515151515153</v>
      </c>
      <c r="P22" s="78">
        <f t="shared" si="5"/>
        <v>20</v>
      </c>
      <c r="Q22" s="78"/>
    </row>
    <row r="23" spans="2:31" x14ac:dyDescent="0.35">
      <c r="B23">
        <v>2036</v>
      </c>
      <c r="E23" s="78">
        <f t="shared" si="12"/>
        <v>42.438116229710772</v>
      </c>
      <c r="F23" s="78">
        <f t="shared" si="7"/>
        <v>61.438116229710772</v>
      </c>
      <c r="G23" s="78">
        <f t="shared" si="8"/>
        <v>48.438116229710772</v>
      </c>
      <c r="H23" s="78">
        <f t="shared" si="9"/>
        <v>86.438116229710772</v>
      </c>
      <c r="I23" s="78">
        <f t="shared" si="10"/>
        <v>211.09326977903265</v>
      </c>
      <c r="J23" s="78">
        <f t="shared" si="11"/>
        <v>223.21408778790359</v>
      </c>
      <c r="L23" s="78">
        <f t="shared" si="6"/>
        <v>70.069696969696963</v>
      </c>
      <c r="M23" s="78">
        <f t="shared" si="2"/>
        <v>15.145454545454545</v>
      </c>
      <c r="N23" s="78">
        <f t="shared" si="3"/>
        <v>63.062727272727265</v>
      </c>
      <c r="O23" s="78">
        <f t="shared" si="4"/>
        <v>32.701515151515153</v>
      </c>
      <c r="P23" s="78">
        <f t="shared" si="5"/>
        <v>20</v>
      </c>
      <c r="Q23" s="78"/>
    </row>
    <row r="24" spans="2:31" x14ac:dyDescent="0.35">
      <c r="J24" s="87"/>
    </row>
    <row r="25" spans="2:31" ht="14.5" customHeight="1" x14ac:dyDescent="0.35">
      <c r="E25" s="79" t="s">
        <v>3</v>
      </c>
      <c r="F25" s="79" t="s">
        <v>3</v>
      </c>
      <c r="G25" s="79" t="s">
        <v>3</v>
      </c>
      <c r="H25" s="79" t="s">
        <v>12</v>
      </c>
      <c r="I25" s="79" t="s">
        <v>60</v>
      </c>
      <c r="J25" s="79" t="s">
        <v>165</v>
      </c>
      <c r="L25" s="81" t="s">
        <v>3</v>
      </c>
      <c r="M25" s="81" t="s">
        <v>3</v>
      </c>
      <c r="N25" s="81" t="s">
        <v>3</v>
      </c>
      <c r="O25" s="81" t="s">
        <v>60</v>
      </c>
      <c r="P25" s="81" t="s">
        <v>165</v>
      </c>
      <c r="R25" s="83"/>
      <c r="S25" s="83"/>
      <c r="T25" s="83"/>
      <c r="U25" s="83"/>
      <c r="V25" s="83"/>
      <c r="W25" s="83"/>
      <c r="X25" s="83"/>
      <c r="Y25" s="83"/>
    </row>
    <row r="26" spans="2:31" ht="14.5" customHeight="1" x14ac:dyDescent="0.35">
      <c r="E26" s="79" t="s">
        <v>4</v>
      </c>
      <c r="F26" s="79" t="s">
        <v>9</v>
      </c>
      <c r="G26" s="79" t="s">
        <v>11</v>
      </c>
      <c r="H26" s="79" t="s">
        <v>13</v>
      </c>
      <c r="I26" s="79" t="s">
        <v>61</v>
      </c>
      <c r="J26" s="79" t="s">
        <v>159</v>
      </c>
      <c r="L26" s="81" t="s">
        <v>4</v>
      </c>
      <c r="M26" s="81" t="s">
        <v>9</v>
      </c>
      <c r="N26" s="81" t="s">
        <v>11</v>
      </c>
      <c r="O26" s="81" t="s">
        <v>61</v>
      </c>
      <c r="P26" s="81" t="s">
        <v>159</v>
      </c>
      <c r="R26" s="84" t="s">
        <v>160</v>
      </c>
      <c r="S26" s="85"/>
      <c r="T26" s="85"/>
      <c r="U26" s="85"/>
      <c r="V26" s="85"/>
      <c r="W26" s="85"/>
      <c r="X26" s="85"/>
      <c r="Y26" s="85"/>
      <c r="AA26" s="89" t="s">
        <v>181</v>
      </c>
      <c r="AD26" s="93" t="s">
        <v>176</v>
      </c>
    </row>
    <row r="27" spans="2:31" ht="44" thickBot="1" x14ac:dyDescent="0.4">
      <c r="C27" s="95" t="s">
        <v>1</v>
      </c>
      <c r="D27" s="95" t="s">
        <v>2</v>
      </c>
      <c r="E27" s="80" t="s">
        <v>65</v>
      </c>
      <c r="F27" s="80" t="s">
        <v>66</v>
      </c>
      <c r="G27" s="80" t="s">
        <v>67</v>
      </c>
      <c r="H27" s="80" t="s">
        <v>158</v>
      </c>
      <c r="I27" s="80" t="s">
        <v>68</v>
      </c>
      <c r="J27" s="80" t="s">
        <v>170</v>
      </c>
      <c r="L27" s="82" t="s">
        <v>69</v>
      </c>
      <c r="M27" s="82" t="s">
        <v>70</v>
      </c>
      <c r="N27" s="82" t="s">
        <v>71</v>
      </c>
      <c r="O27" s="82" t="s">
        <v>72</v>
      </c>
      <c r="P27" s="82" t="s">
        <v>172</v>
      </c>
      <c r="R27" s="90" t="s">
        <v>178</v>
      </c>
      <c r="S27" s="90" t="s">
        <v>162</v>
      </c>
      <c r="T27" s="90" t="s">
        <v>164</v>
      </c>
      <c r="U27" s="90" t="s">
        <v>163</v>
      </c>
      <c r="V27" s="90" t="s">
        <v>161</v>
      </c>
      <c r="W27" s="90" t="s">
        <v>179</v>
      </c>
      <c r="X27" s="90" t="s">
        <v>175</v>
      </c>
      <c r="Y27" s="90" t="s">
        <v>180</v>
      </c>
      <c r="AA27" s="91" t="s">
        <v>173</v>
      </c>
      <c r="AB27" s="92" t="s">
        <v>174</v>
      </c>
      <c r="AD27" s="91" t="s">
        <v>177</v>
      </c>
      <c r="AE27" s="92" t="s">
        <v>174</v>
      </c>
    </row>
    <row r="28" spans="2:31" x14ac:dyDescent="0.35">
      <c r="C28">
        <v>2</v>
      </c>
      <c r="D28">
        <v>5</v>
      </c>
      <c r="E28" s="78" t="str">
        <f>'CRU historical'!F5</f>
        <v xml:space="preserve"> </v>
      </c>
      <c r="F28" s="78">
        <f>'CRU historical'!I5</f>
        <v>6</v>
      </c>
      <c r="G28" s="78" t="str">
        <f>'CRU historical'!L5</f>
        <v xml:space="preserve"> </v>
      </c>
      <c r="H28" s="78" t="str">
        <f>'CRU historical'!O5</f>
        <v xml:space="preserve"> </v>
      </c>
      <c r="I28" s="78" t="str">
        <f>'CRU historical'!R5</f>
        <v xml:space="preserve"> </v>
      </c>
      <c r="J28" s="78">
        <f>AVERAGE('CRU historical'!U5, 'CRU historical'!X5, 'CRU historical'!AA5, 'CRU historical'!AD5)</f>
        <v>33</v>
      </c>
      <c r="L28" s="78" cm="1">
        <f t="array" ref="L28">IFERROR(SUMPRODUCT(('Sulphuric Acid freights'!$B$3:$B$513=B38)*('Sulphuric Acid freights'!$D$3:$D$513=D28)*('Sulphuric Acid freights'!$P$3:$P$513))/SUMPRODUCT(('Sulphuric Acid freights'!$B$3:$B$513=B38)*('Sulphuric Acid freights'!$D$3:$D$513=D28)*1), AVERAGE('Sulphuric Acid freights'!$P$3:$P$513))*2/3</f>
        <v>54.110671936758898</v>
      </c>
      <c r="M28" s="78" cm="1">
        <f t="array" ref="M28">IFERROR(SUMPRODUCT(('Sulphuric Acid freights'!$B$3:$B$513=B38)*('Sulphuric Acid freights'!$D$3:$D$513=D28)*('Sulphuric Acid freights'!$M$3:$M$513))/SUMPRODUCT(('Sulphuric Acid freights'!$B$3:$B$513=B38)*('Sulphuric Acid freights'!$D$3:$D$513=D28)*1)*2/3, AVERAGE('Sulphuric Acid freights'!$M$3:$M$513))</f>
        <v>23.573122529644269</v>
      </c>
      <c r="N28" s="78">
        <f>IFERROR(L28*0.9, "")</f>
        <v>48.699604743083007</v>
      </c>
      <c r="O28" s="78" cm="1">
        <f t="array" ref="O28">IF(SUMPRODUCT(('Sulphur freight'!$B$3:$B$1976=B38)*('Sulphur freight'!$D$3:$D$1976=D28)*('Sulphur freight'!$G$3:$G$1976))/SUMPRODUCT(('Sulphur freight'!$B$3:$B$1976=B38)*('Sulphur freight'!$D$3:$D$1976=D28)*1)=0, AVERAGE('Sulphur freight'!$G$3:$G$1976),SUMPRODUCT(('Sulphur freight'!$B$3:$B$1976=B38)*('Sulphur freight'!$D$3:$D$1976=D28)*('Sulphur freight'!$G$3:$G$1976))/SUMPRODUCT(('Sulphur freight'!$B$3:$B$1976=B38)*('Sulphur freight'!$D$3:$D$1976=D28)*1))</f>
        <v>29.165429480381761</v>
      </c>
      <c r="P28" s="78">
        <v>20</v>
      </c>
      <c r="R28" s="78" t="str">
        <f>H28</f>
        <v xml:space="preserve"> </v>
      </c>
      <c r="S28" s="78">
        <f>IF(F28=0, "", F28+M28)</f>
        <v>29.573122529644269</v>
      </c>
      <c r="T28" s="78" t="str">
        <f t="shared" ref="T28:T91" si="13">IFERROR( E28+L28, "")</f>
        <v/>
      </c>
      <c r="U28" s="78" t="str">
        <f>IFERROR( G28+N28, "")</f>
        <v/>
      </c>
      <c r="V28" s="78" t="str">
        <f>IFERROR(I28+O28, "")</f>
        <v/>
      </c>
      <c r="W28" s="78">
        <f>J28+P28</f>
        <v>53</v>
      </c>
      <c r="X28" s="78" t="str">
        <f>IFERROR((I28+O28)*0.33+18, "")</f>
        <v/>
      </c>
      <c r="Y28" s="78">
        <f>IF(J28=0,0,(J28+P28)*0.33+18)</f>
        <v>35.49</v>
      </c>
      <c r="AA28" s="88" t="str">
        <f>IF(OR(S28="", T28="", U28=""), "", MAX(R28,S28)*40%+T28*30%+U28*30%)</f>
        <v/>
      </c>
      <c r="AB28" s="77" t="str">
        <f t="shared" ref="AB28:AB91" si="14">IF(AA28="", "", MAX(X28, Y28)-AA28)</f>
        <v/>
      </c>
      <c r="AD28" s="88" t="str">
        <f>IFERROR(MIN((MAX(R28,S28)*70%+U28*30%), Y28), "")</f>
        <v/>
      </c>
      <c r="AE28" s="77" t="str">
        <f t="shared" ref="AE28:AE91" si="15">IF(AD28="", "", MAX(AA28, AB28)-AD28)</f>
        <v/>
      </c>
    </row>
    <row r="29" spans="2:31" x14ac:dyDescent="0.35">
      <c r="C29">
        <v>2</v>
      </c>
      <c r="D29">
        <v>6</v>
      </c>
      <c r="E29" s="78" t="str">
        <f>'CRU historical'!F6</f>
        <v xml:space="preserve"> </v>
      </c>
      <c r="F29" s="78">
        <f>'CRU historical'!I6</f>
        <v>6</v>
      </c>
      <c r="G29" s="78" t="str">
        <f>'CRU historical'!L6</f>
        <v xml:space="preserve"> </v>
      </c>
      <c r="H29" s="78" t="str">
        <f>'CRU historical'!O6</f>
        <v xml:space="preserve"> </v>
      </c>
      <c r="I29" s="78" t="str">
        <f>'CRU historical'!R6</f>
        <v xml:space="preserve"> </v>
      </c>
      <c r="J29" s="78">
        <f>AVERAGE('CRU historical'!U6, 'CRU historical'!X6, 'CRU historical'!AA6, 'CRU historical'!AD6)</f>
        <v>33</v>
      </c>
      <c r="L29" s="78" cm="1">
        <f t="array" ref="L29">IFERROR(SUMPRODUCT(('Sulphuric Acid freights'!$B$3:$B$513=B39)*('Sulphuric Acid freights'!$D$3:$D$513=D29)*('Sulphuric Acid freights'!$P$3:$P$513))/SUMPRODUCT(('Sulphuric Acid freights'!$B$3:$B$513=B39)*('Sulphuric Acid freights'!$D$3:$D$513=D29)*1), AVERAGE('Sulphuric Acid freights'!$P$3:$P$513))*2/3</f>
        <v>54.110671936758898</v>
      </c>
      <c r="M29" s="78" cm="1">
        <f t="array" ref="M29">IFERROR(SUMPRODUCT(('Sulphuric Acid freights'!$B$3:$B$513=B39)*('Sulphuric Acid freights'!$D$3:$D$513=D29)*('Sulphuric Acid freights'!$M$3:$M$513))/SUMPRODUCT(('Sulphuric Acid freights'!$B$3:$B$513=B39)*('Sulphuric Acid freights'!$D$3:$D$513=D29)*1)*2/3, AVERAGE('Sulphuric Acid freights'!$M$3:$M$513))</f>
        <v>23.573122529644269</v>
      </c>
      <c r="N29" s="78">
        <f t="shared" ref="N29:N92" si="16">IFERROR(L29*0.9, "")</f>
        <v>48.699604743083007</v>
      </c>
      <c r="O29" s="78" cm="1">
        <f t="array" ref="O29">IF(SUMPRODUCT(('Sulphur freight'!$B$3:$B$1976=B39)*('Sulphur freight'!$D$3:$D$1976=D29)*('Sulphur freight'!$G$3:$G$1976))/SUMPRODUCT(('Sulphur freight'!$B$3:$B$1976=B39)*('Sulphur freight'!$D$3:$D$1976=D29)*1)=0, AVERAGE('Sulphur freight'!$G$3:$G$1976),SUMPRODUCT(('Sulphur freight'!$B$3:$B$1976=B39)*('Sulphur freight'!$D$3:$D$1976=D29)*('Sulphur freight'!$G$3:$G$1976))/SUMPRODUCT(('Sulphur freight'!$B$3:$B$1976=B39)*('Sulphur freight'!$D$3:$D$1976=D29)*1))</f>
        <v>29.165429480381761</v>
      </c>
      <c r="P29" s="78">
        <v>20</v>
      </c>
      <c r="R29" s="78" t="str">
        <f t="shared" ref="R29:R92" si="17">H29</f>
        <v xml:space="preserve"> </v>
      </c>
      <c r="S29" s="78">
        <f t="shared" ref="S29:S92" si="18">IF(F29=0, "", F29+M29)</f>
        <v>29.573122529644269</v>
      </c>
      <c r="T29" s="78" t="str">
        <f t="shared" si="13"/>
        <v/>
      </c>
      <c r="U29" s="78" t="str">
        <f t="shared" ref="U29:U92" si="19">IFERROR( G29+N29, "")</f>
        <v/>
      </c>
      <c r="V29" s="78" t="str">
        <f>IFERROR(I29+O29, "")</f>
        <v/>
      </c>
      <c r="W29" s="78">
        <f t="shared" ref="W29:W92" si="20">J29+P29</f>
        <v>53</v>
      </c>
      <c r="X29" s="78" t="str">
        <f t="shared" ref="X29:X92" si="21">IFERROR((I29+O29)*0.33+18, "")</f>
        <v/>
      </c>
      <c r="Y29" s="78">
        <f t="shared" ref="Y29:Y92" si="22">IF(J29=0,0,(J29+P29)*0.33+18)</f>
        <v>35.49</v>
      </c>
      <c r="AA29" s="88" t="str">
        <f t="shared" ref="AA29:AA92" si="23">IF(OR(S29="", T29="", U29=""), "", MAX(R29,S29)*40%+T29*30%+U29*30%)</f>
        <v/>
      </c>
      <c r="AB29" s="77" t="str">
        <f t="shared" si="14"/>
        <v/>
      </c>
      <c r="AD29" s="88" t="str">
        <f t="shared" ref="AD29:AD92" si="24">IFERROR(MIN((MAX(R29,S29)*70%+U29*30%), Y29), "")</f>
        <v/>
      </c>
      <c r="AE29" s="77" t="str">
        <f t="shared" si="15"/>
        <v/>
      </c>
    </row>
    <row r="30" spans="2:31" x14ac:dyDescent="0.35">
      <c r="C30">
        <v>3</v>
      </c>
      <c r="D30">
        <v>7</v>
      </c>
      <c r="E30" s="78" t="str">
        <f>'CRU historical'!F7</f>
        <v xml:space="preserve"> </v>
      </c>
      <c r="F30" s="78">
        <f>'CRU historical'!I7</f>
        <v>8</v>
      </c>
      <c r="G30" s="78" t="str">
        <f>'CRU historical'!L7</f>
        <v xml:space="preserve"> </v>
      </c>
      <c r="H30" s="78" t="str">
        <f>'CRU historical'!O7</f>
        <v xml:space="preserve"> </v>
      </c>
      <c r="I30" s="78" t="str">
        <f>'CRU historical'!R7</f>
        <v xml:space="preserve"> </v>
      </c>
      <c r="J30" s="78">
        <f>AVERAGE('CRU historical'!U7, 'CRU historical'!X7, 'CRU historical'!AA7, 'CRU historical'!AD7)</f>
        <v>39</v>
      </c>
      <c r="L30" s="78" cm="1">
        <f t="array" ref="L30">IFERROR(SUMPRODUCT(('Sulphuric Acid freights'!$B$3:$B$513=B40)*('Sulphuric Acid freights'!$D$3:$D$513=D30)*('Sulphuric Acid freights'!$P$3:$P$513))/SUMPRODUCT(('Sulphuric Acid freights'!$B$3:$B$513=B40)*('Sulphuric Acid freights'!$D$3:$D$513=D30)*1), AVERAGE('Sulphuric Acid freights'!$P$3:$P$513))*2/3</f>
        <v>54.110671936758898</v>
      </c>
      <c r="M30" s="78" cm="1">
        <f t="array" ref="M30">IFERROR(SUMPRODUCT(('Sulphuric Acid freights'!$B$3:$B$513=B40)*('Sulphuric Acid freights'!$D$3:$D$513=D30)*('Sulphuric Acid freights'!$M$3:$M$513))/SUMPRODUCT(('Sulphuric Acid freights'!$B$3:$B$513=B40)*('Sulphuric Acid freights'!$D$3:$D$513=D30)*1)*2/3, AVERAGE('Sulphuric Acid freights'!$M$3:$M$513))</f>
        <v>23.573122529644269</v>
      </c>
      <c r="N30" s="78">
        <f t="shared" si="16"/>
        <v>48.699604743083007</v>
      </c>
      <c r="O30" s="78" cm="1">
        <f t="array" ref="O30">IF(SUMPRODUCT(('Sulphur freight'!$B$3:$B$1976=B40)*('Sulphur freight'!$D$3:$D$1976=D30)*('Sulphur freight'!$G$3:$G$1976))/SUMPRODUCT(('Sulphur freight'!$B$3:$B$1976=B40)*('Sulphur freight'!$D$3:$D$1976=D30)*1)=0, AVERAGE('Sulphur freight'!$G$3:$G$1976),SUMPRODUCT(('Sulphur freight'!$B$3:$B$1976=B40)*('Sulphur freight'!$D$3:$D$1976=D30)*('Sulphur freight'!$G$3:$G$1976))/SUMPRODUCT(('Sulphur freight'!$B$3:$B$1976=B40)*('Sulphur freight'!$D$3:$D$1976=D30)*1))</f>
        <v>29.165429480381761</v>
      </c>
      <c r="P30" s="78">
        <v>20</v>
      </c>
      <c r="R30" s="78" t="str">
        <f t="shared" si="17"/>
        <v xml:space="preserve"> </v>
      </c>
      <c r="S30" s="78">
        <f t="shared" si="18"/>
        <v>31.573122529644269</v>
      </c>
      <c r="T30" s="78" t="str">
        <f t="shared" si="13"/>
        <v/>
      </c>
      <c r="U30" s="78" t="str">
        <f t="shared" si="19"/>
        <v/>
      </c>
      <c r="V30" s="78" t="str">
        <f>IFERROR(I30+O30, "")</f>
        <v/>
      </c>
      <c r="W30" s="78">
        <f t="shared" si="20"/>
        <v>59</v>
      </c>
      <c r="X30" s="78" t="str">
        <f t="shared" si="21"/>
        <v/>
      </c>
      <c r="Y30" s="78">
        <f t="shared" si="22"/>
        <v>37.47</v>
      </c>
      <c r="AA30" s="88" t="str">
        <f t="shared" si="23"/>
        <v/>
      </c>
      <c r="AB30" s="77" t="str">
        <f t="shared" si="14"/>
        <v/>
      </c>
      <c r="AD30" s="88" t="str">
        <f t="shared" si="24"/>
        <v/>
      </c>
      <c r="AE30" s="77" t="str">
        <f t="shared" si="15"/>
        <v/>
      </c>
    </row>
    <row r="31" spans="2:31" x14ac:dyDescent="0.35">
      <c r="C31">
        <v>3</v>
      </c>
      <c r="D31">
        <v>8</v>
      </c>
      <c r="E31" s="78" t="str">
        <f>'CRU historical'!F8</f>
        <v xml:space="preserve"> </v>
      </c>
      <c r="F31" s="78">
        <f>'CRU historical'!I8</f>
        <v>8</v>
      </c>
      <c r="G31" s="78" t="str">
        <f>'CRU historical'!L8</f>
        <v xml:space="preserve"> </v>
      </c>
      <c r="H31" s="78" t="str">
        <f>'CRU historical'!O8</f>
        <v xml:space="preserve"> </v>
      </c>
      <c r="I31" s="78" t="str">
        <f>'CRU historical'!R8</f>
        <v xml:space="preserve"> </v>
      </c>
      <c r="J31" s="78">
        <f>AVERAGE('CRU historical'!U8, 'CRU historical'!X8, 'CRU historical'!AA8, 'CRU historical'!AD8)</f>
        <v>38.5</v>
      </c>
      <c r="L31" s="78" cm="1">
        <f t="array" ref="L31">IFERROR(SUMPRODUCT(('Sulphuric Acid freights'!$B$3:$B$513=B41)*('Sulphuric Acid freights'!$D$3:$D$513=D31)*('Sulphuric Acid freights'!$P$3:$P$513))/SUMPRODUCT(('Sulphuric Acid freights'!$B$3:$B$513=B41)*('Sulphuric Acid freights'!$D$3:$D$513=D31)*1), AVERAGE('Sulphuric Acid freights'!$P$3:$P$513))*2/3</f>
        <v>54.110671936758898</v>
      </c>
      <c r="M31" s="78" cm="1">
        <f t="array" ref="M31">IFERROR(SUMPRODUCT(('Sulphuric Acid freights'!$B$3:$B$513=B41)*('Sulphuric Acid freights'!$D$3:$D$513=D31)*('Sulphuric Acid freights'!$M$3:$M$513))/SUMPRODUCT(('Sulphuric Acid freights'!$B$3:$B$513=B41)*('Sulphuric Acid freights'!$D$3:$D$513=D31)*1)*2/3, AVERAGE('Sulphuric Acid freights'!$M$3:$M$513))</f>
        <v>23.573122529644269</v>
      </c>
      <c r="N31" s="78">
        <f t="shared" si="16"/>
        <v>48.699604743083007</v>
      </c>
      <c r="O31" s="78" cm="1">
        <f t="array" ref="O31">IF(SUMPRODUCT(('Sulphur freight'!$B$3:$B$1976=B41)*('Sulphur freight'!$D$3:$D$1976=D31)*('Sulphur freight'!$G$3:$G$1976))/SUMPRODUCT(('Sulphur freight'!$B$3:$B$1976=B41)*('Sulphur freight'!$D$3:$D$1976=D31)*1)=0, AVERAGE('Sulphur freight'!$G$3:$G$1976),SUMPRODUCT(('Sulphur freight'!$B$3:$B$1976=B41)*('Sulphur freight'!$D$3:$D$1976=D31)*('Sulphur freight'!$G$3:$G$1976))/SUMPRODUCT(('Sulphur freight'!$B$3:$B$1976=B41)*('Sulphur freight'!$D$3:$D$1976=D31)*1))</f>
        <v>29.165429480381761</v>
      </c>
      <c r="P31" s="78">
        <v>20</v>
      </c>
      <c r="R31" s="78" t="str">
        <f t="shared" si="17"/>
        <v xml:space="preserve"> </v>
      </c>
      <c r="S31" s="78">
        <f t="shared" si="18"/>
        <v>31.573122529644269</v>
      </c>
      <c r="T31" s="78" t="str">
        <f t="shared" si="13"/>
        <v/>
      </c>
      <c r="U31" s="78" t="str">
        <f t="shared" si="19"/>
        <v/>
      </c>
      <c r="V31" s="78" t="str">
        <f>IFERROR(I31+O31, "")</f>
        <v/>
      </c>
      <c r="W31" s="78">
        <f t="shared" si="20"/>
        <v>58.5</v>
      </c>
      <c r="X31" s="78" t="str">
        <f t="shared" si="21"/>
        <v/>
      </c>
      <c r="Y31" s="78">
        <f t="shared" si="22"/>
        <v>37.305</v>
      </c>
      <c r="AA31" s="88" t="str">
        <f t="shared" si="23"/>
        <v/>
      </c>
      <c r="AB31" s="77" t="str">
        <f t="shared" si="14"/>
        <v/>
      </c>
      <c r="AD31" s="88" t="str">
        <f t="shared" si="24"/>
        <v/>
      </c>
      <c r="AE31" s="77" t="str">
        <f t="shared" si="15"/>
        <v/>
      </c>
    </row>
    <row r="32" spans="2:31" x14ac:dyDescent="0.35">
      <c r="C32">
        <v>3</v>
      </c>
      <c r="D32">
        <v>9</v>
      </c>
      <c r="E32" s="78" t="str">
        <f>'CRU historical'!F9</f>
        <v xml:space="preserve"> </v>
      </c>
      <c r="F32" s="78">
        <f>'CRU historical'!I9</f>
        <v>8</v>
      </c>
      <c r="G32" s="78" t="str">
        <f>'CRU historical'!L9</f>
        <v xml:space="preserve"> </v>
      </c>
      <c r="H32" s="78" t="str">
        <f>'CRU historical'!O9</f>
        <v xml:space="preserve"> </v>
      </c>
      <c r="I32" s="78" t="str">
        <f>'CRU historical'!R9</f>
        <v xml:space="preserve"> </v>
      </c>
      <c r="J32" s="78">
        <f>AVERAGE('CRU historical'!U9, 'CRU historical'!X9, 'CRU historical'!AA9, 'CRU historical'!AD9)</f>
        <v>38</v>
      </c>
      <c r="L32" s="78" cm="1">
        <f t="array" ref="L32">IFERROR(SUMPRODUCT(('Sulphuric Acid freights'!$B$3:$B$513=B42)*('Sulphuric Acid freights'!$D$3:$D$513=D32)*('Sulphuric Acid freights'!$P$3:$P$513))/SUMPRODUCT(('Sulphuric Acid freights'!$B$3:$B$513=B42)*('Sulphuric Acid freights'!$D$3:$D$513=D32)*1), AVERAGE('Sulphuric Acid freights'!$P$3:$P$513))*2/3</f>
        <v>54.110671936758898</v>
      </c>
      <c r="M32" s="78" cm="1">
        <f t="array" ref="M32">IFERROR(SUMPRODUCT(('Sulphuric Acid freights'!$B$3:$B$513=B42)*('Sulphuric Acid freights'!$D$3:$D$513=D32)*('Sulphuric Acid freights'!$M$3:$M$513))/SUMPRODUCT(('Sulphuric Acid freights'!$B$3:$B$513=B42)*('Sulphuric Acid freights'!$D$3:$D$513=D32)*1)*2/3, AVERAGE('Sulphuric Acid freights'!$M$3:$M$513))</f>
        <v>23.573122529644269</v>
      </c>
      <c r="N32" s="78">
        <f t="shared" si="16"/>
        <v>48.699604743083007</v>
      </c>
      <c r="O32" s="78" cm="1">
        <f t="array" ref="O32">IF(SUMPRODUCT(('Sulphur freight'!$B$3:$B$1976=B42)*('Sulphur freight'!$D$3:$D$1976=D32)*('Sulphur freight'!$G$3:$G$1976))/SUMPRODUCT(('Sulphur freight'!$B$3:$B$1976=B42)*('Sulphur freight'!$D$3:$D$1976=D32)*1)=0, AVERAGE('Sulphur freight'!$G$3:$G$1976),SUMPRODUCT(('Sulphur freight'!$B$3:$B$1976=B42)*('Sulphur freight'!$D$3:$D$1976=D32)*('Sulphur freight'!$G$3:$G$1976))/SUMPRODUCT(('Sulphur freight'!$B$3:$B$1976=B42)*('Sulphur freight'!$D$3:$D$1976=D32)*1))</f>
        <v>29.165429480381761</v>
      </c>
      <c r="P32" s="78">
        <v>20</v>
      </c>
      <c r="R32" s="78" t="str">
        <f t="shared" si="17"/>
        <v xml:space="preserve"> </v>
      </c>
      <c r="S32" s="78">
        <f t="shared" si="18"/>
        <v>31.573122529644269</v>
      </c>
      <c r="T32" s="78" t="str">
        <f t="shared" si="13"/>
        <v/>
      </c>
      <c r="U32" s="78" t="str">
        <f t="shared" si="19"/>
        <v/>
      </c>
      <c r="V32" s="78" t="str">
        <f>IFERROR(I32+O32, "")</f>
        <v/>
      </c>
      <c r="W32" s="78">
        <f t="shared" si="20"/>
        <v>58</v>
      </c>
      <c r="X32" s="78" t="str">
        <f t="shared" si="21"/>
        <v/>
      </c>
      <c r="Y32" s="78">
        <f t="shared" si="22"/>
        <v>37.14</v>
      </c>
      <c r="AA32" s="88" t="str">
        <f t="shared" si="23"/>
        <v/>
      </c>
      <c r="AB32" s="77" t="str">
        <f t="shared" si="14"/>
        <v/>
      </c>
      <c r="AD32" s="88" t="str">
        <f t="shared" si="24"/>
        <v/>
      </c>
      <c r="AE32" s="77" t="str">
        <f t="shared" si="15"/>
        <v/>
      </c>
    </row>
    <row r="33" spans="2:31" x14ac:dyDescent="0.35">
      <c r="C33">
        <v>4</v>
      </c>
      <c r="D33">
        <v>10</v>
      </c>
      <c r="E33" s="78" t="str">
        <f>'CRU historical'!F10</f>
        <v xml:space="preserve"> </v>
      </c>
      <c r="F33" s="78">
        <f>'CRU historical'!I10</f>
        <v>8</v>
      </c>
      <c r="G33" s="78" t="str">
        <f>'CRU historical'!L10</f>
        <v xml:space="preserve"> </v>
      </c>
      <c r="H33" s="78" t="str">
        <f>'CRU historical'!O10</f>
        <v xml:space="preserve"> </v>
      </c>
      <c r="I33" s="78" t="str">
        <f>'CRU historical'!R10</f>
        <v xml:space="preserve"> </v>
      </c>
      <c r="J33" s="78">
        <f>AVERAGE('CRU historical'!U10, 'CRU historical'!X10, 'CRU historical'!AA10, 'CRU historical'!AD10)</f>
        <v>38</v>
      </c>
      <c r="L33" s="78" cm="1">
        <f t="array" ref="L33">IFERROR(SUMPRODUCT(('Sulphuric Acid freights'!$B$3:$B$513=B43)*('Sulphuric Acid freights'!$D$3:$D$513=D33)*('Sulphuric Acid freights'!$P$3:$P$513))/SUMPRODUCT(('Sulphuric Acid freights'!$B$3:$B$513=B43)*('Sulphuric Acid freights'!$D$3:$D$513=D33)*1), AVERAGE('Sulphuric Acid freights'!$P$3:$P$513))*2/3</f>
        <v>54.110671936758898</v>
      </c>
      <c r="M33" s="78" cm="1">
        <f t="array" ref="M33">IFERROR(SUMPRODUCT(('Sulphuric Acid freights'!$B$3:$B$513=B43)*('Sulphuric Acid freights'!$D$3:$D$513=D33)*('Sulphuric Acid freights'!$M$3:$M$513))/SUMPRODUCT(('Sulphuric Acid freights'!$B$3:$B$513=B43)*('Sulphuric Acid freights'!$D$3:$D$513=D33)*1)*2/3, AVERAGE('Sulphuric Acid freights'!$M$3:$M$513))</f>
        <v>23.573122529644269</v>
      </c>
      <c r="N33" s="78">
        <f t="shared" si="16"/>
        <v>48.699604743083007</v>
      </c>
      <c r="O33" s="78" cm="1">
        <f t="array" ref="O33">IF(SUMPRODUCT(('Sulphur freight'!$B$3:$B$1976=B43)*('Sulphur freight'!$D$3:$D$1976=D33)*('Sulphur freight'!$G$3:$G$1976))/SUMPRODUCT(('Sulphur freight'!$B$3:$B$1976=B43)*('Sulphur freight'!$D$3:$D$1976=D33)*1)=0, AVERAGE('Sulphur freight'!$G$3:$G$1976),SUMPRODUCT(('Sulphur freight'!$B$3:$B$1976=B43)*('Sulphur freight'!$D$3:$D$1976=D33)*('Sulphur freight'!$G$3:$G$1976))/SUMPRODUCT(('Sulphur freight'!$B$3:$B$1976=B43)*('Sulphur freight'!$D$3:$D$1976=D33)*1))</f>
        <v>29.165429480381761</v>
      </c>
      <c r="P33" s="78">
        <v>20</v>
      </c>
      <c r="R33" s="78" t="str">
        <f t="shared" si="17"/>
        <v xml:space="preserve"> </v>
      </c>
      <c r="S33" s="78">
        <f t="shared" si="18"/>
        <v>31.573122529644269</v>
      </c>
      <c r="T33" s="78" t="str">
        <f t="shared" si="13"/>
        <v/>
      </c>
      <c r="U33" s="78" t="str">
        <f t="shared" si="19"/>
        <v/>
      </c>
      <c r="V33" s="78" t="str">
        <f>IFERROR(I33+O33, "")</f>
        <v/>
      </c>
      <c r="W33" s="78">
        <f t="shared" si="20"/>
        <v>58</v>
      </c>
      <c r="X33" s="78" t="str">
        <f t="shared" si="21"/>
        <v/>
      </c>
      <c r="Y33" s="78">
        <f t="shared" si="22"/>
        <v>37.14</v>
      </c>
      <c r="AA33" s="88" t="str">
        <f t="shared" si="23"/>
        <v/>
      </c>
      <c r="AB33" s="77" t="str">
        <f t="shared" si="14"/>
        <v/>
      </c>
      <c r="AD33" s="88" t="str">
        <f t="shared" si="24"/>
        <v/>
      </c>
      <c r="AE33" s="77" t="str">
        <f t="shared" si="15"/>
        <v/>
      </c>
    </row>
    <row r="34" spans="2:31" x14ac:dyDescent="0.35">
      <c r="C34">
        <v>4</v>
      </c>
      <c r="D34">
        <v>11</v>
      </c>
      <c r="E34" s="78" t="str">
        <f>'CRU historical'!F11</f>
        <v xml:space="preserve"> </v>
      </c>
      <c r="F34" s="78">
        <f>'CRU historical'!I11</f>
        <v>11</v>
      </c>
      <c r="G34" s="78" t="str">
        <f>'CRU historical'!L11</f>
        <v xml:space="preserve"> </v>
      </c>
      <c r="H34" s="78" t="str">
        <f>'CRU historical'!O11</f>
        <v xml:space="preserve"> </v>
      </c>
      <c r="I34" s="78" t="str">
        <f>'CRU historical'!R11</f>
        <v xml:space="preserve"> </v>
      </c>
      <c r="J34" s="78">
        <f>AVERAGE('CRU historical'!U11, 'CRU historical'!X11, 'CRU historical'!AA11, 'CRU historical'!AD11)</f>
        <v>39</v>
      </c>
      <c r="L34" s="78" cm="1">
        <f t="array" ref="L34">IFERROR(SUMPRODUCT(('Sulphuric Acid freights'!$B$3:$B$513=B44)*('Sulphuric Acid freights'!$D$3:$D$513=D34)*('Sulphuric Acid freights'!$P$3:$P$513))/SUMPRODUCT(('Sulphuric Acid freights'!$B$3:$B$513=B44)*('Sulphuric Acid freights'!$D$3:$D$513=D34)*1), AVERAGE('Sulphuric Acid freights'!$P$3:$P$513))*2/3</f>
        <v>54.110671936758898</v>
      </c>
      <c r="M34" s="78" cm="1">
        <f t="array" ref="M34">IFERROR(SUMPRODUCT(('Sulphuric Acid freights'!$B$3:$B$513=B44)*('Sulphuric Acid freights'!$D$3:$D$513=D34)*('Sulphuric Acid freights'!$M$3:$M$513))/SUMPRODUCT(('Sulphuric Acid freights'!$B$3:$B$513=B44)*('Sulphuric Acid freights'!$D$3:$D$513=D34)*1)*2/3, AVERAGE('Sulphuric Acid freights'!$M$3:$M$513))</f>
        <v>23.573122529644269</v>
      </c>
      <c r="N34" s="78">
        <f t="shared" si="16"/>
        <v>48.699604743083007</v>
      </c>
      <c r="O34" s="78" cm="1">
        <f t="array" ref="O34">IF(SUMPRODUCT(('Sulphur freight'!$B$3:$B$1976=B44)*('Sulphur freight'!$D$3:$D$1976=D34)*('Sulphur freight'!$G$3:$G$1976))/SUMPRODUCT(('Sulphur freight'!$B$3:$B$1976=B44)*('Sulphur freight'!$D$3:$D$1976=D34)*1)=0, AVERAGE('Sulphur freight'!$G$3:$G$1976),SUMPRODUCT(('Sulphur freight'!$B$3:$B$1976=B44)*('Sulphur freight'!$D$3:$D$1976=D34)*('Sulphur freight'!$G$3:$G$1976))/SUMPRODUCT(('Sulphur freight'!$B$3:$B$1976=B44)*('Sulphur freight'!$D$3:$D$1976=D34)*1))</f>
        <v>29.165429480381761</v>
      </c>
      <c r="P34" s="78">
        <v>20</v>
      </c>
      <c r="R34" s="78" t="str">
        <f t="shared" si="17"/>
        <v xml:space="preserve"> </v>
      </c>
      <c r="S34" s="78">
        <f t="shared" si="18"/>
        <v>34.573122529644266</v>
      </c>
      <c r="T34" s="78" t="str">
        <f t="shared" si="13"/>
        <v/>
      </c>
      <c r="U34" s="78" t="str">
        <f t="shared" si="19"/>
        <v/>
      </c>
      <c r="V34" s="78" t="str">
        <f>IFERROR(I34+O34, "")</f>
        <v/>
      </c>
      <c r="W34" s="78">
        <f t="shared" si="20"/>
        <v>59</v>
      </c>
      <c r="X34" s="78" t="str">
        <f t="shared" si="21"/>
        <v/>
      </c>
      <c r="Y34" s="78">
        <f t="shared" si="22"/>
        <v>37.47</v>
      </c>
      <c r="AA34" s="88" t="str">
        <f t="shared" si="23"/>
        <v/>
      </c>
      <c r="AB34" s="77" t="str">
        <f t="shared" si="14"/>
        <v/>
      </c>
      <c r="AD34" s="88" t="str">
        <f t="shared" si="24"/>
        <v/>
      </c>
      <c r="AE34" s="77" t="str">
        <f t="shared" si="15"/>
        <v/>
      </c>
    </row>
    <row r="35" spans="2:31" x14ac:dyDescent="0.35">
      <c r="C35">
        <v>4</v>
      </c>
      <c r="D35">
        <v>12</v>
      </c>
      <c r="E35" s="78" t="str">
        <f>'CRU historical'!F12</f>
        <v xml:space="preserve"> </v>
      </c>
      <c r="F35" s="78">
        <f>'CRU historical'!I12</f>
        <v>11</v>
      </c>
      <c r="G35" s="78" t="str">
        <f>'CRU historical'!L12</f>
        <v xml:space="preserve"> </v>
      </c>
      <c r="H35" s="78" t="str">
        <f>'CRU historical'!O12</f>
        <v xml:space="preserve"> </v>
      </c>
      <c r="I35" s="78" t="str">
        <f>'CRU historical'!R12</f>
        <v xml:space="preserve"> </v>
      </c>
      <c r="J35" s="78">
        <f>AVERAGE('CRU historical'!U12, 'CRU historical'!X12, 'CRU historical'!AA12, 'CRU historical'!AD12)</f>
        <v>39</v>
      </c>
      <c r="L35" s="78" cm="1">
        <f t="array" ref="L35">IFERROR(SUMPRODUCT(('Sulphuric Acid freights'!$B$3:$B$513=B45)*('Sulphuric Acid freights'!$D$3:$D$513=D35)*('Sulphuric Acid freights'!$P$3:$P$513))/SUMPRODUCT(('Sulphuric Acid freights'!$B$3:$B$513=B45)*('Sulphuric Acid freights'!$D$3:$D$513=D35)*1), AVERAGE('Sulphuric Acid freights'!$P$3:$P$513))*2/3</f>
        <v>54.110671936758898</v>
      </c>
      <c r="M35" s="78" cm="1">
        <f t="array" ref="M35">IFERROR(SUMPRODUCT(('Sulphuric Acid freights'!$B$3:$B$513=B45)*('Sulphuric Acid freights'!$D$3:$D$513=D35)*('Sulphuric Acid freights'!$M$3:$M$513))/SUMPRODUCT(('Sulphuric Acid freights'!$B$3:$B$513=B45)*('Sulphuric Acid freights'!$D$3:$D$513=D35)*1)*2/3, AVERAGE('Sulphuric Acid freights'!$M$3:$M$513))</f>
        <v>23.573122529644269</v>
      </c>
      <c r="N35" s="78">
        <f t="shared" si="16"/>
        <v>48.699604743083007</v>
      </c>
      <c r="O35" s="78" cm="1">
        <f t="array" ref="O35">IF(SUMPRODUCT(('Sulphur freight'!$B$3:$B$1976=B45)*('Sulphur freight'!$D$3:$D$1976=D35)*('Sulphur freight'!$G$3:$G$1976))/SUMPRODUCT(('Sulphur freight'!$B$3:$B$1976=B45)*('Sulphur freight'!$D$3:$D$1976=D35)*1)=0, AVERAGE('Sulphur freight'!$G$3:$G$1976),SUMPRODUCT(('Sulphur freight'!$B$3:$B$1976=B45)*('Sulphur freight'!$D$3:$D$1976=D35)*('Sulphur freight'!$G$3:$G$1976))/SUMPRODUCT(('Sulphur freight'!$B$3:$B$1976=B45)*('Sulphur freight'!$D$3:$D$1976=D35)*1))</f>
        <v>29.165429480381761</v>
      </c>
      <c r="P35" s="78">
        <v>20</v>
      </c>
      <c r="R35" s="78" t="str">
        <f t="shared" si="17"/>
        <v xml:space="preserve"> </v>
      </c>
      <c r="S35" s="78">
        <f t="shared" si="18"/>
        <v>34.573122529644266</v>
      </c>
      <c r="T35" s="78" t="str">
        <f t="shared" si="13"/>
        <v/>
      </c>
      <c r="U35" s="78" t="str">
        <f t="shared" si="19"/>
        <v/>
      </c>
      <c r="V35" s="78" t="str">
        <f>IFERROR(I35+O35, "")</f>
        <v/>
      </c>
      <c r="W35" s="78">
        <f t="shared" si="20"/>
        <v>59</v>
      </c>
      <c r="X35" s="78" t="str">
        <f t="shared" si="21"/>
        <v/>
      </c>
      <c r="Y35" s="78">
        <f t="shared" si="22"/>
        <v>37.47</v>
      </c>
      <c r="AA35" s="88" t="str">
        <f t="shared" si="23"/>
        <v/>
      </c>
      <c r="AB35" s="77" t="str">
        <f t="shared" si="14"/>
        <v/>
      </c>
      <c r="AD35" s="88" t="str">
        <f t="shared" si="24"/>
        <v/>
      </c>
      <c r="AE35" s="77" t="str">
        <f t="shared" si="15"/>
        <v/>
      </c>
    </row>
    <row r="36" spans="2:31" x14ac:dyDescent="0.35">
      <c r="C36">
        <v>1</v>
      </c>
      <c r="D36">
        <v>1</v>
      </c>
      <c r="E36" s="78" t="str">
        <f>'CRU historical'!F13</f>
        <v xml:space="preserve"> </v>
      </c>
      <c r="F36" s="78">
        <f>'CRU historical'!I13</f>
        <v>11.666666666666666</v>
      </c>
      <c r="G36" s="78" t="str">
        <f>'CRU historical'!L13</f>
        <v xml:space="preserve"> </v>
      </c>
      <c r="H36" s="78" t="str">
        <f>'CRU historical'!O13</f>
        <v xml:space="preserve"> </v>
      </c>
      <c r="I36" s="78" t="str">
        <f>'CRU historical'!R13</f>
        <v xml:space="preserve"> </v>
      </c>
      <c r="J36" s="78">
        <f>AVERAGE('CRU historical'!U13, 'CRU historical'!X13, 'CRU historical'!AA13, 'CRU historical'!AD13)</f>
        <v>57.333333333333336</v>
      </c>
      <c r="L36" s="78" cm="1">
        <f t="array" ref="L36">IFERROR(SUMPRODUCT(('Sulphuric Acid freights'!$B$3:$B$513=B46)*('Sulphuric Acid freights'!$D$3:$D$513=D36)*('Sulphuric Acid freights'!$P$3:$P$513))/SUMPRODUCT(('Sulphuric Acid freights'!$B$3:$B$513=B46)*('Sulphuric Acid freights'!$D$3:$D$513=D36)*1), AVERAGE('Sulphuric Acid freights'!$P$3:$P$513))*2/3</f>
        <v>54.110671936758898</v>
      </c>
      <c r="M36" s="78" cm="1">
        <f t="array" ref="M36">IFERROR(SUMPRODUCT(('Sulphuric Acid freights'!$B$3:$B$513=B46)*('Sulphuric Acid freights'!$D$3:$D$513=D36)*('Sulphuric Acid freights'!$M$3:$M$513))/SUMPRODUCT(('Sulphuric Acid freights'!$B$3:$B$513=B46)*('Sulphuric Acid freights'!$D$3:$D$513=D36)*1)*2/3, AVERAGE('Sulphuric Acid freights'!$M$3:$M$513))</f>
        <v>23.573122529644269</v>
      </c>
      <c r="N36" s="78">
        <f t="shared" si="16"/>
        <v>48.699604743083007</v>
      </c>
      <c r="O36" s="78" cm="1">
        <f t="array" ref="O36">IF(SUMPRODUCT(('Sulphur freight'!$B$3:$B$1976=B46)*('Sulphur freight'!$D$3:$D$1976=D36)*('Sulphur freight'!$G$3:$G$1976))/SUMPRODUCT(('Sulphur freight'!$B$3:$B$1976=B46)*('Sulphur freight'!$D$3:$D$1976=D36)*1)=0, AVERAGE('Sulphur freight'!$G$3:$G$1976),SUMPRODUCT(('Sulphur freight'!$B$3:$B$1976=B46)*('Sulphur freight'!$D$3:$D$1976=D36)*('Sulphur freight'!$G$3:$G$1976))/SUMPRODUCT(('Sulphur freight'!$B$3:$B$1976=B46)*('Sulphur freight'!$D$3:$D$1976=D36)*1))</f>
        <v>29.165429480381761</v>
      </c>
      <c r="P36" s="78">
        <v>20</v>
      </c>
      <c r="R36" s="78" t="str">
        <f t="shared" si="17"/>
        <v xml:space="preserve"> </v>
      </c>
      <c r="S36" s="78">
        <f t="shared" si="18"/>
        <v>35.239789196310937</v>
      </c>
      <c r="T36" s="78" t="str">
        <f t="shared" si="13"/>
        <v/>
      </c>
      <c r="U36" s="78" t="str">
        <f t="shared" si="19"/>
        <v/>
      </c>
      <c r="V36" s="78" t="str">
        <f>IFERROR(I36+O36, "")</f>
        <v/>
      </c>
      <c r="W36" s="78">
        <f t="shared" si="20"/>
        <v>77.333333333333343</v>
      </c>
      <c r="X36" s="78" t="str">
        <f t="shared" si="21"/>
        <v/>
      </c>
      <c r="Y36" s="78">
        <f t="shared" si="22"/>
        <v>43.52</v>
      </c>
      <c r="AA36" s="88" t="str">
        <f t="shared" si="23"/>
        <v/>
      </c>
      <c r="AB36" s="77" t="str">
        <f t="shared" si="14"/>
        <v/>
      </c>
      <c r="AD36" s="88" t="str">
        <f t="shared" si="24"/>
        <v/>
      </c>
      <c r="AE36" s="77" t="str">
        <f t="shared" si="15"/>
        <v/>
      </c>
    </row>
    <row r="37" spans="2:31" x14ac:dyDescent="0.35">
      <c r="B37" s="95" t="s">
        <v>0</v>
      </c>
      <c r="C37">
        <v>1</v>
      </c>
      <c r="D37">
        <v>2</v>
      </c>
      <c r="E37" s="78" t="str">
        <f>'CRU historical'!F14</f>
        <v xml:space="preserve"> </v>
      </c>
      <c r="F37" s="78">
        <f>'CRU historical'!I14</f>
        <v>13</v>
      </c>
      <c r="G37" s="78" t="str">
        <f>'CRU historical'!L14</f>
        <v xml:space="preserve"> </v>
      </c>
      <c r="H37" s="78" t="str">
        <f>'CRU historical'!O14</f>
        <v xml:space="preserve"> </v>
      </c>
      <c r="I37" s="78" t="str">
        <f>'CRU historical'!R14</f>
        <v xml:space="preserve"> </v>
      </c>
      <c r="J37" s="78">
        <f>AVERAGE('CRU historical'!U14, 'CRU historical'!X14, 'CRU historical'!AA14, 'CRU historical'!AD14)</f>
        <v>61</v>
      </c>
      <c r="L37" s="78" cm="1">
        <f t="array" ref="L37">IFERROR(SUMPRODUCT(('Sulphuric Acid freights'!$B$3:$B$513=B47)*('Sulphuric Acid freights'!$D$3:$D$513=D37)*('Sulphuric Acid freights'!$P$3:$P$513))/SUMPRODUCT(('Sulphuric Acid freights'!$B$3:$B$513=B47)*('Sulphuric Acid freights'!$D$3:$D$513=D37)*1), AVERAGE('Sulphuric Acid freights'!$P$3:$P$513))*2/3</f>
        <v>54.110671936758898</v>
      </c>
      <c r="M37" s="78" cm="1">
        <f t="array" ref="M37">IFERROR(SUMPRODUCT(('Sulphuric Acid freights'!$B$3:$B$513=B47)*('Sulphuric Acid freights'!$D$3:$D$513=D37)*('Sulphuric Acid freights'!$M$3:$M$513))/SUMPRODUCT(('Sulphuric Acid freights'!$B$3:$B$513=B47)*('Sulphuric Acid freights'!$D$3:$D$513=D37)*1)*2/3, AVERAGE('Sulphuric Acid freights'!$M$3:$M$513))</f>
        <v>23.573122529644269</v>
      </c>
      <c r="N37" s="78">
        <f t="shared" si="16"/>
        <v>48.699604743083007</v>
      </c>
      <c r="O37" s="78" cm="1">
        <f t="array" ref="O37">IF(SUMPRODUCT(('Sulphur freight'!$B$3:$B$1976=B47)*('Sulphur freight'!$D$3:$D$1976=D37)*('Sulphur freight'!$G$3:$G$1976))/SUMPRODUCT(('Sulphur freight'!$B$3:$B$1976=B47)*('Sulphur freight'!$D$3:$D$1976=D37)*1)=0, AVERAGE('Sulphur freight'!$G$3:$G$1976),SUMPRODUCT(('Sulphur freight'!$B$3:$B$1976=B47)*('Sulphur freight'!$D$3:$D$1976=D37)*('Sulphur freight'!$G$3:$G$1976))/SUMPRODUCT(('Sulphur freight'!$B$3:$B$1976=B47)*('Sulphur freight'!$D$3:$D$1976=D37)*1))</f>
        <v>29.165429480381761</v>
      </c>
      <c r="P37" s="78">
        <v>20</v>
      </c>
      <c r="R37" s="78" t="str">
        <f t="shared" si="17"/>
        <v xml:space="preserve"> </v>
      </c>
      <c r="S37" s="78">
        <f t="shared" si="18"/>
        <v>36.573122529644266</v>
      </c>
      <c r="T37" s="78" t="str">
        <f t="shared" si="13"/>
        <v/>
      </c>
      <c r="U37" s="78" t="str">
        <f t="shared" si="19"/>
        <v/>
      </c>
      <c r="V37" s="78" t="str">
        <f>IFERROR(I37+O37, "")</f>
        <v/>
      </c>
      <c r="W37" s="78">
        <f t="shared" si="20"/>
        <v>81</v>
      </c>
      <c r="X37" s="78" t="str">
        <f t="shared" si="21"/>
        <v/>
      </c>
      <c r="Y37" s="78">
        <f t="shared" si="22"/>
        <v>44.730000000000004</v>
      </c>
      <c r="AA37" s="88" t="str">
        <f t="shared" si="23"/>
        <v/>
      </c>
      <c r="AB37" s="77" t="str">
        <f t="shared" si="14"/>
        <v/>
      </c>
      <c r="AD37" s="88" t="str">
        <f t="shared" si="24"/>
        <v/>
      </c>
      <c r="AE37" s="77" t="str">
        <f t="shared" si="15"/>
        <v/>
      </c>
    </row>
    <row r="38" spans="2:31" x14ac:dyDescent="0.35">
      <c r="B38">
        <v>2002</v>
      </c>
      <c r="C38">
        <v>1</v>
      </c>
      <c r="D38">
        <v>3</v>
      </c>
      <c r="E38" s="78" t="str">
        <f>'CRU historical'!F15</f>
        <v xml:space="preserve"> </v>
      </c>
      <c r="F38" s="78">
        <f>'CRU historical'!I15</f>
        <v>13</v>
      </c>
      <c r="G38" s="78" t="str">
        <f>'CRU historical'!L15</f>
        <v xml:space="preserve"> </v>
      </c>
      <c r="H38" s="78" t="str">
        <f>'CRU historical'!O15</f>
        <v xml:space="preserve"> </v>
      </c>
      <c r="I38" s="78" t="str">
        <f>'CRU historical'!R15</f>
        <v xml:space="preserve"> </v>
      </c>
      <c r="J38" s="78">
        <f>AVERAGE('CRU historical'!U15, 'CRU historical'!X15, 'CRU historical'!AA15, 'CRU historical'!AD15)</f>
        <v>62</v>
      </c>
      <c r="L38" s="78" cm="1">
        <f t="array" ref="L38">IFERROR(SUMPRODUCT(('Sulphuric Acid freights'!$B$3:$B$513=B48)*('Sulphuric Acid freights'!$D$3:$D$513=D38)*('Sulphuric Acid freights'!$P$3:$P$513))/SUMPRODUCT(('Sulphuric Acid freights'!$B$3:$B$513=B48)*('Sulphuric Acid freights'!$D$3:$D$513=D38)*1), AVERAGE('Sulphuric Acid freights'!$P$3:$P$513))*2/3</f>
        <v>54.110671936758898</v>
      </c>
      <c r="M38" s="78" cm="1">
        <f t="array" ref="M38">IFERROR(SUMPRODUCT(('Sulphuric Acid freights'!$B$3:$B$513=B48)*('Sulphuric Acid freights'!$D$3:$D$513=D38)*('Sulphuric Acid freights'!$M$3:$M$513))/SUMPRODUCT(('Sulphuric Acid freights'!$B$3:$B$513=B48)*('Sulphuric Acid freights'!$D$3:$D$513=D38)*1)*2/3, AVERAGE('Sulphuric Acid freights'!$M$3:$M$513))</f>
        <v>23.573122529644269</v>
      </c>
      <c r="N38" s="78">
        <f t="shared" si="16"/>
        <v>48.699604743083007</v>
      </c>
      <c r="O38" s="78" cm="1">
        <f t="array" ref="O38">IF(SUMPRODUCT(('Sulphur freight'!$B$3:$B$1976=B48)*('Sulphur freight'!$D$3:$D$1976=D38)*('Sulphur freight'!$G$3:$G$1976))/SUMPRODUCT(('Sulphur freight'!$B$3:$B$1976=B48)*('Sulphur freight'!$D$3:$D$1976=D38)*1)=0, AVERAGE('Sulphur freight'!$G$3:$G$1976),SUMPRODUCT(('Sulphur freight'!$B$3:$B$1976=B48)*('Sulphur freight'!$D$3:$D$1976=D38)*('Sulphur freight'!$G$3:$G$1976))/SUMPRODUCT(('Sulphur freight'!$B$3:$B$1976=B48)*('Sulphur freight'!$D$3:$D$1976=D38)*1))</f>
        <v>29.165429480381761</v>
      </c>
      <c r="P38" s="78">
        <v>20</v>
      </c>
      <c r="R38" s="78" t="str">
        <f t="shared" si="17"/>
        <v xml:space="preserve"> </v>
      </c>
      <c r="S38" s="78">
        <f t="shared" si="18"/>
        <v>36.573122529644266</v>
      </c>
      <c r="T38" s="78" t="str">
        <f t="shared" si="13"/>
        <v/>
      </c>
      <c r="U38" s="78" t="str">
        <f t="shared" si="19"/>
        <v/>
      </c>
      <c r="V38" s="78" t="str">
        <f>IFERROR(I38+O38, "")</f>
        <v/>
      </c>
      <c r="W38" s="78">
        <f t="shared" si="20"/>
        <v>82</v>
      </c>
      <c r="X38" s="78" t="str">
        <f t="shared" si="21"/>
        <v/>
      </c>
      <c r="Y38" s="78">
        <f t="shared" si="22"/>
        <v>45.06</v>
      </c>
      <c r="AA38" s="88" t="str">
        <f t="shared" si="23"/>
        <v/>
      </c>
      <c r="AB38" s="77" t="str">
        <f t="shared" si="14"/>
        <v/>
      </c>
      <c r="AD38" s="88" t="str">
        <f t="shared" si="24"/>
        <v/>
      </c>
      <c r="AE38" s="77" t="str">
        <f t="shared" si="15"/>
        <v/>
      </c>
    </row>
    <row r="39" spans="2:31" x14ac:dyDescent="0.35">
      <c r="B39">
        <v>2002</v>
      </c>
      <c r="C39">
        <v>2</v>
      </c>
      <c r="D39">
        <v>4</v>
      </c>
      <c r="E39" s="78" t="str">
        <f>'CRU historical'!F16</f>
        <v xml:space="preserve"> </v>
      </c>
      <c r="F39" s="78">
        <f>'CRU historical'!I16</f>
        <v>13</v>
      </c>
      <c r="G39" s="78" t="str">
        <f>'CRU historical'!L16</f>
        <v xml:space="preserve"> </v>
      </c>
      <c r="H39" s="78" t="str">
        <f>'CRU historical'!O16</f>
        <v xml:space="preserve"> </v>
      </c>
      <c r="I39" s="78" t="str">
        <f>'CRU historical'!R16</f>
        <v xml:space="preserve"> </v>
      </c>
      <c r="J39" s="78">
        <f>AVERAGE('CRU historical'!U16, 'CRU historical'!X16, 'CRU historical'!AA16, 'CRU historical'!AD16)</f>
        <v>60.5</v>
      </c>
      <c r="L39" s="78" cm="1">
        <f t="array" ref="L39">IFERROR(SUMPRODUCT(('Sulphuric Acid freights'!$B$3:$B$513=B49)*('Sulphuric Acid freights'!$D$3:$D$513=D39)*('Sulphuric Acid freights'!$P$3:$P$513))/SUMPRODUCT(('Sulphuric Acid freights'!$B$3:$B$513=B49)*('Sulphuric Acid freights'!$D$3:$D$513=D39)*1), AVERAGE('Sulphuric Acid freights'!$P$3:$P$513))*2/3</f>
        <v>54.110671936758898</v>
      </c>
      <c r="M39" s="78" cm="1">
        <f t="array" ref="M39">IFERROR(SUMPRODUCT(('Sulphuric Acid freights'!$B$3:$B$513=B49)*('Sulphuric Acid freights'!$D$3:$D$513=D39)*('Sulphuric Acid freights'!$M$3:$M$513))/SUMPRODUCT(('Sulphuric Acid freights'!$B$3:$B$513=B49)*('Sulphuric Acid freights'!$D$3:$D$513=D39)*1)*2/3, AVERAGE('Sulphuric Acid freights'!$M$3:$M$513))</f>
        <v>23.573122529644269</v>
      </c>
      <c r="N39" s="78">
        <f t="shared" si="16"/>
        <v>48.699604743083007</v>
      </c>
      <c r="O39" s="78" cm="1">
        <f t="array" ref="O39">IF(SUMPRODUCT(('Sulphur freight'!$B$3:$B$1976=B49)*('Sulphur freight'!$D$3:$D$1976=D39)*('Sulphur freight'!$G$3:$G$1976))/SUMPRODUCT(('Sulphur freight'!$B$3:$B$1976=B49)*('Sulphur freight'!$D$3:$D$1976=D39)*1)=0, AVERAGE('Sulphur freight'!$G$3:$G$1976),SUMPRODUCT(('Sulphur freight'!$B$3:$B$1976=B49)*('Sulphur freight'!$D$3:$D$1976=D39)*('Sulphur freight'!$G$3:$G$1976))/SUMPRODUCT(('Sulphur freight'!$B$3:$B$1976=B49)*('Sulphur freight'!$D$3:$D$1976=D39)*1))</f>
        <v>29.165429480381761</v>
      </c>
      <c r="P39" s="78">
        <v>20</v>
      </c>
      <c r="R39" s="78" t="str">
        <f t="shared" si="17"/>
        <v xml:space="preserve"> </v>
      </c>
      <c r="S39" s="78">
        <f t="shared" si="18"/>
        <v>36.573122529644266</v>
      </c>
      <c r="T39" s="78" t="str">
        <f t="shared" si="13"/>
        <v/>
      </c>
      <c r="U39" s="78" t="str">
        <f t="shared" si="19"/>
        <v/>
      </c>
      <c r="V39" s="78" t="str">
        <f>IFERROR(I39+O39, "")</f>
        <v/>
      </c>
      <c r="W39" s="78">
        <f t="shared" si="20"/>
        <v>80.5</v>
      </c>
      <c r="X39" s="78" t="str">
        <f t="shared" si="21"/>
        <v/>
      </c>
      <c r="Y39" s="78">
        <f t="shared" si="22"/>
        <v>44.564999999999998</v>
      </c>
      <c r="AA39" s="88" t="str">
        <f t="shared" si="23"/>
        <v/>
      </c>
      <c r="AB39" s="77" t="str">
        <f t="shared" si="14"/>
        <v/>
      </c>
      <c r="AD39" s="88" t="str">
        <f t="shared" si="24"/>
        <v/>
      </c>
      <c r="AE39" s="77" t="str">
        <f t="shared" si="15"/>
        <v/>
      </c>
    </row>
    <row r="40" spans="2:31" x14ac:dyDescent="0.35">
      <c r="B40">
        <v>2002</v>
      </c>
      <c r="C40">
        <v>2</v>
      </c>
      <c r="D40">
        <v>5</v>
      </c>
      <c r="E40" s="78" t="str">
        <f>'CRU historical'!F17</f>
        <v xml:space="preserve"> </v>
      </c>
      <c r="F40" s="78">
        <f>'CRU historical'!I17</f>
        <v>13</v>
      </c>
      <c r="G40" s="78" t="str">
        <f>'CRU historical'!L17</f>
        <v xml:space="preserve"> </v>
      </c>
      <c r="H40" s="78" t="str">
        <f>'CRU historical'!O17</f>
        <v xml:space="preserve"> </v>
      </c>
      <c r="I40" s="78" t="str">
        <f>'CRU historical'!R17</f>
        <v xml:space="preserve"> </v>
      </c>
      <c r="J40" s="78">
        <f>AVERAGE('CRU historical'!U17, 'CRU historical'!X17, 'CRU historical'!AA17, 'CRU historical'!AD17)</f>
        <v>60.5</v>
      </c>
      <c r="L40" s="78" cm="1">
        <f t="array" ref="L40">IFERROR(SUMPRODUCT(('Sulphuric Acid freights'!$B$3:$B$513=B50)*('Sulphuric Acid freights'!$D$3:$D$513=D40)*('Sulphuric Acid freights'!$P$3:$P$513))/SUMPRODUCT(('Sulphuric Acid freights'!$B$3:$B$513=B50)*('Sulphuric Acid freights'!$D$3:$D$513=D40)*1), AVERAGE('Sulphuric Acid freights'!$P$3:$P$513))*2/3</f>
        <v>54.110671936758898</v>
      </c>
      <c r="M40" s="78" cm="1">
        <f t="array" ref="M40">IFERROR(SUMPRODUCT(('Sulphuric Acid freights'!$B$3:$B$513=B50)*('Sulphuric Acid freights'!$D$3:$D$513=D40)*('Sulphuric Acid freights'!$M$3:$M$513))/SUMPRODUCT(('Sulphuric Acid freights'!$B$3:$B$513=B50)*('Sulphuric Acid freights'!$D$3:$D$513=D40)*1)*2/3, AVERAGE('Sulphuric Acid freights'!$M$3:$M$513))</f>
        <v>23.573122529644269</v>
      </c>
      <c r="N40" s="78">
        <f t="shared" si="16"/>
        <v>48.699604743083007</v>
      </c>
      <c r="O40" s="78" cm="1">
        <f t="array" ref="O40">IF(SUMPRODUCT(('Sulphur freight'!$B$3:$B$1976=B50)*('Sulphur freight'!$D$3:$D$1976=D40)*('Sulphur freight'!$G$3:$G$1976))/SUMPRODUCT(('Sulphur freight'!$B$3:$B$1976=B50)*('Sulphur freight'!$D$3:$D$1976=D40)*1)=0, AVERAGE('Sulphur freight'!$G$3:$G$1976),SUMPRODUCT(('Sulphur freight'!$B$3:$B$1976=B50)*('Sulphur freight'!$D$3:$D$1976=D40)*('Sulphur freight'!$G$3:$G$1976))/SUMPRODUCT(('Sulphur freight'!$B$3:$B$1976=B50)*('Sulphur freight'!$D$3:$D$1976=D40)*1))</f>
        <v>29.165429480381761</v>
      </c>
      <c r="P40" s="78">
        <v>20</v>
      </c>
      <c r="R40" s="78" t="str">
        <f t="shared" si="17"/>
        <v xml:space="preserve"> </v>
      </c>
      <c r="S40" s="78">
        <f t="shared" si="18"/>
        <v>36.573122529644266</v>
      </c>
      <c r="T40" s="78" t="str">
        <f t="shared" si="13"/>
        <v/>
      </c>
      <c r="U40" s="78" t="str">
        <f t="shared" si="19"/>
        <v/>
      </c>
      <c r="V40" s="78" t="str">
        <f>IFERROR(I40+O40, "")</f>
        <v/>
      </c>
      <c r="W40" s="78">
        <f t="shared" si="20"/>
        <v>80.5</v>
      </c>
      <c r="X40" s="78" t="str">
        <f t="shared" si="21"/>
        <v/>
      </c>
      <c r="Y40" s="78">
        <f t="shared" si="22"/>
        <v>44.564999999999998</v>
      </c>
      <c r="AA40" s="88" t="str">
        <f t="shared" si="23"/>
        <v/>
      </c>
      <c r="AB40" s="77" t="str">
        <f t="shared" si="14"/>
        <v/>
      </c>
      <c r="AD40" s="88" t="str">
        <f t="shared" si="24"/>
        <v/>
      </c>
      <c r="AE40" s="77" t="str">
        <f t="shared" si="15"/>
        <v/>
      </c>
    </row>
    <row r="41" spans="2:31" x14ac:dyDescent="0.35">
      <c r="B41">
        <v>2002</v>
      </c>
      <c r="C41">
        <v>2</v>
      </c>
      <c r="D41">
        <v>6</v>
      </c>
      <c r="E41" s="78" t="str">
        <f>'CRU historical'!F18</f>
        <v xml:space="preserve"> </v>
      </c>
      <c r="F41" s="78">
        <f>'CRU historical'!I18</f>
        <v>17.5</v>
      </c>
      <c r="G41" s="78" t="str">
        <f>'CRU historical'!L18</f>
        <v xml:space="preserve"> </v>
      </c>
      <c r="H41" s="78" t="str">
        <f>'CRU historical'!O18</f>
        <v xml:space="preserve"> </v>
      </c>
      <c r="I41" s="78">
        <f>'CRU historical'!R18</f>
        <v>63</v>
      </c>
      <c r="J41" s="78">
        <f>AVERAGE('CRU historical'!U18, 'CRU historical'!X18, 'CRU historical'!AA18, 'CRU historical'!AD18)</f>
        <v>60.5</v>
      </c>
      <c r="L41" s="78" cm="1">
        <f t="array" ref="L41">IFERROR(SUMPRODUCT(('Sulphuric Acid freights'!$B$3:$B$513=B51)*('Sulphuric Acid freights'!$D$3:$D$513=D41)*('Sulphuric Acid freights'!$P$3:$P$513))/SUMPRODUCT(('Sulphuric Acid freights'!$B$3:$B$513=B51)*('Sulphuric Acid freights'!$D$3:$D$513=D41)*1), AVERAGE('Sulphuric Acid freights'!$P$3:$P$513))*2/3</f>
        <v>54.110671936758898</v>
      </c>
      <c r="M41" s="78" cm="1">
        <f t="array" ref="M41">IFERROR(SUMPRODUCT(('Sulphuric Acid freights'!$B$3:$B$513=B51)*('Sulphuric Acid freights'!$D$3:$D$513=D41)*('Sulphuric Acid freights'!$M$3:$M$513))/SUMPRODUCT(('Sulphuric Acid freights'!$B$3:$B$513=B51)*('Sulphuric Acid freights'!$D$3:$D$513=D41)*1)*2/3, AVERAGE('Sulphuric Acid freights'!$M$3:$M$513))</f>
        <v>23.573122529644269</v>
      </c>
      <c r="N41" s="78">
        <f t="shared" si="16"/>
        <v>48.699604743083007</v>
      </c>
      <c r="O41" s="78" cm="1">
        <f t="array" ref="O41">IF(SUMPRODUCT(('Sulphur freight'!$B$3:$B$1976=B51)*('Sulphur freight'!$D$3:$D$1976=D41)*('Sulphur freight'!$G$3:$G$1976))/SUMPRODUCT(('Sulphur freight'!$B$3:$B$1976=B51)*('Sulphur freight'!$D$3:$D$1976=D41)*1)=0, AVERAGE('Sulphur freight'!$G$3:$G$1976),SUMPRODUCT(('Sulphur freight'!$B$3:$B$1976=B51)*('Sulphur freight'!$D$3:$D$1976=D41)*('Sulphur freight'!$G$3:$G$1976))/SUMPRODUCT(('Sulphur freight'!$B$3:$B$1976=B51)*('Sulphur freight'!$D$3:$D$1976=D41)*1))</f>
        <v>29.165429480381761</v>
      </c>
      <c r="P41" s="78">
        <v>20</v>
      </c>
      <c r="R41" s="78" t="str">
        <f t="shared" si="17"/>
        <v xml:space="preserve"> </v>
      </c>
      <c r="S41" s="78">
        <f t="shared" si="18"/>
        <v>41.073122529644266</v>
      </c>
      <c r="T41" s="78" t="str">
        <f t="shared" si="13"/>
        <v/>
      </c>
      <c r="U41" s="78" t="str">
        <f t="shared" si="19"/>
        <v/>
      </c>
      <c r="V41" s="78">
        <f>IFERROR(I41+O41, "")</f>
        <v>92.165429480381761</v>
      </c>
      <c r="W41" s="78">
        <f t="shared" si="20"/>
        <v>80.5</v>
      </c>
      <c r="X41" s="78">
        <f t="shared" si="21"/>
        <v>48.414591728525984</v>
      </c>
      <c r="Y41" s="78">
        <f t="shared" si="22"/>
        <v>44.564999999999998</v>
      </c>
      <c r="AA41" s="88" t="str">
        <f t="shared" si="23"/>
        <v/>
      </c>
      <c r="AB41" s="77" t="str">
        <f t="shared" si="14"/>
        <v/>
      </c>
      <c r="AD41" s="88" t="str">
        <f t="shared" si="24"/>
        <v/>
      </c>
      <c r="AE41" s="77" t="str">
        <f t="shared" si="15"/>
        <v/>
      </c>
    </row>
    <row r="42" spans="2:31" x14ac:dyDescent="0.35">
      <c r="B42">
        <v>2002</v>
      </c>
      <c r="C42">
        <v>3</v>
      </c>
      <c r="D42">
        <v>7</v>
      </c>
      <c r="E42" s="78" t="str">
        <f>'CRU historical'!F19</f>
        <v xml:space="preserve"> </v>
      </c>
      <c r="F42" s="78">
        <f>'CRU historical'!I19</f>
        <v>22</v>
      </c>
      <c r="G42" s="78" t="str">
        <f>'CRU historical'!L19</f>
        <v xml:space="preserve"> </v>
      </c>
      <c r="H42" s="78" t="str">
        <f>'CRU historical'!O19</f>
        <v xml:space="preserve"> </v>
      </c>
      <c r="I42" s="78">
        <f>'CRU historical'!R19</f>
        <v>59</v>
      </c>
      <c r="J42" s="78">
        <f>AVERAGE('CRU historical'!U19, 'CRU historical'!X19, 'CRU historical'!AA19, 'CRU historical'!AD19)</f>
        <v>65.333333333333329</v>
      </c>
      <c r="L42" s="78" cm="1">
        <f t="array" ref="L42">IFERROR(SUMPRODUCT(('Sulphuric Acid freights'!$B$3:$B$513=B52)*('Sulphuric Acid freights'!$D$3:$D$513=D42)*('Sulphuric Acid freights'!$P$3:$P$513))/SUMPRODUCT(('Sulphuric Acid freights'!$B$3:$B$513=B52)*('Sulphuric Acid freights'!$D$3:$D$513=D42)*1), AVERAGE('Sulphuric Acid freights'!$P$3:$P$513))*2/3</f>
        <v>54.110671936758898</v>
      </c>
      <c r="M42" s="78" cm="1">
        <f t="array" ref="M42">IFERROR(SUMPRODUCT(('Sulphuric Acid freights'!$B$3:$B$513=B52)*('Sulphuric Acid freights'!$D$3:$D$513=D42)*('Sulphuric Acid freights'!$M$3:$M$513))/SUMPRODUCT(('Sulphuric Acid freights'!$B$3:$B$513=B52)*('Sulphuric Acid freights'!$D$3:$D$513=D42)*1)*2/3, AVERAGE('Sulphuric Acid freights'!$M$3:$M$513))</f>
        <v>23.573122529644269</v>
      </c>
      <c r="N42" s="78">
        <f t="shared" si="16"/>
        <v>48.699604743083007</v>
      </c>
      <c r="O42" s="78" cm="1">
        <f t="array" ref="O42">IF(SUMPRODUCT(('Sulphur freight'!$B$3:$B$1976=B52)*('Sulphur freight'!$D$3:$D$1976=D42)*('Sulphur freight'!$G$3:$G$1976))/SUMPRODUCT(('Sulphur freight'!$B$3:$B$1976=B52)*('Sulphur freight'!$D$3:$D$1976=D42)*1)=0, AVERAGE('Sulphur freight'!$G$3:$G$1976),SUMPRODUCT(('Sulphur freight'!$B$3:$B$1976=B52)*('Sulphur freight'!$D$3:$D$1976=D42)*('Sulphur freight'!$G$3:$G$1976))/SUMPRODUCT(('Sulphur freight'!$B$3:$B$1976=B52)*('Sulphur freight'!$D$3:$D$1976=D42)*1))</f>
        <v>29.165429480381761</v>
      </c>
      <c r="P42" s="78">
        <v>20</v>
      </c>
      <c r="R42" s="78" t="str">
        <f t="shared" si="17"/>
        <v xml:space="preserve"> </v>
      </c>
      <c r="S42" s="78">
        <f t="shared" si="18"/>
        <v>45.573122529644266</v>
      </c>
      <c r="T42" s="78" t="str">
        <f t="shared" si="13"/>
        <v/>
      </c>
      <c r="U42" s="78" t="str">
        <f t="shared" si="19"/>
        <v/>
      </c>
      <c r="V42" s="78">
        <f>IFERROR(I42+O42, "")</f>
        <v>88.165429480381761</v>
      </c>
      <c r="W42" s="78">
        <f t="shared" si="20"/>
        <v>85.333333333333329</v>
      </c>
      <c r="X42" s="78">
        <f t="shared" si="21"/>
        <v>47.094591728525984</v>
      </c>
      <c r="Y42" s="78">
        <f t="shared" si="22"/>
        <v>46.16</v>
      </c>
      <c r="AA42" s="88" t="str">
        <f t="shared" si="23"/>
        <v/>
      </c>
      <c r="AB42" s="77" t="str">
        <f t="shared" si="14"/>
        <v/>
      </c>
      <c r="AD42" s="88" t="str">
        <f t="shared" si="24"/>
        <v/>
      </c>
      <c r="AE42" s="77" t="str">
        <f t="shared" si="15"/>
        <v/>
      </c>
    </row>
    <row r="43" spans="2:31" x14ac:dyDescent="0.35">
      <c r="B43">
        <v>2002</v>
      </c>
      <c r="C43">
        <v>3</v>
      </c>
      <c r="D43">
        <v>8</v>
      </c>
      <c r="E43" s="78" t="str">
        <f>'CRU historical'!F20</f>
        <v xml:space="preserve"> </v>
      </c>
      <c r="F43" s="78">
        <f>'CRU historical'!I20</f>
        <v>22</v>
      </c>
      <c r="G43" s="78" t="str">
        <f>'CRU historical'!L20</f>
        <v xml:space="preserve"> </v>
      </c>
      <c r="H43" s="78" t="str">
        <f>'CRU historical'!O20</f>
        <v xml:space="preserve"> </v>
      </c>
      <c r="I43" s="78">
        <f>'CRU historical'!R20</f>
        <v>58</v>
      </c>
      <c r="J43" s="78">
        <f>AVERAGE('CRU historical'!U20, 'CRU historical'!X20, 'CRU historical'!AA20, 'CRU historical'!AD20)</f>
        <v>69.5</v>
      </c>
      <c r="L43" s="78" cm="1">
        <f t="array" ref="L43">IFERROR(SUMPRODUCT(('Sulphuric Acid freights'!$B$3:$B$513=B53)*('Sulphuric Acid freights'!$D$3:$D$513=D43)*('Sulphuric Acid freights'!$P$3:$P$513))/SUMPRODUCT(('Sulphuric Acid freights'!$B$3:$B$513=B53)*('Sulphuric Acid freights'!$D$3:$D$513=D43)*1), AVERAGE('Sulphuric Acid freights'!$P$3:$P$513))*2/3</f>
        <v>54.110671936758898</v>
      </c>
      <c r="M43" s="78" cm="1">
        <f t="array" ref="M43">IFERROR(SUMPRODUCT(('Sulphuric Acid freights'!$B$3:$B$513=B53)*('Sulphuric Acid freights'!$D$3:$D$513=D43)*('Sulphuric Acid freights'!$M$3:$M$513))/SUMPRODUCT(('Sulphuric Acid freights'!$B$3:$B$513=B53)*('Sulphuric Acid freights'!$D$3:$D$513=D43)*1)*2/3, AVERAGE('Sulphuric Acid freights'!$M$3:$M$513))</f>
        <v>23.573122529644269</v>
      </c>
      <c r="N43" s="78">
        <f t="shared" si="16"/>
        <v>48.699604743083007</v>
      </c>
      <c r="O43" s="78" cm="1">
        <f t="array" ref="O43">IF(SUMPRODUCT(('Sulphur freight'!$B$3:$B$1976=B53)*('Sulphur freight'!$D$3:$D$1976=D43)*('Sulphur freight'!$G$3:$G$1976))/SUMPRODUCT(('Sulphur freight'!$B$3:$B$1976=B53)*('Sulphur freight'!$D$3:$D$1976=D43)*1)=0, AVERAGE('Sulphur freight'!$G$3:$G$1976),SUMPRODUCT(('Sulphur freight'!$B$3:$B$1976=B53)*('Sulphur freight'!$D$3:$D$1976=D43)*('Sulphur freight'!$G$3:$G$1976))/SUMPRODUCT(('Sulphur freight'!$B$3:$B$1976=B53)*('Sulphur freight'!$D$3:$D$1976=D43)*1))</f>
        <v>29.165429480381761</v>
      </c>
      <c r="P43" s="78">
        <v>20</v>
      </c>
      <c r="R43" s="78" t="str">
        <f t="shared" si="17"/>
        <v xml:space="preserve"> </v>
      </c>
      <c r="S43" s="78">
        <f t="shared" si="18"/>
        <v>45.573122529644266</v>
      </c>
      <c r="T43" s="78" t="str">
        <f t="shared" si="13"/>
        <v/>
      </c>
      <c r="U43" s="78" t="str">
        <f t="shared" si="19"/>
        <v/>
      </c>
      <c r="V43" s="78">
        <f>IFERROR(I43+O43, "")</f>
        <v>87.165429480381761</v>
      </c>
      <c r="W43" s="78">
        <f t="shared" si="20"/>
        <v>89.5</v>
      </c>
      <c r="X43" s="78">
        <f t="shared" si="21"/>
        <v>46.764591728525986</v>
      </c>
      <c r="Y43" s="78">
        <f t="shared" si="22"/>
        <v>47.534999999999997</v>
      </c>
      <c r="AA43" s="88" t="str">
        <f t="shared" si="23"/>
        <v/>
      </c>
      <c r="AB43" s="77" t="str">
        <f t="shared" si="14"/>
        <v/>
      </c>
      <c r="AD43" s="88" t="str">
        <f t="shared" si="24"/>
        <v/>
      </c>
      <c r="AE43" s="77" t="str">
        <f t="shared" si="15"/>
        <v/>
      </c>
    </row>
    <row r="44" spans="2:31" x14ac:dyDescent="0.35">
      <c r="B44">
        <v>2002</v>
      </c>
      <c r="C44">
        <v>3</v>
      </c>
      <c r="D44">
        <v>9</v>
      </c>
      <c r="E44" s="78" t="str">
        <f>'CRU historical'!F21</f>
        <v xml:space="preserve"> </v>
      </c>
      <c r="F44" s="78">
        <f>'CRU historical'!I21</f>
        <v>22</v>
      </c>
      <c r="G44" s="78" t="str">
        <f>'CRU historical'!L21</f>
        <v xml:space="preserve"> </v>
      </c>
      <c r="H44" s="78" t="str">
        <f>'CRU historical'!O21</f>
        <v xml:space="preserve"> </v>
      </c>
      <c r="I44" s="78">
        <f>'CRU historical'!R21</f>
        <v>61.5</v>
      </c>
      <c r="J44" s="78">
        <f>AVERAGE('CRU historical'!U21, 'CRU historical'!X21, 'CRU historical'!AA21, 'CRU historical'!AD21)</f>
        <v>69.5</v>
      </c>
      <c r="L44" s="78" cm="1">
        <f t="array" ref="L44">IFERROR(SUMPRODUCT(('Sulphuric Acid freights'!$B$3:$B$513=B54)*('Sulphuric Acid freights'!$D$3:$D$513=D44)*('Sulphuric Acid freights'!$P$3:$P$513))/SUMPRODUCT(('Sulphuric Acid freights'!$B$3:$B$513=B54)*('Sulphuric Acid freights'!$D$3:$D$513=D44)*1), AVERAGE('Sulphuric Acid freights'!$P$3:$P$513))*2/3</f>
        <v>54.110671936758898</v>
      </c>
      <c r="M44" s="78" cm="1">
        <f t="array" ref="M44">IFERROR(SUMPRODUCT(('Sulphuric Acid freights'!$B$3:$B$513=B54)*('Sulphuric Acid freights'!$D$3:$D$513=D44)*('Sulphuric Acid freights'!$M$3:$M$513))/SUMPRODUCT(('Sulphuric Acid freights'!$B$3:$B$513=B54)*('Sulphuric Acid freights'!$D$3:$D$513=D44)*1)*2/3, AVERAGE('Sulphuric Acid freights'!$M$3:$M$513))</f>
        <v>23.573122529644269</v>
      </c>
      <c r="N44" s="78">
        <f t="shared" si="16"/>
        <v>48.699604743083007</v>
      </c>
      <c r="O44" s="78" cm="1">
        <f t="array" ref="O44">IF(SUMPRODUCT(('Sulphur freight'!$B$3:$B$1976=B54)*('Sulphur freight'!$D$3:$D$1976=D44)*('Sulphur freight'!$G$3:$G$1976))/SUMPRODUCT(('Sulphur freight'!$B$3:$B$1976=B54)*('Sulphur freight'!$D$3:$D$1976=D44)*1)=0, AVERAGE('Sulphur freight'!$G$3:$G$1976),SUMPRODUCT(('Sulphur freight'!$B$3:$B$1976=B54)*('Sulphur freight'!$D$3:$D$1976=D44)*('Sulphur freight'!$G$3:$G$1976))/SUMPRODUCT(('Sulphur freight'!$B$3:$B$1976=B54)*('Sulphur freight'!$D$3:$D$1976=D44)*1))</f>
        <v>29.165429480381761</v>
      </c>
      <c r="P44" s="78">
        <v>20</v>
      </c>
      <c r="R44" s="78" t="str">
        <f t="shared" si="17"/>
        <v xml:space="preserve"> </v>
      </c>
      <c r="S44" s="78">
        <f t="shared" si="18"/>
        <v>45.573122529644266</v>
      </c>
      <c r="T44" s="78" t="str">
        <f t="shared" si="13"/>
        <v/>
      </c>
      <c r="U44" s="78" t="str">
        <f t="shared" si="19"/>
        <v/>
      </c>
      <c r="V44" s="78">
        <f>IFERROR(I44+O44, "")</f>
        <v>90.665429480381761</v>
      </c>
      <c r="W44" s="78">
        <f t="shared" si="20"/>
        <v>89.5</v>
      </c>
      <c r="X44" s="78">
        <f t="shared" si="21"/>
        <v>47.919591728525987</v>
      </c>
      <c r="Y44" s="78">
        <f t="shared" si="22"/>
        <v>47.534999999999997</v>
      </c>
      <c r="AA44" s="88" t="str">
        <f t="shared" si="23"/>
        <v/>
      </c>
      <c r="AB44" s="77" t="str">
        <f t="shared" si="14"/>
        <v/>
      </c>
      <c r="AD44" s="88" t="str">
        <f t="shared" si="24"/>
        <v/>
      </c>
      <c r="AE44" s="77" t="str">
        <f t="shared" si="15"/>
        <v/>
      </c>
    </row>
    <row r="45" spans="2:31" x14ac:dyDescent="0.35">
      <c r="B45">
        <v>2002</v>
      </c>
      <c r="C45">
        <v>4</v>
      </c>
      <c r="D45">
        <v>10</v>
      </c>
      <c r="E45" s="78" t="str">
        <f>'CRU historical'!F22</f>
        <v xml:space="preserve"> </v>
      </c>
      <c r="F45" s="78">
        <f>'CRU historical'!I22</f>
        <v>28</v>
      </c>
      <c r="G45" s="78" t="str">
        <f>'CRU historical'!L22</f>
        <v xml:space="preserve"> </v>
      </c>
      <c r="H45" s="78" t="str">
        <f>'CRU historical'!O22</f>
        <v xml:space="preserve"> </v>
      </c>
      <c r="I45" s="78">
        <f>'CRU historical'!R22</f>
        <v>63</v>
      </c>
      <c r="J45" s="78">
        <f>AVERAGE('CRU historical'!U22, 'CRU historical'!X22, 'CRU historical'!AA22, 'CRU historical'!AD22)</f>
        <v>69.75</v>
      </c>
      <c r="L45" s="78" cm="1">
        <f t="array" ref="L45">IFERROR(SUMPRODUCT(('Sulphuric Acid freights'!$B$3:$B$513=B55)*('Sulphuric Acid freights'!$D$3:$D$513=D45)*('Sulphuric Acid freights'!$P$3:$P$513))/SUMPRODUCT(('Sulphuric Acid freights'!$B$3:$B$513=B55)*('Sulphuric Acid freights'!$D$3:$D$513=D45)*1), AVERAGE('Sulphuric Acid freights'!$P$3:$P$513))*2/3</f>
        <v>54.110671936758898</v>
      </c>
      <c r="M45" s="78" cm="1">
        <f t="array" ref="M45">IFERROR(SUMPRODUCT(('Sulphuric Acid freights'!$B$3:$B$513=B55)*('Sulphuric Acid freights'!$D$3:$D$513=D45)*('Sulphuric Acid freights'!$M$3:$M$513))/SUMPRODUCT(('Sulphuric Acid freights'!$B$3:$B$513=B55)*('Sulphuric Acid freights'!$D$3:$D$513=D45)*1)*2/3, AVERAGE('Sulphuric Acid freights'!$M$3:$M$513))</f>
        <v>23.573122529644269</v>
      </c>
      <c r="N45" s="78">
        <f t="shared" si="16"/>
        <v>48.699604743083007</v>
      </c>
      <c r="O45" s="78" cm="1">
        <f t="array" ref="O45">IF(SUMPRODUCT(('Sulphur freight'!$B$3:$B$1976=B55)*('Sulphur freight'!$D$3:$D$1976=D45)*('Sulphur freight'!$G$3:$G$1976))/SUMPRODUCT(('Sulphur freight'!$B$3:$B$1976=B55)*('Sulphur freight'!$D$3:$D$1976=D45)*1)=0, AVERAGE('Sulphur freight'!$G$3:$G$1976),SUMPRODUCT(('Sulphur freight'!$B$3:$B$1976=B55)*('Sulphur freight'!$D$3:$D$1976=D45)*('Sulphur freight'!$G$3:$G$1976))/SUMPRODUCT(('Sulphur freight'!$B$3:$B$1976=B55)*('Sulphur freight'!$D$3:$D$1976=D45)*1))</f>
        <v>29.165429480381761</v>
      </c>
      <c r="P45" s="78">
        <v>20</v>
      </c>
      <c r="R45" s="78" t="str">
        <f t="shared" si="17"/>
        <v xml:space="preserve"> </v>
      </c>
      <c r="S45" s="78">
        <f t="shared" si="18"/>
        <v>51.573122529644266</v>
      </c>
      <c r="T45" s="78" t="str">
        <f t="shared" si="13"/>
        <v/>
      </c>
      <c r="U45" s="78" t="str">
        <f t="shared" si="19"/>
        <v/>
      </c>
      <c r="V45" s="78">
        <f>IFERROR(I45+O45, "")</f>
        <v>92.165429480381761</v>
      </c>
      <c r="W45" s="78">
        <f t="shared" si="20"/>
        <v>89.75</v>
      </c>
      <c r="X45" s="78">
        <f t="shared" si="21"/>
        <v>48.414591728525984</v>
      </c>
      <c r="Y45" s="78">
        <f t="shared" si="22"/>
        <v>47.6175</v>
      </c>
      <c r="AA45" s="88" t="str">
        <f t="shared" si="23"/>
        <v/>
      </c>
      <c r="AB45" s="77" t="str">
        <f t="shared" si="14"/>
        <v/>
      </c>
      <c r="AD45" s="88" t="str">
        <f t="shared" si="24"/>
        <v/>
      </c>
      <c r="AE45" s="77" t="str">
        <f t="shared" si="15"/>
        <v/>
      </c>
    </row>
    <row r="46" spans="2:31" x14ac:dyDescent="0.35">
      <c r="B46">
        <v>2003</v>
      </c>
      <c r="C46">
        <v>4</v>
      </c>
      <c r="D46">
        <v>11</v>
      </c>
      <c r="E46" s="78" t="str">
        <f>'CRU historical'!F23</f>
        <v xml:space="preserve"> </v>
      </c>
      <c r="F46" s="78">
        <f>'CRU historical'!I23</f>
        <v>28</v>
      </c>
      <c r="G46" s="78" t="str">
        <f>'CRU historical'!L23</f>
        <v xml:space="preserve"> </v>
      </c>
      <c r="H46" s="78" t="str">
        <f>'CRU historical'!O23</f>
        <v xml:space="preserve"> </v>
      </c>
      <c r="I46" s="78">
        <f>'CRU historical'!R23</f>
        <v>68</v>
      </c>
      <c r="J46" s="78">
        <f>AVERAGE('CRU historical'!U23, 'CRU historical'!X23, 'CRU historical'!AA23, 'CRU historical'!AD23)</f>
        <v>71</v>
      </c>
      <c r="L46" s="78" cm="1">
        <f t="array" ref="L46">IFERROR(SUMPRODUCT(('Sulphuric Acid freights'!$B$3:$B$513=B56)*('Sulphuric Acid freights'!$D$3:$D$513=D46)*('Sulphuric Acid freights'!$P$3:$P$513))/SUMPRODUCT(('Sulphuric Acid freights'!$B$3:$B$513=B56)*('Sulphuric Acid freights'!$D$3:$D$513=D46)*1), AVERAGE('Sulphuric Acid freights'!$P$3:$P$513))*2/3</f>
        <v>54.110671936758898</v>
      </c>
      <c r="M46" s="78" cm="1">
        <f t="array" ref="M46">IFERROR(SUMPRODUCT(('Sulphuric Acid freights'!$B$3:$B$513=B56)*('Sulphuric Acid freights'!$D$3:$D$513=D46)*('Sulphuric Acid freights'!$M$3:$M$513))/SUMPRODUCT(('Sulphuric Acid freights'!$B$3:$B$513=B56)*('Sulphuric Acid freights'!$D$3:$D$513=D46)*1)*2/3, AVERAGE('Sulphuric Acid freights'!$M$3:$M$513))</f>
        <v>23.573122529644269</v>
      </c>
      <c r="N46" s="78">
        <f t="shared" si="16"/>
        <v>48.699604743083007</v>
      </c>
      <c r="O46" s="78" cm="1">
        <f t="array" ref="O46">IF(SUMPRODUCT(('Sulphur freight'!$B$3:$B$1976=B56)*('Sulphur freight'!$D$3:$D$1976=D46)*('Sulphur freight'!$G$3:$G$1976))/SUMPRODUCT(('Sulphur freight'!$B$3:$B$1976=B56)*('Sulphur freight'!$D$3:$D$1976=D46)*1)=0, AVERAGE('Sulphur freight'!$G$3:$G$1976),SUMPRODUCT(('Sulphur freight'!$B$3:$B$1976=B56)*('Sulphur freight'!$D$3:$D$1976=D46)*('Sulphur freight'!$G$3:$G$1976))/SUMPRODUCT(('Sulphur freight'!$B$3:$B$1976=B56)*('Sulphur freight'!$D$3:$D$1976=D46)*1))</f>
        <v>29.165429480381761</v>
      </c>
      <c r="P46" s="78">
        <v>20</v>
      </c>
      <c r="R46" s="78" t="str">
        <f t="shared" si="17"/>
        <v xml:space="preserve"> </v>
      </c>
      <c r="S46" s="78">
        <f t="shared" si="18"/>
        <v>51.573122529644266</v>
      </c>
      <c r="T46" s="78" t="str">
        <f t="shared" si="13"/>
        <v/>
      </c>
      <c r="U46" s="78" t="str">
        <f t="shared" si="19"/>
        <v/>
      </c>
      <c r="V46" s="78">
        <f>IFERROR(I46+O46, "")</f>
        <v>97.165429480381761</v>
      </c>
      <c r="W46" s="78">
        <f t="shared" si="20"/>
        <v>91</v>
      </c>
      <c r="X46" s="78">
        <f t="shared" si="21"/>
        <v>50.064591728525983</v>
      </c>
      <c r="Y46" s="78">
        <f t="shared" si="22"/>
        <v>48.03</v>
      </c>
      <c r="AA46" s="88" t="str">
        <f t="shared" si="23"/>
        <v/>
      </c>
      <c r="AB46" s="77" t="str">
        <f t="shared" si="14"/>
        <v/>
      </c>
      <c r="AD46" s="88" t="str">
        <f t="shared" si="24"/>
        <v/>
      </c>
      <c r="AE46" s="77" t="str">
        <f t="shared" si="15"/>
        <v/>
      </c>
    </row>
    <row r="47" spans="2:31" x14ac:dyDescent="0.35">
      <c r="B47">
        <v>2003</v>
      </c>
      <c r="C47">
        <v>4</v>
      </c>
      <c r="D47">
        <v>12</v>
      </c>
      <c r="E47" s="78" t="str">
        <f>'CRU historical'!F24</f>
        <v xml:space="preserve"> </v>
      </c>
      <c r="F47" s="78">
        <f>'CRU historical'!I24</f>
        <v>28</v>
      </c>
      <c r="G47" s="78" t="str">
        <f>'CRU historical'!L24</f>
        <v xml:space="preserve"> </v>
      </c>
      <c r="H47" s="78" t="str">
        <f>'CRU historical'!O24</f>
        <v xml:space="preserve"> </v>
      </c>
      <c r="I47" s="78">
        <f>'CRU historical'!R24</f>
        <v>72</v>
      </c>
      <c r="J47" s="78">
        <f>AVERAGE('CRU historical'!U24, 'CRU historical'!X24, 'CRU historical'!AA24, 'CRU historical'!AD24)</f>
        <v>71</v>
      </c>
      <c r="L47" s="78" cm="1">
        <f t="array" ref="L47">IFERROR(SUMPRODUCT(('Sulphuric Acid freights'!$B$3:$B$513=B57)*('Sulphuric Acid freights'!$D$3:$D$513=D47)*('Sulphuric Acid freights'!$P$3:$P$513))/SUMPRODUCT(('Sulphuric Acid freights'!$B$3:$B$513=B57)*('Sulphuric Acid freights'!$D$3:$D$513=D47)*1), AVERAGE('Sulphuric Acid freights'!$P$3:$P$513))*2/3</f>
        <v>54.110671936758898</v>
      </c>
      <c r="M47" s="78" cm="1">
        <f t="array" ref="M47">IFERROR(SUMPRODUCT(('Sulphuric Acid freights'!$B$3:$B$513=B57)*('Sulphuric Acid freights'!$D$3:$D$513=D47)*('Sulphuric Acid freights'!$M$3:$M$513))/SUMPRODUCT(('Sulphuric Acid freights'!$B$3:$B$513=B57)*('Sulphuric Acid freights'!$D$3:$D$513=D47)*1)*2/3, AVERAGE('Sulphuric Acid freights'!$M$3:$M$513))</f>
        <v>23.573122529644269</v>
      </c>
      <c r="N47" s="78">
        <f t="shared" si="16"/>
        <v>48.699604743083007</v>
      </c>
      <c r="O47" s="78" cm="1">
        <f t="array" ref="O47">IF(SUMPRODUCT(('Sulphur freight'!$B$3:$B$1976=B57)*('Sulphur freight'!$D$3:$D$1976=D47)*('Sulphur freight'!$G$3:$G$1976))/SUMPRODUCT(('Sulphur freight'!$B$3:$B$1976=B57)*('Sulphur freight'!$D$3:$D$1976=D47)*1)=0, AVERAGE('Sulphur freight'!$G$3:$G$1976),SUMPRODUCT(('Sulphur freight'!$B$3:$B$1976=B57)*('Sulphur freight'!$D$3:$D$1976=D47)*('Sulphur freight'!$G$3:$G$1976))/SUMPRODUCT(('Sulphur freight'!$B$3:$B$1976=B57)*('Sulphur freight'!$D$3:$D$1976=D47)*1))</f>
        <v>29.165429480381761</v>
      </c>
      <c r="P47" s="78">
        <v>20</v>
      </c>
      <c r="R47" s="78" t="str">
        <f t="shared" si="17"/>
        <v xml:space="preserve"> </v>
      </c>
      <c r="S47" s="78">
        <f t="shared" si="18"/>
        <v>51.573122529644266</v>
      </c>
      <c r="T47" s="78" t="str">
        <f t="shared" si="13"/>
        <v/>
      </c>
      <c r="U47" s="78" t="str">
        <f t="shared" si="19"/>
        <v/>
      </c>
      <c r="V47" s="78">
        <f>IFERROR(I47+O47, "")</f>
        <v>101.16542948038176</v>
      </c>
      <c r="W47" s="78">
        <f t="shared" si="20"/>
        <v>91</v>
      </c>
      <c r="X47" s="78">
        <f t="shared" si="21"/>
        <v>51.384591728525983</v>
      </c>
      <c r="Y47" s="78">
        <f t="shared" si="22"/>
        <v>48.03</v>
      </c>
      <c r="AA47" s="88" t="str">
        <f t="shared" si="23"/>
        <v/>
      </c>
      <c r="AB47" s="77" t="str">
        <f t="shared" si="14"/>
        <v/>
      </c>
      <c r="AD47" s="88" t="str">
        <f t="shared" si="24"/>
        <v/>
      </c>
      <c r="AE47" s="77" t="str">
        <f t="shared" si="15"/>
        <v/>
      </c>
    </row>
    <row r="48" spans="2:31" x14ac:dyDescent="0.35">
      <c r="B48">
        <v>2003</v>
      </c>
      <c r="C48">
        <v>1</v>
      </c>
      <c r="D48">
        <v>1</v>
      </c>
      <c r="E48" s="78" t="str">
        <f>'CRU historical'!F25</f>
        <v xml:space="preserve"> </v>
      </c>
      <c r="F48" s="78">
        <f>'CRU historical'!I25</f>
        <v>31.5</v>
      </c>
      <c r="G48" s="78" t="str">
        <f>'CRU historical'!L25</f>
        <v xml:space="preserve"> </v>
      </c>
      <c r="H48" s="78" t="str">
        <f>'CRU historical'!O25</f>
        <v xml:space="preserve"> </v>
      </c>
      <c r="I48" s="78">
        <f>'CRU historical'!R25</f>
        <v>74</v>
      </c>
      <c r="J48" s="78">
        <f>AVERAGE('CRU historical'!U25, 'CRU historical'!X25, 'CRU historical'!AA25, 'CRU historical'!AD25)</f>
        <v>76</v>
      </c>
      <c r="L48" s="78" cm="1">
        <f t="array" ref="L48">IFERROR(SUMPRODUCT(('Sulphuric Acid freights'!$B$3:$B$513=B58)*('Sulphuric Acid freights'!$D$3:$D$513=D48)*('Sulphuric Acid freights'!$P$3:$P$513))/SUMPRODUCT(('Sulphuric Acid freights'!$B$3:$B$513=B58)*('Sulphuric Acid freights'!$D$3:$D$513=D48)*1), AVERAGE('Sulphuric Acid freights'!$P$3:$P$513))*2/3</f>
        <v>54.110671936758898</v>
      </c>
      <c r="M48" s="78" cm="1">
        <f t="array" ref="M48">IFERROR(SUMPRODUCT(('Sulphuric Acid freights'!$B$3:$B$513=B58)*('Sulphuric Acid freights'!$D$3:$D$513=D48)*('Sulphuric Acid freights'!$M$3:$M$513))/SUMPRODUCT(('Sulphuric Acid freights'!$B$3:$B$513=B58)*('Sulphuric Acid freights'!$D$3:$D$513=D48)*1)*2/3, AVERAGE('Sulphuric Acid freights'!$M$3:$M$513))</f>
        <v>23.573122529644269</v>
      </c>
      <c r="N48" s="78">
        <f t="shared" si="16"/>
        <v>48.699604743083007</v>
      </c>
      <c r="O48" s="78" cm="1">
        <f t="array" ref="O48">IF(SUMPRODUCT(('Sulphur freight'!$B$3:$B$1976=B58)*('Sulphur freight'!$D$3:$D$1976=D48)*('Sulphur freight'!$G$3:$G$1976))/SUMPRODUCT(('Sulphur freight'!$B$3:$B$1976=B58)*('Sulphur freight'!$D$3:$D$1976=D48)*1)=0, AVERAGE('Sulphur freight'!$G$3:$G$1976),SUMPRODUCT(('Sulphur freight'!$B$3:$B$1976=B58)*('Sulphur freight'!$D$3:$D$1976=D48)*('Sulphur freight'!$G$3:$G$1976))/SUMPRODUCT(('Sulphur freight'!$B$3:$B$1976=B58)*('Sulphur freight'!$D$3:$D$1976=D48)*1))</f>
        <v>29.165429480381761</v>
      </c>
      <c r="P48" s="78">
        <v>20</v>
      </c>
      <c r="R48" s="78" t="str">
        <f t="shared" si="17"/>
        <v xml:space="preserve"> </v>
      </c>
      <c r="S48" s="78">
        <f t="shared" si="18"/>
        <v>55.073122529644266</v>
      </c>
      <c r="T48" s="78" t="str">
        <f t="shared" si="13"/>
        <v/>
      </c>
      <c r="U48" s="78" t="str">
        <f t="shared" si="19"/>
        <v/>
      </c>
      <c r="V48" s="78">
        <f>IFERROR(I48+O48, "")</f>
        <v>103.16542948038176</v>
      </c>
      <c r="W48" s="78">
        <f t="shared" si="20"/>
        <v>96</v>
      </c>
      <c r="X48" s="78">
        <f t="shared" si="21"/>
        <v>52.04459172852598</v>
      </c>
      <c r="Y48" s="78">
        <f t="shared" si="22"/>
        <v>49.68</v>
      </c>
      <c r="AA48" s="88" t="str">
        <f t="shared" si="23"/>
        <v/>
      </c>
      <c r="AB48" s="77" t="str">
        <f t="shared" si="14"/>
        <v/>
      </c>
      <c r="AD48" s="88" t="str">
        <f t="shared" si="24"/>
        <v/>
      </c>
      <c r="AE48" s="77" t="str">
        <f t="shared" si="15"/>
        <v/>
      </c>
    </row>
    <row r="49" spans="2:31" x14ac:dyDescent="0.35">
      <c r="B49">
        <v>2003</v>
      </c>
      <c r="C49">
        <v>1</v>
      </c>
      <c r="D49">
        <v>2</v>
      </c>
      <c r="E49" s="78" t="str">
        <f>'CRU historical'!F26</f>
        <v xml:space="preserve"> </v>
      </c>
      <c r="F49" s="78">
        <f>'CRU historical'!I26</f>
        <v>35</v>
      </c>
      <c r="G49" s="78" t="str">
        <f>'CRU historical'!L26</f>
        <v xml:space="preserve"> </v>
      </c>
      <c r="H49" s="78" t="str">
        <f>'CRU historical'!O26</f>
        <v xml:space="preserve"> </v>
      </c>
      <c r="I49" s="78">
        <f>'CRU historical'!R26</f>
        <v>66</v>
      </c>
      <c r="J49" s="78">
        <f>AVERAGE('CRU historical'!U26, 'CRU historical'!X26, 'CRU historical'!AA26, 'CRU historical'!AD26)</f>
        <v>78</v>
      </c>
      <c r="L49" s="78" cm="1">
        <f t="array" ref="L49">IFERROR(SUMPRODUCT(('Sulphuric Acid freights'!$B$3:$B$513=B59)*('Sulphuric Acid freights'!$D$3:$D$513=D49)*('Sulphuric Acid freights'!$P$3:$P$513))/SUMPRODUCT(('Sulphuric Acid freights'!$B$3:$B$513=B59)*('Sulphuric Acid freights'!$D$3:$D$513=D49)*1), AVERAGE('Sulphuric Acid freights'!$P$3:$P$513))*2/3</f>
        <v>54.110671936758898</v>
      </c>
      <c r="M49" s="78" cm="1">
        <f t="array" ref="M49">IFERROR(SUMPRODUCT(('Sulphuric Acid freights'!$B$3:$B$513=B59)*('Sulphuric Acid freights'!$D$3:$D$513=D49)*('Sulphuric Acid freights'!$M$3:$M$513))/SUMPRODUCT(('Sulphuric Acid freights'!$B$3:$B$513=B59)*('Sulphuric Acid freights'!$D$3:$D$513=D49)*1)*2/3, AVERAGE('Sulphuric Acid freights'!$M$3:$M$513))</f>
        <v>23.573122529644269</v>
      </c>
      <c r="N49" s="78">
        <f t="shared" si="16"/>
        <v>48.699604743083007</v>
      </c>
      <c r="O49" s="78" cm="1">
        <f t="array" ref="O49">IF(SUMPRODUCT(('Sulphur freight'!$B$3:$B$1976=B59)*('Sulphur freight'!$D$3:$D$1976=D49)*('Sulphur freight'!$G$3:$G$1976))/SUMPRODUCT(('Sulphur freight'!$B$3:$B$1976=B59)*('Sulphur freight'!$D$3:$D$1976=D49)*1)=0, AVERAGE('Sulphur freight'!$G$3:$G$1976),SUMPRODUCT(('Sulphur freight'!$B$3:$B$1976=B59)*('Sulphur freight'!$D$3:$D$1976=D49)*('Sulphur freight'!$G$3:$G$1976))/SUMPRODUCT(('Sulphur freight'!$B$3:$B$1976=B59)*('Sulphur freight'!$D$3:$D$1976=D49)*1))</f>
        <v>29.165429480381761</v>
      </c>
      <c r="P49" s="78">
        <v>20</v>
      </c>
      <c r="R49" s="78" t="str">
        <f t="shared" si="17"/>
        <v xml:space="preserve"> </v>
      </c>
      <c r="S49" s="78">
        <f t="shared" si="18"/>
        <v>58.573122529644266</v>
      </c>
      <c r="T49" s="78" t="str">
        <f t="shared" si="13"/>
        <v/>
      </c>
      <c r="U49" s="78" t="str">
        <f t="shared" si="19"/>
        <v/>
      </c>
      <c r="V49" s="78">
        <f>IFERROR(I49+O49, "")</f>
        <v>95.165429480381761</v>
      </c>
      <c r="W49" s="78">
        <f t="shared" si="20"/>
        <v>98</v>
      </c>
      <c r="X49" s="78">
        <f t="shared" si="21"/>
        <v>49.404591728525986</v>
      </c>
      <c r="Y49" s="78">
        <f t="shared" si="22"/>
        <v>50.34</v>
      </c>
      <c r="AA49" s="88" t="str">
        <f t="shared" si="23"/>
        <v/>
      </c>
      <c r="AB49" s="77" t="str">
        <f t="shared" si="14"/>
        <v/>
      </c>
      <c r="AD49" s="88" t="str">
        <f t="shared" si="24"/>
        <v/>
      </c>
      <c r="AE49" s="77" t="str">
        <f t="shared" si="15"/>
        <v/>
      </c>
    </row>
    <row r="50" spans="2:31" x14ac:dyDescent="0.35">
      <c r="B50">
        <v>2003</v>
      </c>
      <c r="C50">
        <v>1</v>
      </c>
      <c r="D50">
        <v>3</v>
      </c>
      <c r="E50" s="78" t="str">
        <f>'CRU historical'!F27</f>
        <v xml:space="preserve"> </v>
      </c>
      <c r="F50" s="78">
        <f>'CRU historical'!I27</f>
        <v>35</v>
      </c>
      <c r="G50" s="78" t="str">
        <f>'CRU historical'!L27</f>
        <v xml:space="preserve"> </v>
      </c>
      <c r="H50" s="78" t="str">
        <f>'CRU historical'!O27</f>
        <v xml:space="preserve"> </v>
      </c>
      <c r="I50" s="78">
        <f>'CRU historical'!R27</f>
        <v>64.333333333333329</v>
      </c>
      <c r="J50" s="78">
        <f>AVERAGE('CRU historical'!U27, 'CRU historical'!X27, 'CRU historical'!AA27, 'CRU historical'!AD27)</f>
        <v>77.5</v>
      </c>
      <c r="L50" s="78" cm="1">
        <f t="array" ref="L50">IFERROR(SUMPRODUCT(('Sulphuric Acid freights'!$B$3:$B$513=B60)*('Sulphuric Acid freights'!$D$3:$D$513=D50)*('Sulphuric Acid freights'!$P$3:$P$513))/SUMPRODUCT(('Sulphuric Acid freights'!$B$3:$B$513=B60)*('Sulphuric Acid freights'!$D$3:$D$513=D50)*1), AVERAGE('Sulphuric Acid freights'!$P$3:$P$513))*2/3</f>
        <v>54.110671936758898</v>
      </c>
      <c r="M50" s="78" cm="1">
        <f t="array" ref="M50">IFERROR(SUMPRODUCT(('Sulphuric Acid freights'!$B$3:$B$513=B60)*('Sulphuric Acid freights'!$D$3:$D$513=D50)*('Sulphuric Acid freights'!$M$3:$M$513))/SUMPRODUCT(('Sulphuric Acid freights'!$B$3:$B$513=B60)*('Sulphuric Acid freights'!$D$3:$D$513=D50)*1)*2/3, AVERAGE('Sulphuric Acid freights'!$M$3:$M$513))</f>
        <v>23.573122529644269</v>
      </c>
      <c r="N50" s="78">
        <f t="shared" si="16"/>
        <v>48.699604743083007</v>
      </c>
      <c r="O50" s="78" cm="1">
        <f t="array" ref="O50">IF(SUMPRODUCT(('Sulphur freight'!$B$3:$B$1976=B60)*('Sulphur freight'!$D$3:$D$1976=D50)*('Sulphur freight'!$G$3:$G$1976))/SUMPRODUCT(('Sulphur freight'!$B$3:$B$1976=B60)*('Sulphur freight'!$D$3:$D$1976=D50)*1)=0, AVERAGE('Sulphur freight'!$G$3:$G$1976),SUMPRODUCT(('Sulphur freight'!$B$3:$B$1976=B60)*('Sulphur freight'!$D$3:$D$1976=D50)*('Sulphur freight'!$G$3:$G$1976))/SUMPRODUCT(('Sulphur freight'!$B$3:$B$1976=B60)*('Sulphur freight'!$D$3:$D$1976=D50)*1))</f>
        <v>29.165429480381761</v>
      </c>
      <c r="P50" s="78">
        <v>20</v>
      </c>
      <c r="R50" s="78" t="str">
        <f t="shared" si="17"/>
        <v xml:space="preserve"> </v>
      </c>
      <c r="S50" s="78">
        <f t="shared" si="18"/>
        <v>58.573122529644266</v>
      </c>
      <c r="T50" s="78" t="str">
        <f t="shared" si="13"/>
        <v/>
      </c>
      <c r="U50" s="78" t="str">
        <f t="shared" si="19"/>
        <v/>
      </c>
      <c r="V50" s="78">
        <f>IFERROR(I50+O50, "")</f>
        <v>93.498762813715089</v>
      </c>
      <c r="W50" s="78">
        <f t="shared" si="20"/>
        <v>97.5</v>
      </c>
      <c r="X50" s="78">
        <f t="shared" si="21"/>
        <v>48.854591728525982</v>
      </c>
      <c r="Y50" s="78">
        <f t="shared" si="22"/>
        <v>50.175000000000004</v>
      </c>
      <c r="AA50" s="88" t="str">
        <f t="shared" si="23"/>
        <v/>
      </c>
      <c r="AB50" s="77" t="str">
        <f t="shared" si="14"/>
        <v/>
      </c>
      <c r="AD50" s="88" t="str">
        <f t="shared" si="24"/>
        <v/>
      </c>
      <c r="AE50" s="77" t="str">
        <f t="shared" si="15"/>
        <v/>
      </c>
    </row>
    <row r="51" spans="2:31" x14ac:dyDescent="0.35">
      <c r="B51">
        <v>2003</v>
      </c>
      <c r="C51">
        <v>2</v>
      </c>
      <c r="D51">
        <v>4</v>
      </c>
      <c r="E51" s="78" t="str">
        <f>'CRU historical'!F28</f>
        <v xml:space="preserve"> </v>
      </c>
      <c r="F51" s="78">
        <f>'CRU historical'!I28</f>
        <v>35</v>
      </c>
      <c r="G51" s="78" t="str">
        <f>'CRU historical'!L28</f>
        <v xml:space="preserve"> </v>
      </c>
      <c r="H51" s="78" t="str">
        <f>'CRU historical'!O28</f>
        <v xml:space="preserve"> </v>
      </c>
      <c r="I51" s="78">
        <f>'CRU historical'!R28</f>
        <v>61.333333333333336</v>
      </c>
      <c r="J51" s="78">
        <f>AVERAGE('CRU historical'!U28, 'CRU historical'!X28, 'CRU historical'!AA28, 'CRU historical'!AD28)</f>
        <v>77.333333333333343</v>
      </c>
      <c r="L51" s="78" cm="1">
        <f t="array" ref="L51">IFERROR(SUMPRODUCT(('Sulphuric Acid freights'!$B$3:$B$513=B61)*('Sulphuric Acid freights'!$D$3:$D$513=D51)*('Sulphuric Acid freights'!$P$3:$P$513))/SUMPRODUCT(('Sulphuric Acid freights'!$B$3:$B$513=B61)*('Sulphuric Acid freights'!$D$3:$D$513=D51)*1), AVERAGE('Sulphuric Acid freights'!$P$3:$P$513))*2/3</f>
        <v>54.110671936758898</v>
      </c>
      <c r="M51" s="78" cm="1">
        <f t="array" ref="M51">IFERROR(SUMPRODUCT(('Sulphuric Acid freights'!$B$3:$B$513=B61)*('Sulphuric Acid freights'!$D$3:$D$513=D51)*('Sulphuric Acid freights'!$M$3:$M$513))/SUMPRODUCT(('Sulphuric Acid freights'!$B$3:$B$513=B61)*('Sulphuric Acid freights'!$D$3:$D$513=D51)*1)*2/3, AVERAGE('Sulphuric Acid freights'!$M$3:$M$513))</f>
        <v>23.573122529644269</v>
      </c>
      <c r="N51" s="78">
        <f t="shared" si="16"/>
        <v>48.699604743083007</v>
      </c>
      <c r="O51" s="78" cm="1">
        <f t="array" ref="O51">IF(SUMPRODUCT(('Sulphur freight'!$B$3:$B$1976=B61)*('Sulphur freight'!$D$3:$D$1976=D51)*('Sulphur freight'!$G$3:$G$1976))/SUMPRODUCT(('Sulphur freight'!$B$3:$B$1976=B61)*('Sulphur freight'!$D$3:$D$1976=D51)*1)=0, AVERAGE('Sulphur freight'!$G$3:$G$1976),SUMPRODUCT(('Sulphur freight'!$B$3:$B$1976=B61)*('Sulphur freight'!$D$3:$D$1976=D51)*('Sulphur freight'!$G$3:$G$1976))/SUMPRODUCT(('Sulphur freight'!$B$3:$B$1976=B61)*('Sulphur freight'!$D$3:$D$1976=D51)*1))</f>
        <v>29.165429480381761</v>
      </c>
      <c r="P51" s="78">
        <v>20</v>
      </c>
      <c r="R51" s="78" t="str">
        <f t="shared" si="17"/>
        <v xml:space="preserve"> </v>
      </c>
      <c r="S51" s="78">
        <f t="shared" si="18"/>
        <v>58.573122529644266</v>
      </c>
      <c r="T51" s="78" t="str">
        <f t="shared" si="13"/>
        <v/>
      </c>
      <c r="U51" s="78" t="str">
        <f t="shared" si="19"/>
        <v/>
      </c>
      <c r="V51" s="78">
        <f>IFERROR(I51+O51, "")</f>
        <v>90.498762813715103</v>
      </c>
      <c r="W51" s="78">
        <f t="shared" si="20"/>
        <v>97.333333333333343</v>
      </c>
      <c r="X51" s="78">
        <f t="shared" si="21"/>
        <v>47.864591728525987</v>
      </c>
      <c r="Y51" s="78">
        <f t="shared" si="22"/>
        <v>50.120000000000005</v>
      </c>
      <c r="AA51" s="88" t="str">
        <f t="shared" si="23"/>
        <v/>
      </c>
      <c r="AB51" s="77" t="str">
        <f t="shared" si="14"/>
        <v/>
      </c>
      <c r="AD51" s="88" t="str">
        <f t="shared" si="24"/>
        <v/>
      </c>
      <c r="AE51" s="77" t="str">
        <f t="shared" si="15"/>
        <v/>
      </c>
    </row>
    <row r="52" spans="2:31" x14ac:dyDescent="0.35">
      <c r="B52">
        <v>2003</v>
      </c>
      <c r="C52">
        <v>2</v>
      </c>
      <c r="D52">
        <v>5</v>
      </c>
      <c r="E52" s="78" t="str">
        <f>'CRU historical'!F29</f>
        <v xml:space="preserve"> </v>
      </c>
      <c r="F52" s="78">
        <f>'CRU historical'!I29</f>
        <v>35</v>
      </c>
      <c r="G52" s="78" t="str">
        <f>'CRU historical'!L29</f>
        <v xml:space="preserve"> </v>
      </c>
      <c r="H52" s="78" t="str">
        <f>'CRU historical'!O29</f>
        <v xml:space="preserve"> </v>
      </c>
      <c r="I52" s="78">
        <f>'CRU historical'!R29</f>
        <v>65</v>
      </c>
      <c r="J52" s="78">
        <f>AVERAGE('CRU historical'!U29, 'CRU historical'!X29, 'CRU historical'!AA29, 'CRU historical'!AD29)</f>
        <v>78</v>
      </c>
      <c r="L52" s="78" cm="1">
        <f t="array" ref="L52">IFERROR(SUMPRODUCT(('Sulphuric Acid freights'!$B$3:$B$513=B62)*('Sulphuric Acid freights'!$D$3:$D$513=D52)*('Sulphuric Acid freights'!$P$3:$P$513))/SUMPRODUCT(('Sulphuric Acid freights'!$B$3:$B$513=B62)*('Sulphuric Acid freights'!$D$3:$D$513=D52)*1), AVERAGE('Sulphuric Acid freights'!$P$3:$P$513))*2/3</f>
        <v>54.110671936758898</v>
      </c>
      <c r="M52" s="78" cm="1">
        <f t="array" ref="M52">IFERROR(SUMPRODUCT(('Sulphuric Acid freights'!$B$3:$B$513=B62)*('Sulphuric Acid freights'!$D$3:$D$513=D52)*('Sulphuric Acid freights'!$M$3:$M$513))/SUMPRODUCT(('Sulphuric Acid freights'!$B$3:$B$513=B62)*('Sulphuric Acid freights'!$D$3:$D$513=D52)*1)*2/3, AVERAGE('Sulphuric Acid freights'!$M$3:$M$513))</f>
        <v>23.573122529644269</v>
      </c>
      <c r="N52" s="78">
        <f t="shared" si="16"/>
        <v>48.699604743083007</v>
      </c>
      <c r="O52" s="78" cm="1">
        <f t="array" ref="O52">IF(SUMPRODUCT(('Sulphur freight'!$B$3:$B$1976=B62)*('Sulphur freight'!$D$3:$D$1976=D52)*('Sulphur freight'!$G$3:$G$1976))/SUMPRODUCT(('Sulphur freight'!$B$3:$B$1976=B62)*('Sulphur freight'!$D$3:$D$1976=D52)*1)=0, AVERAGE('Sulphur freight'!$G$3:$G$1976),SUMPRODUCT(('Sulphur freight'!$B$3:$B$1976=B62)*('Sulphur freight'!$D$3:$D$1976=D52)*('Sulphur freight'!$G$3:$G$1976))/SUMPRODUCT(('Sulphur freight'!$B$3:$B$1976=B62)*('Sulphur freight'!$D$3:$D$1976=D52)*1))</f>
        <v>29.165429480381761</v>
      </c>
      <c r="P52" s="78">
        <v>20</v>
      </c>
      <c r="R52" s="78" t="str">
        <f t="shared" si="17"/>
        <v xml:space="preserve"> </v>
      </c>
      <c r="S52" s="78">
        <f t="shared" si="18"/>
        <v>58.573122529644266</v>
      </c>
      <c r="T52" s="78" t="str">
        <f t="shared" si="13"/>
        <v/>
      </c>
      <c r="U52" s="78" t="str">
        <f t="shared" si="19"/>
        <v/>
      </c>
      <c r="V52" s="78">
        <f>IFERROR(I52+O52, "")</f>
        <v>94.165429480381761</v>
      </c>
      <c r="W52" s="78">
        <f t="shared" si="20"/>
        <v>98</v>
      </c>
      <c r="X52" s="78">
        <f t="shared" si="21"/>
        <v>49.074591728525981</v>
      </c>
      <c r="Y52" s="78">
        <f t="shared" si="22"/>
        <v>50.34</v>
      </c>
      <c r="AA52" s="88" t="str">
        <f t="shared" si="23"/>
        <v/>
      </c>
      <c r="AB52" s="77" t="str">
        <f t="shared" si="14"/>
        <v/>
      </c>
      <c r="AD52" s="88" t="str">
        <f t="shared" si="24"/>
        <v/>
      </c>
      <c r="AE52" s="77" t="str">
        <f t="shared" si="15"/>
        <v/>
      </c>
    </row>
    <row r="53" spans="2:31" x14ac:dyDescent="0.35">
      <c r="B53">
        <v>2003</v>
      </c>
      <c r="C53">
        <v>2</v>
      </c>
      <c r="D53">
        <v>6</v>
      </c>
      <c r="E53" s="78" t="str">
        <f>'CRU historical'!F30</f>
        <v xml:space="preserve"> </v>
      </c>
      <c r="F53" s="78">
        <f>'CRU historical'!I30</f>
        <v>35.5</v>
      </c>
      <c r="G53" s="78" t="str">
        <f>'CRU historical'!L30</f>
        <v xml:space="preserve"> </v>
      </c>
      <c r="H53" s="78" t="str">
        <f>'CRU historical'!O30</f>
        <v xml:space="preserve"> </v>
      </c>
      <c r="I53" s="78">
        <f>'CRU historical'!R30</f>
        <v>65.5</v>
      </c>
      <c r="J53" s="78">
        <f>AVERAGE('CRU historical'!U30, 'CRU historical'!X30, 'CRU historical'!AA30, 'CRU historical'!AD30)</f>
        <v>77.5</v>
      </c>
      <c r="L53" s="78" cm="1">
        <f t="array" ref="L53">IFERROR(SUMPRODUCT(('Sulphuric Acid freights'!$B$3:$B$513=B63)*('Sulphuric Acid freights'!$D$3:$D$513=D53)*('Sulphuric Acid freights'!$P$3:$P$513))/SUMPRODUCT(('Sulphuric Acid freights'!$B$3:$B$513=B63)*('Sulphuric Acid freights'!$D$3:$D$513=D53)*1), AVERAGE('Sulphuric Acid freights'!$P$3:$P$513))*2/3</f>
        <v>54.110671936758898</v>
      </c>
      <c r="M53" s="78" cm="1">
        <f t="array" ref="M53">IFERROR(SUMPRODUCT(('Sulphuric Acid freights'!$B$3:$B$513=B63)*('Sulphuric Acid freights'!$D$3:$D$513=D53)*('Sulphuric Acid freights'!$M$3:$M$513))/SUMPRODUCT(('Sulphuric Acid freights'!$B$3:$B$513=B63)*('Sulphuric Acid freights'!$D$3:$D$513=D53)*1)*2/3, AVERAGE('Sulphuric Acid freights'!$M$3:$M$513))</f>
        <v>23.573122529644269</v>
      </c>
      <c r="N53" s="78">
        <f t="shared" si="16"/>
        <v>48.699604743083007</v>
      </c>
      <c r="O53" s="78" cm="1">
        <f t="array" ref="O53">IF(SUMPRODUCT(('Sulphur freight'!$B$3:$B$1976=B63)*('Sulphur freight'!$D$3:$D$1976=D53)*('Sulphur freight'!$G$3:$G$1976))/SUMPRODUCT(('Sulphur freight'!$B$3:$B$1976=B63)*('Sulphur freight'!$D$3:$D$1976=D53)*1)=0, AVERAGE('Sulphur freight'!$G$3:$G$1976),SUMPRODUCT(('Sulphur freight'!$B$3:$B$1976=B63)*('Sulphur freight'!$D$3:$D$1976=D53)*('Sulphur freight'!$G$3:$G$1976))/SUMPRODUCT(('Sulphur freight'!$B$3:$B$1976=B63)*('Sulphur freight'!$D$3:$D$1976=D53)*1))</f>
        <v>29.165429480381761</v>
      </c>
      <c r="P53" s="78">
        <v>20</v>
      </c>
      <c r="R53" s="78" t="str">
        <f t="shared" si="17"/>
        <v xml:space="preserve"> </v>
      </c>
      <c r="S53" s="78">
        <f t="shared" si="18"/>
        <v>59.073122529644266</v>
      </c>
      <c r="T53" s="78" t="str">
        <f t="shared" si="13"/>
        <v/>
      </c>
      <c r="U53" s="78" t="str">
        <f t="shared" si="19"/>
        <v/>
      </c>
      <c r="V53" s="78">
        <f>IFERROR(I53+O53, "")</f>
        <v>94.665429480381761</v>
      </c>
      <c r="W53" s="78">
        <f t="shared" si="20"/>
        <v>97.5</v>
      </c>
      <c r="X53" s="78">
        <f t="shared" si="21"/>
        <v>49.23959172852598</v>
      </c>
      <c r="Y53" s="78">
        <f t="shared" si="22"/>
        <v>50.175000000000004</v>
      </c>
      <c r="AA53" s="88" t="str">
        <f t="shared" si="23"/>
        <v/>
      </c>
      <c r="AB53" s="77" t="str">
        <f t="shared" si="14"/>
        <v/>
      </c>
      <c r="AD53" s="88" t="str">
        <f t="shared" si="24"/>
        <v/>
      </c>
      <c r="AE53" s="77" t="str">
        <f t="shared" si="15"/>
        <v/>
      </c>
    </row>
    <row r="54" spans="2:31" x14ac:dyDescent="0.35">
      <c r="B54">
        <v>2003</v>
      </c>
      <c r="C54">
        <v>3</v>
      </c>
      <c r="D54">
        <v>7</v>
      </c>
      <c r="E54" s="78" t="str">
        <f>'CRU historical'!F31</f>
        <v xml:space="preserve"> </v>
      </c>
      <c r="F54" s="78">
        <f>'CRU historical'!I31</f>
        <v>36</v>
      </c>
      <c r="G54" s="78" t="str">
        <f>'CRU historical'!L31</f>
        <v xml:space="preserve"> </v>
      </c>
      <c r="H54" s="78" t="str">
        <f>'CRU historical'!O31</f>
        <v xml:space="preserve"> </v>
      </c>
      <c r="I54" s="78">
        <f>'CRU historical'!R31</f>
        <v>66.5</v>
      </c>
      <c r="J54" s="78">
        <f>AVERAGE('CRU historical'!U31, 'CRU historical'!X31, 'CRU historical'!AA31, 'CRU historical'!AD31)</f>
        <v>76.75</v>
      </c>
      <c r="L54" s="78" cm="1">
        <f t="array" ref="L54">IFERROR(SUMPRODUCT(('Sulphuric Acid freights'!$B$3:$B$513=B64)*('Sulphuric Acid freights'!$D$3:$D$513=D54)*('Sulphuric Acid freights'!$P$3:$P$513))/SUMPRODUCT(('Sulphuric Acid freights'!$B$3:$B$513=B64)*('Sulphuric Acid freights'!$D$3:$D$513=D54)*1), AVERAGE('Sulphuric Acid freights'!$P$3:$P$513))*2/3</f>
        <v>54.110671936758898</v>
      </c>
      <c r="M54" s="78" cm="1">
        <f t="array" ref="M54">IFERROR(SUMPRODUCT(('Sulphuric Acid freights'!$B$3:$B$513=B64)*('Sulphuric Acid freights'!$D$3:$D$513=D54)*('Sulphuric Acid freights'!$M$3:$M$513))/SUMPRODUCT(('Sulphuric Acid freights'!$B$3:$B$513=B64)*('Sulphuric Acid freights'!$D$3:$D$513=D54)*1)*2/3, AVERAGE('Sulphuric Acid freights'!$M$3:$M$513))</f>
        <v>23.573122529644269</v>
      </c>
      <c r="N54" s="78">
        <f t="shared" si="16"/>
        <v>48.699604743083007</v>
      </c>
      <c r="O54" s="78" cm="1">
        <f t="array" ref="O54">IF(SUMPRODUCT(('Sulphur freight'!$B$3:$B$1976=B64)*('Sulphur freight'!$D$3:$D$1976=D54)*('Sulphur freight'!$G$3:$G$1976))/SUMPRODUCT(('Sulphur freight'!$B$3:$B$1976=B64)*('Sulphur freight'!$D$3:$D$1976=D54)*1)=0, AVERAGE('Sulphur freight'!$G$3:$G$1976),SUMPRODUCT(('Sulphur freight'!$B$3:$B$1976=B64)*('Sulphur freight'!$D$3:$D$1976=D54)*('Sulphur freight'!$G$3:$G$1976))/SUMPRODUCT(('Sulphur freight'!$B$3:$B$1976=B64)*('Sulphur freight'!$D$3:$D$1976=D54)*1))</f>
        <v>29.165429480381761</v>
      </c>
      <c r="P54" s="78">
        <v>20</v>
      </c>
      <c r="R54" s="78" t="str">
        <f t="shared" si="17"/>
        <v xml:space="preserve"> </v>
      </c>
      <c r="S54" s="78">
        <f t="shared" si="18"/>
        <v>59.573122529644266</v>
      </c>
      <c r="T54" s="78" t="str">
        <f t="shared" si="13"/>
        <v/>
      </c>
      <c r="U54" s="78" t="str">
        <f t="shared" si="19"/>
        <v/>
      </c>
      <c r="V54" s="78">
        <f>IFERROR(I54+O54, "")</f>
        <v>95.665429480381761</v>
      </c>
      <c r="W54" s="78">
        <f t="shared" si="20"/>
        <v>96.75</v>
      </c>
      <c r="X54" s="78">
        <f t="shared" si="21"/>
        <v>49.569591728525978</v>
      </c>
      <c r="Y54" s="78">
        <f t="shared" si="22"/>
        <v>49.927500000000002</v>
      </c>
      <c r="AA54" s="88" t="str">
        <f t="shared" si="23"/>
        <v/>
      </c>
      <c r="AB54" s="77" t="str">
        <f t="shared" si="14"/>
        <v/>
      </c>
      <c r="AD54" s="88" t="str">
        <f t="shared" si="24"/>
        <v/>
      </c>
      <c r="AE54" s="77" t="str">
        <f t="shared" si="15"/>
        <v/>
      </c>
    </row>
    <row r="55" spans="2:31" x14ac:dyDescent="0.35">
      <c r="B55">
        <v>2003</v>
      </c>
      <c r="C55">
        <v>3</v>
      </c>
      <c r="D55">
        <v>8</v>
      </c>
      <c r="E55" s="78" t="str">
        <f>'CRU historical'!F32</f>
        <v xml:space="preserve"> </v>
      </c>
      <c r="F55" s="78">
        <f>'CRU historical'!I32</f>
        <v>36</v>
      </c>
      <c r="G55" s="78" t="str">
        <f>'CRU historical'!L32</f>
        <v xml:space="preserve"> </v>
      </c>
      <c r="H55" s="78" t="str">
        <f>'CRU historical'!O32</f>
        <v xml:space="preserve"> </v>
      </c>
      <c r="I55" s="78">
        <f>'CRU historical'!R32</f>
        <v>72</v>
      </c>
      <c r="J55" s="78">
        <f>AVERAGE('CRU historical'!U32, 'CRU historical'!X32, 'CRU historical'!AA32, 'CRU historical'!AD32)</f>
        <v>76.75</v>
      </c>
      <c r="L55" s="78" cm="1">
        <f t="array" ref="L55">IFERROR(SUMPRODUCT(('Sulphuric Acid freights'!$B$3:$B$513=B65)*('Sulphuric Acid freights'!$D$3:$D$513=D55)*('Sulphuric Acid freights'!$P$3:$P$513))/SUMPRODUCT(('Sulphuric Acid freights'!$B$3:$B$513=B65)*('Sulphuric Acid freights'!$D$3:$D$513=D55)*1), AVERAGE('Sulphuric Acid freights'!$P$3:$P$513))*2/3</f>
        <v>54.110671936758898</v>
      </c>
      <c r="M55" s="78" cm="1">
        <f t="array" ref="M55">IFERROR(SUMPRODUCT(('Sulphuric Acid freights'!$B$3:$B$513=B65)*('Sulphuric Acid freights'!$D$3:$D$513=D55)*('Sulphuric Acid freights'!$M$3:$M$513))/SUMPRODUCT(('Sulphuric Acid freights'!$B$3:$B$513=B65)*('Sulphuric Acid freights'!$D$3:$D$513=D55)*1)*2/3, AVERAGE('Sulphuric Acid freights'!$M$3:$M$513))</f>
        <v>23.573122529644269</v>
      </c>
      <c r="N55" s="78">
        <f t="shared" si="16"/>
        <v>48.699604743083007</v>
      </c>
      <c r="O55" s="78" cm="1">
        <f t="array" ref="O55">IF(SUMPRODUCT(('Sulphur freight'!$B$3:$B$1976=B65)*('Sulphur freight'!$D$3:$D$1976=D55)*('Sulphur freight'!$G$3:$G$1976))/SUMPRODUCT(('Sulphur freight'!$B$3:$B$1976=B65)*('Sulphur freight'!$D$3:$D$1976=D55)*1)=0, AVERAGE('Sulphur freight'!$G$3:$G$1976),SUMPRODUCT(('Sulphur freight'!$B$3:$B$1976=B65)*('Sulphur freight'!$D$3:$D$1976=D55)*('Sulphur freight'!$G$3:$G$1976))/SUMPRODUCT(('Sulphur freight'!$B$3:$B$1976=B65)*('Sulphur freight'!$D$3:$D$1976=D55)*1))</f>
        <v>29.165429480381761</v>
      </c>
      <c r="P55" s="78">
        <v>20</v>
      </c>
      <c r="R55" s="78" t="str">
        <f t="shared" si="17"/>
        <v xml:space="preserve"> </v>
      </c>
      <c r="S55" s="78">
        <f t="shared" si="18"/>
        <v>59.573122529644266</v>
      </c>
      <c r="T55" s="78" t="str">
        <f t="shared" si="13"/>
        <v/>
      </c>
      <c r="U55" s="78" t="str">
        <f t="shared" si="19"/>
        <v/>
      </c>
      <c r="V55" s="78">
        <f>IFERROR(I55+O55, "")</f>
        <v>101.16542948038176</v>
      </c>
      <c r="W55" s="78">
        <f t="shared" si="20"/>
        <v>96.75</v>
      </c>
      <c r="X55" s="78">
        <f t="shared" si="21"/>
        <v>51.384591728525983</v>
      </c>
      <c r="Y55" s="78">
        <f t="shared" si="22"/>
        <v>49.927500000000002</v>
      </c>
      <c r="AA55" s="88" t="str">
        <f t="shared" si="23"/>
        <v/>
      </c>
      <c r="AB55" s="77" t="str">
        <f t="shared" si="14"/>
        <v/>
      </c>
      <c r="AD55" s="88" t="str">
        <f t="shared" si="24"/>
        <v/>
      </c>
      <c r="AE55" s="77" t="str">
        <f t="shared" si="15"/>
        <v/>
      </c>
    </row>
    <row r="56" spans="2:31" x14ac:dyDescent="0.35">
      <c r="B56">
        <v>2003</v>
      </c>
      <c r="C56">
        <v>3</v>
      </c>
      <c r="D56">
        <v>9</v>
      </c>
      <c r="E56" s="78" t="str">
        <f>'CRU historical'!F33</f>
        <v xml:space="preserve"> </v>
      </c>
      <c r="F56" s="78">
        <f>'CRU historical'!I33</f>
        <v>36</v>
      </c>
      <c r="G56" s="78" t="str">
        <f>'CRU historical'!L33</f>
        <v xml:space="preserve"> </v>
      </c>
      <c r="H56" s="78" t="str">
        <f>'CRU historical'!O33</f>
        <v xml:space="preserve"> </v>
      </c>
      <c r="I56" s="78">
        <f>'CRU historical'!R33</f>
        <v>71</v>
      </c>
      <c r="J56" s="78">
        <f>AVERAGE('CRU historical'!U33, 'CRU historical'!X33, 'CRU historical'!AA33, 'CRU historical'!AD33)</f>
        <v>75.166666666666671</v>
      </c>
      <c r="L56" s="78" cm="1">
        <f t="array" ref="L56">IFERROR(SUMPRODUCT(('Sulphuric Acid freights'!$B$3:$B$513=B66)*('Sulphuric Acid freights'!$D$3:$D$513=D56)*('Sulphuric Acid freights'!$P$3:$P$513))/SUMPRODUCT(('Sulphuric Acid freights'!$B$3:$B$513=B66)*('Sulphuric Acid freights'!$D$3:$D$513=D56)*1), AVERAGE('Sulphuric Acid freights'!$P$3:$P$513))*2/3</f>
        <v>54.110671936758898</v>
      </c>
      <c r="M56" s="78" cm="1">
        <f t="array" ref="M56">IFERROR(SUMPRODUCT(('Sulphuric Acid freights'!$B$3:$B$513=B66)*('Sulphuric Acid freights'!$D$3:$D$513=D56)*('Sulphuric Acid freights'!$M$3:$M$513))/SUMPRODUCT(('Sulphuric Acid freights'!$B$3:$B$513=B66)*('Sulphuric Acid freights'!$D$3:$D$513=D56)*1)*2/3, AVERAGE('Sulphuric Acid freights'!$M$3:$M$513))</f>
        <v>23.573122529644269</v>
      </c>
      <c r="N56" s="78">
        <f t="shared" si="16"/>
        <v>48.699604743083007</v>
      </c>
      <c r="O56" s="78" cm="1">
        <f t="array" ref="O56">IF(SUMPRODUCT(('Sulphur freight'!$B$3:$B$1976=B66)*('Sulphur freight'!$D$3:$D$1976=D56)*('Sulphur freight'!$G$3:$G$1976))/SUMPRODUCT(('Sulphur freight'!$B$3:$B$1976=B66)*('Sulphur freight'!$D$3:$D$1976=D56)*1)=0, AVERAGE('Sulphur freight'!$G$3:$G$1976),SUMPRODUCT(('Sulphur freight'!$B$3:$B$1976=B66)*('Sulphur freight'!$D$3:$D$1976=D56)*('Sulphur freight'!$G$3:$G$1976))/SUMPRODUCT(('Sulphur freight'!$B$3:$B$1976=B66)*('Sulphur freight'!$D$3:$D$1976=D56)*1))</f>
        <v>29.165429480381761</v>
      </c>
      <c r="P56" s="78">
        <v>20</v>
      </c>
      <c r="R56" s="78" t="str">
        <f t="shared" si="17"/>
        <v xml:space="preserve"> </v>
      </c>
      <c r="S56" s="78">
        <f t="shared" si="18"/>
        <v>59.573122529644266</v>
      </c>
      <c r="T56" s="78" t="str">
        <f t="shared" si="13"/>
        <v/>
      </c>
      <c r="U56" s="78" t="str">
        <f t="shared" si="19"/>
        <v/>
      </c>
      <c r="V56" s="78">
        <f>IFERROR(I56+O56, "")</f>
        <v>100.16542948038176</v>
      </c>
      <c r="W56" s="78">
        <f t="shared" si="20"/>
        <v>95.166666666666671</v>
      </c>
      <c r="X56" s="78">
        <f t="shared" si="21"/>
        <v>51.054591728525985</v>
      </c>
      <c r="Y56" s="78">
        <f t="shared" si="22"/>
        <v>49.405000000000001</v>
      </c>
      <c r="AA56" s="88" t="str">
        <f t="shared" si="23"/>
        <v/>
      </c>
      <c r="AB56" s="77" t="str">
        <f t="shared" si="14"/>
        <v/>
      </c>
      <c r="AD56" s="88" t="str">
        <f t="shared" si="24"/>
        <v/>
      </c>
      <c r="AE56" s="77" t="str">
        <f t="shared" si="15"/>
        <v/>
      </c>
    </row>
    <row r="57" spans="2:31" x14ac:dyDescent="0.35">
      <c r="B57">
        <v>2003</v>
      </c>
      <c r="C57">
        <v>4</v>
      </c>
      <c r="D57">
        <v>10</v>
      </c>
      <c r="E57" s="78" t="str">
        <f>'CRU historical'!F34</f>
        <v xml:space="preserve"> </v>
      </c>
      <c r="F57" s="78">
        <f>'CRU historical'!I34</f>
        <v>36</v>
      </c>
      <c r="G57" s="78" t="str">
        <f>'CRU historical'!L34</f>
        <v xml:space="preserve"> </v>
      </c>
      <c r="H57" s="78" t="str">
        <f>'CRU historical'!O34</f>
        <v xml:space="preserve"> </v>
      </c>
      <c r="I57" s="78">
        <f>'CRU historical'!R34</f>
        <v>72</v>
      </c>
      <c r="J57" s="78">
        <f>AVERAGE('CRU historical'!U34, 'CRU historical'!X34, 'CRU historical'!AA34, 'CRU historical'!AD34)</f>
        <v>75</v>
      </c>
      <c r="L57" s="78" cm="1">
        <f t="array" ref="L57">IFERROR(SUMPRODUCT(('Sulphuric Acid freights'!$B$3:$B$513=B67)*('Sulphuric Acid freights'!$D$3:$D$513=D57)*('Sulphuric Acid freights'!$P$3:$P$513))/SUMPRODUCT(('Sulphuric Acid freights'!$B$3:$B$513=B67)*('Sulphuric Acid freights'!$D$3:$D$513=D57)*1), AVERAGE('Sulphuric Acid freights'!$P$3:$P$513))*2/3</f>
        <v>54.110671936758898</v>
      </c>
      <c r="M57" s="78" cm="1">
        <f t="array" ref="M57">IFERROR(SUMPRODUCT(('Sulphuric Acid freights'!$B$3:$B$513=B67)*('Sulphuric Acid freights'!$D$3:$D$513=D57)*('Sulphuric Acid freights'!$M$3:$M$513))/SUMPRODUCT(('Sulphuric Acid freights'!$B$3:$B$513=B67)*('Sulphuric Acid freights'!$D$3:$D$513=D57)*1)*2/3, AVERAGE('Sulphuric Acid freights'!$M$3:$M$513))</f>
        <v>23.573122529644269</v>
      </c>
      <c r="N57" s="78">
        <f t="shared" si="16"/>
        <v>48.699604743083007</v>
      </c>
      <c r="O57" s="78" cm="1">
        <f t="array" ref="O57">IF(SUMPRODUCT(('Sulphur freight'!$B$3:$B$1976=B67)*('Sulphur freight'!$D$3:$D$1976=D57)*('Sulphur freight'!$G$3:$G$1976))/SUMPRODUCT(('Sulphur freight'!$B$3:$B$1976=B67)*('Sulphur freight'!$D$3:$D$1976=D57)*1)=0, AVERAGE('Sulphur freight'!$G$3:$G$1976),SUMPRODUCT(('Sulphur freight'!$B$3:$B$1976=B67)*('Sulphur freight'!$D$3:$D$1976=D57)*('Sulphur freight'!$G$3:$G$1976))/SUMPRODUCT(('Sulphur freight'!$B$3:$B$1976=B67)*('Sulphur freight'!$D$3:$D$1976=D57)*1))</f>
        <v>29.165429480381761</v>
      </c>
      <c r="P57" s="78">
        <v>20</v>
      </c>
      <c r="R57" s="78" t="str">
        <f t="shared" si="17"/>
        <v xml:space="preserve"> </v>
      </c>
      <c r="S57" s="78">
        <f t="shared" si="18"/>
        <v>59.573122529644266</v>
      </c>
      <c r="T57" s="78" t="str">
        <f t="shared" si="13"/>
        <v/>
      </c>
      <c r="U57" s="78" t="str">
        <f t="shared" si="19"/>
        <v/>
      </c>
      <c r="V57" s="78">
        <f>IFERROR(I57+O57, "")</f>
        <v>101.16542948038176</v>
      </c>
      <c r="W57" s="78">
        <f t="shared" si="20"/>
        <v>95</v>
      </c>
      <c r="X57" s="78">
        <f t="shared" si="21"/>
        <v>51.384591728525983</v>
      </c>
      <c r="Y57" s="78">
        <f t="shared" si="22"/>
        <v>49.35</v>
      </c>
      <c r="AA57" s="88" t="str">
        <f t="shared" si="23"/>
        <v/>
      </c>
      <c r="AB57" s="77" t="str">
        <f t="shared" si="14"/>
        <v/>
      </c>
      <c r="AD57" s="88" t="str">
        <f t="shared" si="24"/>
        <v/>
      </c>
      <c r="AE57" s="77" t="str">
        <f t="shared" si="15"/>
        <v/>
      </c>
    </row>
    <row r="58" spans="2:31" x14ac:dyDescent="0.35">
      <c r="B58">
        <v>2004</v>
      </c>
      <c r="C58">
        <v>4</v>
      </c>
      <c r="D58">
        <v>11</v>
      </c>
      <c r="E58" s="78" t="str">
        <f>'CRU historical'!F35</f>
        <v xml:space="preserve"> </v>
      </c>
      <c r="F58" s="78">
        <f>'CRU historical'!I35</f>
        <v>36</v>
      </c>
      <c r="G58" s="78" t="str">
        <f>'CRU historical'!L35</f>
        <v xml:space="preserve"> </v>
      </c>
      <c r="H58" s="78" t="str">
        <f>'CRU historical'!O35</f>
        <v xml:space="preserve"> </v>
      </c>
      <c r="I58" s="78">
        <f>'CRU historical'!R35</f>
        <v>65</v>
      </c>
      <c r="J58" s="78">
        <f>AVERAGE('CRU historical'!U35, 'CRU historical'!X35, 'CRU historical'!AA35, 'CRU historical'!AD35)</f>
        <v>75</v>
      </c>
      <c r="L58" s="78" cm="1">
        <f t="array" ref="L58">IFERROR(SUMPRODUCT(('Sulphuric Acid freights'!$B$3:$B$513=B68)*('Sulphuric Acid freights'!$D$3:$D$513=D58)*('Sulphuric Acid freights'!$P$3:$P$513))/SUMPRODUCT(('Sulphuric Acid freights'!$B$3:$B$513=B68)*('Sulphuric Acid freights'!$D$3:$D$513=D58)*1), AVERAGE('Sulphuric Acid freights'!$P$3:$P$513))*2/3</f>
        <v>54.110671936758898</v>
      </c>
      <c r="M58" s="78" cm="1">
        <f t="array" ref="M58">IFERROR(SUMPRODUCT(('Sulphuric Acid freights'!$B$3:$B$513=B68)*('Sulphuric Acid freights'!$D$3:$D$513=D58)*('Sulphuric Acid freights'!$M$3:$M$513))/SUMPRODUCT(('Sulphuric Acid freights'!$B$3:$B$513=B68)*('Sulphuric Acid freights'!$D$3:$D$513=D58)*1)*2/3, AVERAGE('Sulphuric Acid freights'!$M$3:$M$513))</f>
        <v>23.573122529644269</v>
      </c>
      <c r="N58" s="78">
        <f t="shared" si="16"/>
        <v>48.699604743083007</v>
      </c>
      <c r="O58" s="78" cm="1">
        <f t="array" ref="O58">IF(SUMPRODUCT(('Sulphur freight'!$B$3:$B$1976=B68)*('Sulphur freight'!$D$3:$D$1976=D58)*('Sulphur freight'!$G$3:$G$1976))/SUMPRODUCT(('Sulphur freight'!$B$3:$B$1976=B68)*('Sulphur freight'!$D$3:$D$1976=D58)*1)=0, AVERAGE('Sulphur freight'!$G$3:$G$1976),SUMPRODUCT(('Sulphur freight'!$B$3:$B$1976=B68)*('Sulphur freight'!$D$3:$D$1976=D58)*('Sulphur freight'!$G$3:$G$1976))/SUMPRODUCT(('Sulphur freight'!$B$3:$B$1976=B68)*('Sulphur freight'!$D$3:$D$1976=D58)*1))</f>
        <v>29.165429480381761</v>
      </c>
      <c r="P58" s="78">
        <v>20</v>
      </c>
      <c r="R58" s="78" t="str">
        <f t="shared" si="17"/>
        <v xml:space="preserve"> </v>
      </c>
      <c r="S58" s="78">
        <f t="shared" si="18"/>
        <v>59.573122529644266</v>
      </c>
      <c r="T58" s="78" t="str">
        <f t="shared" si="13"/>
        <v/>
      </c>
      <c r="U58" s="78" t="str">
        <f t="shared" si="19"/>
        <v/>
      </c>
      <c r="V58" s="78">
        <f>IFERROR(I58+O58, "")</f>
        <v>94.165429480381761</v>
      </c>
      <c r="W58" s="78">
        <f t="shared" si="20"/>
        <v>95</v>
      </c>
      <c r="X58" s="78">
        <f t="shared" si="21"/>
        <v>49.074591728525981</v>
      </c>
      <c r="Y58" s="78">
        <f t="shared" si="22"/>
        <v>49.35</v>
      </c>
      <c r="AA58" s="88" t="str">
        <f t="shared" si="23"/>
        <v/>
      </c>
      <c r="AB58" s="77" t="str">
        <f t="shared" si="14"/>
        <v/>
      </c>
      <c r="AD58" s="88" t="str">
        <f t="shared" si="24"/>
        <v/>
      </c>
      <c r="AE58" s="77" t="str">
        <f t="shared" si="15"/>
        <v/>
      </c>
    </row>
    <row r="59" spans="2:31" x14ac:dyDescent="0.35">
      <c r="B59">
        <v>2004</v>
      </c>
      <c r="C59">
        <v>4</v>
      </c>
      <c r="D59">
        <v>12</v>
      </c>
      <c r="E59" s="78" t="str">
        <f>'CRU historical'!F36</f>
        <v xml:space="preserve"> </v>
      </c>
      <c r="F59" s="78">
        <f>'CRU historical'!I36</f>
        <v>36</v>
      </c>
      <c r="G59" s="78" t="str">
        <f>'CRU historical'!L36</f>
        <v xml:space="preserve"> </v>
      </c>
      <c r="H59" s="78" t="str">
        <f>'CRU historical'!O36</f>
        <v xml:space="preserve"> </v>
      </c>
      <c r="I59" s="78">
        <f>'CRU historical'!R36</f>
        <v>64.5</v>
      </c>
      <c r="J59" s="78">
        <f>AVERAGE('CRU historical'!U36, 'CRU historical'!X36, 'CRU historical'!AA36, 'CRU historical'!AD36)</f>
        <v>74</v>
      </c>
      <c r="L59" s="78" cm="1">
        <f t="array" ref="L59">IFERROR(SUMPRODUCT(('Sulphuric Acid freights'!$B$3:$B$513=B69)*('Sulphuric Acid freights'!$D$3:$D$513=D59)*('Sulphuric Acid freights'!$P$3:$P$513))/SUMPRODUCT(('Sulphuric Acid freights'!$B$3:$B$513=B69)*('Sulphuric Acid freights'!$D$3:$D$513=D59)*1), AVERAGE('Sulphuric Acid freights'!$P$3:$P$513))*2/3</f>
        <v>54.110671936758898</v>
      </c>
      <c r="M59" s="78" cm="1">
        <f t="array" ref="M59">IFERROR(SUMPRODUCT(('Sulphuric Acid freights'!$B$3:$B$513=B69)*('Sulphuric Acid freights'!$D$3:$D$513=D59)*('Sulphuric Acid freights'!$M$3:$M$513))/SUMPRODUCT(('Sulphuric Acid freights'!$B$3:$B$513=B69)*('Sulphuric Acid freights'!$D$3:$D$513=D59)*1)*2/3, AVERAGE('Sulphuric Acid freights'!$M$3:$M$513))</f>
        <v>23.573122529644269</v>
      </c>
      <c r="N59" s="78">
        <f t="shared" si="16"/>
        <v>48.699604743083007</v>
      </c>
      <c r="O59" s="78" cm="1">
        <f t="array" ref="O59">IF(SUMPRODUCT(('Sulphur freight'!$B$3:$B$1976=B69)*('Sulphur freight'!$D$3:$D$1976=D59)*('Sulphur freight'!$G$3:$G$1976))/SUMPRODUCT(('Sulphur freight'!$B$3:$B$1976=B69)*('Sulphur freight'!$D$3:$D$1976=D59)*1)=0, AVERAGE('Sulphur freight'!$G$3:$G$1976),SUMPRODUCT(('Sulphur freight'!$B$3:$B$1976=B69)*('Sulphur freight'!$D$3:$D$1976=D59)*('Sulphur freight'!$G$3:$G$1976))/SUMPRODUCT(('Sulphur freight'!$B$3:$B$1976=B69)*('Sulphur freight'!$D$3:$D$1976=D59)*1))</f>
        <v>29.165429480381761</v>
      </c>
      <c r="P59" s="78">
        <v>20</v>
      </c>
      <c r="R59" s="78" t="str">
        <f t="shared" si="17"/>
        <v xml:space="preserve"> </v>
      </c>
      <c r="S59" s="78">
        <f t="shared" si="18"/>
        <v>59.573122529644266</v>
      </c>
      <c r="T59" s="78" t="str">
        <f t="shared" si="13"/>
        <v/>
      </c>
      <c r="U59" s="78" t="str">
        <f t="shared" si="19"/>
        <v/>
      </c>
      <c r="V59" s="78">
        <f>IFERROR(I59+O59, "")</f>
        <v>93.665429480381761</v>
      </c>
      <c r="W59" s="78">
        <f t="shared" si="20"/>
        <v>94</v>
      </c>
      <c r="X59" s="78">
        <f t="shared" si="21"/>
        <v>48.909591728525982</v>
      </c>
      <c r="Y59" s="78">
        <f t="shared" si="22"/>
        <v>49.02</v>
      </c>
      <c r="AA59" s="88" t="str">
        <f t="shared" si="23"/>
        <v/>
      </c>
      <c r="AB59" s="77" t="str">
        <f t="shared" si="14"/>
        <v/>
      </c>
      <c r="AD59" s="88" t="str">
        <f t="shared" si="24"/>
        <v/>
      </c>
      <c r="AE59" s="77" t="str">
        <f t="shared" si="15"/>
        <v/>
      </c>
    </row>
    <row r="60" spans="2:31" x14ac:dyDescent="0.35">
      <c r="B60">
        <v>2004</v>
      </c>
      <c r="C60">
        <v>1</v>
      </c>
      <c r="D60">
        <v>1</v>
      </c>
      <c r="E60" s="78" t="str">
        <f>'CRU historical'!F37</f>
        <v xml:space="preserve"> </v>
      </c>
      <c r="F60" s="78">
        <f>'CRU historical'!I37</f>
        <v>36.5</v>
      </c>
      <c r="G60" s="78" t="str">
        <f>'CRU historical'!L37</f>
        <v xml:space="preserve"> </v>
      </c>
      <c r="H60" s="78" t="str">
        <f>'CRU historical'!O37</f>
        <v xml:space="preserve"> </v>
      </c>
      <c r="I60" s="78">
        <f>'CRU historical'!R37</f>
        <v>62.5</v>
      </c>
      <c r="J60" s="78">
        <f>AVERAGE('CRU historical'!U37, 'CRU historical'!X37, 'CRU historical'!AA37, 'CRU historical'!AD37)</f>
        <v>75.25</v>
      </c>
      <c r="L60" s="78" cm="1">
        <f t="array" ref="L60">IFERROR(SUMPRODUCT(('Sulphuric Acid freights'!$B$3:$B$513=B70)*('Sulphuric Acid freights'!$D$3:$D$513=D60)*('Sulphuric Acid freights'!$P$3:$P$513))/SUMPRODUCT(('Sulphuric Acid freights'!$B$3:$B$513=B70)*('Sulphuric Acid freights'!$D$3:$D$513=D60)*1), AVERAGE('Sulphuric Acid freights'!$P$3:$P$513))*2/3</f>
        <v>54.110671936758898</v>
      </c>
      <c r="M60" s="78" cm="1">
        <f t="array" ref="M60">IFERROR(SUMPRODUCT(('Sulphuric Acid freights'!$B$3:$B$513=B70)*('Sulphuric Acid freights'!$D$3:$D$513=D60)*('Sulphuric Acid freights'!$M$3:$M$513))/SUMPRODUCT(('Sulphuric Acid freights'!$B$3:$B$513=B70)*('Sulphuric Acid freights'!$D$3:$D$513=D60)*1)*2/3, AVERAGE('Sulphuric Acid freights'!$M$3:$M$513))</f>
        <v>23.573122529644269</v>
      </c>
      <c r="N60" s="78">
        <f t="shared" si="16"/>
        <v>48.699604743083007</v>
      </c>
      <c r="O60" s="78" cm="1">
        <f t="array" ref="O60">IF(SUMPRODUCT(('Sulphur freight'!$B$3:$B$1976=B70)*('Sulphur freight'!$D$3:$D$1976=D60)*('Sulphur freight'!$G$3:$G$1976))/SUMPRODUCT(('Sulphur freight'!$B$3:$B$1976=B70)*('Sulphur freight'!$D$3:$D$1976=D60)*1)=0, AVERAGE('Sulphur freight'!$G$3:$G$1976),SUMPRODUCT(('Sulphur freight'!$B$3:$B$1976=B70)*('Sulphur freight'!$D$3:$D$1976=D60)*('Sulphur freight'!$G$3:$G$1976))/SUMPRODUCT(('Sulphur freight'!$B$3:$B$1976=B70)*('Sulphur freight'!$D$3:$D$1976=D60)*1))</f>
        <v>29.165429480381761</v>
      </c>
      <c r="P60" s="78">
        <v>20</v>
      </c>
      <c r="R60" s="78" t="str">
        <f t="shared" si="17"/>
        <v xml:space="preserve"> </v>
      </c>
      <c r="S60" s="78">
        <f t="shared" si="18"/>
        <v>60.073122529644266</v>
      </c>
      <c r="T60" s="78" t="str">
        <f t="shared" si="13"/>
        <v/>
      </c>
      <c r="U60" s="78" t="str">
        <f t="shared" si="19"/>
        <v/>
      </c>
      <c r="V60" s="78">
        <f>IFERROR(I60+O60, "")</f>
        <v>91.665429480381761</v>
      </c>
      <c r="W60" s="78">
        <f t="shared" si="20"/>
        <v>95.25</v>
      </c>
      <c r="X60" s="78">
        <f t="shared" si="21"/>
        <v>48.249591728525985</v>
      </c>
      <c r="Y60" s="78">
        <f t="shared" si="22"/>
        <v>49.432500000000005</v>
      </c>
      <c r="AA60" s="88" t="str">
        <f t="shared" si="23"/>
        <v/>
      </c>
      <c r="AB60" s="77" t="str">
        <f t="shared" si="14"/>
        <v/>
      </c>
      <c r="AD60" s="88" t="str">
        <f t="shared" si="24"/>
        <v/>
      </c>
      <c r="AE60" s="77" t="str">
        <f t="shared" si="15"/>
        <v/>
      </c>
    </row>
    <row r="61" spans="2:31" x14ac:dyDescent="0.35">
      <c r="B61">
        <v>2004</v>
      </c>
      <c r="C61">
        <v>1</v>
      </c>
      <c r="D61">
        <v>2</v>
      </c>
      <c r="E61" s="78" t="str">
        <f>'CRU historical'!F38</f>
        <v xml:space="preserve"> </v>
      </c>
      <c r="F61" s="78">
        <f>'CRU historical'!I38</f>
        <v>37</v>
      </c>
      <c r="G61" s="78" t="str">
        <f>'CRU historical'!L38</f>
        <v xml:space="preserve"> </v>
      </c>
      <c r="H61" s="78" t="str">
        <f>'CRU historical'!O38</f>
        <v xml:space="preserve"> </v>
      </c>
      <c r="I61" s="78">
        <f>'CRU historical'!R38</f>
        <v>66</v>
      </c>
      <c r="J61" s="78">
        <f>AVERAGE('CRU historical'!U38, 'CRU historical'!X38, 'CRU historical'!AA38, 'CRU historical'!AD38)</f>
        <v>75.5</v>
      </c>
      <c r="L61" s="78" cm="1">
        <f t="array" ref="L61">IFERROR(SUMPRODUCT(('Sulphuric Acid freights'!$B$3:$B$513=B71)*('Sulphuric Acid freights'!$D$3:$D$513=D61)*('Sulphuric Acid freights'!$P$3:$P$513))/SUMPRODUCT(('Sulphuric Acid freights'!$B$3:$B$513=B71)*('Sulphuric Acid freights'!$D$3:$D$513=D61)*1), AVERAGE('Sulphuric Acid freights'!$P$3:$P$513))*2/3</f>
        <v>54.110671936758898</v>
      </c>
      <c r="M61" s="78" cm="1">
        <f t="array" ref="M61">IFERROR(SUMPRODUCT(('Sulphuric Acid freights'!$B$3:$B$513=B71)*('Sulphuric Acid freights'!$D$3:$D$513=D61)*('Sulphuric Acid freights'!$M$3:$M$513))/SUMPRODUCT(('Sulphuric Acid freights'!$B$3:$B$513=B71)*('Sulphuric Acid freights'!$D$3:$D$513=D61)*1)*2/3, AVERAGE('Sulphuric Acid freights'!$M$3:$M$513))</f>
        <v>23.573122529644269</v>
      </c>
      <c r="N61" s="78">
        <f t="shared" si="16"/>
        <v>48.699604743083007</v>
      </c>
      <c r="O61" s="78" cm="1">
        <f t="array" ref="O61">IF(SUMPRODUCT(('Sulphur freight'!$B$3:$B$1976=B71)*('Sulphur freight'!$D$3:$D$1976=D61)*('Sulphur freight'!$G$3:$G$1976))/SUMPRODUCT(('Sulphur freight'!$B$3:$B$1976=B71)*('Sulphur freight'!$D$3:$D$1976=D61)*1)=0, AVERAGE('Sulphur freight'!$G$3:$G$1976),SUMPRODUCT(('Sulphur freight'!$B$3:$B$1976=B71)*('Sulphur freight'!$D$3:$D$1976=D61)*('Sulphur freight'!$G$3:$G$1976))/SUMPRODUCT(('Sulphur freight'!$B$3:$B$1976=B71)*('Sulphur freight'!$D$3:$D$1976=D61)*1))</f>
        <v>29.165429480381761</v>
      </c>
      <c r="P61" s="78">
        <v>20</v>
      </c>
      <c r="R61" s="78" t="str">
        <f t="shared" si="17"/>
        <v xml:space="preserve"> </v>
      </c>
      <c r="S61" s="78">
        <f t="shared" si="18"/>
        <v>60.573122529644266</v>
      </c>
      <c r="T61" s="78" t="str">
        <f t="shared" si="13"/>
        <v/>
      </c>
      <c r="U61" s="78" t="str">
        <f t="shared" si="19"/>
        <v/>
      </c>
      <c r="V61" s="78">
        <f>IFERROR(I61+O61, "")</f>
        <v>95.165429480381761</v>
      </c>
      <c r="W61" s="78">
        <f t="shared" si="20"/>
        <v>95.5</v>
      </c>
      <c r="X61" s="78">
        <f t="shared" si="21"/>
        <v>49.404591728525986</v>
      </c>
      <c r="Y61" s="78">
        <f t="shared" si="22"/>
        <v>49.515000000000001</v>
      </c>
      <c r="AA61" s="88" t="str">
        <f t="shared" si="23"/>
        <v/>
      </c>
      <c r="AB61" s="77" t="str">
        <f t="shared" si="14"/>
        <v/>
      </c>
      <c r="AD61" s="88" t="str">
        <f t="shared" si="24"/>
        <v/>
      </c>
      <c r="AE61" s="77" t="str">
        <f t="shared" si="15"/>
        <v/>
      </c>
    </row>
    <row r="62" spans="2:31" x14ac:dyDescent="0.35">
      <c r="B62">
        <v>2004</v>
      </c>
      <c r="C62">
        <v>1</v>
      </c>
      <c r="D62">
        <v>3</v>
      </c>
      <c r="E62" s="78" t="str">
        <f>'CRU historical'!F39</f>
        <v xml:space="preserve"> </v>
      </c>
      <c r="F62" s="78">
        <f>'CRU historical'!I39</f>
        <v>37</v>
      </c>
      <c r="G62" s="78" t="str">
        <f>'CRU historical'!L39</f>
        <v xml:space="preserve"> </v>
      </c>
      <c r="H62" s="78" t="str">
        <f>'CRU historical'!O39</f>
        <v xml:space="preserve"> </v>
      </c>
      <c r="I62" s="78">
        <f>'CRU historical'!R39</f>
        <v>68</v>
      </c>
      <c r="J62" s="78">
        <f>AVERAGE('CRU historical'!U39, 'CRU historical'!X39, 'CRU historical'!AA39, 'CRU historical'!AD39)</f>
        <v>76</v>
      </c>
      <c r="L62" s="78" cm="1">
        <f t="array" ref="L62">IFERROR(SUMPRODUCT(('Sulphuric Acid freights'!$B$3:$B$513=B72)*('Sulphuric Acid freights'!$D$3:$D$513=D62)*('Sulphuric Acid freights'!$P$3:$P$513))/SUMPRODUCT(('Sulphuric Acid freights'!$B$3:$B$513=B72)*('Sulphuric Acid freights'!$D$3:$D$513=D62)*1), AVERAGE('Sulphuric Acid freights'!$P$3:$P$513))*2/3</f>
        <v>54.110671936758898</v>
      </c>
      <c r="M62" s="78" cm="1">
        <f t="array" ref="M62">IFERROR(SUMPRODUCT(('Sulphuric Acid freights'!$B$3:$B$513=B72)*('Sulphuric Acid freights'!$D$3:$D$513=D62)*('Sulphuric Acid freights'!$M$3:$M$513))/SUMPRODUCT(('Sulphuric Acid freights'!$B$3:$B$513=B72)*('Sulphuric Acid freights'!$D$3:$D$513=D62)*1)*2/3, AVERAGE('Sulphuric Acid freights'!$M$3:$M$513))</f>
        <v>23.573122529644269</v>
      </c>
      <c r="N62" s="78">
        <f t="shared" si="16"/>
        <v>48.699604743083007</v>
      </c>
      <c r="O62" s="78" cm="1">
        <f t="array" ref="O62">IF(SUMPRODUCT(('Sulphur freight'!$B$3:$B$1976=B72)*('Sulphur freight'!$D$3:$D$1976=D62)*('Sulphur freight'!$G$3:$G$1976))/SUMPRODUCT(('Sulphur freight'!$B$3:$B$1976=B72)*('Sulphur freight'!$D$3:$D$1976=D62)*1)=0, AVERAGE('Sulphur freight'!$G$3:$G$1976),SUMPRODUCT(('Sulphur freight'!$B$3:$B$1976=B72)*('Sulphur freight'!$D$3:$D$1976=D62)*('Sulphur freight'!$G$3:$G$1976))/SUMPRODUCT(('Sulphur freight'!$B$3:$B$1976=B72)*('Sulphur freight'!$D$3:$D$1976=D62)*1))</f>
        <v>29.165429480381761</v>
      </c>
      <c r="P62" s="78">
        <v>20</v>
      </c>
      <c r="R62" s="78" t="str">
        <f t="shared" si="17"/>
        <v xml:space="preserve"> </v>
      </c>
      <c r="S62" s="78">
        <f t="shared" si="18"/>
        <v>60.573122529644266</v>
      </c>
      <c r="T62" s="78" t="str">
        <f t="shared" si="13"/>
        <v/>
      </c>
      <c r="U62" s="78" t="str">
        <f t="shared" si="19"/>
        <v/>
      </c>
      <c r="V62" s="78">
        <f>IFERROR(I62+O62, "")</f>
        <v>97.165429480381761</v>
      </c>
      <c r="W62" s="78">
        <f t="shared" si="20"/>
        <v>96</v>
      </c>
      <c r="X62" s="78">
        <f t="shared" si="21"/>
        <v>50.064591728525983</v>
      </c>
      <c r="Y62" s="78">
        <f t="shared" si="22"/>
        <v>49.68</v>
      </c>
      <c r="AA62" s="88" t="str">
        <f t="shared" si="23"/>
        <v/>
      </c>
      <c r="AB62" s="77" t="str">
        <f t="shared" si="14"/>
        <v/>
      </c>
      <c r="AD62" s="88" t="str">
        <f t="shared" si="24"/>
        <v/>
      </c>
      <c r="AE62" s="77" t="str">
        <f t="shared" si="15"/>
        <v/>
      </c>
    </row>
    <row r="63" spans="2:31" x14ac:dyDescent="0.35">
      <c r="B63">
        <v>2004</v>
      </c>
      <c r="C63">
        <v>2</v>
      </c>
      <c r="D63">
        <v>4</v>
      </c>
      <c r="E63" s="78" t="str">
        <f>'CRU historical'!F40</f>
        <v xml:space="preserve"> </v>
      </c>
      <c r="F63" s="78">
        <f>'CRU historical'!I40</f>
        <v>37</v>
      </c>
      <c r="G63" s="78" t="str">
        <f>'CRU historical'!L40</f>
        <v xml:space="preserve"> </v>
      </c>
      <c r="H63" s="78" t="str">
        <f>'CRU historical'!O40</f>
        <v xml:space="preserve"> </v>
      </c>
      <c r="I63" s="78">
        <f>'CRU historical'!R40</f>
        <v>70</v>
      </c>
      <c r="J63" s="78">
        <f>AVERAGE('CRU historical'!U40, 'CRU historical'!X40, 'CRU historical'!AA40, 'CRU historical'!AD40)</f>
        <v>75.75</v>
      </c>
      <c r="L63" s="78" cm="1">
        <f t="array" ref="L63">IFERROR(SUMPRODUCT(('Sulphuric Acid freights'!$B$3:$B$513=B73)*('Sulphuric Acid freights'!$D$3:$D$513=D63)*('Sulphuric Acid freights'!$P$3:$P$513))/SUMPRODUCT(('Sulphuric Acid freights'!$B$3:$B$513=B73)*('Sulphuric Acid freights'!$D$3:$D$513=D63)*1), AVERAGE('Sulphuric Acid freights'!$P$3:$P$513))*2/3</f>
        <v>54.110671936758898</v>
      </c>
      <c r="M63" s="78" cm="1">
        <f t="array" ref="M63">IFERROR(SUMPRODUCT(('Sulphuric Acid freights'!$B$3:$B$513=B73)*('Sulphuric Acid freights'!$D$3:$D$513=D63)*('Sulphuric Acid freights'!$M$3:$M$513))/SUMPRODUCT(('Sulphuric Acid freights'!$B$3:$B$513=B73)*('Sulphuric Acid freights'!$D$3:$D$513=D63)*1)*2/3, AVERAGE('Sulphuric Acid freights'!$M$3:$M$513))</f>
        <v>23.573122529644269</v>
      </c>
      <c r="N63" s="78">
        <f t="shared" si="16"/>
        <v>48.699604743083007</v>
      </c>
      <c r="O63" s="78" cm="1">
        <f t="array" ref="O63">IF(SUMPRODUCT(('Sulphur freight'!$B$3:$B$1976=B73)*('Sulphur freight'!$D$3:$D$1976=D63)*('Sulphur freight'!$G$3:$G$1976))/SUMPRODUCT(('Sulphur freight'!$B$3:$B$1976=B73)*('Sulphur freight'!$D$3:$D$1976=D63)*1)=0, AVERAGE('Sulphur freight'!$G$3:$G$1976),SUMPRODUCT(('Sulphur freight'!$B$3:$B$1976=B73)*('Sulphur freight'!$D$3:$D$1976=D63)*('Sulphur freight'!$G$3:$G$1976))/SUMPRODUCT(('Sulphur freight'!$B$3:$B$1976=B73)*('Sulphur freight'!$D$3:$D$1976=D63)*1))</f>
        <v>29.165429480381761</v>
      </c>
      <c r="P63" s="78">
        <v>20</v>
      </c>
      <c r="R63" s="78" t="str">
        <f t="shared" si="17"/>
        <v xml:space="preserve"> </v>
      </c>
      <c r="S63" s="78">
        <f t="shared" si="18"/>
        <v>60.573122529644266</v>
      </c>
      <c r="T63" s="78" t="str">
        <f t="shared" si="13"/>
        <v/>
      </c>
      <c r="U63" s="78" t="str">
        <f t="shared" si="19"/>
        <v/>
      </c>
      <c r="V63" s="78">
        <f>IFERROR(I63+O63, "")</f>
        <v>99.165429480381761</v>
      </c>
      <c r="W63" s="78">
        <f t="shared" si="20"/>
        <v>95.75</v>
      </c>
      <c r="X63" s="78">
        <f t="shared" si="21"/>
        <v>50.724591728525979</v>
      </c>
      <c r="Y63" s="78">
        <f t="shared" si="22"/>
        <v>49.597499999999997</v>
      </c>
      <c r="AA63" s="88" t="str">
        <f t="shared" si="23"/>
        <v/>
      </c>
      <c r="AB63" s="77" t="str">
        <f t="shared" si="14"/>
        <v/>
      </c>
      <c r="AD63" s="88" t="str">
        <f t="shared" si="24"/>
        <v/>
      </c>
      <c r="AE63" s="77" t="str">
        <f t="shared" si="15"/>
        <v/>
      </c>
    </row>
    <row r="64" spans="2:31" x14ac:dyDescent="0.35">
      <c r="B64">
        <v>2004</v>
      </c>
      <c r="C64">
        <v>2</v>
      </c>
      <c r="D64">
        <v>5</v>
      </c>
      <c r="E64" s="78" t="str">
        <f>'CRU historical'!F41</f>
        <v xml:space="preserve"> </v>
      </c>
      <c r="F64" s="78">
        <f>'CRU historical'!I41</f>
        <v>37</v>
      </c>
      <c r="G64" s="78" t="str">
        <f>'CRU historical'!L41</f>
        <v xml:space="preserve"> </v>
      </c>
      <c r="H64" s="78" t="str">
        <f>'CRU historical'!O41</f>
        <v xml:space="preserve"> </v>
      </c>
      <c r="I64" s="78">
        <f>'CRU historical'!R41</f>
        <v>73</v>
      </c>
      <c r="J64" s="78">
        <f>AVERAGE('CRU historical'!U41, 'CRU historical'!X41, 'CRU historical'!AA41, 'CRU historical'!AD41)</f>
        <v>75.5</v>
      </c>
      <c r="L64" s="78" cm="1">
        <f t="array" ref="L64">IFERROR(SUMPRODUCT(('Sulphuric Acid freights'!$B$3:$B$513=B74)*('Sulphuric Acid freights'!$D$3:$D$513=D64)*('Sulphuric Acid freights'!$P$3:$P$513))/SUMPRODUCT(('Sulphuric Acid freights'!$B$3:$B$513=B74)*('Sulphuric Acid freights'!$D$3:$D$513=D64)*1), AVERAGE('Sulphuric Acid freights'!$P$3:$P$513))*2/3</f>
        <v>54.110671936758898</v>
      </c>
      <c r="M64" s="78" cm="1">
        <f t="array" ref="M64">IFERROR(SUMPRODUCT(('Sulphuric Acid freights'!$B$3:$B$513=B74)*('Sulphuric Acid freights'!$D$3:$D$513=D64)*('Sulphuric Acid freights'!$M$3:$M$513))/SUMPRODUCT(('Sulphuric Acid freights'!$B$3:$B$513=B74)*('Sulphuric Acid freights'!$D$3:$D$513=D64)*1)*2/3, AVERAGE('Sulphuric Acid freights'!$M$3:$M$513))</f>
        <v>23.573122529644269</v>
      </c>
      <c r="N64" s="78">
        <f t="shared" si="16"/>
        <v>48.699604743083007</v>
      </c>
      <c r="O64" s="78" cm="1">
        <f t="array" ref="O64">IF(SUMPRODUCT(('Sulphur freight'!$B$3:$B$1976=B74)*('Sulphur freight'!$D$3:$D$1976=D64)*('Sulphur freight'!$G$3:$G$1976))/SUMPRODUCT(('Sulphur freight'!$B$3:$B$1976=B74)*('Sulphur freight'!$D$3:$D$1976=D64)*1)=0, AVERAGE('Sulphur freight'!$G$3:$G$1976),SUMPRODUCT(('Sulphur freight'!$B$3:$B$1976=B74)*('Sulphur freight'!$D$3:$D$1976=D64)*('Sulphur freight'!$G$3:$G$1976))/SUMPRODUCT(('Sulphur freight'!$B$3:$B$1976=B74)*('Sulphur freight'!$D$3:$D$1976=D64)*1))</f>
        <v>29.165429480381761</v>
      </c>
      <c r="P64" s="78">
        <v>20</v>
      </c>
      <c r="R64" s="78" t="str">
        <f t="shared" si="17"/>
        <v xml:space="preserve"> </v>
      </c>
      <c r="S64" s="78">
        <f t="shared" si="18"/>
        <v>60.573122529644266</v>
      </c>
      <c r="T64" s="78" t="str">
        <f t="shared" si="13"/>
        <v/>
      </c>
      <c r="U64" s="78" t="str">
        <f t="shared" si="19"/>
        <v/>
      </c>
      <c r="V64" s="78">
        <f>IFERROR(I64+O64, "")</f>
        <v>102.16542948038176</v>
      </c>
      <c r="W64" s="78">
        <f t="shared" si="20"/>
        <v>95.5</v>
      </c>
      <c r="X64" s="78">
        <f t="shared" si="21"/>
        <v>51.714591728525981</v>
      </c>
      <c r="Y64" s="78">
        <f t="shared" si="22"/>
        <v>49.515000000000001</v>
      </c>
      <c r="AA64" s="88" t="str">
        <f t="shared" si="23"/>
        <v/>
      </c>
      <c r="AB64" s="77" t="str">
        <f t="shared" si="14"/>
        <v/>
      </c>
      <c r="AD64" s="88" t="str">
        <f t="shared" si="24"/>
        <v/>
      </c>
      <c r="AE64" s="77" t="str">
        <f t="shared" si="15"/>
        <v/>
      </c>
    </row>
    <row r="65" spans="2:31" x14ac:dyDescent="0.35">
      <c r="B65">
        <v>2004</v>
      </c>
      <c r="C65">
        <v>2</v>
      </c>
      <c r="D65">
        <v>6</v>
      </c>
      <c r="E65" s="78" t="str">
        <f>'CRU historical'!F42</f>
        <v xml:space="preserve"> </v>
      </c>
      <c r="F65" s="78">
        <f>'CRU historical'!I42</f>
        <v>37</v>
      </c>
      <c r="G65" s="78" t="str">
        <f>'CRU historical'!L42</f>
        <v xml:space="preserve"> </v>
      </c>
      <c r="H65" s="78" t="str">
        <f>'CRU historical'!O42</f>
        <v xml:space="preserve"> </v>
      </c>
      <c r="I65" s="78">
        <f>'CRU historical'!R42</f>
        <v>77</v>
      </c>
      <c r="J65" s="78">
        <f>AVERAGE('CRU historical'!U42, 'CRU historical'!X42, 'CRU historical'!AA42, 'CRU historical'!AD42)</f>
        <v>75.5</v>
      </c>
      <c r="L65" s="78" cm="1">
        <f t="array" ref="L65">IFERROR(SUMPRODUCT(('Sulphuric Acid freights'!$B$3:$B$513=B75)*('Sulphuric Acid freights'!$D$3:$D$513=D65)*('Sulphuric Acid freights'!$P$3:$P$513))/SUMPRODUCT(('Sulphuric Acid freights'!$B$3:$B$513=B75)*('Sulphuric Acid freights'!$D$3:$D$513=D65)*1), AVERAGE('Sulphuric Acid freights'!$P$3:$P$513))*2/3</f>
        <v>54.110671936758898</v>
      </c>
      <c r="M65" s="78" cm="1">
        <f t="array" ref="M65">IFERROR(SUMPRODUCT(('Sulphuric Acid freights'!$B$3:$B$513=B75)*('Sulphuric Acid freights'!$D$3:$D$513=D65)*('Sulphuric Acid freights'!$M$3:$M$513))/SUMPRODUCT(('Sulphuric Acid freights'!$B$3:$B$513=B75)*('Sulphuric Acid freights'!$D$3:$D$513=D65)*1)*2/3, AVERAGE('Sulphuric Acid freights'!$M$3:$M$513))</f>
        <v>23.573122529644269</v>
      </c>
      <c r="N65" s="78">
        <f t="shared" si="16"/>
        <v>48.699604743083007</v>
      </c>
      <c r="O65" s="78" cm="1">
        <f t="array" ref="O65">IF(SUMPRODUCT(('Sulphur freight'!$B$3:$B$1976=B75)*('Sulphur freight'!$D$3:$D$1976=D65)*('Sulphur freight'!$G$3:$G$1976))/SUMPRODUCT(('Sulphur freight'!$B$3:$B$1976=B75)*('Sulphur freight'!$D$3:$D$1976=D65)*1)=0, AVERAGE('Sulphur freight'!$G$3:$G$1976),SUMPRODUCT(('Sulphur freight'!$B$3:$B$1976=B75)*('Sulphur freight'!$D$3:$D$1976=D65)*('Sulphur freight'!$G$3:$G$1976))/SUMPRODUCT(('Sulphur freight'!$B$3:$B$1976=B75)*('Sulphur freight'!$D$3:$D$1976=D65)*1))</f>
        <v>29.165429480381761</v>
      </c>
      <c r="P65" s="78">
        <v>20</v>
      </c>
      <c r="R65" s="78" t="str">
        <f t="shared" si="17"/>
        <v xml:space="preserve"> </v>
      </c>
      <c r="S65" s="78">
        <f t="shared" si="18"/>
        <v>60.573122529644266</v>
      </c>
      <c r="T65" s="78" t="str">
        <f t="shared" si="13"/>
        <v/>
      </c>
      <c r="U65" s="78" t="str">
        <f t="shared" si="19"/>
        <v/>
      </c>
      <c r="V65" s="78">
        <f>IFERROR(I65+O65, "")</f>
        <v>106.16542948038176</v>
      </c>
      <c r="W65" s="78">
        <f t="shared" si="20"/>
        <v>95.5</v>
      </c>
      <c r="X65" s="78">
        <f t="shared" si="21"/>
        <v>53.034591728525982</v>
      </c>
      <c r="Y65" s="78">
        <f t="shared" si="22"/>
        <v>49.515000000000001</v>
      </c>
      <c r="AA65" s="88" t="str">
        <f t="shared" si="23"/>
        <v/>
      </c>
      <c r="AB65" s="77" t="str">
        <f t="shared" si="14"/>
        <v/>
      </c>
      <c r="AD65" s="88" t="str">
        <f t="shared" si="24"/>
        <v/>
      </c>
      <c r="AE65" s="77" t="str">
        <f t="shared" si="15"/>
        <v/>
      </c>
    </row>
    <row r="66" spans="2:31" x14ac:dyDescent="0.35">
      <c r="B66">
        <v>2004</v>
      </c>
      <c r="C66">
        <v>3</v>
      </c>
      <c r="D66">
        <v>7</v>
      </c>
      <c r="E66" s="78" t="str">
        <f>'CRU historical'!F43</f>
        <v xml:space="preserve"> </v>
      </c>
      <c r="F66" s="78">
        <f>'CRU historical'!I43</f>
        <v>37</v>
      </c>
      <c r="G66" s="78" t="str">
        <f>'CRU historical'!L43</f>
        <v xml:space="preserve"> </v>
      </c>
      <c r="H66" s="78" t="str">
        <f>'CRU historical'!O43</f>
        <v xml:space="preserve"> </v>
      </c>
      <c r="I66" s="78">
        <f>'CRU historical'!R43</f>
        <v>77.5</v>
      </c>
      <c r="J66" s="78">
        <f>AVERAGE('CRU historical'!U43, 'CRU historical'!X43, 'CRU historical'!AA43, 'CRU historical'!AD43)</f>
        <v>75.5</v>
      </c>
      <c r="L66" s="78" cm="1">
        <f t="array" ref="L66">IFERROR(SUMPRODUCT(('Sulphuric Acid freights'!$B$3:$B$513=B76)*('Sulphuric Acid freights'!$D$3:$D$513=D66)*('Sulphuric Acid freights'!$P$3:$P$513))/SUMPRODUCT(('Sulphuric Acid freights'!$B$3:$B$513=B76)*('Sulphuric Acid freights'!$D$3:$D$513=D66)*1), AVERAGE('Sulphuric Acid freights'!$P$3:$P$513))*2/3</f>
        <v>54.110671936758898</v>
      </c>
      <c r="M66" s="78" cm="1">
        <f t="array" ref="M66">IFERROR(SUMPRODUCT(('Sulphuric Acid freights'!$B$3:$B$513=B76)*('Sulphuric Acid freights'!$D$3:$D$513=D66)*('Sulphuric Acid freights'!$M$3:$M$513))/SUMPRODUCT(('Sulphuric Acid freights'!$B$3:$B$513=B76)*('Sulphuric Acid freights'!$D$3:$D$513=D66)*1)*2/3, AVERAGE('Sulphuric Acid freights'!$M$3:$M$513))</f>
        <v>23.573122529644269</v>
      </c>
      <c r="N66" s="78">
        <f t="shared" si="16"/>
        <v>48.699604743083007</v>
      </c>
      <c r="O66" s="78" cm="1">
        <f t="array" ref="O66">IF(SUMPRODUCT(('Sulphur freight'!$B$3:$B$1976=B76)*('Sulphur freight'!$D$3:$D$1976=D66)*('Sulphur freight'!$G$3:$G$1976))/SUMPRODUCT(('Sulphur freight'!$B$3:$B$1976=B76)*('Sulphur freight'!$D$3:$D$1976=D66)*1)=0, AVERAGE('Sulphur freight'!$G$3:$G$1976),SUMPRODUCT(('Sulphur freight'!$B$3:$B$1976=B76)*('Sulphur freight'!$D$3:$D$1976=D66)*('Sulphur freight'!$G$3:$G$1976))/SUMPRODUCT(('Sulphur freight'!$B$3:$B$1976=B76)*('Sulphur freight'!$D$3:$D$1976=D66)*1))</f>
        <v>29.165429480381761</v>
      </c>
      <c r="P66" s="78">
        <v>20</v>
      </c>
      <c r="R66" s="78" t="str">
        <f t="shared" si="17"/>
        <v xml:space="preserve"> </v>
      </c>
      <c r="S66" s="78">
        <f t="shared" si="18"/>
        <v>60.573122529644266</v>
      </c>
      <c r="T66" s="78" t="str">
        <f t="shared" si="13"/>
        <v/>
      </c>
      <c r="U66" s="78" t="str">
        <f t="shared" si="19"/>
        <v/>
      </c>
      <c r="V66" s="78">
        <f>IFERROR(I66+O66, "")</f>
        <v>106.66542948038176</v>
      </c>
      <c r="W66" s="78">
        <f t="shared" si="20"/>
        <v>95.5</v>
      </c>
      <c r="X66" s="78">
        <f t="shared" si="21"/>
        <v>53.199591728525981</v>
      </c>
      <c r="Y66" s="78">
        <f t="shared" si="22"/>
        <v>49.515000000000001</v>
      </c>
      <c r="AA66" s="88" t="str">
        <f t="shared" si="23"/>
        <v/>
      </c>
      <c r="AB66" s="77" t="str">
        <f t="shared" si="14"/>
        <v/>
      </c>
      <c r="AD66" s="88" t="str">
        <f t="shared" si="24"/>
        <v/>
      </c>
      <c r="AE66" s="77" t="str">
        <f t="shared" si="15"/>
        <v/>
      </c>
    </row>
    <row r="67" spans="2:31" x14ac:dyDescent="0.35">
      <c r="B67">
        <v>2004</v>
      </c>
      <c r="C67">
        <v>3</v>
      </c>
      <c r="D67">
        <v>8</v>
      </c>
      <c r="E67" s="78" t="str">
        <f>'CRU historical'!F44</f>
        <v xml:space="preserve"> </v>
      </c>
      <c r="F67" s="78">
        <f>'CRU historical'!I44</f>
        <v>36</v>
      </c>
      <c r="G67" s="78" t="str">
        <f>'CRU historical'!L44</f>
        <v xml:space="preserve"> </v>
      </c>
      <c r="H67" s="78" t="str">
        <f>'CRU historical'!O44</f>
        <v xml:space="preserve"> </v>
      </c>
      <c r="I67" s="78">
        <f>'CRU historical'!R44</f>
        <v>77.5</v>
      </c>
      <c r="J67" s="78">
        <f>AVERAGE('CRU historical'!U44, 'CRU historical'!X44, 'CRU historical'!AA44, 'CRU historical'!AD44)</f>
        <v>78</v>
      </c>
      <c r="L67" s="78" cm="1">
        <f t="array" ref="L67">IFERROR(SUMPRODUCT(('Sulphuric Acid freights'!$B$3:$B$513=B77)*('Sulphuric Acid freights'!$D$3:$D$513=D67)*('Sulphuric Acid freights'!$P$3:$P$513))/SUMPRODUCT(('Sulphuric Acid freights'!$B$3:$B$513=B77)*('Sulphuric Acid freights'!$D$3:$D$513=D67)*1), AVERAGE('Sulphuric Acid freights'!$P$3:$P$513))*2/3</f>
        <v>54.110671936758898</v>
      </c>
      <c r="M67" s="78" cm="1">
        <f t="array" ref="M67">IFERROR(SUMPRODUCT(('Sulphuric Acid freights'!$B$3:$B$513=B77)*('Sulphuric Acid freights'!$D$3:$D$513=D67)*('Sulphuric Acid freights'!$M$3:$M$513))/SUMPRODUCT(('Sulphuric Acid freights'!$B$3:$B$513=B77)*('Sulphuric Acid freights'!$D$3:$D$513=D67)*1)*2/3, AVERAGE('Sulphuric Acid freights'!$M$3:$M$513))</f>
        <v>23.573122529644269</v>
      </c>
      <c r="N67" s="78">
        <f t="shared" si="16"/>
        <v>48.699604743083007</v>
      </c>
      <c r="O67" s="78" cm="1">
        <f t="array" ref="O67">IF(SUMPRODUCT(('Sulphur freight'!$B$3:$B$1976=B77)*('Sulphur freight'!$D$3:$D$1976=D67)*('Sulphur freight'!$G$3:$G$1976))/SUMPRODUCT(('Sulphur freight'!$B$3:$B$1976=B77)*('Sulphur freight'!$D$3:$D$1976=D67)*1)=0, AVERAGE('Sulphur freight'!$G$3:$G$1976),SUMPRODUCT(('Sulphur freight'!$B$3:$B$1976=B77)*('Sulphur freight'!$D$3:$D$1976=D67)*('Sulphur freight'!$G$3:$G$1976))/SUMPRODUCT(('Sulphur freight'!$B$3:$B$1976=B77)*('Sulphur freight'!$D$3:$D$1976=D67)*1))</f>
        <v>29.165429480381761</v>
      </c>
      <c r="P67" s="78">
        <v>20</v>
      </c>
      <c r="R67" s="78" t="str">
        <f t="shared" si="17"/>
        <v xml:space="preserve"> </v>
      </c>
      <c r="S67" s="78">
        <f t="shared" si="18"/>
        <v>59.573122529644266</v>
      </c>
      <c r="T67" s="78" t="str">
        <f t="shared" si="13"/>
        <v/>
      </c>
      <c r="U67" s="78" t="str">
        <f t="shared" si="19"/>
        <v/>
      </c>
      <c r="V67" s="78">
        <f>IFERROR(I67+O67, "")</f>
        <v>106.66542948038176</v>
      </c>
      <c r="W67" s="78">
        <f t="shared" si="20"/>
        <v>98</v>
      </c>
      <c r="X67" s="78">
        <f t="shared" si="21"/>
        <v>53.199591728525981</v>
      </c>
      <c r="Y67" s="78">
        <f t="shared" si="22"/>
        <v>50.34</v>
      </c>
      <c r="AA67" s="88" t="str">
        <f t="shared" si="23"/>
        <v/>
      </c>
      <c r="AB67" s="77" t="str">
        <f t="shared" si="14"/>
        <v/>
      </c>
      <c r="AD67" s="88" t="str">
        <f t="shared" si="24"/>
        <v/>
      </c>
      <c r="AE67" s="77" t="str">
        <f t="shared" si="15"/>
        <v/>
      </c>
    </row>
    <row r="68" spans="2:31" x14ac:dyDescent="0.35">
      <c r="B68">
        <v>2004</v>
      </c>
      <c r="C68">
        <v>3</v>
      </c>
      <c r="D68">
        <v>9</v>
      </c>
      <c r="E68" s="78" t="str">
        <f>'CRU historical'!F45</f>
        <v xml:space="preserve"> </v>
      </c>
      <c r="F68" s="78">
        <f>'CRU historical'!I45</f>
        <v>35</v>
      </c>
      <c r="G68" s="78" t="str">
        <f>'CRU historical'!L45</f>
        <v xml:space="preserve"> </v>
      </c>
      <c r="H68" s="78" t="str">
        <f>'CRU historical'!O45</f>
        <v xml:space="preserve"> </v>
      </c>
      <c r="I68" s="78">
        <f>'CRU historical'!R45</f>
        <v>83.333333333333329</v>
      </c>
      <c r="J68" s="78">
        <f>AVERAGE('CRU historical'!U45, 'CRU historical'!X45, 'CRU historical'!AA45, 'CRU historical'!AD45)</f>
        <v>80.666666666666657</v>
      </c>
      <c r="L68" s="78" cm="1">
        <f t="array" ref="L68">IFERROR(SUMPRODUCT(('Sulphuric Acid freights'!$B$3:$B$513=B78)*('Sulphuric Acid freights'!$D$3:$D$513=D68)*('Sulphuric Acid freights'!$P$3:$P$513))/SUMPRODUCT(('Sulphuric Acid freights'!$B$3:$B$513=B78)*('Sulphuric Acid freights'!$D$3:$D$513=D68)*1), AVERAGE('Sulphuric Acid freights'!$P$3:$P$513))*2/3</f>
        <v>54.110671936758898</v>
      </c>
      <c r="M68" s="78" cm="1">
        <f t="array" ref="M68">IFERROR(SUMPRODUCT(('Sulphuric Acid freights'!$B$3:$B$513=B78)*('Sulphuric Acid freights'!$D$3:$D$513=D68)*('Sulphuric Acid freights'!$M$3:$M$513))/SUMPRODUCT(('Sulphuric Acid freights'!$B$3:$B$513=B78)*('Sulphuric Acid freights'!$D$3:$D$513=D68)*1)*2/3, AVERAGE('Sulphuric Acid freights'!$M$3:$M$513))</f>
        <v>23.573122529644269</v>
      </c>
      <c r="N68" s="78">
        <f t="shared" si="16"/>
        <v>48.699604743083007</v>
      </c>
      <c r="O68" s="78" cm="1">
        <f t="array" ref="O68">IF(SUMPRODUCT(('Sulphur freight'!$B$3:$B$1976=B78)*('Sulphur freight'!$D$3:$D$1976=D68)*('Sulphur freight'!$G$3:$G$1976))/SUMPRODUCT(('Sulphur freight'!$B$3:$B$1976=B78)*('Sulphur freight'!$D$3:$D$1976=D68)*1)=0, AVERAGE('Sulphur freight'!$G$3:$G$1976),SUMPRODUCT(('Sulphur freight'!$B$3:$B$1976=B78)*('Sulphur freight'!$D$3:$D$1976=D68)*('Sulphur freight'!$G$3:$G$1976))/SUMPRODUCT(('Sulphur freight'!$B$3:$B$1976=B78)*('Sulphur freight'!$D$3:$D$1976=D68)*1))</f>
        <v>29.165429480381761</v>
      </c>
      <c r="P68" s="78">
        <v>20</v>
      </c>
      <c r="R68" s="78" t="str">
        <f t="shared" si="17"/>
        <v xml:space="preserve"> </v>
      </c>
      <c r="S68" s="78">
        <f t="shared" si="18"/>
        <v>58.573122529644266</v>
      </c>
      <c r="T68" s="78" t="str">
        <f t="shared" si="13"/>
        <v/>
      </c>
      <c r="U68" s="78" t="str">
        <f t="shared" si="19"/>
        <v/>
      </c>
      <c r="V68" s="78">
        <f>IFERROR(I68+O68, "")</f>
        <v>112.49876281371509</v>
      </c>
      <c r="W68" s="78">
        <f t="shared" si="20"/>
        <v>100.66666666666666</v>
      </c>
      <c r="X68" s="78">
        <f t="shared" si="21"/>
        <v>55.124591728525978</v>
      </c>
      <c r="Y68" s="78">
        <f t="shared" si="22"/>
        <v>51.22</v>
      </c>
      <c r="AA68" s="88" t="str">
        <f t="shared" si="23"/>
        <v/>
      </c>
      <c r="AB68" s="77" t="str">
        <f t="shared" si="14"/>
        <v/>
      </c>
      <c r="AD68" s="88" t="str">
        <f t="shared" si="24"/>
        <v/>
      </c>
      <c r="AE68" s="77" t="str">
        <f t="shared" si="15"/>
        <v/>
      </c>
    </row>
    <row r="69" spans="2:31" x14ac:dyDescent="0.35">
      <c r="B69">
        <v>2004</v>
      </c>
      <c r="C69">
        <v>4</v>
      </c>
      <c r="D69">
        <v>10</v>
      </c>
      <c r="E69" s="78" t="str">
        <f>'CRU historical'!F46</f>
        <v xml:space="preserve"> </v>
      </c>
      <c r="F69" s="78">
        <f>'CRU historical'!I46</f>
        <v>35</v>
      </c>
      <c r="G69" s="78" t="str">
        <f>'CRU historical'!L46</f>
        <v xml:space="preserve"> </v>
      </c>
      <c r="H69" s="78" t="str">
        <f>'CRU historical'!O46</f>
        <v xml:space="preserve"> </v>
      </c>
      <c r="I69" s="78">
        <f>'CRU historical'!R46</f>
        <v>81</v>
      </c>
      <c r="J69" s="78">
        <f>AVERAGE('CRU historical'!U46, 'CRU historical'!X46, 'CRU historical'!AA46, 'CRU historical'!AD46)</f>
        <v>80.5</v>
      </c>
      <c r="L69" s="78" cm="1">
        <f t="array" ref="L69">IFERROR(SUMPRODUCT(('Sulphuric Acid freights'!$B$3:$B$513=B79)*('Sulphuric Acid freights'!$D$3:$D$513=D69)*('Sulphuric Acid freights'!$P$3:$P$513))/SUMPRODUCT(('Sulphuric Acid freights'!$B$3:$B$513=B79)*('Sulphuric Acid freights'!$D$3:$D$513=D69)*1), AVERAGE('Sulphuric Acid freights'!$P$3:$P$513))*2/3</f>
        <v>54.110671936758898</v>
      </c>
      <c r="M69" s="78" cm="1">
        <f t="array" ref="M69">IFERROR(SUMPRODUCT(('Sulphuric Acid freights'!$B$3:$B$513=B79)*('Sulphuric Acid freights'!$D$3:$D$513=D69)*('Sulphuric Acid freights'!$M$3:$M$513))/SUMPRODUCT(('Sulphuric Acid freights'!$B$3:$B$513=B79)*('Sulphuric Acid freights'!$D$3:$D$513=D69)*1)*2/3, AVERAGE('Sulphuric Acid freights'!$M$3:$M$513))</f>
        <v>23.573122529644269</v>
      </c>
      <c r="N69" s="78">
        <f t="shared" si="16"/>
        <v>48.699604743083007</v>
      </c>
      <c r="O69" s="78" cm="1">
        <f t="array" ref="O69">IF(SUMPRODUCT(('Sulphur freight'!$B$3:$B$1976=B79)*('Sulphur freight'!$D$3:$D$1976=D69)*('Sulphur freight'!$G$3:$G$1976))/SUMPRODUCT(('Sulphur freight'!$B$3:$B$1976=B79)*('Sulphur freight'!$D$3:$D$1976=D69)*1)=0, AVERAGE('Sulphur freight'!$G$3:$G$1976),SUMPRODUCT(('Sulphur freight'!$B$3:$B$1976=B79)*('Sulphur freight'!$D$3:$D$1976=D69)*('Sulphur freight'!$G$3:$G$1976))/SUMPRODUCT(('Sulphur freight'!$B$3:$B$1976=B79)*('Sulphur freight'!$D$3:$D$1976=D69)*1))</f>
        <v>29.165429480381761</v>
      </c>
      <c r="P69" s="78">
        <v>20</v>
      </c>
      <c r="R69" s="78" t="str">
        <f t="shared" si="17"/>
        <v xml:space="preserve"> </v>
      </c>
      <c r="S69" s="78">
        <f t="shared" si="18"/>
        <v>58.573122529644266</v>
      </c>
      <c r="T69" s="78" t="str">
        <f t="shared" si="13"/>
        <v/>
      </c>
      <c r="U69" s="78" t="str">
        <f t="shared" si="19"/>
        <v/>
      </c>
      <c r="V69" s="78">
        <f>IFERROR(I69+O69, "")</f>
        <v>110.16542948038176</v>
      </c>
      <c r="W69" s="78">
        <f t="shared" si="20"/>
        <v>100.5</v>
      </c>
      <c r="X69" s="78">
        <f t="shared" si="21"/>
        <v>54.354591728525982</v>
      </c>
      <c r="Y69" s="78">
        <f t="shared" si="22"/>
        <v>51.164999999999999</v>
      </c>
      <c r="AA69" s="88" t="str">
        <f t="shared" si="23"/>
        <v/>
      </c>
      <c r="AB69" s="77" t="str">
        <f t="shared" si="14"/>
        <v/>
      </c>
      <c r="AD69" s="88" t="str">
        <f t="shared" si="24"/>
        <v/>
      </c>
      <c r="AE69" s="77" t="str">
        <f t="shared" si="15"/>
        <v/>
      </c>
    </row>
    <row r="70" spans="2:31" x14ac:dyDescent="0.35">
      <c r="B70">
        <v>2005</v>
      </c>
      <c r="C70">
        <v>4</v>
      </c>
      <c r="D70">
        <v>11</v>
      </c>
      <c r="E70" s="78" t="str">
        <f>'CRU historical'!F47</f>
        <v xml:space="preserve"> </v>
      </c>
      <c r="F70" s="78">
        <f>'CRU historical'!I47</f>
        <v>35</v>
      </c>
      <c r="G70" s="78" t="str">
        <f>'CRU historical'!L47</f>
        <v xml:space="preserve"> </v>
      </c>
      <c r="H70" s="78" t="str">
        <f>'CRU historical'!O47</f>
        <v xml:space="preserve"> </v>
      </c>
      <c r="I70" s="78">
        <f>'CRU historical'!R47</f>
        <v>76</v>
      </c>
      <c r="J70" s="78">
        <f>AVERAGE('CRU historical'!U47, 'CRU historical'!X47, 'CRU historical'!AA47, 'CRU historical'!AD47)</f>
        <v>80.5</v>
      </c>
      <c r="L70" s="78" cm="1">
        <f t="array" ref="L70">IFERROR(SUMPRODUCT(('Sulphuric Acid freights'!$B$3:$B$513=B80)*('Sulphuric Acid freights'!$D$3:$D$513=D70)*('Sulphuric Acid freights'!$P$3:$P$513))/SUMPRODUCT(('Sulphuric Acid freights'!$B$3:$B$513=B80)*('Sulphuric Acid freights'!$D$3:$D$513=D70)*1), AVERAGE('Sulphuric Acid freights'!$P$3:$P$513))*2/3</f>
        <v>54.110671936758898</v>
      </c>
      <c r="M70" s="78" cm="1">
        <f t="array" ref="M70">IFERROR(SUMPRODUCT(('Sulphuric Acid freights'!$B$3:$B$513=B80)*('Sulphuric Acid freights'!$D$3:$D$513=D70)*('Sulphuric Acid freights'!$M$3:$M$513))/SUMPRODUCT(('Sulphuric Acid freights'!$B$3:$B$513=B80)*('Sulphuric Acid freights'!$D$3:$D$513=D70)*1)*2/3, AVERAGE('Sulphuric Acid freights'!$M$3:$M$513))</f>
        <v>23.573122529644269</v>
      </c>
      <c r="N70" s="78">
        <f t="shared" si="16"/>
        <v>48.699604743083007</v>
      </c>
      <c r="O70" s="78" cm="1">
        <f t="array" ref="O70">IF(SUMPRODUCT(('Sulphur freight'!$B$3:$B$1976=B80)*('Sulphur freight'!$D$3:$D$1976=D70)*('Sulphur freight'!$G$3:$G$1976))/SUMPRODUCT(('Sulphur freight'!$B$3:$B$1976=B80)*('Sulphur freight'!$D$3:$D$1976=D70)*1)=0, AVERAGE('Sulphur freight'!$G$3:$G$1976),SUMPRODUCT(('Sulphur freight'!$B$3:$B$1976=B80)*('Sulphur freight'!$D$3:$D$1976=D70)*('Sulphur freight'!$G$3:$G$1976))/SUMPRODUCT(('Sulphur freight'!$B$3:$B$1976=B80)*('Sulphur freight'!$D$3:$D$1976=D70)*1))</f>
        <v>29.165429480381761</v>
      </c>
      <c r="P70" s="78">
        <v>20</v>
      </c>
      <c r="R70" s="78" t="str">
        <f t="shared" si="17"/>
        <v xml:space="preserve"> </v>
      </c>
      <c r="S70" s="78">
        <f t="shared" si="18"/>
        <v>58.573122529644266</v>
      </c>
      <c r="T70" s="78" t="str">
        <f t="shared" si="13"/>
        <v/>
      </c>
      <c r="U70" s="78" t="str">
        <f t="shared" si="19"/>
        <v/>
      </c>
      <c r="V70" s="78">
        <f>IFERROR(I70+O70, "")</f>
        <v>105.16542948038176</v>
      </c>
      <c r="W70" s="78">
        <f t="shared" si="20"/>
        <v>100.5</v>
      </c>
      <c r="X70" s="78">
        <f t="shared" si="21"/>
        <v>52.704591728525983</v>
      </c>
      <c r="Y70" s="78">
        <f t="shared" si="22"/>
        <v>51.164999999999999</v>
      </c>
      <c r="AA70" s="88" t="str">
        <f t="shared" si="23"/>
        <v/>
      </c>
      <c r="AB70" s="77" t="str">
        <f t="shared" si="14"/>
        <v/>
      </c>
      <c r="AD70" s="88" t="str">
        <f t="shared" si="24"/>
        <v/>
      </c>
      <c r="AE70" s="77" t="str">
        <f t="shared" si="15"/>
        <v/>
      </c>
    </row>
    <row r="71" spans="2:31" x14ac:dyDescent="0.35">
      <c r="B71">
        <v>2005</v>
      </c>
      <c r="C71">
        <v>4</v>
      </c>
      <c r="D71">
        <v>12</v>
      </c>
      <c r="E71" s="78" t="str">
        <f>'CRU historical'!F48</f>
        <v xml:space="preserve"> </v>
      </c>
      <c r="F71" s="78">
        <f>'CRU historical'!I48</f>
        <v>35</v>
      </c>
      <c r="G71" s="78" t="str">
        <f>'CRU historical'!L48</f>
        <v xml:space="preserve"> </v>
      </c>
      <c r="H71" s="78" t="str">
        <f>'CRU historical'!O48</f>
        <v xml:space="preserve"> </v>
      </c>
      <c r="I71" s="78">
        <f>'CRU historical'!R48</f>
        <v>74</v>
      </c>
      <c r="J71" s="78">
        <f>AVERAGE('CRU historical'!U48, 'CRU historical'!X48, 'CRU historical'!AA48, 'CRU historical'!AD48)</f>
        <v>80.5</v>
      </c>
      <c r="L71" s="78" cm="1">
        <f t="array" ref="L71">IFERROR(SUMPRODUCT(('Sulphuric Acid freights'!$B$3:$B$513=B81)*('Sulphuric Acid freights'!$D$3:$D$513=D71)*('Sulphuric Acid freights'!$P$3:$P$513))/SUMPRODUCT(('Sulphuric Acid freights'!$B$3:$B$513=B81)*('Sulphuric Acid freights'!$D$3:$D$513=D71)*1), AVERAGE('Sulphuric Acid freights'!$P$3:$P$513))*2/3</f>
        <v>54.110671936758898</v>
      </c>
      <c r="M71" s="78" cm="1">
        <f t="array" ref="M71">IFERROR(SUMPRODUCT(('Sulphuric Acid freights'!$B$3:$B$513=B81)*('Sulphuric Acid freights'!$D$3:$D$513=D71)*('Sulphuric Acid freights'!$M$3:$M$513))/SUMPRODUCT(('Sulphuric Acid freights'!$B$3:$B$513=B81)*('Sulphuric Acid freights'!$D$3:$D$513=D71)*1)*2/3, AVERAGE('Sulphuric Acid freights'!$M$3:$M$513))</f>
        <v>23.573122529644269</v>
      </c>
      <c r="N71" s="78">
        <f t="shared" si="16"/>
        <v>48.699604743083007</v>
      </c>
      <c r="O71" s="78" cm="1">
        <f t="array" ref="O71">IF(SUMPRODUCT(('Sulphur freight'!$B$3:$B$1976=B81)*('Sulphur freight'!$D$3:$D$1976=D71)*('Sulphur freight'!$G$3:$G$1976))/SUMPRODUCT(('Sulphur freight'!$B$3:$B$1976=B81)*('Sulphur freight'!$D$3:$D$1976=D71)*1)=0, AVERAGE('Sulphur freight'!$G$3:$G$1976),SUMPRODUCT(('Sulphur freight'!$B$3:$B$1976=B81)*('Sulphur freight'!$D$3:$D$1976=D71)*('Sulphur freight'!$G$3:$G$1976))/SUMPRODUCT(('Sulphur freight'!$B$3:$B$1976=B81)*('Sulphur freight'!$D$3:$D$1976=D71)*1))</f>
        <v>29.165429480381761</v>
      </c>
      <c r="P71" s="78">
        <v>20</v>
      </c>
      <c r="R71" s="78" t="str">
        <f t="shared" si="17"/>
        <v xml:space="preserve"> </v>
      </c>
      <c r="S71" s="78">
        <f t="shared" si="18"/>
        <v>58.573122529644266</v>
      </c>
      <c r="T71" s="78" t="str">
        <f t="shared" si="13"/>
        <v/>
      </c>
      <c r="U71" s="78" t="str">
        <f t="shared" si="19"/>
        <v/>
      </c>
      <c r="V71" s="78">
        <f>IFERROR(I71+O71, "")</f>
        <v>103.16542948038176</v>
      </c>
      <c r="W71" s="78">
        <f t="shared" si="20"/>
        <v>100.5</v>
      </c>
      <c r="X71" s="78">
        <f t="shared" si="21"/>
        <v>52.04459172852598</v>
      </c>
      <c r="Y71" s="78">
        <f t="shared" si="22"/>
        <v>51.164999999999999</v>
      </c>
      <c r="AA71" s="88" t="str">
        <f t="shared" si="23"/>
        <v/>
      </c>
      <c r="AB71" s="77" t="str">
        <f t="shared" si="14"/>
        <v/>
      </c>
      <c r="AD71" s="88" t="str">
        <f t="shared" si="24"/>
        <v/>
      </c>
      <c r="AE71" s="77" t="str">
        <f t="shared" si="15"/>
        <v/>
      </c>
    </row>
    <row r="72" spans="2:31" x14ac:dyDescent="0.35">
      <c r="B72">
        <v>2005</v>
      </c>
      <c r="C72">
        <v>1</v>
      </c>
      <c r="D72">
        <v>1</v>
      </c>
      <c r="E72" s="78" t="str">
        <f>'CRU historical'!F49</f>
        <v xml:space="preserve"> </v>
      </c>
      <c r="F72" s="78">
        <f>'CRU historical'!I49</f>
        <v>31.5</v>
      </c>
      <c r="G72" s="78" t="str">
        <f>'CRU historical'!L49</f>
        <v xml:space="preserve"> </v>
      </c>
      <c r="H72" s="78" t="str">
        <f>'CRU historical'!O49</f>
        <v xml:space="preserve"> </v>
      </c>
      <c r="I72" s="78">
        <f>'CRU historical'!R49</f>
        <v>66</v>
      </c>
      <c r="J72" s="78">
        <f>AVERAGE('CRU historical'!U49, 'CRU historical'!X49, 'CRU historical'!AA49, 'CRU historical'!AD49)</f>
        <v>76.75</v>
      </c>
      <c r="L72" s="78" cm="1">
        <f t="array" ref="L72">IFERROR(SUMPRODUCT(('Sulphuric Acid freights'!$B$3:$B$513=B82)*('Sulphuric Acid freights'!$D$3:$D$513=D72)*('Sulphuric Acid freights'!$P$3:$P$513))/SUMPRODUCT(('Sulphuric Acid freights'!$B$3:$B$513=B82)*('Sulphuric Acid freights'!$D$3:$D$513=D72)*1), AVERAGE('Sulphuric Acid freights'!$P$3:$P$513))*2/3</f>
        <v>54.110671936758898</v>
      </c>
      <c r="M72" s="78" cm="1">
        <f t="array" ref="M72">IFERROR(SUMPRODUCT(('Sulphuric Acid freights'!$B$3:$B$513=B82)*('Sulphuric Acid freights'!$D$3:$D$513=D72)*('Sulphuric Acid freights'!$M$3:$M$513))/SUMPRODUCT(('Sulphuric Acid freights'!$B$3:$B$513=B82)*('Sulphuric Acid freights'!$D$3:$D$513=D72)*1)*2/3, AVERAGE('Sulphuric Acid freights'!$M$3:$M$513))</f>
        <v>23.573122529644269</v>
      </c>
      <c r="N72" s="78">
        <f t="shared" si="16"/>
        <v>48.699604743083007</v>
      </c>
      <c r="O72" s="78" cm="1">
        <f t="array" ref="O72">IF(SUMPRODUCT(('Sulphur freight'!$B$3:$B$1976=B82)*('Sulphur freight'!$D$3:$D$1976=D72)*('Sulphur freight'!$G$3:$G$1976))/SUMPRODUCT(('Sulphur freight'!$B$3:$B$1976=B82)*('Sulphur freight'!$D$3:$D$1976=D72)*1)=0, AVERAGE('Sulphur freight'!$G$3:$G$1976),SUMPRODUCT(('Sulphur freight'!$B$3:$B$1976=B82)*('Sulphur freight'!$D$3:$D$1976=D72)*('Sulphur freight'!$G$3:$G$1976))/SUMPRODUCT(('Sulphur freight'!$B$3:$B$1976=B82)*('Sulphur freight'!$D$3:$D$1976=D72)*1))</f>
        <v>29.165429480381761</v>
      </c>
      <c r="P72" s="78">
        <v>20</v>
      </c>
      <c r="R72" s="78" t="str">
        <f t="shared" si="17"/>
        <v xml:space="preserve"> </v>
      </c>
      <c r="S72" s="78">
        <f t="shared" si="18"/>
        <v>55.073122529644266</v>
      </c>
      <c r="T72" s="78" t="str">
        <f t="shared" si="13"/>
        <v/>
      </c>
      <c r="U72" s="78" t="str">
        <f t="shared" si="19"/>
        <v/>
      </c>
      <c r="V72" s="78">
        <f>IFERROR(I72+O72, "")</f>
        <v>95.165429480381761</v>
      </c>
      <c r="W72" s="78">
        <f t="shared" si="20"/>
        <v>96.75</v>
      </c>
      <c r="X72" s="78">
        <f t="shared" si="21"/>
        <v>49.404591728525986</v>
      </c>
      <c r="Y72" s="78">
        <f t="shared" si="22"/>
        <v>49.927500000000002</v>
      </c>
      <c r="AA72" s="88" t="str">
        <f t="shared" si="23"/>
        <v/>
      </c>
      <c r="AB72" s="77" t="str">
        <f t="shared" si="14"/>
        <v/>
      </c>
      <c r="AD72" s="88" t="str">
        <f t="shared" si="24"/>
        <v/>
      </c>
      <c r="AE72" s="77" t="str">
        <f t="shared" si="15"/>
        <v/>
      </c>
    </row>
    <row r="73" spans="2:31" x14ac:dyDescent="0.35">
      <c r="B73">
        <v>2005</v>
      </c>
      <c r="C73">
        <v>1</v>
      </c>
      <c r="D73">
        <v>2</v>
      </c>
      <c r="E73" s="78" t="str">
        <f>'CRU historical'!F50</f>
        <v xml:space="preserve"> </v>
      </c>
      <c r="F73" s="78">
        <f>'CRU historical'!I50</f>
        <v>28</v>
      </c>
      <c r="G73" s="78" t="str">
        <f>'CRU historical'!L50</f>
        <v xml:space="preserve"> </v>
      </c>
      <c r="H73" s="78" t="str">
        <f>'CRU historical'!O50</f>
        <v xml:space="preserve"> </v>
      </c>
      <c r="I73" s="78">
        <f>'CRU historical'!R50</f>
        <v>66.5</v>
      </c>
      <c r="J73" s="78">
        <f>AVERAGE('CRU historical'!U50, 'CRU historical'!X50, 'CRU historical'!AA50, 'CRU historical'!AD50)</f>
        <v>73</v>
      </c>
      <c r="L73" s="78" cm="1">
        <f t="array" ref="L73">IFERROR(SUMPRODUCT(('Sulphuric Acid freights'!$B$3:$B$513=B83)*('Sulphuric Acid freights'!$D$3:$D$513=D73)*('Sulphuric Acid freights'!$P$3:$P$513))/SUMPRODUCT(('Sulphuric Acid freights'!$B$3:$B$513=B83)*('Sulphuric Acid freights'!$D$3:$D$513=D73)*1), AVERAGE('Sulphuric Acid freights'!$P$3:$P$513))*2/3</f>
        <v>54.110671936758898</v>
      </c>
      <c r="M73" s="78" cm="1">
        <f t="array" ref="M73">IFERROR(SUMPRODUCT(('Sulphuric Acid freights'!$B$3:$B$513=B83)*('Sulphuric Acid freights'!$D$3:$D$513=D73)*('Sulphuric Acid freights'!$M$3:$M$513))/SUMPRODUCT(('Sulphuric Acid freights'!$B$3:$B$513=B83)*('Sulphuric Acid freights'!$D$3:$D$513=D73)*1)*2/3, AVERAGE('Sulphuric Acid freights'!$M$3:$M$513))</f>
        <v>23.573122529644269</v>
      </c>
      <c r="N73" s="78">
        <f t="shared" si="16"/>
        <v>48.699604743083007</v>
      </c>
      <c r="O73" s="78" cm="1">
        <f t="array" ref="O73">IF(SUMPRODUCT(('Sulphur freight'!$B$3:$B$1976=B83)*('Sulphur freight'!$D$3:$D$1976=D73)*('Sulphur freight'!$G$3:$G$1976))/SUMPRODUCT(('Sulphur freight'!$B$3:$B$1976=B83)*('Sulphur freight'!$D$3:$D$1976=D73)*1)=0, AVERAGE('Sulphur freight'!$G$3:$G$1976),SUMPRODUCT(('Sulphur freight'!$B$3:$B$1976=B83)*('Sulphur freight'!$D$3:$D$1976=D73)*('Sulphur freight'!$G$3:$G$1976))/SUMPRODUCT(('Sulphur freight'!$B$3:$B$1976=B83)*('Sulphur freight'!$D$3:$D$1976=D73)*1))</f>
        <v>29.165429480381761</v>
      </c>
      <c r="P73" s="78">
        <v>20</v>
      </c>
      <c r="R73" s="78" t="str">
        <f t="shared" si="17"/>
        <v xml:space="preserve"> </v>
      </c>
      <c r="S73" s="78">
        <f t="shared" si="18"/>
        <v>51.573122529644266</v>
      </c>
      <c r="T73" s="78" t="str">
        <f t="shared" si="13"/>
        <v/>
      </c>
      <c r="U73" s="78" t="str">
        <f t="shared" si="19"/>
        <v/>
      </c>
      <c r="V73" s="78">
        <f>IFERROR(I73+O73, "")</f>
        <v>95.665429480381761</v>
      </c>
      <c r="W73" s="78">
        <f t="shared" si="20"/>
        <v>93</v>
      </c>
      <c r="X73" s="78">
        <f t="shared" si="21"/>
        <v>49.569591728525978</v>
      </c>
      <c r="Y73" s="78">
        <f t="shared" si="22"/>
        <v>48.69</v>
      </c>
      <c r="AA73" s="88" t="str">
        <f t="shared" si="23"/>
        <v/>
      </c>
      <c r="AB73" s="77" t="str">
        <f t="shared" si="14"/>
        <v/>
      </c>
      <c r="AD73" s="88" t="str">
        <f t="shared" si="24"/>
        <v/>
      </c>
      <c r="AE73" s="77" t="str">
        <f t="shared" si="15"/>
        <v/>
      </c>
    </row>
    <row r="74" spans="2:31" x14ac:dyDescent="0.35">
      <c r="B74">
        <v>2005</v>
      </c>
      <c r="C74">
        <v>1</v>
      </c>
      <c r="D74">
        <v>3</v>
      </c>
      <c r="E74" s="78" t="str">
        <f>'CRU historical'!F51</f>
        <v xml:space="preserve"> </v>
      </c>
      <c r="F74" s="78">
        <f>'CRU historical'!I51</f>
        <v>28</v>
      </c>
      <c r="G74" s="78" t="str">
        <f>'CRU historical'!L51</f>
        <v xml:space="preserve"> </v>
      </c>
      <c r="H74" s="78" t="str">
        <f>'CRU historical'!O51</f>
        <v xml:space="preserve"> </v>
      </c>
      <c r="I74" s="78">
        <f>'CRU historical'!R51</f>
        <v>64.5</v>
      </c>
      <c r="J74" s="78">
        <f>AVERAGE('CRU historical'!U51, 'CRU historical'!X51, 'CRU historical'!AA51, 'CRU historical'!AD51)</f>
        <v>73</v>
      </c>
      <c r="L74" s="78" cm="1">
        <f t="array" ref="L74">IFERROR(SUMPRODUCT(('Sulphuric Acid freights'!$B$3:$B$513=B84)*('Sulphuric Acid freights'!$D$3:$D$513=D74)*('Sulphuric Acid freights'!$P$3:$P$513))/SUMPRODUCT(('Sulphuric Acid freights'!$B$3:$B$513=B84)*('Sulphuric Acid freights'!$D$3:$D$513=D74)*1), AVERAGE('Sulphuric Acid freights'!$P$3:$P$513))*2/3</f>
        <v>54.110671936758898</v>
      </c>
      <c r="M74" s="78" cm="1">
        <f t="array" ref="M74">IFERROR(SUMPRODUCT(('Sulphuric Acid freights'!$B$3:$B$513=B84)*('Sulphuric Acid freights'!$D$3:$D$513=D74)*('Sulphuric Acid freights'!$M$3:$M$513))/SUMPRODUCT(('Sulphuric Acid freights'!$B$3:$B$513=B84)*('Sulphuric Acid freights'!$D$3:$D$513=D74)*1)*2/3, AVERAGE('Sulphuric Acid freights'!$M$3:$M$513))</f>
        <v>23.573122529644269</v>
      </c>
      <c r="N74" s="78">
        <f t="shared" si="16"/>
        <v>48.699604743083007</v>
      </c>
      <c r="O74" s="78" cm="1">
        <f t="array" ref="O74">IF(SUMPRODUCT(('Sulphur freight'!$B$3:$B$1976=B84)*('Sulphur freight'!$D$3:$D$1976=D74)*('Sulphur freight'!$G$3:$G$1976))/SUMPRODUCT(('Sulphur freight'!$B$3:$B$1976=B84)*('Sulphur freight'!$D$3:$D$1976=D74)*1)=0, AVERAGE('Sulphur freight'!$G$3:$G$1976),SUMPRODUCT(('Sulphur freight'!$B$3:$B$1976=B84)*('Sulphur freight'!$D$3:$D$1976=D74)*('Sulphur freight'!$G$3:$G$1976))/SUMPRODUCT(('Sulphur freight'!$B$3:$B$1976=B84)*('Sulphur freight'!$D$3:$D$1976=D74)*1))</f>
        <v>29.165429480381761</v>
      </c>
      <c r="P74" s="78">
        <v>20</v>
      </c>
      <c r="R74" s="78" t="str">
        <f t="shared" si="17"/>
        <v xml:space="preserve"> </v>
      </c>
      <c r="S74" s="78">
        <f t="shared" si="18"/>
        <v>51.573122529644266</v>
      </c>
      <c r="T74" s="78" t="str">
        <f t="shared" si="13"/>
        <v/>
      </c>
      <c r="U74" s="78" t="str">
        <f t="shared" si="19"/>
        <v/>
      </c>
      <c r="V74" s="78">
        <f>IFERROR(I74+O74, "")</f>
        <v>93.665429480381761</v>
      </c>
      <c r="W74" s="78">
        <f t="shared" si="20"/>
        <v>93</v>
      </c>
      <c r="X74" s="78">
        <f t="shared" si="21"/>
        <v>48.909591728525982</v>
      </c>
      <c r="Y74" s="78">
        <f t="shared" si="22"/>
        <v>48.69</v>
      </c>
      <c r="AA74" s="88" t="str">
        <f t="shared" si="23"/>
        <v/>
      </c>
      <c r="AB74" s="77" t="str">
        <f t="shared" si="14"/>
        <v/>
      </c>
      <c r="AD74" s="88" t="str">
        <f t="shared" si="24"/>
        <v/>
      </c>
      <c r="AE74" s="77" t="str">
        <f t="shared" si="15"/>
        <v/>
      </c>
    </row>
    <row r="75" spans="2:31" x14ac:dyDescent="0.35">
      <c r="B75">
        <v>2005</v>
      </c>
      <c r="C75">
        <v>2</v>
      </c>
      <c r="D75">
        <v>4</v>
      </c>
      <c r="E75" s="78" t="str">
        <f>'CRU historical'!F52</f>
        <v xml:space="preserve"> </v>
      </c>
      <c r="F75" s="78">
        <f>'CRU historical'!I52</f>
        <v>28</v>
      </c>
      <c r="G75" s="78" t="str">
        <f>'CRU historical'!L52</f>
        <v xml:space="preserve"> </v>
      </c>
      <c r="H75" s="78" t="str">
        <f>'CRU historical'!O52</f>
        <v xml:space="preserve"> </v>
      </c>
      <c r="I75" s="78">
        <f>'CRU historical'!R52</f>
        <v>62.5</v>
      </c>
      <c r="J75" s="78">
        <f>AVERAGE('CRU historical'!U52, 'CRU historical'!X52, 'CRU historical'!AA52, 'CRU historical'!AD52)</f>
        <v>73</v>
      </c>
      <c r="L75" s="78" cm="1">
        <f t="array" ref="L75">IFERROR(SUMPRODUCT(('Sulphuric Acid freights'!$B$3:$B$513=B85)*('Sulphuric Acid freights'!$D$3:$D$513=D75)*('Sulphuric Acid freights'!$P$3:$P$513))/SUMPRODUCT(('Sulphuric Acid freights'!$B$3:$B$513=B85)*('Sulphuric Acid freights'!$D$3:$D$513=D75)*1), AVERAGE('Sulphuric Acid freights'!$P$3:$P$513))*2/3</f>
        <v>54.110671936758898</v>
      </c>
      <c r="M75" s="78" cm="1">
        <f t="array" ref="M75">IFERROR(SUMPRODUCT(('Sulphuric Acid freights'!$B$3:$B$513=B85)*('Sulphuric Acid freights'!$D$3:$D$513=D75)*('Sulphuric Acid freights'!$M$3:$M$513))/SUMPRODUCT(('Sulphuric Acid freights'!$B$3:$B$513=B85)*('Sulphuric Acid freights'!$D$3:$D$513=D75)*1)*2/3, AVERAGE('Sulphuric Acid freights'!$M$3:$M$513))</f>
        <v>23.573122529644269</v>
      </c>
      <c r="N75" s="78">
        <f t="shared" si="16"/>
        <v>48.699604743083007</v>
      </c>
      <c r="O75" s="78" cm="1">
        <f t="array" ref="O75">IF(SUMPRODUCT(('Sulphur freight'!$B$3:$B$1976=B85)*('Sulphur freight'!$D$3:$D$1976=D75)*('Sulphur freight'!$G$3:$G$1976))/SUMPRODUCT(('Sulphur freight'!$B$3:$B$1976=B85)*('Sulphur freight'!$D$3:$D$1976=D75)*1)=0, AVERAGE('Sulphur freight'!$G$3:$G$1976),SUMPRODUCT(('Sulphur freight'!$B$3:$B$1976=B85)*('Sulphur freight'!$D$3:$D$1976=D75)*('Sulphur freight'!$G$3:$G$1976))/SUMPRODUCT(('Sulphur freight'!$B$3:$B$1976=B85)*('Sulphur freight'!$D$3:$D$1976=D75)*1))</f>
        <v>29.165429480381761</v>
      </c>
      <c r="P75" s="78">
        <v>20</v>
      </c>
      <c r="R75" s="78" t="str">
        <f t="shared" si="17"/>
        <v xml:space="preserve"> </v>
      </c>
      <c r="S75" s="78">
        <f t="shared" si="18"/>
        <v>51.573122529644266</v>
      </c>
      <c r="T75" s="78" t="str">
        <f t="shared" si="13"/>
        <v/>
      </c>
      <c r="U75" s="78" t="str">
        <f t="shared" si="19"/>
        <v/>
      </c>
      <c r="V75" s="78">
        <f>IFERROR(I75+O75, "")</f>
        <v>91.665429480381761</v>
      </c>
      <c r="W75" s="78">
        <f t="shared" si="20"/>
        <v>93</v>
      </c>
      <c r="X75" s="78">
        <f t="shared" si="21"/>
        <v>48.249591728525985</v>
      </c>
      <c r="Y75" s="78">
        <f t="shared" si="22"/>
        <v>48.69</v>
      </c>
      <c r="AA75" s="88" t="str">
        <f t="shared" si="23"/>
        <v/>
      </c>
      <c r="AB75" s="77" t="str">
        <f t="shared" si="14"/>
        <v/>
      </c>
      <c r="AD75" s="88" t="str">
        <f t="shared" si="24"/>
        <v/>
      </c>
      <c r="AE75" s="77" t="str">
        <f t="shared" si="15"/>
        <v/>
      </c>
    </row>
    <row r="76" spans="2:31" x14ac:dyDescent="0.35">
      <c r="B76">
        <v>2005</v>
      </c>
      <c r="C76">
        <v>2</v>
      </c>
      <c r="D76">
        <v>5</v>
      </c>
      <c r="E76" s="78" t="str">
        <f>'CRU historical'!F53</f>
        <v xml:space="preserve"> </v>
      </c>
      <c r="F76" s="78">
        <f>'CRU historical'!I53</f>
        <v>28</v>
      </c>
      <c r="G76" s="78" t="str">
        <f>'CRU historical'!L53</f>
        <v xml:space="preserve"> </v>
      </c>
      <c r="H76" s="78" t="str">
        <f>'CRU historical'!O53</f>
        <v xml:space="preserve"> </v>
      </c>
      <c r="I76" s="78">
        <f>'CRU historical'!R53</f>
        <v>62</v>
      </c>
      <c r="J76" s="78">
        <f>AVERAGE('CRU historical'!U53, 'CRU historical'!X53, 'CRU historical'!AA53, 'CRU historical'!AD53)</f>
        <v>73</v>
      </c>
      <c r="L76" s="78" cm="1">
        <f t="array" ref="L76">IFERROR(SUMPRODUCT(('Sulphuric Acid freights'!$B$3:$B$513=B86)*('Sulphuric Acid freights'!$D$3:$D$513=D76)*('Sulphuric Acid freights'!$P$3:$P$513))/SUMPRODUCT(('Sulphuric Acid freights'!$B$3:$B$513=B86)*('Sulphuric Acid freights'!$D$3:$D$513=D76)*1), AVERAGE('Sulphuric Acid freights'!$P$3:$P$513))*2/3</f>
        <v>54.110671936758898</v>
      </c>
      <c r="M76" s="78" cm="1">
        <f t="array" ref="M76">IFERROR(SUMPRODUCT(('Sulphuric Acid freights'!$B$3:$B$513=B86)*('Sulphuric Acid freights'!$D$3:$D$513=D76)*('Sulphuric Acid freights'!$M$3:$M$513))/SUMPRODUCT(('Sulphuric Acid freights'!$B$3:$B$513=B86)*('Sulphuric Acid freights'!$D$3:$D$513=D76)*1)*2/3, AVERAGE('Sulphuric Acid freights'!$M$3:$M$513))</f>
        <v>23.573122529644269</v>
      </c>
      <c r="N76" s="78">
        <f t="shared" si="16"/>
        <v>48.699604743083007</v>
      </c>
      <c r="O76" s="78" cm="1">
        <f t="array" ref="O76">IF(SUMPRODUCT(('Sulphur freight'!$B$3:$B$1976=B86)*('Sulphur freight'!$D$3:$D$1976=D76)*('Sulphur freight'!$G$3:$G$1976))/SUMPRODUCT(('Sulphur freight'!$B$3:$B$1976=B86)*('Sulphur freight'!$D$3:$D$1976=D76)*1)=0, AVERAGE('Sulphur freight'!$G$3:$G$1976),SUMPRODUCT(('Sulphur freight'!$B$3:$B$1976=B86)*('Sulphur freight'!$D$3:$D$1976=D76)*('Sulphur freight'!$G$3:$G$1976))/SUMPRODUCT(('Sulphur freight'!$B$3:$B$1976=B86)*('Sulphur freight'!$D$3:$D$1976=D76)*1))</f>
        <v>29.165429480381761</v>
      </c>
      <c r="P76" s="78">
        <v>20</v>
      </c>
      <c r="R76" s="78" t="str">
        <f t="shared" si="17"/>
        <v xml:space="preserve"> </v>
      </c>
      <c r="S76" s="78">
        <f t="shared" si="18"/>
        <v>51.573122529644266</v>
      </c>
      <c r="T76" s="78" t="str">
        <f t="shared" si="13"/>
        <v/>
      </c>
      <c r="U76" s="78" t="str">
        <f t="shared" si="19"/>
        <v/>
      </c>
      <c r="V76" s="78">
        <f>IFERROR(I76+O76, "")</f>
        <v>91.165429480381761</v>
      </c>
      <c r="W76" s="78">
        <f t="shared" si="20"/>
        <v>93</v>
      </c>
      <c r="X76" s="78">
        <f t="shared" si="21"/>
        <v>48.084591728525979</v>
      </c>
      <c r="Y76" s="78">
        <f t="shared" si="22"/>
        <v>48.69</v>
      </c>
      <c r="AA76" s="88" t="str">
        <f t="shared" si="23"/>
        <v/>
      </c>
      <c r="AB76" s="77" t="str">
        <f t="shared" si="14"/>
        <v/>
      </c>
      <c r="AD76" s="88" t="str">
        <f t="shared" si="24"/>
        <v/>
      </c>
      <c r="AE76" s="77" t="str">
        <f t="shared" si="15"/>
        <v/>
      </c>
    </row>
    <row r="77" spans="2:31" x14ac:dyDescent="0.35">
      <c r="B77">
        <v>2005</v>
      </c>
      <c r="C77">
        <v>2</v>
      </c>
      <c r="D77">
        <v>6</v>
      </c>
      <c r="E77" s="78" t="str">
        <f>'CRU historical'!F54</f>
        <v xml:space="preserve"> </v>
      </c>
      <c r="F77" s="78">
        <f>'CRU historical'!I54</f>
        <v>28</v>
      </c>
      <c r="G77" s="78" t="str">
        <f>'CRU historical'!L54</f>
        <v xml:space="preserve"> </v>
      </c>
      <c r="H77" s="78" t="str">
        <f>'CRU historical'!O54</f>
        <v xml:space="preserve"> </v>
      </c>
      <c r="I77" s="78">
        <f>'CRU historical'!R54</f>
        <v>58</v>
      </c>
      <c r="J77" s="78">
        <f>AVERAGE('CRU historical'!U54, 'CRU historical'!X54, 'CRU historical'!AA54, 'CRU historical'!AD54)</f>
        <v>72.5</v>
      </c>
      <c r="L77" s="78" cm="1">
        <f t="array" ref="L77">IFERROR(SUMPRODUCT(('Sulphuric Acid freights'!$B$3:$B$513=B87)*('Sulphuric Acid freights'!$D$3:$D$513=D77)*('Sulphuric Acid freights'!$P$3:$P$513))/SUMPRODUCT(('Sulphuric Acid freights'!$B$3:$B$513=B87)*('Sulphuric Acid freights'!$D$3:$D$513=D77)*1), AVERAGE('Sulphuric Acid freights'!$P$3:$P$513))*2/3</f>
        <v>54.110671936758898</v>
      </c>
      <c r="M77" s="78" cm="1">
        <f t="array" ref="M77">IFERROR(SUMPRODUCT(('Sulphuric Acid freights'!$B$3:$B$513=B87)*('Sulphuric Acid freights'!$D$3:$D$513=D77)*('Sulphuric Acid freights'!$M$3:$M$513))/SUMPRODUCT(('Sulphuric Acid freights'!$B$3:$B$513=B87)*('Sulphuric Acid freights'!$D$3:$D$513=D77)*1)*2/3, AVERAGE('Sulphuric Acid freights'!$M$3:$M$513))</f>
        <v>23.573122529644269</v>
      </c>
      <c r="N77" s="78">
        <f t="shared" si="16"/>
        <v>48.699604743083007</v>
      </c>
      <c r="O77" s="78" cm="1">
        <f t="array" ref="O77">IF(SUMPRODUCT(('Sulphur freight'!$B$3:$B$1976=B87)*('Sulphur freight'!$D$3:$D$1976=D77)*('Sulphur freight'!$G$3:$G$1976))/SUMPRODUCT(('Sulphur freight'!$B$3:$B$1976=B87)*('Sulphur freight'!$D$3:$D$1976=D77)*1)=0, AVERAGE('Sulphur freight'!$G$3:$G$1976),SUMPRODUCT(('Sulphur freight'!$B$3:$B$1976=B87)*('Sulphur freight'!$D$3:$D$1976=D77)*('Sulphur freight'!$G$3:$G$1976))/SUMPRODUCT(('Sulphur freight'!$B$3:$B$1976=B87)*('Sulphur freight'!$D$3:$D$1976=D77)*1))</f>
        <v>29.165429480381761</v>
      </c>
      <c r="P77" s="78">
        <v>20</v>
      </c>
      <c r="R77" s="78" t="str">
        <f t="shared" si="17"/>
        <v xml:space="preserve"> </v>
      </c>
      <c r="S77" s="78">
        <f t="shared" si="18"/>
        <v>51.573122529644266</v>
      </c>
      <c r="T77" s="78" t="str">
        <f t="shared" si="13"/>
        <v/>
      </c>
      <c r="U77" s="78" t="str">
        <f t="shared" si="19"/>
        <v/>
      </c>
      <c r="V77" s="78">
        <f>IFERROR(I77+O77, "")</f>
        <v>87.165429480381761</v>
      </c>
      <c r="W77" s="78">
        <f t="shared" si="20"/>
        <v>92.5</v>
      </c>
      <c r="X77" s="78">
        <f t="shared" si="21"/>
        <v>46.764591728525986</v>
      </c>
      <c r="Y77" s="78">
        <f t="shared" si="22"/>
        <v>48.525000000000006</v>
      </c>
      <c r="AA77" s="88" t="str">
        <f t="shared" si="23"/>
        <v/>
      </c>
      <c r="AB77" s="77" t="str">
        <f t="shared" si="14"/>
        <v/>
      </c>
      <c r="AD77" s="88" t="str">
        <f t="shared" si="24"/>
        <v/>
      </c>
      <c r="AE77" s="77" t="str">
        <f t="shared" si="15"/>
        <v/>
      </c>
    </row>
    <row r="78" spans="2:31" x14ac:dyDescent="0.35">
      <c r="B78">
        <v>2005</v>
      </c>
      <c r="C78">
        <v>3</v>
      </c>
      <c r="D78">
        <v>7</v>
      </c>
      <c r="E78" s="78" t="str">
        <f>'CRU historical'!F55</f>
        <v xml:space="preserve"> </v>
      </c>
      <c r="F78" s="78">
        <f>'CRU historical'!I55</f>
        <v>28</v>
      </c>
      <c r="G78" s="78" t="str">
        <f>'CRU historical'!L55</f>
        <v xml:space="preserve"> </v>
      </c>
      <c r="H78" s="78" t="str">
        <f>'CRU historical'!O55</f>
        <v xml:space="preserve"> </v>
      </c>
      <c r="I78" s="78">
        <f>'CRU historical'!R55</f>
        <v>54.5</v>
      </c>
      <c r="J78" s="78">
        <f>AVERAGE('CRU historical'!U55, 'CRU historical'!X55, 'CRU historical'!AA55, 'CRU historical'!AD55)</f>
        <v>69.25</v>
      </c>
      <c r="L78" s="78" cm="1">
        <f t="array" ref="L78">IFERROR(SUMPRODUCT(('Sulphuric Acid freights'!$B$3:$B$513=B88)*('Sulphuric Acid freights'!$D$3:$D$513=D78)*('Sulphuric Acid freights'!$P$3:$P$513))/SUMPRODUCT(('Sulphuric Acid freights'!$B$3:$B$513=B88)*('Sulphuric Acid freights'!$D$3:$D$513=D78)*1), AVERAGE('Sulphuric Acid freights'!$P$3:$P$513))*2/3</f>
        <v>54.110671936758898</v>
      </c>
      <c r="M78" s="78" cm="1">
        <f t="array" ref="M78">IFERROR(SUMPRODUCT(('Sulphuric Acid freights'!$B$3:$B$513=B88)*('Sulphuric Acid freights'!$D$3:$D$513=D78)*('Sulphuric Acid freights'!$M$3:$M$513))/SUMPRODUCT(('Sulphuric Acid freights'!$B$3:$B$513=B88)*('Sulphuric Acid freights'!$D$3:$D$513=D78)*1)*2/3, AVERAGE('Sulphuric Acid freights'!$M$3:$M$513))</f>
        <v>23.573122529644269</v>
      </c>
      <c r="N78" s="78">
        <f t="shared" si="16"/>
        <v>48.699604743083007</v>
      </c>
      <c r="O78" s="78" cm="1">
        <f t="array" ref="O78">IF(SUMPRODUCT(('Sulphur freight'!$B$3:$B$1976=B88)*('Sulphur freight'!$D$3:$D$1976=D78)*('Sulphur freight'!$G$3:$G$1976))/SUMPRODUCT(('Sulphur freight'!$B$3:$B$1976=B88)*('Sulphur freight'!$D$3:$D$1976=D78)*1)=0, AVERAGE('Sulphur freight'!$G$3:$G$1976),SUMPRODUCT(('Sulphur freight'!$B$3:$B$1976=B88)*('Sulphur freight'!$D$3:$D$1976=D78)*('Sulphur freight'!$G$3:$G$1976))/SUMPRODUCT(('Sulphur freight'!$B$3:$B$1976=B88)*('Sulphur freight'!$D$3:$D$1976=D78)*1))</f>
        <v>29.165429480381761</v>
      </c>
      <c r="P78" s="78">
        <v>20</v>
      </c>
      <c r="R78" s="78" t="str">
        <f t="shared" si="17"/>
        <v xml:space="preserve"> </v>
      </c>
      <c r="S78" s="78">
        <f t="shared" si="18"/>
        <v>51.573122529644266</v>
      </c>
      <c r="T78" s="78" t="str">
        <f t="shared" si="13"/>
        <v/>
      </c>
      <c r="U78" s="78" t="str">
        <f t="shared" si="19"/>
        <v/>
      </c>
      <c r="V78" s="78">
        <f>IFERROR(I78+O78, "")</f>
        <v>83.665429480381761</v>
      </c>
      <c r="W78" s="78">
        <f t="shared" si="20"/>
        <v>89.25</v>
      </c>
      <c r="X78" s="78">
        <f t="shared" si="21"/>
        <v>45.609591728525984</v>
      </c>
      <c r="Y78" s="78">
        <f t="shared" si="22"/>
        <v>47.452500000000001</v>
      </c>
      <c r="AA78" s="88" t="str">
        <f t="shared" si="23"/>
        <v/>
      </c>
      <c r="AB78" s="77" t="str">
        <f t="shared" si="14"/>
        <v/>
      </c>
      <c r="AD78" s="88" t="str">
        <f t="shared" si="24"/>
        <v/>
      </c>
      <c r="AE78" s="77" t="str">
        <f t="shared" si="15"/>
        <v/>
      </c>
    </row>
    <row r="79" spans="2:31" x14ac:dyDescent="0.35">
      <c r="B79">
        <v>2005</v>
      </c>
      <c r="C79">
        <v>3</v>
      </c>
      <c r="D79">
        <v>8</v>
      </c>
      <c r="E79" s="78" t="str">
        <f>'CRU historical'!F56</f>
        <v xml:space="preserve"> </v>
      </c>
      <c r="F79" s="78">
        <f>'CRU historical'!I56</f>
        <v>28</v>
      </c>
      <c r="G79" s="78" t="str">
        <f>'CRU historical'!L56</f>
        <v xml:space="preserve"> </v>
      </c>
      <c r="H79" s="78" t="str">
        <f>'CRU historical'!O56</f>
        <v xml:space="preserve"> </v>
      </c>
      <c r="I79" s="78">
        <f>'CRU historical'!R56</f>
        <v>52.333333333333336</v>
      </c>
      <c r="J79" s="78">
        <f>AVERAGE('CRU historical'!U56, 'CRU historical'!X56, 'CRU historical'!AA56, 'CRU historical'!AD56)</f>
        <v>66.166666666666671</v>
      </c>
      <c r="L79" s="78" cm="1">
        <f t="array" ref="L79">IFERROR(SUMPRODUCT(('Sulphuric Acid freights'!$B$3:$B$513=B89)*('Sulphuric Acid freights'!$D$3:$D$513=D79)*('Sulphuric Acid freights'!$P$3:$P$513))/SUMPRODUCT(('Sulphuric Acid freights'!$B$3:$B$513=B89)*('Sulphuric Acid freights'!$D$3:$D$513=D79)*1), AVERAGE('Sulphuric Acid freights'!$P$3:$P$513))*2/3</f>
        <v>54.110671936758898</v>
      </c>
      <c r="M79" s="78" cm="1">
        <f t="array" ref="M79">IFERROR(SUMPRODUCT(('Sulphuric Acid freights'!$B$3:$B$513=B89)*('Sulphuric Acid freights'!$D$3:$D$513=D79)*('Sulphuric Acid freights'!$M$3:$M$513))/SUMPRODUCT(('Sulphuric Acid freights'!$B$3:$B$513=B89)*('Sulphuric Acid freights'!$D$3:$D$513=D79)*1)*2/3, AVERAGE('Sulphuric Acid freights'!$M$3:$M$513))</f>
        <v>23.573122529644269</v>
      </c>
      <c r="N79" s="78">
        <f t="shared" si="16"/>
        <v>48.699604743083007</v>
      </c>
      <c r="O79" s="78" cm="1">
        <f t="array" ref="O79">IF(SUMPRODUCT(('Sulphur freight'!$B$3:$B$1976=B89)*('Sulphur freight'!$D$3:$D$1976=D79)*('Sulphur freight'!$G$3:$G$1976))/SUMPRODUCT(('Sulphur freight'!$B$3:$B$1976=B89)*('Sulphur freight'!$D$3:$D$1976=D79)*1)=0, AVERAGE('Sulphur freight'!$G$3:$G$1976),SUMPRODUCT(('Sulphur freight'!$B$3:$B$1976=B89)*('Sulphur freight'!$D$3:$D$1976=D79)*('Sulphur freight'!$G$3:$G$1976))/SUMPRODUCT(('Sulphur freight'!$B$3:$B$1976=B89)*('Sulphur freight'!$D$3:$D$1976=D79)*1))</f>
        <v>29.165429480381761</v>
      </c>
      <c r="P79" s="78">
        <v>20</v>
      </c>
      <c r="R79" s="78" t="str">
        <f t="shared" si="17"/>
        <v xml:space="preserve"> </v>
      </c>
      <c r="S79" s="78">
        <f t="shared" si="18"/>
        <v>51.573122529644266</v>
      </c>
      <c r="T79" s="78" t="str">
        <f t="shared" si="13"/>
        <v/>
      </c>
      <c r="U79" s="78" t="str">
        <f t="shared" si="19"/>
        <v/>
      </c>
      <c r="V79" s="78">
        <f>IFERROR(I79+O79, "")</f>
        <v>81.498762813715103</v>
      </c>
      <c r="W79" s="78">
        <f t="shared" si="20"/>
        <v>86.166666666666671</v>
      </c>
      <c r="X79" s="78">
        <f t="shared" si="21"/>
        <v>44.894591728525981</v>
      </c>
      <c r="Y79" s="78">
        <f t="shared" si="22"/>
        <v>46.435000000000002</v>
      </c>
      <c r="AA79" s="88" t="str">
        <f t="shared" si="23"/>
        <v/>
      </c>
      <c r="AB79" s="77" t="str">
        <f t="shared" si="14"/>
        <v/>
      </c>
      <c r="AD79" s="88" t="str">
        <f t="shared" si="24"/>
        <v/>
      </c>
      <c r="AE79" s="77" t="str">
        <f t="shared" si="15"/>
        <v/>
      </c>
    </row>
    <row r="80" spans="2:31" x14ac:dyDescent="0.35">
      <c r="B80">
        <v>2005</v>
      </c>
      <c r="C80">
        <v>3</v>
      </c>
      <c r="D80">
        <v>9</v>
      </c>
      <c r="E80" s="78" t="str">
        <f>'CRU historical'!F57</f>
        <v xml:space="preserve"> </v>
      </c>
      <c r="F80" s="78">
        <f>'CRU historical'!I57</f>
        <v>28</v>
      </c>
      <c r="G80" s="78" t="str">
        <f>'CRU historical'!L57</f>
        <v xml:space="preserve"> </v>
      </c>
      <c r="H80" s="78" t="str">
        <f>'CRU historical'!O57</f>
        <v xml:space="preserve"> </v>
      </c>
      <c r="I80" s="78">
        <f>'CRU historical'!R57</f>
        <v>51.5</v>
      </c>
      <c r="J80" s="78">
        <f>AVERAGE('CRU historical'!U57, 'CRU historical'!X57, 'CRU historical'!AA57, 'CRU historical'!AD57)</f>
        <v>64.25</v>
      </c>
      <c r="L80" s="78" cm="1">
        <f t="array" ref="L80">IFERROR(SUMPRODUCT(('Sulphuric Acid freights'!$B$3:$B$513=B90)*('Sulphuric Acid freights'!$D$3:$D$513=D80)*('Sulphuric Acid freights'!$P$3:$P$513))/SUMPRODUCT(('Sulphuric Acid freights'!$B$3:$B$513=B90)*('Sulphuric Acid freights'!$D$3:$D$513=D80)*1), AVERAGE('Sulphuric Acid freights'!$P$3:$P$513))*2/3</f>
        <v>54.110671936758898</v>
      </c>
      <c r="M80" s="78" cm="1">
        <f t="array" ref="M80">IFERROR(SUMPRODUCT(('Sulphuric Acid freights'!$B$3:$B$513=B90)*('Sulphuric Acid freights'!$D$3:$D$513=D80)*('Sulphuric Acid freights'!$M$3:$M$513))/SUMPRODUCT(('Sulphuric Acid freights'!$B$3:$B$513=B90)*('Sulphuric Acid freights'!$D$3:$D$513=D80)*1)*2/3, AVERAGE('Sulphuric Acid freights'!$M$3:$M$513))</f>
        <v>23.573122529644269</v>
      </c>
      <c r="N80" s="78">
        <f t="shared" si="16"/>
        <v>48.699604743083007</v>
      </c>
      <c r="O80" s="78" cm="1">
        <f t="array" ref="O80">IF(SUMPRODUCT(('Sulphur freight'!$B$3:$B$1976=B90)*('Sulphur freight'!$D$3:$D$1976=D80)*('Sulphur freight'!$G$3:$G$1976))/SUMPRODUCT(('Sulphur freight'!$B$3:$B$1976=B90)*('Sulphur freight'!$D$3:$D$1976=D80)*1)=0, AVERAGE('Sulphur freight'!$G$3:$G$1976),SUMPRODUCT(('Sulphur freight'!$B$3:$B$1976=B90)*('Sulphur freight'!$D$3:$D$1976=D80)*('Sulphur freight'!$G$3:$G$1976))/SUMPRODUCT(('Sulphur freight'!$B$3:$B$1976=B90)*('Sulphur freight'!$D$3:$D$1976=D80)*1))</f>
        <v>29.165429480381761</v>
      </c>
      <c r="P80" s="78">
        <v>20</v>
      </c>
      <c r="R80" s="78" t="str">
        <f t="shared" si="17"/>
        <v xml:space="preserve"> </v>
      </c>
      <c r="S80" s="78">
        <f t="shared" si="18"/>
        <v>51.573122529644266</v>
      </c>
      <c r="T80" s="78" t="str">
        <f t="shared" si="13"/>
        <v/>
      </c>
      <c r="U80" s="78" t="str">
        <f t="shared" si="19"/>
        <v/>
      </c>
      <c r="V80" s="78">
        <f>IFERROR(I80+O80, "")</f>
        <v>80.665429480381761</v>
      </c>
      <c r="W80" s="78">
        <f t="shared" si="20"/>
        <v>84.25</v>
      </c>
      <c r="X80" s="78">
        <f t="shared" si="21"/>
        <v>44.619591728525982</v>
      </c>
      <c r="Y80" s="78">
        <f t="shared" si="22"/>
        <v>45.802500000000002</v>
      </c>
      <c r="AA80" s="88" t="str">
        <f t="shared" si="23"/>
        <v/>
      </c>
      <c r="AB80" s="77" t="str">
        <f t="shared" si="14"/>
        <v/>
      </c>
      <c r="AD80" s="88" t="str">
        <f t="shared" si="24"/>
        <v/>
      </c>
      <c r="AE80" s="77" t="str">
        <f t="shared" si="15"/>
        <v/>
      </c>
    </row>
    <row r="81" spans="2:31" x14ac:dyDescent="0.35">
      <c r="B81">
        <v>2005</v>
      </c>
      <c r="C81">
        <v>4</v>
      </c>
      <c r="D81">
        <v>10</v>
      </c>
      <c r="E81" s="78" t="str">
        <f>'CRU historical'!F58</f>
        <v xml:space="preserve"> </v>
      </c>
      <c r="F81" s="78">
        <f>'CRU historical'!I58</f>
        <v>28</v>
      </c>
      <c r="G81" s="78" t="str">
        <f>'CRU historical'!L58</f>
        <v xml:space="preserve"> </v>
      </c>
      <c r="H81" s="78" t="str">
        <f>'CRU historical'!O58</f>
        <v xml:space="preserve"> </v>
      </c>
      <c r="I81" s="78">
        <f>'CRU historical'!R58</f>
        <v>48</v>
      </c>
      <c r="J81" s="78">
        <f>AVERAGE('CRU historical'!U58, 'CRU historical'!X58, 'CRU historical'!AA58, 'CRU historical'!AD58)</f>
        <v>63</v>
      </c>
      <c r="L81" s="78" cm="1">
        <f t="array" ref="L81">IFERROR(SUMPRODUCT(('Sulphuric Acid freights'!$B$3:$B$513=B91)*('Sulphuric Acid freights'!$D$3:$D$513=D81)*('Sulphuric Acid freights'!$P$3:$P$513))/SUMPRODUCT(('Sulphuric Acid freights'!$B$3:$B$513=B91)*('Sulphuric Acid freights'!$D$3:$D$513=D81)*1), AVERAGE('Sulphuric Acid freights'!$P$3:$P$513))*2/3</f>
        <v>54.110671936758898</v>
      </c>
      <c r="M81" s="78" cm="1">
        <f t="array" ref="M81">IFERROR(SUMPRODUCT(('Sulphuric Acid freights'!$B$3:$B$513=B91)*('Sulphuric Acid freights'!$D$3:$D$513=D81)*('Sulphuric Acid freights'!$M$3:$M$513))/SUMPRODUCT(('Sulphuric Acid freights'!$B$3:$B$513=B91)*('Sulphuric Acid freights'!$D$3:$D$513=D81)*1)*2/3, AVERAGE('Sulphuric Acid freights'!$M$3:$M$513))</f>
        <v>23.573122529644269</v>
      </c>
      <c r="N81" s="78">
        <f t="shared" si="16"/>
        <v>48.699604743083007</v>
      </c>
      <c r="O81" s="78" cm="1">
        <f t="array" ref="O81">IF(SUMPRODUCT(('Sulphur freight'!$B$3:$B$1976=B91)*('Sulphur freight'!$D$3:$D$1976=D81)*('Sulphur freight'!$G$3:$G$1976))/SUMPRODUCT(('Sulphur freight'!$B$3:$B$1976=B91)*('Sulphur freight'!$D$3:$D$1976=D81)*1)=0, AVERAGE('Sulphur freight'!$G$3:$G$1976),SUMPRODUCT(('Sulphur freight'!$B$3:$B$1976=B91)*('Sulphur freight'!$D$3:$D$1976=D81)*('Sulphur freight'!$G$3:$G$1976))/SUMPRODUCT(('Sulphur freight'!$B$3:$B$1976=B91)*('Sulphur freight'!$D$3:$D$1976=D81)*1))</f>
        <v>29.165429480381761</v>
      </c>
      <c r="P81" s="78">
        <v>20</v>
      </c>
      <c r="R81" s="78" t="str">
        <f t="shared" si="17"/>
        <v xml:space="preserve"> </v>
      </c>
      <c r="S81" s="78">
        <f t="shared" si="18"/>
        <v>51.573122529644266</v>
      </c>
      <c r="T81" s="78" t="str">
        <f t="shared" si="13"/>
        <v/>
      </c>
      <c r="U81" s="78" t="str">
        <f t="shared" si="19"/>
        <v/>
      </c>
      <c r="V81" s="78">
        <f>IFERROR(I81+O81, "")</f>
        <v>77.165429480381761</v>
      </c>
      <c r="W81" s="78">
        <f t="shared" si="20"/>
        <v>83</v>
      </c>
      <c r="X81" s="78">
        <f t="shared" si="21"/>
        <v>43.464591728525981</v>
      </c>
      <c r="Y81" s="78">
        <f t="shared" si="22"/>
        <v>45.39</v>
      </c>
      <c r="AA81" s="88" t="str">
        <f t="shared" si="23"/>
        <v/>
      </c>
      <c r="AB81" s="77" t="str">
        <f t="shared" si="14"/>
        <v/>
      </c>
      <c r="AD81" s="88" t="str">
        <f t="shared" si="24"/>
        <v/>
      </c>
      <c r="AE81" s="77" t="str">
        <f t="shared" si="15"/>
        <v/>
      </c>
    </row>
    <row r="82" spans="2:31" x14ac:dyDescent="0.35">
      <c r="B82">
        <v>2006</v>
      </c>
      <c r="C82">
        <v>4</v>
      </c>
      <c r="D82">
        <v>11</v>
      </c>
      <c r="E82" s="78" t="str">
        <f>'CRU historical'!F59</f>
        <v xml:space="preserve"> </v>
      </c>
      <c r="F82" s="78">
        <f>'CRU historical'!I59</f>
        <v>28</v>
      </c>
      <c r="G82" s="78" t="str">
        <f>'CRU historical'!L59</f>
        <v xml:space="preserve"> </v>
      </c>
      <c r="H82" s="78" t="str">
        <f>'CRU historical'!O59</f>
        <v xml:space="preserve"> </v>
      </c>
      <c r="I82" s="78">
        <f>'CRU historical'!R59</f>
        <v>49</v>
      </c>
      <c r="J82" s="78">
        <f>AVERAGE('CRU historical'!U59, 'CRU historical'!X59, 'CRU historical'!AA59, 'CRU historical'!AD59)</f>
        <v>63</v>
      </c>
      <c r="L82" s="78" cm="1">
        <f t="array" ref="L82">IFERROR(SUMPRODUCT(('Sulphuric Acid freights'!$B$3:$B$513=B92)*('Sulphuric Acid freights'!$D$3:$D$513=D82)*('Sulphuric Acid freights'!$P$3:$P$513))/SUMPRODUCT(('Sulphuric Acid freights'!$B$3:$B$513=B92)*('Sulphuric Acid freights'!$D$3:$D$513=D82)*1), AVERAGE('Sulphuric Acid freights'!$P$3:$P$513))*2/3</f>
        <v>54.110671936758898</v>
      </c>
      <c r="M82" s="78" cm="1">
        <f t="array" ref="M82">IFERROR(SUMPRODUCT(('Sulphuric Acid freights'!$B$3:$B$513=B92)*('Sulphuric Acid freights'!$D$3:$D$513=D82)*('Sulphuric Acid freights'!$M$3:$M$513))/SUMPRODUCT(('Sulphuric Acid freights'!$B$3:$B$513=B92)*('Sulphuric Acid freights'!$D$3:$D$513=D82)*1)*2/3, AVERAGE('Sulphuric Acid freights'!$M$3:$M$513))</f>
        <v>23.573122529644269</v>
      </c>
      <c r="N82" s="78">
        <f t="shared" si="16"/>
        <v>48.699604743083007</v>
      </c>
      <c r="O82" s="78" cm="1">
        <f t="array" ref="O82">IF(SUMPRODUCT(('Sulphur freight'!$B$3:$B$1976=B92)*('Sulphur freight'!$D$3:$D$1976=D82)*('Sulphur freight'!$G$3:$G$1976))/SUMPRODUCT(('Sulphur freight'!$B$3:$B$1976=B92)*('Sulphur freight'!$D$3:$D$1976=D82)*1)=0, AVERAGE('Sulphur freight'!$G$3:$G$1976),SUMPRODUCT(('Sulphur freight'!$B$3:$B$1976=B92)*('Sulphur freight'!$D$3:$D$1976=D82)*('Sulphur freight'!$G$3:$G$1976))/SUMPRODUCT(('Sulphur freight'!$B$3:$B$1976=B92)*('Sulphur freight'!$D$3:$D$1976=D82)*1))</f>
        <v>29.165429480381761</v>
      </c>
      <c r="P82" s="78">
        <v>20</v>
      </c>
      <c r="R82" s="78" t="str">
        <f t="shared" si="17"/>
        <v xml:space="preserve"> </v>
      </c>
      <c r="S82" s="78">
        <f t="shared" si="18"/>
        <v>51.573122529644266</v>
      </c>
      <c r="T82" s="78" t="str">
        <f t="shared" si="13"/>
        <v/>
      </c>
      <c r="U82" s="78" t="str">
        <f t="shared" si="19"/>
        <v/>
      </c>
      <c r="V82" s="78">
        <f>IFERROR(I82+O82, "")</f>
        <v>78.165429480381761</v>
      </c>
      <c r="W82" s="78">
        <f t="shared" si="20"/>
        <v>83</v>
      </c>
      <c r="X82" s="78">
        <f t="shared" si="21"/>
        <v>43.794591728525987</v>
      </c>
      <c r="Y82" s="78">
        <f t="shared" si="22"/>
        <v>45.39</v>
      </c>
      <c r="AA82" s="88" t="str">
        <f t="shared" si="23"/>
        <v/>
      </c>
      <c r="AB82" s="77" t="str">
        <f t="shared" si="14"/>
        <v/>
      </c>
      <c r="AD82" s="88" t="str">
        <f t="shared" si="24"/>
        <v/>
      </c>
      <c r="AE82" s="77" t="str">
        <f t="shared" si="15"/>
        <v/>
      </c>
    </row>
    <row r="83" spans="2:31" x14ac:dyDescent="0.35">
      <c r="B83">
        <v>2006</v>
      </c>
      <c r="C83">
        <v>4</v>
      </c>
      <c r="D83">
        <v>12</v>
      </c>
      <c r="E83" s="78" t="str">
        <f>'CRU historical'!F60</f>
        <v xml:space="preserve"> </v>
      </c>
      <c r="F83" s="78">
        <f>'CRU historical'!I60</f>
        <v>30</v>
      </c>
      <c r="G83" s="78" t="str">
        <f>'CRU historical'!L60</f>
        <v xml:space="preserve"> </v>
      </c>
      <c r="H83" s="78" t="str">
        <f>'CRU historical'!O60</f>
        <v xml:space="preserve"> </v>
      </c>
      <c r="I83" s="78">
        <f>'CRU historical'!R60</f>
        <v>51</v>
      </c>
      <c r="J83" s="78">
        <f>AVERAGE('CRU historical'!U60, 'CRU historical'!X60, 'CRU historical'!AA60, 'CRU historical'!AD60)</f>
        <v>62.5</v>
      </c>
      <c r="L83" s="78" cm="1">
        <f t="array" ref="L83">IFERROR(SUMPRODUCT(('Sulphuric Acid freights'!$B$3:$B$513=B93)*('Sulphuric Acid freights'!$D$3:$D$513=D83)*('Sulphuric Acid freights'!$P$3:$P$513))/SUMPRODUCT(('Sulphuric Acid freights'!$B$3:$B$513=B93)*('Sulphuric Acid freights'!$D$3:$D$513=D83)*1), AVERAGE('Sulphuric Acid freights'!$P$3:$P$513))*2/3</f>
        <v>54.110671936758898</v>
      </c>
      <c r="M83" s="78" cm="1">
        <f t="array" ref="M83">IFERROR(SUMPRODUCT(('Sulphuric Acid freights'!$B$3:$B$513=B93)*('Sulphuric Acid freights'!$D$3:$D$513=D83)*('Sulphuric Acid freights'!$M$3:$M$513))/SUMPRODUCT(('Sulphuric Acid freights'!$B$3:$B$513=B93)*('Sulphuric Acid freights'!$D$3:$D$513=D83)*1)*2/3, AVERAGE('Sulphuric Acid freights'!$M$3:$M$513))</f>
        <v>23.573122529644269</v>
      </c>
      <c r="N83" s="78">
        <f t="shared" si="16"/>
        <v>48.699604743083007</v>
      </c>
      <c r="O83" s="78" cm="1">
        <f t="array" ref="O83">IF(SUMPRODUCT(('Sulphur freight'!$B$3:$B$1976=B93)*('Sulphur freight'!$D$3:$D$1976=D83)*('Sulphur freight'!$G$3:$G$1976))/SUMPRODUCT(('Sulphur freight'!$B$3:$B$1976=B93)*('Sulphur freight'!$D$3:$D$1976=D83)*1)=0, AVERAGE('Sulphur freight'!$G$3:$G$1976),SUMPRODUCT(('Sulphur freight'!$B$3:$B$1976=B93)*('Sulphur freight'!$D$3:$D$1976=D83)*('Sulphur freight'!$G$3:$G$1976))/SUMPRODUCT(('Sulphur freight'!$B$3:$B$1976=B93)*('Sulphur freight'!$D$3:$D$1976=D83)*1))</f>
        <v>29.165429480381761</v>
      </c>
      <c r="P83" s="78">
        <v>20</v>
      </c>
      <c r="R83" s="78" t="str">
        <f t="shared" si="17"/>
        <v xml:space="preserve"> </v>
      </c>
      <c r="S83" s="78">
        <f t="shared" si="18"/>
        <v>53.573122529644266</v>
      </c>
      <c r="T83" s="78" t="str">
        <f t="shared" si="13"/>
        <v/>
      </c>
      <c r="U83" s="78" t="str">
        <f t="shared" si="19"/>
        <v/>
      </c>
      <c r="V83" s="78">
        <f>IFERROR(I83+O83, "")</f>
        <v>80.165429480381761</v>
      </c>
      <c r="W83" s="78">
        <f t="shared" si="20"/>
        <v>82.5</v>
      </c>
      <c r="X83" s="78">
        <f t="shared" si="21"/>
        <v>44.454591728525983</v>
      </c>
      <c r="Y83" s="78">
        <f t="shared" si="22"/>
        <v>45.225000000000001</v>
      </c>
      <c r="AA83" s="88" t="str">
        <f t="shared" si="23"/>
        <v/>
      </c>
      <c r="AB83" s="77" t="str">
        <f t="shared" si="14"/>
        <v/>
      </c>
      <c r="AD83" s="88" t="str">
        <f t="shared" si="24"/>
        <v/>
      </c>
      <c r="AE83" s="77" t="str">
        <f t="shared" si="15"/>
        <v/>
      </c>
    </row>
    <row r="84" spans="2:31" x14ac:dyDescent="0.35">
      <c r="B84">
        <v>2006</v>
      </c>
      <c r="C84">
        <v>1</v>
      </c>
      <c r="D84">
        <v>1</v>
      </c>
      <c r="E84" s="78" t="str">
        <f>'CRU historical'!F61</f>
        <v xml:space="preserve"> </v>
      </c>
      <c r="F84" s="78">
        <f>'CRU historical'!I61</f>
        <v>30</v>
      </c>
      <c r="G84" s="78" t="str">
        <f>'CRU historical'!L61</f>
        <v xml:space="preserve"> </v>
      </c>
      <c r="H84" s="78" t="str">
        <f>'CRU historical'!O61</f>
        <v xml:space="preserve"> </v>
      </c>
      <c r="I84" s="78">
        <f>'CRU historical'!R61</f>
        <v>53</v>
      </c>
      <c r="J84" s="78">
        <f>AVERAGE('CRU historical'!U61, 'CRU historical'!X61, 'CRU historical'!AA61, 'CRU historical'!AD61)</f>
        <v>62</v>
      </c>
      <c r="L84" s="78" cm="1">
        <f t="array" ref="L84">IFERROR(SUMPRODUCT(('Sulphuric Acid freights'!$B$3:$B$513=B94)*('Sulphuric Acid freights'!$D$3:$D$513=D84)*('Sulphuric Acid freights'!$P$3:$P$513))/SUMPRODUCT(('Sulphuric Acid freights'!$B$3:$B$513=B94)*('Sulphuric Acid freights'!$D$3:$D$513=D84)*1), AVERAGE('Sulphuric Acid freights'!$P$3:$P$513))*2/3</f>
        <v>54.110671936758898</v>
      </c>
      <c r="M84" s="78" cm="1">
        <f t="array" ref="M84">IFERROR(SUMPRODUCT(('Sulphuric Acid freights'!$B$3:$B$513=B94)*('Sulphuric Acid freights'!$D$3:$D$513=D84)*('Sulphuric Acid freights'!$M$3:$M$513))/SUMPRODUCT(('Sulphuric Acid freights'!$B$3:$B$513=B94)*('Sulphuric Acid freights'!$D$3:$D$513=D84)*1)*2/3, AVERAGE('Sulphuric Acid freights'!$M$3:$M$513))</f>
        <v>23.573122529644269</v>
      </c>
      <c r="N84" s="78">
        <f t="shared" si="16"/>
        <v>48.699604743083007</v>
      </c>
      <c r="O84" s="78" cm="1">
        <f t="array" ref="O84">IF(SUMPRODUCT(('Sulphur freight'!$B$3:$B$1976=B94)*('Sulphur freight'!$D$3:$D$1976=D84)*('Sulphur freight'!$G$3:$G$1976))/SUMPRODUCT(('Sulphur freight'!$B$3:$B$1976=B94)*('Sulphur freight'!$D$3:$D$1976=D84)*1)=0, AVERAGE('Sulphur freight'!$G$3:$G$1976),SUMPRODUCT(('Sulphur freight'!$B$3:$B$1976=B94)*('Sulphur freight'!$D$3:$D$1976=D84)*('Sulphur freight'!$G$3:$G$1976))/SUMPRODUCT(('Sulphur freight'!$B$3:$B$1976=B94)*('Sulphur freight'!$D$3:$D$1976=D84)*1))</f>
        <v>29.165429480381761</v>
      </c>
      <c r="P84" s="78">
        <v>20</v>
      </c>
      <c r="R84" s="78" t="str">
        <f t="shared" si="17"/>
        <v xml:space="preserve"> </v>
      </c>
      <c r="S84" s="78">
        <f t="shared" si="18"/>
        <v>53.573122529644266</v>
      </c>
      <c r="T84" s="78" t="str">
        <f t="shared" si="13"/>
        <v/>
      </c>
      <c r="U84" s="78" t="str">
        <f t="shared" si="19"/>
        <v/>
      </c>
      <c r="V84" s="78">
        <f>IFERROR(I84+O84, "")</f>
        <v>82.165429480381761</v>
      </c>
      <c r="W84" s="78">
        <f t="shared" si="20"/>
        <v>82</v>
      </c>
      <c r="X84" s="78">
        <f t="shared" si="21"/>
        <v>45.11459172852598</v>
      </c>
      <c r="Y84" s="78">
        <f t="shared" si="22"/>
        <v>45.06</v>
      </c>
      <c r="AA84" s="88" t="str">
        <f t="shared" si="23"/>
        <v/>
      </c>
      <c r="AB84" s="77" t="str">
        <f t="shared" si="14"/>
        <v/>
      </c>
      <c r="AD84" s="88" t="str">
        <f t="shared" si="24"/>
        <v/>
      </c>
      <c r="AE84" s="77" t="str">
        <f t="shared" si="15"/>
        <v/>
      </c>
    </row>
    <row r="85" spans="2:31" x14ac:dyDescent="0.35">
      <c r="B85">
        <v>2006</v>
      </c>
      <c r="C85">
        <v>1</v>
      </c>
      <c r="D85">
        <v>2</v>
      </c>
      <c r="E85" s="78" t="str">
        <f>'CRU historical'!F62</f>
        <v xml:space="preserve"> </v>
      </c>
      <c r="F85" s="78">
        <f>'CRU historical'!I62</f>
        <v>30</v>
      </c>
      <c r="G85" s="78" t="str">
        <f>'CRU historical'!L62</f>
        <v xml:space="preserve"> </v>
      </c>
      <c r="H85" s="78" t="str">
        <f>'CRU historical'!O62</f>
        <v xml:space="preserve"> </v>
      </c>
      <c r="I85" s="78">
        <f>'CRU historical'!R62</f>
        <v>58.5</v>
      </c>
      <c r="J85" s="78">
        <f>AVERAGE('CRU historical'!U62, 'CRU historical'!X62, 'CRU historical'!AA62, 'CRU historical'!AD62)</f>
        <v>61.5</v>
      </c>
      <c r="L85" s="78" cm="1">
        <f t="array" ref="L85">IFERROR(SUMPRODUCT(('Sulphuric Acid freights'!$B$3:$B$513=B95)*('Sulphuric Acid freights'!$D$3:$D$513=D85)*('Sulphuric Acid freights'!$P$3:$P$513))/SUMPRODUCT(('Sulphuric Acid freights'!$B$3:$B$513=B95)*('Sulphuric Acid freights'!$D$3:$D$513=D85)*1), AVERAGE('Sulphuric Acid freights'!$P$3:$P$513))*2/3</f>
        <v>54.110671936758898</v>
      </c>
      <c r="M85" s="78" cm="1">
        <f t="array" ref="M85">IFERROR(SUMPRODUCT(('Sulphuric Acid freights'!$B$3:$B$513=B95)*('Sulphuric Acid freights'!$D$3:$D$513=D85)*('Sulphuric Acid freights'!$M$3:$M$513))/SUMPRODUCT(('Sulphuric Acid freights'!$B$3:$B$513=B95)*('Sulphuric Acid freights'!$D$3:$D$513=D85)*1)*2/3, AVERAGE('Sulphuric Acid freights'!$M$3:$M$513))</f>
        <v>23.573122529644269</v>
      </c>
      <c r="N85" s="78">
        <f t="shared" si="16"/>
        <v>48.699604743083007</v>
      </c>
      <c r="O85" s="78" cm="1">
        <f t="array" ref="O85">IF(SUMPRODUCT(('Sulphur freight'!$B$3:$B$1976=B95)*('Sulphur freight'!$D$3:$D$1976=D85)*('Sulphur freight'!$G$3:$G$1976))/SUMPRODUCT(('Sulphur freight'!$B$3:$B$1976=B95)*('Sulphur freight'!$D$3:$D$1976=D85)*1)=0, AVERAGE('Sulphur freight'!$G$3:$G$1976),SUMPRODUCT(('Sulphur freight'!$B$3:$B$1976=B95)*('Sulphur freight'!$D$3:$D$1976=D85)*('Sulphur freight'!$G$3:$G$1976))/SUMPRODUCT(('Sulphur freight'!$B$3:$B$1976=B95)*('Sulphur freight'!$D$3:$D$1976=D85)*1))</f>
        <v>29.165429480381761</v>
      </c>
      <c r="P85" s="78">
        <v>20</v>
      </c>
      <c r="R85" s="78" t="str">
        <f t="shared" si="17"/>
        <v xml:space="preserve"> </v>
      </c>
      <c r="S85" s="78">
        <f t="shared" si="18"/>
        <v>53.573122529644266</v>
      </c>
      <c r="T85" s="78" t="str">
        <f t="shared" si="13"/>
        <v/>
      </c>
      <c r="U85" s="78" t="str">
        <f t="shared" si="19"/>
        <v/>
      </c>
      <c r="V85" s="78">
        <f>IFERROR(I85+O85, "")</f>
        <v>87.665429480381761</v>
      </c>
      <c r="W85" s="78">
        <f t="shared" si="20"/>
        <v>81.5</v>
      </c>
      <c r="X85" s="78">
        <f t="shared" si="21"/>
        <v>46.929591728525978</v>
      </c>
      <c r="Y85" s="78">
        <f t="shared" si="22"/>
        <v>44.894999999999996</v>
      </c>
      <c r="AA85" s="88" t="str">
        <f t="shared" si="23"/>
        <v/>
      </c>
      <c r="AB85" s="77" t="str">
        <f t="shared" si="14"/>
        <v/>
      </c>
      <c r="AD85" s="88" t="str">
        <f t="shared" si="24"/>
        <v/>
      </c>
      <c r="AE85" s="77" t="str">
        <f t="shared" si="15"/>
        <v/>
      </c>
    </row>
    <row r="86" spans="2:31" x14ac:dyDescent="0.35">
      <c r="B86">
        <v>2006</v>
      </c>
      <c r="C86">
        <v>1</v>
      </c>
      <c r="D86">
        <v>3</v>
      </c>
      <c r="E86" s="78" t="str">
        <f>'CRU historical'!F63</f>
        <v xml:space="preserve"> </v>
      </c>
      <c r="F86" s="78">
        <f>'CRU historical'!I63</f>
        <v>30</v>
      </c>
      <c r="G86" s="78" t="str">
        <f>'CRU historical'!L63</f>
        <v xml:space="preserve"> </v>
      </c>
      <c r="H86" s="78" t="str">
        <f>'CRU historical'!O63</f>
        <v xml:space="preserve"> </v>
      </c>
      <c r="I86" s="78">
        <f>'CRU historical'!R63</f>
        <v>68.5</v>
      </c>
      <c r="J86" s="78">
        <f>AVERAGE('CRU historical'!U63, 'CRU historical'!X63, 'CRU historical'!AA63, 'CRU historical'!AD63)</f>
        <v>61.5</v>
      </c>
      <c r="L86" s="78" cm="1">
        <f t="array" ref="L86">IFERROR(SUMPRODUCT(('Sulphuric Acid freights'!$B$3:$B$513=B96)*('Sulphuric Acid freights'!$D$3:$D$513=D86)*('Sulphuric Acid freights'!$P$3:$P$513))/SUMPRODUCT(('Sulphuric Acid freights'!$B$3:$B$513=B96)*('Sulphuric Acid freights'!$D$3:$D$513=D86)*1), AVERAGE('Sulphuric Acid freights'!$P$3:$P$513))*2/3</f>
        <v>54.110671936758898</v>
      </c>
      <c r="M86" s="78" cm="1">
        <f t="array" ref="M86">IFERROR(SUMPRODUCT(('Sulphuric Acid freights'!$B$3:$B$513=B96)*('Sulphuric Acid freights'!$D$3:$D$513=D86)*('Sulphuric Acid freights'!$M$3:$M$513))/SUMPRODUCT(('Sulphuric Acid freights'!$B$3:$B$513=B96)*('Sulphuric Acid freights'!$D$3:$D$513=D86)*1)*2/3, AVERAGE('Sulphuric Acid freights'!$M$3:$M$513))</f>
        <v>23.573122529644269</v>
      </c>
      <c r="N86" s="78">
        <f t="shared" si="16"/>
        <v>48.699604743083007</v>
      </c>
      <c r="O86" s="78" cm="1">
        <f t="array" ref="O86">IF(SUMPRODUCT(('Sulphur freight'!$B$3:$B$1976=B96)*('Sulphur freight'!$D$3:$D$1976=D86)*('Sulphur freight'!$G$3:$G$1976))/SUMPRODUCT(('Sulphur freight'!$B$3:$B$1976=B96)*('Sulphur freight'!$D$3:$D$1976=D86)*1)=0, AVERAGE('Sulphur freight'!$G$3:$G$1976),SUMPRODUCT(('Sulphur freight'!$B$3:$B$1976=B96)*('Sulphur freight'!$D$3:$D$1976=D86)*('Sulphur freight'!$G$3:$G$1976))/SUMPRODUCT(('Sulphur freight'!$B$3:$B$1976=B96)*('Sulphur freight'!$D$3:$D$1976=D86)*1))</f>
        <v>29.165429480381761</v>
      </c>
      <c r="P86" s="78">
        <v>20</v>
      </c>
      <c r="R86" s="78" t="str">
        <f t="shared" si="17"/>
        <v xml:space="preserve"> </v>
      </c>
      <c r="S86" s="78">
        <f t="shared" si="18"/>
        <v>53.573122529644266</v>
      </c>
      <c r="T86" s="78" t="str">
        <f t="shared" si="13"/>
        <v/>
      </c>
      <c r="U86" s="78" t="str">
        <f t="shared" si="19"/>
        <v/>
      </c>
      <c r="V86" s="78">
        <f>IFERROR(I86+O86, "")</f>
        <v>97.665429480381761</v>
      </c>
      <c r="W86" s="78">
        <f t="shared" si="20"/>
        <v>81.5</v>
      </c>
      <c r="X86" s="78">
        <f t="shared" si="21"/>
        <v>50.229591728525982</v>
      </c>
      <c r="Y86" s="78">
        <f t="shared" si="22"/>
        <v>44.894999999999996</v>
      </c>
      <c r="AA86" s="88" t="str">
        <f t="shared" si="23"/>
        <v/>
      </c>
      <c r="AB86" s="77" t="str">
        <f t="shared" si="14"/>
        <v/>
      </c>
      <c r="AD86" s="88" t="str">
        <f t="shared" si="24"/>
        <v/>
      </c>
      <c r="AE86" s="77" t="str">
        <f t="shared" si="15"/>
        <v/>
      </c>
    </row>
    <row r="87" spans="2:31" x14ac:dyDescent="0.35">
      <c r="B87">
        <v>2006</v>
      </c>
      <c r="C87">
        <v>2</v>
      </c>
      <c r="D87">
        <v>4</v>
      </c>
      <c r="E87" s="78" t="str">
        <f>'CRU historical'!F64</f>
        <v xml:space="preserve"> </v>
      </c>
      <c r="F87" s="78">
        <f>'CRU historical'!I64</f>
        <v>35</v>
      </c>
      <c r="G87" s="78" t="str">
        <f>'CRU historical'!L64</f>
        <v xml:space="preserve"> </v>
      </c>
      <c r="H87" s="78" t="str">
        <f>'CRU historical'!O64</f>
        <v xml:space="preserve"> </v>
      </c>
      <c r="I87" s="78">
        <f>'CRU historical'!R64</f>
        <v>89</v>
      </c>
      <c r="J87" s="78">
        <f>AVERAGE('CRU historical'!U64, 'CRU historical'!X64, 'CRU historical'!AA64, 'CRU historical'!AD64)</f>
        <v>61.5</v>
      </c>
      <c r="L87" s="78" cm="1">
        <f t="array" ref="L87">IFERROR(SUMPRODUCT(('Sulphuric Acid freights'!$B$3:$B$513=B97)*('Sulphuric Acid freights'!$D$3:$D$513=D87)*('Sulphuric Acid freights'!$P$3:$P$513))/SUMPRODUCT(('Sulphuric Acid freights'!$B$3:$B$513=B97)*('Sulphuric Acid freights'!$D$3:$D$513=D87)*1), AVERAGE('Sulphuric Acid freights'!$P$3:$P$513))*2/3</f>
        <v>54.110671936758898</v>
      </c>
      <c r="M87" s="78" cm="1">
        <f t="array" ref="M87">IFERROR(SUMPRODUCT(('Sulphuric Acid freights'!$B$3:$B$513=B97)*('Sulphuric Acid freights'!$D$3:$D$513=D87)*('Sulphuric Acid freights'!$M$3:$M$513))/SUMPRODUCT(('Sulphuric Acid freights'!$B$3:$B$513=B97)*('Sulphuric Acid freights'!$D$3:$D$513=D87)*1)*2/3, AVERAGE('Sulphuric Acid freights'!$M$3:$M$513))</f>
        <v>23.573122529644269</v>
      </c>
      <c r="N87" s="78">
        <f t="shared" si="16"/>
        <v>48.699604743083007</v>
      </c>
      <c r="O87" s="78" cm="1">
        <f t="array" ref="O87">IF(SUMPRODUCT(('Sulphur freight'!$B$3:$B$1976=B97)*('Sulphur freight'!$D$3:$D$1976=D87)*('Sulphur freight'!$G$3:$G$1976))/SUMPRODUCT(('Sulphur freight'!$B$3:$B$1976=B97)*('Sulphur freight'!$D$3:$D$1976=D87)*1)=0, AVERAGE('Sulphur freight'!$G$3:$G$1976),SUMPRODUCT(('Sulphur freight'!$B$3:$B$1976=B97)*('Sulphur freight'!$D$3:$D$1976=D87)*('Sulphur freight'!$G$3:$G$1976))/SUMPRODUCT(('Sulphur freight'!$B$3:$B$1976=B97)*('Sulphur freight'!$D$3:$D$1976=D87)*1))</f>
        <v>29.165429480381761</v>
      </c>
      <c r="P87" s="78">
        <v>20</v>
      </c>
      <c r="R87" s="78" t="str">
        <f t="shared" si="17"/>
        <v xml:space="preserve"> </v>
      </c>
      <c r="S87" s="78">
        <f t="shared" si="18"/>
        <v>58.573122529644266</v>
      </c>
      <c r="T87" s="78" t="str">
        <f t="shared" si="13"/>
        <v/>
      </c>
      <c r="U87" s="78" t="str">
        <f t="shared" si="19"/>
        <v/>
      </c>
      <c r="V87" s="78">
        <f>IFERROR(I87+O87, "")</f>
        <v>118.16542948038176</v>
      </c>
      <c r="W87" s="78">
        <f t="shared" si="20"/>
        <v>81.5</v>
      </c>
      <c r="X87" s="78">
        <f t="shared" si="21"/>
        <v>56.994591728525982</v>
      </c>
      <c r="Y87" s="78">
        <f t="shared" si="22"/>
        <v>44.894999999999996</v>
      </c>
      <c r="AA87" s="88" t="str">
        <f t="shared" si="23"/>
        <v/>
      </c>
      <c r="AB87" s="77" t="str">
        <f t="shared" si="14"/>
        <v/>
      </c>
      <c r="AD87" s="88" t="str">
        <f t="shared" si="24"/>
        <v/>
      </c>
      <c r="AE87" s="77" t="str">
        <f t="shared" si="15"/>
        <v/>
      </c>
    </row>
    <row r="88" spans="2:31" x14ac:dyDescent="0.35">
      <c r="B88">
        <v>2006</v>
      </c>
      <c r="C88">
        <v>2</v>
      </c>
      <c r="D88">
        <v>5</v>
      </c>
      <c r="E88" s="78" t="str">
        <f>'CRU historical'!F65</f>
        <v xml:space="preserve"> </v>
      </c>
      <c r="F88" s="78">
        <f>'CRU historical'!I65</f>
        <v>35</v>
      </c>
      <c r="G88" s="78" t="str">
        <f>'CRU historical'!L65</f>
        <v xml:space="preserve"> </v>
      </c>
      <c r="H88" s="78" t="str">
        <f>'CRU historical'!O65</f>
        <v xml:space="preserve"> </v>
      </c>
      <c r="I88" s="78">
        <f>'CRU historical'!R65</f>
        <v>103</v>
      </c>
      <c r="J88" s="78">
        <f>AVERAGE('CRU historical'!U65, 'CRU historical'!X65, 'CRU historical'!AA65, 'CRU historical'!AD65)</f>
        <v>61.5</v>
      </c>
      <c r="L88" s="78" cm="1">
        <f t="array" ref="L88">IFERROR(SUMPRODUCT(('Sulphuric Acid freights'!$B$3:$B$513=B98)*('Sulphuric Acid freights'!$D$3:$D$513=D88)*('Sulphuric Acid freights'!$P$3:$P$513))/SUMPRODUCT(('Sulphuric Acid freights'!$B$3:$B$513=B98)*('Sulphuric Acid freights'!$D$3:$D$513=D88)*1), AVERAGE('Sulphuric Acid freights'!$P$3:$P$513))*2/3</f>
        <v>54.110671936758898</v>
      </c>
      <c r="M88" s="78" cm="1">
        <f t="array" ref="M88">IFERROR(SUMPRODUCT(('Sulphuric Acid freights'!$B$3:$B$513=B98)*('Sulphuric Acid freights'!$D$3:$D$513=D88)*('Sulphuric Acid freights'!$M$3:$M$513))/SUMPRODUCT(('Sulphuric Acid freights'!$B$3:$B$513=B98)*('Sulphuric Acid freights'!$D$3:$D$513=D88)*1)*2/3, AVERAGE('Sulphuric Acid freights'!$M$3:$M$513))</f>
        <v>23.573122529644269</v>
      </c>
      <c r="N88" s="78">
        <f t="shared" si="16"/>
        <v>48.699604743083007</v>
      </c>
      <c r="O88" s="78" cm="1">
        <f t="array" ref="O88">IF(SUMPRODUCT(('Sulphur freight'!$B$3:$B$1976=B98)*('Sulphur freight'!$D$3:$D$1976=D88)*('Sulphur freight'!$G$3:$G$1976))/SUMPRODUCT(('Sulphur freight'!$B$3:$B$1976=B98)*('Sulphur freight'!$D$3:$D$1976=D88)*1)=0, AVERAGE('Sulphur freight'!$G$3:$G$1976),SUMPRODUCT(('Sulphur freight'!$B$3:$B$1976=B98)*('Sulphur freight'!$D$3:$D$1976=D88)*('Sulphur freight'!$G$3:$G$1976))/SUMPRODUCT(('Sulphur freight'!$B$3:$B$1976=B98)*('Sulphur freight'!$D$3:$D$1976=D88)*1))</f>
        <v>29.165429480381761</v>
      </c>
      <c r="P88" s="78">
        <v>20</v>
      </c>
      <c r="R88" s="78" t="str">
        <f t="shared" si="17"/>
        <v xml:space="preserve"> </v>
      </c>
      <c r="S88" s="78">
        <f t="shared" si="18"/>
        <v>58.573122529644266</v>
      </c>
      <c r="T88" s="78" t="str">
        <f t="shared" si="13"/>
        <v/>
      </c>
      <c r="U88" s="78" t="str">
        <f t="shared" si="19"/>
        <v/>
      </c>
      <c r="V88" s="78">
        <f>IFERROR(I88+O88, "")</f>
        <v>132.16542948038176</v>
      </c>
      <c r="W88" s="78">
        <f t="shared" si="20"/>
        <v>81.5</v>
      </c>
      <c r="X88" s="78">
        <f t="shared" si="21"/>
        <v>61.61459172852598</v>
      </c>
      <c r="Y88" s="78">
        <f t="shared" si="22"/>
        <v>44.894999999999996</v>
      </c>
      <c r="AA88" s="88" t="str">
        <f t="shared" si="23"/>
        <v/>
      </c>
      <c r="AB88" s="77" t="str">
        <f t="shared" si="14"/>
        <v/>
      </c>
      <c r="AD88" s="88" t="str">
        <f t="shared" si="24"/>
        <v/>
      </c>
      <c r="AE88" s="77" t="str">
        <f t="shared" si="15"/>
        <v/>
      </c>
    </row>
    <row r="89" spans="2:31" x14ac:dyDescent="0.35">
      <c r="B89">
        <v>2006</v>
      </c>
      <c r="C89">
        <v>2</v>
      </c>
      <c r="D89">
        <v>6</v>
      </c>
      <c r="E89" s="78" t="str">
        <f>'CRU historical'!F66</f>
        <v xml:space="preserve"> </v>
      </c>
      <c r="F89" s="78">
        <f>'CRU historical'!I66</f>
        <v>37</v>
      </c>
      <c r="G89" s="78" t="str">
        <f>'CRU historical'!L66</f>
        <v xml:space="preserve"> </v>
      </c>
      <c r="H89" s="78" t="str">
        <f>'CRU historical'!O66</f>
        <v xml:space="preserve"> </v>
      </c>
      <c r="I89" s="78">
        <f>'CRU historical'!R66</f>
        <v>121.5</v>
      </c>
      <c r="J89" s="78">
        <f>AVERAGE('CRU historical'!U66, 'CRU historical'!X66, 'CRU historical'!AA66, 'CRU historical'!AD66)</f>
        <v>68</v>
      </c>
      <c r="L89" s="78" cm="1">
        <f t="array" ref="L89">IFERROR(SUMPRODUCT(('Sulphuric Acid freights'!$B$3:$B$513=B99)*('Sulphuric Acid freights'!$D$3:$D$513=D89)*('Sulphuric Acid freights'!$P$3:$P$513))/SUMPRODUCT(('Sulphuric Acid freights'!$B$3:$B$513=B99)*('Sulphuric Acid freights'!$D$3:$D$513=D89)*1), AVERAGE('Sulphuric Acid freights'!$P$3:$P$513))*2/3</f>
        <v>54.110671936758898</v>
      </c>
      <c r="M89" s="78" cm="1">
        <f t="array" ref="M89">IFERROR(SUMPRODUCT(('Sulphuric Acid freights'!$B$3:$B$513=B99)*('Sulphuric Acid freights'!$D$3:$D$513=D89)*('Sulphuric Acid freights'!$M$3:$M$513))/SUMPRODUCT(('Sulphuric Acid freights'!$B$3:$B$513=B99)*('Sulphuric Acid freights'!$D$3:$D$513=D89)*1)*2/3, AVERAGE('Sulphuric Acid freights'!$M$3:$M$513))</f>
        <v>23.573122529644269</v>
      </c>
      <c r="N89" s="78">
        <f t="shared" si="16"/>
        <v>48.699604743083007</v>
      </c>
      <c r="O89" s="78" cm="1">
        <f t="array" ref="O89">IF(SUMPRODUCT(('Sulphur freight'!$B$3:$B$1976=B99)*('Sulphur freight'!$D$3:$D$1976=D89)*('Sulphur freight'!$G$3:$G$1976))/SUMPRODUCT(('Sulphur freight'!$B$3:$B$1976=B99)*('Sulphur freight'!$D$3:$D$1976=D89)*1)=0, AVERAGE('Sulphur freight'!$G$3:$G$1976),SUMPRODUCT(('Sulphur freight'!$B$3:$B$1976=B99)*('Sulphur freight'!$D$3:$D$1976=D89)*('Sulphur freight'!$G$3:$G$1976))/SUMPRODUCT(('Sulphur freight'!$B$3:$B$1976=B99)*('Sulphur freight'!$D$3:$D$1976=D89)*1))</f>
        <v>29.165429480381761</v>
      </c>
      <c r="P89" s="78">
        <v>20</v>
      </c>
      <c r="R89" s="78" t="str">
        <f t="shared" si="17"/>
        <v xml:space="preserve"> </v>
      </c>
      <c r="S89" s="78">
        <f t="shared" si="18"/>
        <v>60.573122529644266</v>
      </c>
      <c r="T89" s="78" t="str">
        <f t="shared" si="13"/>
        <v/>
      </c>
      <c r="U89" s="78" t="str">
        <f t="shared" si="19"/>
        <v/>
      </c>
      <c r="V89" s="78">
        <f>IFERROR(I89+O89, "")</f>
        <v>150.66542948038176</v>
      </c>
      <c r="W89" s="78">
        <f t="shared" si="20"/>
        <v>88</v>
      </c>
      <c r="X89" s="78">
        <f t="shared" si="21"/>
        <v>67.719591728525984</v>
      </c>
      <c r="Y89" s="78">
        <f t="shared" si="22"/>
        <v>47.040000000000006</v>
      </c>
      <c r="AA89" s="88" t="str">
        <f t="shared" si="23"/>
        <v/>
      </c>
      <c r="AB89" s="77" t="str">
        <f t="shared" si="14"/>
        <v/>
      </c>
      <c r="AD89" s="88" t="str">
        <f t="shared" si="24"/>
        <v/>
      </c>
      <c r="AE89" s="77" t="str">
        <f t="shared" si="15"/>
        <v/>
      </c>
    </row>
    <row r="90" spans="2:31" x14ac:dyDescent="0.35">
      <c r="B90">
        <v>2006</v>
      </c>
      <c r="C90">
        <v>3</v>
      </c>
      <c r="D90">
        <v>7</v>
      </c>
      <c r="E90" s="78" t="str">
        <f>'CRU historical'!F67</f>
        <v xml:space="preserve"> </v>
      </c>
      <c r="F90" s="78">
        <f>'CRU historical'!I67</f>
        <v>37</v>
      </c>
      <c r="G90" s="78" t="str">
        <f>'CRU historical'!L67</f>
        <v xml:space="preserve"> </v>
      </c>
      <c r="H90" s="78" t="str">
        <f>'CRU historical'!O67</f>
        <v xml:space="preserve"> </v>
      </c>
      <c r="I90" s="78">
        <f>'CRU historical'!R67</f>
        <v>167</v>
      </c>
      <c r="J90" s="78">
        <f>AVERAGE('CRU historical'!U67, 'CRU historical'!X67, 'CRU historical'!AA67, 'CRU historical'!AD67)</f>
        <v>85</v>
      </c>
      <c r="L90" s="78" cm="1">
        <f t="array" ref="L90">IFERROR(SUMPRODUCT(('Sulphuric Acid freights'!$B$3:$B$513=B100)*('Sulphuric Acid freights'!$D$3:$D$513=D90)*('Sulphuric Acid freights'!$P$3:$P$513))/SUMPRODUCT(('Sulphuric Acid freights'!$B$3:$B$513=B100)*('Sulphuric Acid freights'!$D$3:$D$513=D90)*1), AVERAGE('Sulphuric Acid freights'!$P$3:$P$513))*2/3</f>
        <v>54.110671936758898</v>
      </c>
      <c r="M90" s="78" cm="1">
        <f t="array" ref="M90">IFERROR(SUMPRODUCT(('Sulphuric Acid freights'!$B$3:$B$513=B100)*('Sulphuric Acid freights'!$D$3:$D$513=D90)*('Sulphuric Acid freights'!$M$3:$M$513))/SUMPRODUCT(('Sulphuric Acid freights'!$B$3:$B$513=B100)*('Sulphuric Acid freights'!$D$3:$D$513=D90)*1)*2/3, AVERAGE('Sulphuric Acid freights'!$M$3:$M$513))</f>
        <v>23.573122529644269</v>
      </c>
      <c r="N90" s="78">
        <f t="shared" si="16"/>
        <v>48.699604743083007</v>
      </c>
      <c r="O90" s="78" cm="1">
        <f t="array" ref="O90">IF(SUMPRODUCT(('Sulphur freight'!$B$3:$B$1976=B100)*('Sulphur freight'!$D$3:$D$1976=D90)*('Sulphur freight'!$G$3:$G$1976))/SUMPRODUCT(('Sulphur freight'!$B$3:$B$1976=B100)*('Sulphur freight'!$D$3:$D$1976=D90)*1)=0, AVERAGE('Sulphur freight'!$G$3:$G$1976),SUMPRODUCT(('Sulphur freight'!$B$3:$B$1976=B100)*('Sulphur freight'!$D$3:$D$1976=D90)*('Sulphur freight'!$G$3:$G$1976))/SUMPRODUCT(('Sulphur freight'!$B$3:$B$1976=B100)*('Sulphur freight'!$D$3:$D$1976=D90)*1))</f>
        <v>29.165429480381761</v>
      </c>
      <c r="P90" s="78">
        <v>20</v>
      </c>
      <c r="R90" s="78" t="str">
        <f t="shared" si="17"/>
        <v xml:space="preserve"> </v>
      </c>
      <c r="S90" s="78">
        <f t="shared" si="18"/>
        <v>60.573122529644266</v>
      </c>
      <c r="T90" s="78" t="str">
        <f t="shared" si="13"/>
        <v/>
      </c>
      <c r="U90" s="78" t="str">
        <f t="shared" si="19"/>
        <v/>
      </c>
      <c r="V90" s="78">
        <f>IFERROR(I90+O90, "")</f>
        <v>196.16542948038176</v>
      </c>
      <c r="W90" s="78">
        <f t="shared" si="20"/>
        <v>105</v>
      </c>
      <c r="X90" s="78">
        <f t="shared" si="21"/>
        <v>82.734591728525984</v>
      </c>
      <c r="Y90" s="78">
        <f t="shared" si="22"/>
        <v>52.65</v>
      </c>
      <c r="AA90" s="88" t="str">
        <f t="shared" si="23"/>
        <v/>
      </c>
      <c r="AB90" s="77" t="str">
        <f t="shared" si="14"/>
        <v/>
      </c>
      <c r="AD90" s="88" t="str">
        <f t="shared" si="24"/>
        <v/>
      </c>
      <c r="AE90" s="77" t="str">
        <f t="shared" si="15"/>
        <v/>
      </c>
    </row>
    <row r="91" spans="2:31" x14ac:dyDescent="0.35">
      <c r="B91">
        <v>2006</v>
      </c>
      <c r="C91">
        <v>3</v>
      </c>
      <c r="D91">
        <v>8</v>
      </c>
      <c r="E91" s="78" t="str">
        <f>'CRU historical'!F68</f>
        <v xml:space="preserve"> </v>
      </c>
      <c r="F91" s="78">
        <f>'CRU historical'!I68</f>
        <v>37.666666666666664</v>
      </c>
      <c r="G91" s="78" t="str">
        <f>'CRU historical'!L68</f>
        <v xml:space="preserve"> </v>
      </c>
      <c r="H91" s="78" t="str">
        <f>'CRU historical'!O68</f>
        <v xml:space="preserve"> </v>
      </c>
      <c r="I91" s="78">
        <f>'CRU historical'!R68</f>
        <v>189</v>
      </c>
      <c r="J91" s="78">
        <f>AVERAGE('CRU historical'!U68, 'CRU historical'!X68, 'CRU historical'!AA68, 'CRU historical'!AD68)</f>
        <v>123</v>
      </c>
      <c r="L91" s="78" cm="1">
        <f t="array" ref="L91">IFERROR(SUMPRODUCT(('Sulphuric Acid freights'!$B$3:$B$513=B101)*('Sulphuric Acid freights'!$D$3:$D$513=D91)*('Sulphuric Acid freights'!$P$3:$P$513))/SUMPRODUCT(('Sulphuric Acid freights'!$B$3:$B$513=B101)*('Sulphuric Acid freights'!$D$3:$D$513=D91)*1), AVERAGE('Sulphuric Acid freights'!$P$3:$P$513))*2/3</f>
        <v>54.110671936758898</v>
      </c>
      <c r="M91" s="78" cm="1">
        <f t="array" ref="M91">IFERROR(SUMPRODUCT(('Sulphuric Acid freights'!$B$3:$B$513=B101)*('Sulphuric Acid freights'!$D$3:$D$513=D91)*('Sulphuric Acid freights'!$M$3:$M$513))/SUMPRODUCT(('Sulphuric Acid freights'!$B$3:$B$513=B101)*('Sulphuric Acid freights'!$D$3:$D$513=D91)*1)*2/3, AVERAGE('Sulphuric Acid freights'!$M$3:$M$513))</f>
        <v>23.573122529644269</v>
      </c>
      <c r="N91" s="78">
        <f t="shared" si="16"/>
        <v>48.699604743083007</v>
      </c>
      <c r="O91" s="78" cm="1">
        <f t="array" ref="O91">IF(SUMPRODUCT(('Sulphur freight'!$B$3:$B$1976=B101)*('Sulphur freight'!$D$3:$D$1976=D91)*('Sulphur freight'!$G$3:$G$1976))/SUMPRODUCT(('Sulphur freight'!$B$3:$B$1976=B101)*('Sulphur freight'!$D$3:$D$1976=D91)*1)=0, AVERAGE('Sulphur freight'!$G$3:$G$1976),SUMPRODUCT(('Sulphur freight'!$B$3:$B$1976=B101)*('Sulphur freight'!$D$3:$D$1976=D91)*('Sulphur freight'!$G$3:$G$1976))/SUMPRODUCT(('Sulphur freight'!$B$3:$B$1976=B101)*('Sulphur freight'!$D$3:$D$1976=D91)*1))</f>
        <v>27.6</v>
      </c>
      <c r="P91" s="78">
        <v>20</v>
      </c>
      <c r="R91" s="78" t="str">
        <f t="shared" si="17"/>
        <v xml:space="preserve"> </v>
      </c>
      <c r="S91" s="78">
        <f t="shared" si="18"/>
        <v>61.239789196310937</v>
      </c>
      <c r="T91" s="78" t="str">
        <f t="shared" si="13"/>
        <v/>
      </c>
      <c r="U91" s="78" t="str">
        <f t="shared" si="19"/>
        <v/>
      </c>
      <c r="V91" s="78">
        <f>IFERROR(I91+O91, "")</f>
        <v>216.6</v>
      </c>
      <c r="W91" s="78">
        <f t="shared" si="20"/>
        <v>143</v>
      </c>
      <c r="X91" s="78">
        <f t="shared" si="21"/>
        <v>89.477999999999994</v>
      </c>
      <c r="Y91" s="78">
        <f t="shared" si="22"/>
        <v>65.19</v>
      </c>
      <c r="AA91" s="88" t="str">
        <f t="shared" si="23"/>
        <v/>
      </c>
      <c r="AB91" s="77" t="str">
        <f t="shared" si="14"/>
        <v/>
      </c>
      <c r="AD91" s="88" t="str">
        <f t="shared" si="24"/>
        <v/>
      </c>
      <c r="AE91" s="77" t="str">
        <f t="shared" si="15"/>
        <v/>
      </c>
    </row>
    <row r="92" spans="2:31" x14ac:dyDescent="0.35">
      <c r="B92">
        <v>2006</v>
      </c>
      <c r="C92">
        <v>3</v>
      </c>
      <c r="D92">
        <v>9</v>
      </c>
      <c r="E92" s="78" t="str">
        <f>'CRU historical'!F69</f>
        <v xml:space="preserve"> </v>
      </c>
      <c r="F92" s="78">
        <f>'CRU historical'!I69</f>
        <v>38</v>
      </c>
      <c r="G92" s="78" t="str">
        <f>'CRU historical'!L69</f>
        <v xml:space="preserve"> </v>
      </c>
      <c r="H92" s="78" t="str">
        <f>'CRU historical'!O69</f>
        <v xml:space="preserve"> </v>
      </c>
      <c r="I92" s="78">
        <f>'CRU historical'!R69</f>
        <v>205.5</v>
      </c>
      <c r="J92" s="78">
        <f>AVERAGE('CRU historical'!U69, 'CRU historical'!X69, 'CRU historical'!AA69, 'CRU historical'!AD69)</f>
        <v>123</v>
      </c>
      <c r="L92" s="78" cm="1">
        <f t="array" ref="L92">IFERROR(SUMPRODUCT(('Sulphuric Acid freights'!$B$3:$B$513=B102)*('Sulphuric Acid freights'!$D$3:$D$513=D92)*('Sulphuric Acid freights'!$P$3:$P$513))/SUMPRODUCT(('Sulphuric Acid freights'!$B$3:$B$513=B102)*('Sulphuric Acid freights'!$D$3:$D$513=D92)*1), AVERAGE('Sulphuric Acid freights'!$P$3:$P$513))*2/3</f>
        <v>54.110671936758898</v>
      </c>
      <c r="M92" s="78" cm="1">
        <f t="array" ref="M92">IFERROR(SUMPRODUCT(('Sulphuric Acid freights'!$B$3:$B$513=B102)*('Sulphuric Acid freights'!$D$3:$D$513=D92)*('Sulphuric Acid freights'!$M$3:$M$513))/SUMPRODUCT(('Sulphuric Acid freights'!$B$3:$B$513=B102)*('Sulphuric Acid freights'!$D$3:$D$513=D92)*1)*2/3, AVERAGE('Sulphuric Acid freights'!$M$3:$M$513))</f>
        <v>23.573122529644269</v>
      </c>
      <c r="N92" s="78">
        <f t="shared" si="16"/>
        <v>48.699604743083007</v>
      </c>
      <c r="O92" s="78" cm="1">
        <f t="array" ref="O92">IF(SUMPRODUCT(('Sulphur freight'!$B$3:$B$1976=B102)*('Sulphur freight'!$D$3:$D$1976=D92)*('Sulphur freight'!$G$3:$G$1976))/SUMPRODUCT(('Sulphur freight'!$B$3:$B$1976=B102)*('Sulphur freight'!$D$3:$D$1976=D92)*1)=0, AVERAGE('Sulphur freight'!$G$3:$G$1976),SUMPRODUCT(('Sulphur freight'!$B$3:$B$1976=B102)*('Sulphur freight'!$D$3:$D$1976=D92)*('Sulphur freight'!$G$3:$G$1976))/SUMPRODUCT(('Sulphur freight'!$B$3:$B$1976=B102)*('Sulphur freight'!$D$3:$D$1976=D92)*1))</f>
        <v>46</v>
      </c>
      <c r="P92" s="78">
        <v>20</v>
      </c>
      <c r="R92" s="78" t="str">
        <f t="shared" si="17"/>
        <v xml:space="preserve"> </v>
      </c>
      <c r="S92" s="78">
        <f t="shared" si="18"/>
        <v>61.573122529644266</v>
      </c>
      <c r="T92" s="78" t="str">
        <f t="shared" ref="T92:T155" si="25">IFERROR( E92+L92, "")</f>
        <v/>
      </c>
      <c r="U92" s="78" t="str">
        <f t="shared" si="19"/>
        <v/>
      </c>
      <c r="V92" s="78">
        <f>IFERROR(I92+O92, "")</f>
        <v>251.5</v>
      </c>
      <c r="W92" s="78">
        <f t="shared" si="20"/>
        <v>143</v>
      </c>
      <c r="X92" s="78">
        <f t="shared" si="21"/>
        <v>100.995</v>
      </c>
      <c r="Y92" s="78">
        <f t="shared" si="22"/>
        <v>65.19</v>
      </c>
      <c r="AA92" s="88" t="str">
        <f t="shared" si="23"/>
        <v/>
      </c>
      <c r="AB92" s="77" t="str">
        <f t="shared" ref="AB92:AB155" si="26">IF(AA92="", "", MAX(X92, Y92)-AA92)</f>
        <v/>
      </c>
      <c r="AD92" s="88" t="str">
        <f t="shared" si="24"/>
        <v/>
      </c>
      <c r="AE92" s="77" t="str">
        <f t="shared" ref="AE92:AE155" si="27">IF(AD92="", "", MAX(AA92, AB92)-AD92)</f>
        <v/>
      </c>
    </row>
    <row r="93" spans="2:31" x14ac:dyDescent="0.35">
      <c r="B93">
        <v>2006</v>
      </c>
      <c r="C93">
        <v>4</v>
      </c>
      <c r="D93">
        <v>10</v>
      </c>
      <c r="E93" s="78" t="str">
        <f>'CRU historical'!F70</f>
        <v xml:space="preserve"> </v>
      </c>
      <c r="F93" s="78">
        <f>'CRU historical'!I70</f>
        <v>38</v>
      </c>
      <c r="G93" s="78" t="str">
        <f>'CRU historical'!L70</f>
        <v xml:space="preserve"> </v>
      </c>
      <c r="H93" s="78" t="str">
        <f>'CRU historical'!O70</f>
        <v xml:space="preserve"> </v>
      </c>
      <c r="I93" s="78">
        <f>'CRU historical'!R70</f>
        <v>222</v>
      </c>
      <c r="J93" s="78">
        <f>AVERAGE('CRU historical'!U70, 'CRU historical'!X70, 'CRU historical'!AA70, 'CRU historical'!AD70)</f>
        <v>126</v>
      </c>
      <c r="L93" s="78" cm="1">
        <f t="array" ref="L93">IFERROR(SUMPRODUCT(('Sulphuric Acid freights'!$B$3:$B$513=B103)*('Sulphuric Acid freights'!$D$3:$D$513=D93)*('Sulphuric Acid freights'!$P$3:$P$513))/SUMPRODUCT(('Sulphuric Acid freights'!$B$3:$B$513=B103)*('Sulphuric Acid freights'!$D$3:$D$513=D93)*1), AVERAGE('Sulphuric Acid freights'!$P$3:$P$513))*2/3</f>
        <v>54.110671936758898</v>
      </c>
      <c r="M93" s="78" cm="1">
        <f t="array" ref="M93">IFERROR(SUMPRODUCT(('Sulphuric Acid freights'!$B$3:$B$513=B103)*('Sulphuric Acid freights'!$D$3:$D$513=D93)*('Sulphuric Acid freights'!$M$3:$M$513))/SUMPRODUCT(('Sulphuric Acid freights'!$B$3:$B$513=B103)*('Sulphuric Acid freights'!$D$3:$D$513=D93)*1)*2/3, AVERAGE('Sulphuric Acid freights'!$M$3:$M$513))</f>
        <v>23.573122529644269</v>
      </c>
      <c r="N93" s="78">
        <f t="shared" ref="N93:N156" si="28">IFERROR(L93*0.9, "")</f>
        <v>48.699604743083007</v>
      </c>
      <c r="O93" s="78" cm="1">
        <f t="array" ref="O93">IF(SUMPRODUCT(('Sulphur freight'!$B$3:$B$1976=B103)*('Sulphur freight'!$D$3:$D$1976=D93)*('Sulphur freight'!$G$3:$G$1976))/SUMPRODUCT(('Sulphur freight'!$B$3:$B$1976=B103)*('Sulphur freight'!$D$3:$D$1976=D93)*1)=0, AVERAGE('Sulphur freight'!$G$3:$G$1976),SUMPRODUCT(('Sulphur freight'!$B$3:$B$1976=B103)*('Sulphur freight'!$D$3:$D$1976=D93)*('Sulphur freight'!$G$3:$G$1976))/SUMPRODUCT(('Sulphur freight'!$B$3:$B$1976=B103)*('Sulphur freight'!$D$3:$D$1976=D93)*1))</f>
        <v>47.75</v>
      </c>
      <c r="P93" s="78">
        <v>20</v>
      </c>
      <c r="R93" s="78" t="str">
        <f t="shared" ref="R93:R156" si="29">H93</f>
        <v xml:space="preserve"> </v>
      </c>
      <c r="S93" s="78">
        <f t="shared" ref="S93:S156" si="30">IF(F93=0, "", F93+M93)</f>
        <v>61.573122529644266</v>
      </c>
      <c r="T93" s="78" t="str">
        <f t="shared" si="25"/>
        <v/>
      </c>
      <c r="U93" s="78" t="str">
        <f t="shared" ref="U93:U156" si="31">IFERROR( G93+N93, "")</f>
        <v/>
      </c>
      <c r="V93" s="78">
        <f>IFERROR(I93+O93, "")</f>
        <v>269.75</v>
      </c>
      <c r="W93" s="78">
        <f t="shared" ref="W93:W156" si="32">J93+P93</f>
        <v>146</v>
      </c>
      <c r="X93" s="78">
        <f t="shared" ref="X93:X156" si="33">IFERROR((I93+O93)*0.33+18, "")</f>
        <v>107.0175</v>
      </c>
      <c r="Y93" s="78">
        <f t="shared" ref="Y93:Y156" si="34">IF(J93=0,0,(J93+P93)*0.33+18)</f>
        <v>66.180000000000007</v>
      </c>
      <c r="AA93" s="88" t="str">
        <f t="shared" ref="AA93:AA156" si="35">IF(OR(S93="", T93="", U93=""), "", MAX(R93,S93)*40%+T93*30%+U93*30%)</f>
        <v/>
      </c>
      <c r="AB93" s="77" t="str">
        <f t="shared" si="26"/>
        <v/>
      </c>
      <c r="AD93" s="88" t="str">
        <f t="shared" ref="AD93:AD156" si="36">IFERROR(MIN((MAX(R93,S93)*70%+U93*30%), Y93), "")</f>
        <v/>
      </c>
      <c r="AE93" s="77" t="str">
        <f t="shared" si="27"/>
        <v/>
      </c>
    </row>
    <row r="94" spans="2:31" x14ac:dyDescent="0.35">
      <c r="B94">
        <v>2007</v>
      </c>
      <c r="C94">
        <v>4</v>
      </c>
      <c r="D94">
        <v>11</v>
      </c>
      <c r="E94" s="78" t="str">
        <f>'CRU historical'!F71</f>
        <v xml:space="preserve"> </v>
      </c>
      <c r="F94" s="78">
        <f>'CRU historical'!I71</f>
        <v>62</v>
      </c>
      <c r="G94" s="78" t="str">
        <f>'CRU historical'!L71</f>
        <v xml:space="preserve"> </v>
      </c>
      <c r="H94" s="78" t="str">
        <f>'CRU historical'!O71</f>
        <v xml:space="preserve"> </v>
      </c>
      <c r="I94" s="78">
        <f>'CRU historical'!R71</f>
        <v>276</v>
      </c>
      <c r="J94" s="78">
        <f>AVERAGE('CRU historical'!U71, 'CRU historical'!X71, 'CRU historical'!AA71, 'CRU historical'!AD71)</f>
        <v>134.5</v>
      </c>
      <c r="L94" s="78" cm="1">
        <f t="array" ref="L94">IFERROR(SUMPRODUCT(('Sulphuric Acid freights'!$B$3:$B$513=B104)*('Sulphuric Acid freights'!$D$3:$D$513=D94)*('Sulphuric Acid freights'!$P$3:$P$513))/SUMPRODUCT(('Sulphuric Acid freights'!$B$3:$B$513=B104)*('Sulphuric Acid freights'!$D$3:$D$513=D94)*1), AVERAGE('Sulphuric Acid freights'!$P$3:$P$513))*2/3</f>
        <v>54.110671936758898</v>
      </c>
      <c r="M94" s="78" cm="1">
        <f t="array" ref="M94">IFERROR(SUMPRODUCT(('Sulphuric Acid freights'!$B$3:$B$513=B104)*('Sulphuric Acid freights'!$D$3:$D$513=D94)*('Sulphuric Acid freights'!$M$3:$M$513))/SUMPRODUCT(('Sulphuric Acid freights'!$B$3:$B$513=B104)*('Sulphuric Acid freights'!$D$3:$D$513=D94)*1)*2/3, AVERAGE('Sulphuric Acid freights'!$M$3:$M$513))</f>
        <v>23.573122529644269</v>
      </c>
      <c r="N94" s="78">
        <f t="shared" si="28"/>
        <v>48.699604743083007</v>
      </c>
      <c r="O94" s="78" cm="1">
        <f t="array" ref="O94">IF(SUMPRODUCT(('Sulphur freight'!$B$3:$B$1976=B104)*('Sulphur freight'!$D$3:$D$1976=D94)*('Sulphur freight'!$G$3:$G$1976))/SUMPRODUCT(('Sulphur freight'!$B$3:$B$1976=B104)*('Sulphur freight'!$D$3:$D$1976=D94)*1)=0, AVERAGE('Sulphur freight'!$G$3:$G$1976),SUMPRODUCT(('Sulphur freight'!$B$3:$B$1976=B104)*('Sulphur freight'!$D$3:$D$1976=D94)*('Sulphur freight'!$G$3:$G$1976))/SUMPRODUCT(('Sulphur freight'!$B$3:$B$1976=B104)*('Sulphur freight'!$D$3:$D$1976=D94)*1))</f>
        <v>53</v>
      </c>
      <c r="P94" s="78">
        <v>20</v>
      </c>
      <c r="R94" s="78" t="str">
        <f t="shared" si="29"/>
        <v xml:space="preserve"> </v>
      </c>
      <c r="S94" s="78">
        <f t="shared" si="30"/>
        <v>85.573122529644266</v>
      </c>
      <c r="T94" s="78" t="str">
        <f t="shared" si="25"/>
        <v/>
      </c>
      <c r="U94" s="78" t="str">
        <f t="shared" si="31"/>
        <v/>
      </c>
      <c r="V94" s="78">
        <f>IFERROR(I94+O94, "")</f>
        <v>329</v>
      </c>
      <c r="W94" s="78">
        <f t="shared" si="32"/>
        <v>154.5</v>
      </c>
      <c r="X94" s="78">
        <f t="shared" si="33"/>
        <v>126.57000000000001</v>
      </c>
      <c r="Y94" s="78">
        <f t="shared" si="34"/>
        <v>68.984999999999999</v>
      </c>
      <c r="AA94" s="88" t="str">
        <f t="shared" si="35"/>
        <v/>
      </c>
      <c r="AB94" s="77" t="str">
        <f t="shared" si="26"/>
        <v/>
      </c>
      <c r="AD94" s="88" t="str">
        <f t="shared" si="36"/>
        <v/>
      </c>
      <c r="AE94" s="77" t="str">
        <f t="shared" si="27"/>
        <v/>
      </c>
    </row>
    <row r="95" spans="2:31" x14ac:dyDescent="0.35">
      <c r="B95">
        <v>2007</v>
      </c>
      <c r="C95">
        <v>4</v>
      </c>
      <c r="D95">
        <v>12</v>
      </c>
      <c r="E95" s="78" t="str">
        <f>'CRU historical'!F72</f>
        <v xml:space="preserve"> </v>
      </c>
      <c r="F95" s="78">
        <f>'CRU historical'!I72</f>
        <v>82.5</v>
      </c>
      <c r="G95" s="78" t="str">
        <f>'CRU historical'!L72</f>
        <v xml:space="preserve"> </v>
      </c>
      <c r="H95" s="78" t="str">
        <f>'CRU historical'!O72</f>
        <v xml:space="preserve"> </v>
      </c>
      <c r="I95" s="78">
        <f>'CRU historical'!R72</f>
        <v>423</v>
      </c>
      <c r="J95" s="78">
        <f>AVERAGE('CRU historical'!U72, 'CRU historical'!X72, 'CRU historical'!AA72, 'CRU historical'!AD72)</f>
        <v>208.25</v>
      </c>
      <c r="L95" s="78" cm="1">
        <f t="array" ref="L95">IFERROR(SUMPRODUCT(('Sulphuric Acid freights'!$B$3:$B$513=B105)*('Sulphuric Acid freights'!$D$3:$D$513=D95)*('Sulphuric Acid freights'!$P$3:$P$513))/SUMPRODUCT(('Sulphuric Acid freights'!$B$3:$B$513=B105)*('Sulphuric Acid freights'!$D$3:$D$513=D95)*1), AVERAGE('Sulphuric Acid freights'!$P$3:$P$513))*2/3</f>
        <v>54.110671936758898</v>
      </c>
      <c r="M95" s="78" cm="1">
        <f t="array" ref="M95">IFERROR(SUMPRODUCT(('Sulphuric Acid freights'!$B$3:$B$513=B105)*('Sulphuric Acid freights'!$D$3:$D$513=D95)*('Sulphuric Acid freights'!$M$3:$M$513))/SUMPRODUCT(('Sulphuric Acid freights'!$B$3:$B$513=B105)*('Sulphuric Acid freights'!$D$3:$D$513=D95)*1)*2/3, AVERAGE('Sulphuric Acid freights'!$M$3:$M$513))</f>
        <v>23.573122529644269</v>
      </c>
      <c r="N95" s="78">
        <f t="shared" si="28"/>
        <v>48.699604743083007</v>
      </c>
      <c r="O95" s="78" cm="1">
        <f t="array" ref="O95">IF(SUMPRODUCT(('Sulphur freight'!$B$3:$B$1976=B105)*('Sulphur freight'!$D$3:$D$1976=D95)*('Sulphur freight'!$G$3:$G$1976))/SUMPRODUCT(('Sulphur freight'!$B$3:$B$1976=B105)*('Sulphur freight'!$D$3:$D$1976=D95)*1)=0, AVERAGE('Sulphur freight'!$G$3:$G$1976),SUMPRODUCT(('Sulphur freight'!$B$3:$B$1976=B105)*('Sulphur freight'!$D$3:$D$1976=D95)*('Sulphur freight'!$G$3:$G$1976))/SUMPRODUCT(('Sulphur freight'!$B$3:$B$1976=B105)*('Sulphur freight'!$D$3:$D$1976=D95)*1))</f>
        <v>53.333333333333336</v>
      </c>
      <c r="P95" s="78">
        <v>20</v>
      </c>
      <c r="R95" s="78" t="str">
        <f t="shared" si="29"/>
        <v xml:space="preserve"> </v>
      </c>
      <c r="S95" s="78">
        <f t="shared" si="30"/>
        <v>106.07312252964427</v>
      </c>
      <c r="T95" s="78" t="str">
        <f t="shared" si="25"/>
        <v/>
      </c>
      <c r="U95" s="78" t="str">
        <f t="shared" si="31"/>
        <v/>
      </c>
      <c r="V95" s="78">
        <f>IFERROR(I95+O95, "")</f>
        <v>476.33333333333331</v>
      </c>
      <c r="W95" s="78">
        <f t="shared" si="32"/>
        <v>228.25</v>
      </c>
      <c r="X95" s="78">
        <f t="shared" si="33"/>
        <v>175.19</v>
      </c>
      <c r="Y95" s="78">
        <f t="shared" si="34"/>
        <v>93.322500000000005</v>
      </c>
      <c r="AA95" s="88" t="str">
        <f t="shared" si="35"/>
        <v/>
      </c>
      <c r="AB95" s="77" t="str">
        <f t="shared" si="26"/>
        <v/>
      </c>
      <c r="AD95" s="88" t="str">
        <f t="shared" si="36"/>
        <v/>
      </c>
      <c r="AE95" s="77" t="str">
        <f t="shared" si="27"/>
        <v/>
      </c>
    </row>
    <row r="96" spans="2:31" x14ac:dyDescent="0.35">
      <c r="B96">
        <v>2007</v>
      </c>
      <c r="C96">
        <v>1</v>
      </c>
      <c r="D96">
        <v>1</v>
      </c>
      <c r="E96" s="78" t="str">
        <f>'CRU historical'!F73</f>
        <v xml:space="preserve"> </v>
      </c>
      <c r="F96" s="78">
        <f>'CRU historical'!I73</f>
        <v>103</v>
      </c>
      <c r="G96" s="78" t="str">
        <f>'CRU historical'!L73</f>
        <v xml:space="preserve"> </v>
      </c>
      <c r="H96" s="78" t="str">
        <f>'CRU historical'!O73</f>
        <v xml:space="preserve"> </v>
      </c>
      <c r="I96" s="78">
        <f>'CRU historical'!R73</f>
        <v>515.5</v>
      </c>
      <c r="J96" s="78">
        <f>AVERAGE('CRU historical'!U73, 'CRU historical'!X73, 'CRU historical'!AA73, 'CRU historical'!AD73)</f>
        <v>272.5</v>
      </c>
      <c r="L96" s="78" cm="1">
        <f t="array" ref="L96">IFERROR(SUMPRODUCT(('Sulphuric Acid freights'!$B$3:$B$513=B106)*('Sulphuric Acid freights'!$D$3:$D$513=D96)*('Sulphuric Acid freights'!$P$3:$P$513))/SUMPRODUCT(('Sulphuric Acid freights'!$B$3:$B$513=B106)*('Sulphuric Acid freights'!$D$3:$D$513=D96)*1), AVERAGE('Sulphuric Acid freights'!$P$3:$P$513))*2/3</f>
        <v>54.110671936758898</v>
      </c>
      <c r="M96" s="78" cm="1">
        <f t="array" ref="M96">IFERROR(SUMPRODUCT(('Sulphuric Acid freights'!$B$3:$B$513=B106)*('Sulphuric Acid freights'!$D$3:$D$513=D96)*('Sulphuric Acid freights'!$M$3:$M$513))/SUMPRODUCT(('Sulphuric Acid freights'!$B$3:$B$513=B106)*('Sulphuric Acid freights'!$D$3:$D$513=D96)*1)*2/3, AVERAGE('Sulphuric Acid freights'!$M$3:$M$513))</f>
        <v>23.573122529644269</v>
      </c>
      <c r="N96" s="78">
        <f t="shared" si="28"/>
        <v>48.699604743083007</v>
      </c>
      <c r="O96" s="78" cm="1">
        <f t="array" ref="O96">IF(SUMPRODUCT(('Sulphur freight'!$B$3:$B$1976=B106)*('Sulphur freight'!$D$3:$D$1976=D96)*('Sulphur freight'!$G$3:$G$1976))/SUMPRODUCT(('Sulphur freight'!$B$3:$B$1976=B106)*('Sulphur freight'!$D$3:$D$1976=D96)*1)=0, AVERAGE('Sulphur freight'!$G$3:$G$1976),SUMPRODUCT(('Sulphur freight'!$B$3:$B$1976=B106)*('Sulphur freight'!$D$3:$D$1976=D96)*('Sulphur freight'!$G$3:$G$1976))/SUMPRODUCT(('Sulphur freight'!$B$3:$B$1976=B106)*('Sulphur freight'!$D$3:$D$1976=D96)*1))</f>
        <v>53.4</v>
      </c>
      <c r="P96" s="78">
        <v>20</v>
      </c>
      <c r="R96" s="78" t="str">
        <f t="shared" si="29"/>
        <v xml:space="preserve"> </v>
      </c>
      <c r="S96" s="78">
        <f t="shared" si="30"/>
        <v>126.57312252964427</v>
      </c>
      <c r="T96" s="78" t="str">
        <f t="shared" si="25"/>
        <v/>
      </c>
      <c r="U96" s="78" t="str">
        <f t="shared" si="31"/>
        <v/>
      </c>
      <c r="V96" s="78">
        <f>IFERROR(I96+O96, "")</f>
        <v>568.9</v>
      </c>
      <c r="W96" s="78">
        <f t="shared" si="32"/>
        <v>292.5</v>
      </c>
      <c r="X96" s="78">
        <f t="shared" si="33"/>
        <v>205.73699999999999</v>
      </c>
      <c r="Y96" s="78">
        <f t="shared" si="34"/>
        <v>114.52500000000001</v>
      </c>
      <c r="AA96" s="88" t="str">
        <f t="shared" si="35"/>
        <v/>
      </c>
      <c r="AB96" s="77" t="str">
        <f t="shared" si="26"/>
        <v/>
      </c>
      <c r="AD96" s="88" t="str">
        <f t="shared" si="36"/>
        <v/>
      </c>
      <c r="AE96" s="77" t="str">
        <f t="shared" si="27"/>
        <v/>
      </c>
    </row>
    <row r="97" spans="2:31" x14ac:dyDescent="0.35">
      <c r="B97">
        <v>2007</v>
      </c>
      <c r="C97">
        <v>1</v>
      </c>
      <c r="D97">
        <v>2</v>
      </c>
      <c r="E97" s="78" t="str">
        <f>'CRU historical'!F74</f>
        <v xml:space="preserve"> </v>
      </c>
      <c r="F97" s="78">
        <f>'CRU historical'!I74</f>
        <v>103</v>
      </c>
      <c r="G97" s="78" t="str">
        <f>'CRU historical'!L74</f>
        <v xml:space="preserve"> </v>
      </c>
      <c r="H97" s="78" t="str">
        <f>'CRU historical'!O74</f>
        <v xml:space="preserve"> </v>
      </c>
      <c r="I97" s="78">
        <f>'CRU historical'!R74</f>
        <v>620</v>
      </c>
      <c r="J97" s="78">
        <f>AVERAGE('CRU historical'!U74, 'CRU historical'!X74, 'CRU historical'!AA74, 'CRU historical'!AD74)</f>
        <v>338.5</v>
      </c>
      <c r="L97" s="78" cm="1">
        <f t="array" ref="L97">IFERROR(SUMPRODUCT(('Sulphuric Acid freights'!$B$3:$B$513=B107)*('Sulphuric Acid freights'!$D$3:$D$513=D97)*('Sulphuric Acid freights'!$P$3:$P$513))/SUMPRODUCT(('Sulphuric Acid freights'!$B$3:$B$513=B107)*('Sulphuric Acid freights'!$D$3:$D$513=D97)*1), AVERAGE('Sulphuric Acid freights'!$P$3:$P$513))*2/3</f>
        <v>54.110671936758898</v>
      </c>
      <c r="M97" s="78" cm="1">
        <f t="array" ref="M97">IFERROR(SUMPRODUCT(('Sulphuric Acid freights'!$B$3:$B$513=B107)*('Sulphuric Acid freights'!$D$3:$D$513=D97)*('Sulphuric Acid freights'!$M$3:$M$513))/SUMPRODUCT(('Sulphuric Acid freights'!$B$3:$B$513=B107)*('Sulphuric Acid freights'!$D$3:$D$513=D97)*1)*2/3, AVERAGE('Sulphuric Acid freights'!$M$3:$M$513))</f>
        <v>23.573122529644269</v>
      </c>
      <c r="N97" s="78">
        <f t="shared" si="28"/>
        <v>48.699604743083007</v>
      </c>
      <c r="O97" s="78" cm="1">
        <f t="array" ref="O97">IF(SUMPRODUCT(('Sulphur freight'!$B$3:$B$1976=B107)*('Sulphur freight'!$D$3:$D$1976=D97)*('Sulphur freight'!$G$3:$G$1976))/SUMPRODUCT(('Sulphur freight'!$B$3:$B$1976=B107)*('Sulphur freight'!$D$3:$D$1976=D97)*1)=0, AVERAGE('Sulphur freight'!$G$3:$G$1976),SUMPRODUCT(('Sulphur freight'!$B$3:$B$1976=B107)*('Sulphur freight'!$D$3:$D$1976=D97)*('Sulphur freight'!$G$3:$G$1976))/SUMPRODUCT(('Sulphur freight'!$B$3:$B$1976=B107)*('Sulphur freight'!$D$3:$D$1976=D97)*1))</f>
        <v>52.5</v>
      </c>
      <c r="P97" s="78">
        <v>20</v>
      </c>
      <c r="R97" s="78" t="str">
        <f t="shared" si="29"/>
        <v xml:space="preserve"> </v>
      </c>
      <c r="S97" s="78">
        <f t="shared" si="30"/>
        <v>126.57312252964427</v>
      </c>
      <c r="T97" s="78" t="str">
        <f t="shared" si="25"/>
        <v/>
      </c>
      <c r="U97" s="78" t="str">
        <f t="shared" si="31"/>
        <v/>
      </c>
      <c r="V97" s="78">
        <f>IFERROR(I97+O97, "")</f>
        <v>672.5</v>
      </c>
      <c r="W97" s="78">
        <f t="shared" si="32"/>
        <v>358.5</v>
      </c>
      <c r="X97" s="78">
        <f t="shared" si="33"/>
        <v>239.92500000000001</v>
      </c>
      <c r="Y97" s="78">
        <f t="shared" si="34"/>
        <v>136.30500000000001</v>
      </c>
      <c r="AA97" s="88" t="str">
        <f t="shared" si="35"/>
        <v/>
      </c>
      <c r="AB97" s="77" t="str">
        <f t="shared" si="26"/>
        <v/>
      </c>
      <c r="AD97" s="88" t="str">
        <f t="shared" si="36"/>
        <v/>
      </c>
      <c r="AE97" s="77" t="str">
        <f t="shared" si="27"/>
        <v/>
      </c>
    </row>
    <row r="98" spans="2:31" x14ac:dyDescent="0.35">
      <c r="B98">
        <v>2007</v>
      </c>
      <c r="C98">
        <v>1</v>
      </c>
      <c r="D98">
        <v>3</v>
      </c>
      <c r="E98" s="78" t="str">
        <f>'CRU historical'!F75</f>
        <v xml:space="preserve"> </v>
      </c>
      <c r="F98" s="78">
        <f>'CRU historical'!I75</f>
        <v>103</v>
      </c>
      <c r="G98" s="78" t="str">
        <f>'CRU historical'!L75</f>
        <v xml:space="preserve"> </v>
      </c>
      <c r="H98" s="78" t="str">
        <f>'CRU historical'!O75</f>
        <v xml:space="preserve"> </v>
      </c>
      <c r="I98" s="78">
        <f>'CRU historical'!R75</f>
        <v>646</v>
      </c>
      <c r="J98" s="78">
        <f>AVERAGE('CRU historical'!U75, 'CRU historical'!X75, 'CRU historical'!AA75, 'CRU historical'!AD75)</f>
        <v>338.5</v>
      </c>
      <c r="L98" s="78" cm="1">
        <f t="array" ref="L98">IFERROR(SUMPRODUCT(('Sulphuric Acid freights'!$B$3:$B$513=B108)*('Sulphuric Acid freights'!$D$3:$D$513=D98)*('Sulphuric Acid freights'!$P$3:$P$513))/SUMPRODUCT(('Sulphuric Acid freights'!$B$3:$B$513=B108)*('Sulphuric Acid freights'!$D$3:$D$513=D98)*1), AVERAGE('Sulphuric Acid freights'!$P$3:$P$513))*2/3</f>
        <v>54.110671936758898</v>
      </c>
      <c r="M98" s="78" cm="1">
        <f t="array" ref="M98">IFERROR(SUMPRODUCT(('Sulphuric Acid freights'!$B$3:$B$513=B108)*('Sulphuric Acid freights'!$D$3:$D$513=D98)*('Sulphuric Acid freights'!$M$3:$M$513))/SUMPRODUCT(('Sulphuric Acid freights'!$B$3:$B$513=B108)*('Sulphuric Acid freights'!$D$3:$D$513=D98)*1)*2/3, AVERAGE('Sulphuric Acid freights'!$M$3:$M$513))</f>
        <v>23.573122529644269</v>
      </c>
      <c r="N98" s="78">
        <f t="shared" si="28"/>
        <v>48.699604743083007</v>
      </c>
      <c r="O98" s="78" cm="1">
        <f t="array" ref="O98">IF(SUMPRODUCT(('Sulphur freight'!$B$3:$B$1976=B108)*('Sulphur freight'!$D$3:$D$1976=D98)*('Sulphur freight'!$G$3:$G$1976))/SUMPRODUCT(('Sulphur freight'!$B$3:$B$1976=B108)*('Sulphur freight'!$D$3:$D$1976=D98)*1)=0, AVERAGE('Sulphur freight'!$G$3:$G$1976),SUMPRODUCT(('Sulphur freight'!$B$3:$B$1976=B108)*('Sulphur freight'!$D$3:$D$1976=D98)*('Sulphur freight'!$G$3:$G$1976))/SUMPRODUCT(('Sulphur freight'!$B$3:$B$1976=B108)*('Sulphur freight'!$D$3:$D$1976=D98)*1))</f>
        <v>53</v>
      </c>
      <c r="P98" s="78">
        <v>20</v>
      </c>
      <c r="R98" s="78" t="str">
        <f t="shared" si="29"/>
        <v xml:space="preserve"> </v>
      </c>
      <c r="S98" s="78">
        <f t="shared" si="30"/>
        <v>126.57312252964427</v>
      </c>
      <c r="T98" s="78" t="str">
        <f t="shared" si="25"/>
        <v/>
      </c>
      <c r="U98" s="78" t="str">
        <f t="shared" si="31"/>
        <v/>
      </c>
      <c r="V98" s="78">
        <f>IFERROR(I98+O98, "")</f>
        <v>699</v>
      </c>
      <c r="W98" s="78">
        <f t="shared" si="32"/>
        <v>358.5</v>
      </c>
      <c r="X98" s="78">
        <f t="shared" si="33"/>
        <v>248.67000000000002</v>
      </c>
      <c r="Y98" s="78">
        <f t="shared" si="34"/>
        <v>136.30500000000001</v>
      </c>
      <c r="AA98" s="88" t="str">
        <f t="shared" si="35"/>
        <v/>
      </c>
      <c r="AB98" s="77" t="str">
        <f t="shared" si="26"/>
        <v/>
      </c>
      <c r="AD98" s="88" t="str">
        <f t="shared" si="36"/>
        <v/>
      </c>
      <c r="AE98" s="77" t="str">
        <f t="shared" si="27"/>
        <v/>
      </c>
    </row>
    <row r="99" spans="2:31" x14ac:dyDescent="0.35">
      <c r="B99">
        <v>2007</v>
      </c>
      <c r="C99">
        <v>2</v>
      </c>
      <c r="D99">
        <v>4</v>
      </c>
      <c r="E99" s="78" t="str">
        <f>'CRU historical'!F76</f>
        <v xml:space="preserve"> </v>
      </c>
      <c r="F99" s="78">
        <f>'CRU historical'!I76</f>
        <v>103</v>
      </c>
      <c r="G99" s="78" t="str">
        <f>'CRU historical'!L76</f>
        <v xml:space="preserve"> </v>
      </c>
      <c r="H99" s="78" t="str">
        <f>'CRU historical'!O76</f>
        <v xml:space="preserve"> </v>
      </c>
      <c r="I99" s="78">
        <f>'CRU historical'!R76</f>
        <v>658</v>
      </c>
      <c r="J99" s="78">
        <f>AVERAGE('CRU historical'!U76, 'CRU historical'!X76, 'CRU historical'!AA76, 'CRU historical'!AD76)</f>
        <v>353</v>
      </c>
      <c r="L99" s="78" cm="1">
        <f t="array" ref="L99">IFERROR(SUMPRODUCT(('Sulphuric Acid freights'!$B$3:$B$513=B109)*('Sulphuric Acid freights'!$D$3:$D$513=D99)*('Sulphuric Acid freights'!$P$3:$P$513))/SUMPRODUCT(('Sulphuric Acid freights'!$B$3:$B$513=B109)*('Sulphuric Acid freights'!$D$3:$D$513=D99)*1), AVERAGE('Sulphuric Acid freights'!$P$3:$P$513))*2/3</f>
        <v>54.110671936758898</v>
      </c>
      <c r="M99" s="78" cm="1">
        <f t="array" ref="M99">IFERROR(SUMPRODUCT(('Sulphuric Acid freights'!$B$3:$B$513=B109)*('Sulphuric Acid freights'!$D$3:$D$513=D99)*('Sulphuric Acid freights'!$M$3:$M$513))/SUMPRODUCT(('Sulphuric Acid freights'!$B$3:$B$513=B109)*('Sulphuric Acid freights'!$D$3:$D$513=D99)*1)*2/3, AVERAGE('Sulphuric Acid freights'!$M$3:$M$513))</f>
        <v>23.573122529644269</v>
      </c>
      <c r="N99" s="78">
        <f t="shared" si="28"/>
        <v>48.699604743083007</v>
      </c>
      <c r="O99" s="78" cm="1">
        <f t="array" ref="O99">IF(SUMPRODUCT(('Sulphur freight'!$B$3:$B$1976=B109)*('Sulphur freight'!$D$3:$D$1976=D99)*('Sulphur freight'!$G$3:$G$1976))/SUMPRODUCT(('Sulphur freight'!$B$3:$B$1976=B109)*('Sulphur freight'!$D$3:$D$1976=D99)*1)=0, AVERAGE('Sulphur freight'!$G$3:$G$1976),SUMPRODUCT(('Sulphur freight'!$B$3:$B$1976=B109)*('Sulphur freight'!$D$3:$D$1976=D99)*('Sulphur freight'!$G$3:$G$1976))/SUMPRODUCT(('Sulphur freight'!$B$3:$B$1976=B109)*('Sulphur freight'!$D$3:$D$1976=D99)*1))</f>
        <v>62</v>
      </c>
      <c r="P99" s="78">
        <v>20</v>
      </c>
      <c r="R99" s="78" t="str">
        <f t="shared" si="29"/>
        <v xml:space="preserve"> </v>
      </c>
      <c r="S99" s="78">
        <f t="shared" si="30"/>
        <v>126.57312252964427</v>
      </c>
      <c r="T99" s="78" t="str">
        <f t="shared" si="25"/>
        <v/>
      </c>
      <c r="U99" s="78" t="str">
        <f t="shared" si="31"/>
        <v/>
      </c>
      <c r="V99" s="78">
        <f>IFERROR(I99+O99, "")</f>
        <v>720</v>
      </c>
      <c r="W99" s="78">
        <f t="shared" si="32"/>
        <v>373</v>
      </c>
      <c r="X99" s="78">
        <f t="shared" si="33"/>
        <v>255.60000000000002</v>
      </c>
      <c r="Y99" s="78">
        <f t="shared" si="34"/>
        <v>141.09</v>
      </c>
      <c r="AA99" s="88" t="str">
        <f t="shared" si="35"/>
        <v/>
      </c>
      <c r="AB99" s="77" t="str">
        <f t="shared" si="26"/>
        <v/>
      </c>
      <c r="AD99" s="88" t="str">
        <f t="shared" si="36"/>
        <v/>
      </c>
      <c r="AE99" s="77" t="str">
        <f t="shared" si="27"/>
        <v/>
      </c>
    </row>
    <row r="100" spans="2:31" x14ac:dyDescent="0.35">
      <c r="B100">
        <v>2007</v>
      </c>
      <c r="C100">
        <v>2</v>
      </c>
      <c r="D100">
        <v>5</v>
      </c>
      <c r="E100" s="78" t="str">
        <f>'CRU historical'!F77</f>
        <v xml:space="preserve"> </v>
      </c>
      <c r="F100" s="78">
        <f>'CRU historical'!I77</f>
        <v>103</v>
      </c>
      <c r="G100" s="78" t="str">
        <f>'CRU historical'!L77</f>
        <v xml:space="preserve"> </v>
      </c>
      <c r="H100" s="78" t="str">
        <f>'CRU historical'!O77</f>
        <v xml:space="preserve"> </v>
      </c>
      <c r="I100" s="78">
        <f>'CRU historical'!R77</f>
        <v>716.5</v>
      </c>
      <c r="J100" s="78">
        <f>AVERAGE('CRU historical'!U77, 'CRU historical'!X77, 'CRU historical'!AA77, 'CRU historical'!AD77)</f>
        <v>353</v>
      </c>
      <c r="L100" s="78" cm="1">
        <f t="array" ref="L100">IFERROR(SUMPRODUCT(('Sulphuric Acid freights'!$B$3:$B$513=B110)*('Sulphuric Acid freights'!$D$3:$D$513=D100)*('Sulphuric Acid freights'!$P$3:$P$513))/SUMPRODUCT(('Sulphuric Acid freights'!$B$3:$B$513=B110)*('Sulphuric Acid freights'!$D$3:$D$513=D100)*1), AVERAGE('Sulphuric Acid freights'!$P$3:$P$513))*2/3</f>
        <v>54.110671936758898</v>
      </c>
      <c r="M100" s="78" cm="1">
        <f t="array" ref="M100">IFERROR(SUMPRODUCT(('Sulphuric Acid freights'!$B$3:$B$513=B110)*('Sulphuric Acid freights'!$D$3:$D$513=D100)*('Sulphuric Acid freights'!$M$3:$M$513))/SUMPRODUCT(('Sulphuric Acid freights'!$B$3:$B$513=B110)*('Sulphuric Acid freights'!$D$3:$D$513=D100)*1)*2/3, AVERAGE('Sulphuric Acid freights'!$M$3:$M$513))</f>
        <v>23.573122529644269</v>
      </c>
      <c r="N100" s="78">
        <f t="shared" si="28"/>
        <v>48.699604743083007</v>
      </c>
      <c r="O100" s="78" cm="1">
        <f t="array" ref="O100">IF(SUMPRODUCT(('Sulphur freight'!$B$3:$B$1976=B110)*('Sulphur freight'!$D$3:$D$1976=D100)*('Sulphur freight'!$G$3:$G$1976))/SUMPRODUCT(('Sulphur freight'!$B$3:$B$1976=B110)*('Sulphur freight'!$D$3:$D$1976=D100)*1)=0, AVERAGE('Sulphur freight'!$G$3:$G$1976),SUMPRODUCT(('Sulphur freight'!$B$3:$B$1976=B110)*('Sulphur freight'!$D$3:$D$1976=D100)*('Sulphur freight'!$G$3:$G$1976))/SUMPRODUCT(('Sulphur freight'!$B$3:$B$1976=B110)*('Sulphur freight'!$D$3:$D$1976=D100)*1))</f>
        <v>61</v>
      </c>
      <c r="P100" s="78">
        <v>20</v>
      </c>
      <c r="R100" s="78" t="str">
        <f t="shared" si="29"/>
        <v xml:space="preserve"> </v>
      </c>
      <c r="S100" s="78">
        <f t="shared" si="30"/>
        <v>126.57312252964427</v>
      </c>
      <c r="T100" s="78" t="str">
        <f t="shared" si="25"/>
        <v/>
      </c>
      <c r="U100" s="78" t="str">
        <f t="shared" si="31"/>
        <v/>
      </c>
      <c r="V100" s="78">
        <f>IFERROR(I100+O100, "")</f>
        <v>777.5</v>
      </c>
      <c r="W100" s="78">
        <f t="shared" si="32"/>
        <v>373</v>
      </c>
      <c r="X100" s="78">
        <f t="shared" si="33"/>
        <v>274.57499999999999</v>
      </c>
      <c r="Y100" s="78">
        <f t="shared" si="34"/>
        <v>141.09</v>
      </c>
      <c r="AA100" s="88" t="str">
        <f t="shared" si="35"/>
        <v/>
      </c>
      <c r="AB100" s="77" t="str">
        <f t="shared" si="26"/>
        <v/>
      </c>
      <c r="AD100" s="88" t="str">
        <f t="shared" si="36"/>
        <v/>
      </c>
      <c r="AE100" s="77" t="str">
        <f t="shared" si="27"/>
        <v/>
      </c>
    </row>
    <row r="101" spans="2:31" x14ac:dyDescent="0.35">
      <c r="B101">
        <v>2007</v>
      </c>
      <c r="C101">
        <v>2</v>
      </c>
      <c r="D101">
        <v>6</v>
      </c>
      <c r="E101" s="78" t="str">
        <f>'CRU historical'!F78</f>
        <v xml:space="preserve"> </v>
      </c>
      <c r="F101" s="78">
        <f>'CRU historical'!I78</f>
        <v>103</v>
      </c>
      <c r="G101" s="78" t="str">
        <f>'CRU historical'!L78</f>
        <v xml:space="preserve"> </v>
      </c>
      <c r="H101" s="78" t="str">
        <f>'CRU historical'!O78</f>
        <v xml:space="preserve"> </v>
      </c>
      <c r="I101" s="78">
        <f>'CRU historical'!R78</f>
        <v>806</v>
      </c>
      <c r="J101" s="78">
        <f>AVERAGE('CRU historical'!U78, 'CRU historical'!X78, 'CRU historical'!AA78, 'CRU historical'!AD78)</f>
        <v>353</v>
      </c>
      <c r="L101" s="78" cm="1">
        <f t="array" ref="L101">IFERROR(SUMPRODUCT(('Sulphuric Acid freights'!$B$3:$B$513=B111)*('Sulphuric Acid freights'!$D$3:$D$513=D101)*('Sulphuric Acid freights'!$P$3:$P$513))/SUMPRODUCT(('Sulphuric Acid freights'!$B$3:$B$513=B111)*('Sulphuric Acid freights'!$D$3:$D$513=D101)*1), AVERAGE('Sulphuric Acid freights'!$P$3:$P$513))*2/3</f>
        <v>54.110671936758898</v>
      </c>
      <c r="M101" s="78" cm="1">
        <f t="array" ref="M101">IFERROR(SUMPRODUCT(('Sulphuric Acid freights'!$B$3:$B$513=B111)*('Sulphuric Acid freights'!$D$3:$D$513=D101)*('Sulphuric Acid freights'!$M$3:$M$513))/SUMPRODUCT(('Sulphuric Acid freights'!$B$3:$B$513=B111)*('Sulphuric Acid freights'!$D$3:$D$513=D101)*1)*2/3, AVERAGE('Sulphuric Acid freights'!$M$3:$M$513))</f>
        <v>23.573122529644269</v>
      </c>
      <c r="N101" s="78">
        <f t="shared" si="28"/>
        <v>48.699604743083007</v>
      </c>
      <c r="O101" s="78" cm="1">
        <f t="array" ref="O101">IF(SUMPRODUCT(('Sulphur freight'!$B$3:$B$1976=B111)*('Sulphur freight'!$D$3:$D$1976=D101)*('Sulphur freight'!$G$3:$G$1976))/SUMPRODUCT(('Sulphur freight'!$B$3:$B$1976=B111)*('Sulphur freight'!$D$3:$D$1976=D101)*1)=0, AVERAGE('Sulphur freight'!$G$3:$G$1976),SUMPRODUCT(('Sulphur freight'!$B$3:$B$1976=B111)*('Sulphur freight'!$D$3:$D$1976=D101)*('Sulphur freight'!$G$3:$G$1976))/SUMPRODUCT(('Sulphur freight'!$B$3:$B$1976=B111)*('Sulphur freight'!$D$3:$D$1976=D101)*1))</f>
        <v>58</v>
      </c>
      <c r="P101" s="78">
        <v>20</v>
      </c>
      <c r="R101" s="78" t="str">
        <f t="shared" si="29"/>
        <v xml:space="preserve"> </v>
      </c>
      <c r="S101" s="78">
        <f t="shared" si="30"/>
        <v>126.57312252964427</v>
      </c>
      <c r="T101" s="78" t="str">
        <f t="shared" si="25"/>
        <v/>
      </c>
      <c r="U101" s="78" t="str">
        <f t="shared" si="31"/>
        <v/>
      </c>
      <c r="V101" s="78">
        <f>IFERROR(I101+O101, "")</f>
        <v>864</v>
      </c>
      <c r="W101" s="78">
        <f t="shared" si="32"/>
        <v>373</v>
      </c>
      <c r="X101" s="78">
        <f t="shared" si="33"/>
        <v>303.12</v>
      </c>
      <c r="Y101" s="78">
        <f t="shared" si="34"/>
        <v>141.09</v>
      </c>
      <c r="AA101" s="88" t="str">
        <f t="shared" si="35"/>
        <v/>
      </c>
      <c r="AB101" s="77" t="str">
        <f t="shared" si="26"/>
        <v/>
      </c>
      <c r="AD101" s="88" t="str">
        <f t="shared" si="36"/>
        <v/>
      </c>
      <c r="AE101" s="77" t="str">
        <f t="shared" si="27"/>
        <v/>
      </c>
    </row>
    <row r="102" spans="2:31" x14ac:dyDescent="0.35">
      <c r="B102">
        <v>2007</v>
      </c>
      <c r="C102">
        <v>3</v>
      </c>
      <c r="D102">
        <v>7</v>
      </c>
      <c r="E102" s="78" t="str">
        <f>'CRU historical'!F79</f>
        <v xml:space="preserve"> </v>
      </c>
      <c r="F102" s="78">
        <f>'CRU historical'!I79</f>
        <v>103</v>
      </c>
      <c r="G102" s="78" t="str">
        <f>'CRU historical'!L79</f>
        <v xml:space="preserve"> </v>
      </c>
      <c r="H102" s="78" t="str">
        <f>'CRU historical'!O79</f>
        <v xml:space="preserve"> </v>
      </c>
      <c r="I102" s="78">
        <f>'CRU historical'!R79</f>
        <v>787.66666666666663</v>
      </c>
      <c r="J102" s="78">
        <f>AVERAGE('CRU historical'!U79, 'CRU historical'!X79, 'CRU historical'!AA79, 'CRU historical'!AD79)</f>
        <v>616.33333333333337</v>
      </c>
      <c r="L102" s="78" cm="1">
        <f t="array" ref="L102">IFERROR(SUMPRODUCT(('Sulphuric Acid freights'!$B$3:$B$513=B112)*('Sulphuric Acid freights'!$D$3:$D$513=D102)*('Sulphuric Acid freights'!$P$3:$P$513))/SUMPRODUCT(('Sulphuric Acid freights'!$B$3:$B$513=B112)*('Sulphuric Acid freights'!$D$3:$D$513=D102)*1), AVERAGE('Sulphuric Acid freights'!$P$3:$P$513))*2/3</f>
        <v>54.110671936758898</v>
      </c>
      <c r="M102" s="78" cm="1">
        <f t="array" ref="M102">IFERROR(SUMPRODUCT(('Sulphuric Acid freights'!$B$3:$B$513=B112)*('Sulphuric Acid freights'!$D$3:$D$513=D102)*('Sulphuric Acid freights'!$M$3:$M$513))/SUMPRODUCT(('Sulphuric Acid freights'!$B$3:$B$513=B112)*('Sulphuric Acid freights'!$D$3:$D$513=D102)*1)*2/3, AVERAGE('Sulphuric Acid freights'!$M$3:$M$513))</f>
        <v>23.573122529644269</v>
      </c>
      <c r="N102" s="78">
        <f t="shared" si="28"/>
        <v>48.699604743083007</v>
      </c>
      <c r="O102" s="78" cm="1">
        <f t="array" ref="O102">IF(SUMPRODUCT(('Sulphur freight'!$B$3:$B$1976=B112)*('Sulphur freight'!$D$3:$D$1976=D102)*('Sulphur freight'!$G$3:$G$1976))/SUMPRODUCT(('Sulphur freight'!$B$3:$B$1976=B112)*('Sulphur freight'!$D$3:$D$1976=D102)*1)=0, AVERAGE('Sulphur freight'!$G$3:$G$1976),SUMPRODUCT(('Sulphur freight'!$B$3:$B$1976=B112)*('Sulphur freight'!$D$3:$D$1976=D102)*('Sulphur freight'!$G$3:$G$1976))/SUMPRODUCT(('Sulphur freight'!$B$3:$B$1976=B112)*('Sulphur freight'!$D$3:$D$1976=D102)*1))</f>
        <v>56.2</v>
      </c>
      <c r="P102" s="78">
        <v>20</v>
      </c>
      <c r="R102" s="78" t="str">
        <f t="shared" si="29"/>
        <v xml:space="preserve"> </v>
      </c>
      <c r="S102" s="78">
        <f t="shared" si="30"/>
        <v>126.57312252964427</v>
      </c>
      <c r="T102" s="78" t="str">
        <f t="shared" si="25"/>
        <v/>
      </c>
      <c r="U102" s="78" t="str">
        <f t="shared" si="31"/>
        <v/>
      </c>
      <c r="V102" s="78">
        <f>IFERROR(I102+O102, "")</f>
        <v>843.86666666666667</v>
      </c>
      <c r="W102" s="78">
        <f t="shared" si="32"/>
        <v>636.33333333333337</v>
      </c>
      <c r="X102" s="78">
        <f t="shared" si="33"/>
        <v>296.476</v>
      </c>
      <c r="Y102" s="78">
        <f t="shared" si="34"/>
        <v>227.99</v>
      </c>
      <c r="AA102" s="88" t="str">
        <f t="shared" si="35"/>
        <v/>
      </c>
      <c r="AB102" s="77" t="str">
        <f t="shared" si="26"/>
        <v/>
      </c>
      <c r="AD102" s="88" t="str">
        <f t="shared" si="36"/>
        <v/>
      </c>
      <c r="AE102" s="77" t="str">
        <f t="shared" si="27"/>
        <v/>
      </c>
    </row>
    <row r="103" spans="2:31" x14ac:dyDescent="0.35">
      <c r="B103">
        <v>2007</v>
      </c>
      <c r="C103">
        <v>3</v>
      </c>
      <c r="D103">
        <v>8</v>
      </c>
      <c r="E103" s="78" t="str">
        <f>'CRU historical'!F80</f>
        <v xml:space="preserve"> </v>
      </c>
      <c r="F103" s="78">
        <f>'CRU historical'!I80</f>
        <v>103</v>
      </c>
      <c r="G103" s="78" t="str">
        <f>'CRU historical'!L80</f>
        <v xml:space="preserve"> </v>
      </c>
      <c r="H103" s="78" t="str">
        <f>'CRU historical'!O80</f>
        <v xml:space="preserve"> </v>
      </c>
      <c r="I103" s="78">
        <f>'CRU historical'!R80</f>
        <v>755</v>
      </c>
      <c r="J103" s="78">
        <f>AVERAGE('CRU historical'!U80, 'CRU historical'!X80, 'CRU historical'!AA80, 'CRU historical'!AD80)</f>
        <v>618.75</v>
      </c>
      <c r="L103" s="78" cm="1">
        <f t="array" ref="L103">IFERROR(SUMPRODUCT(('Sulphuric Acid freights'!$B$3:$B$513=B113)*('Sulphuric Acid freights'!$D$3:$D$513=D103)*('Sulphuric Acid freights'!$P$3:$P$513))/SUMPRODUCT(('Sulphuric Acid freights'!$B$3:$B$513=B113)*('Sulphuric Acid freights'!$D$3:$D$513=D103)*1), AVERAGE('Sulphuric Acid freights'!$P$3:$P$513))*2/3</f>
        <v>54.110671936758898</v>
      </c>
      <c r="M103" s="78" cm="1">
        <f t="array" ref="M103">IFERROR(SUMPRODUCT(('Sulphuric Acid freights'!$B$3:$B$513=B113)*('Sulphuric Acid freights'!$D$3:$D$513=D103)*('Sulphuric Acid freights'!$M$3:$M$513))/SUMPRODUCT(('Sulphuric Acid freights'!$B$3:$B$513=B113)*('Sulphuric Acid freights'!$D$3:$D$513=D103)*1)*2/3, AVERAGE('Sulphuric Acid freights'!$M$3:$M$513))</f>
        <v>23.573122529644269</v>
      </c>
      <c r="N103" s="78">
        <f t="shared" si="28"/>
        <v>48.699604743083007</v>
      </c>
      <c r="O103" s="78" cm="1">
        <f t="array" ref="O103">IF(SUMPRODUCT(('Sulphur freight'!$B$3:$B$1976=B113)*('Sulphur freight'!$D$3:$D$1976=D103)*('Sulphur freight'!$G$3:$G$1976))/SUMPRODUCT(('Sulphur freight'!$B$3:$B$1976=B113)*('Sulphur freight'!$D$3:$D$1976=D103)*1)=0, AVERAGE('Sulphur freight'!$G$3:$G$1976),SUMPRODUCT(('Sulphur freight'!$B$3:$B$1976=B113)*('Sulphur freight'!$D$3:$D$1976=D103)*('Sulphur freight'!$G$3:$G$1976))/SUMPRODUCT(('Sulphur freight'!$B$3:$B$1976=B113)*('Sulphur freight'!$D$3:$D$1976=D103)*1))</f>
        <v>50.5</v>
      </c>
      <c r="P103" s="78">
        <v>20</v>
      </c>
      <c r="R103" s="78" t="str">
        <f t="shared" si="29"/>
        <v xml:space="preserve"> </v>
      </c>
      <c r="S103" s="78">
        <f t="shared" si="30"/>
        <v>126.57312252964427</v>
      </c>
      <c r="T103" s="78" t="str">
        <f t="shared" si="25"/>
        <v/>
      </c>
      <c r="U103" s="78" t="str">
        <f t="shared" si="31"/>
        <v/>
      </c>
      <c r="V103" s="78">
        <f>IFERROR(I103+O103, "")</f>
        <v>805.5</v>
      </c>
      <c r="W103" s="78">
        <f t="shared" si="32"/>
        <v>638.75</v>
      </c>
      <c r="X103" s="78">
        <f t="shared" si="33"/>
        <v>283.815</v>
      </c>
      <c r="Y103" s="78">
        <f t="shared" si="34"/>
        <v>228.78750000000002</v>
      </c>
      <c r="AA103" s="88" t="str">
        <f t="shared" si="35"/>
        <v/>
      </c>
      <c r="AB103" s="77" t="str">
        <f t="shared" si="26"/>
        <v/>
      </c>
      <c r="AD103" s="88" t="str">
        <f t="shared" si="36"/>
        <v/>
      </c>
      <c r="AE103" s="77" t="str">
        <f t="shared" si="27"/>
        <v/>
      </c>
    </row>
    <row r="104" spans="2:31" x14ac:dyDescent="0.35">
      <c r="B104">
        <v>2007</v>
      </c>
      <c r="C104">
        <v>3</v>
      </c>
      <c r="D104">
        <v>9</v>
      </c>
      <c r="E104" s="78" t="str">
        <f>'CRU historical'!F81</f>
        <v xml:space="preserve"> </v>
      </c>
      <c r="F104" s="78">
        <f>'CRU historical'!I81</f>
        <v>275</v>
      </c>
      <c r="G104" s="78" t="str">
        <f>'CRU historical'!L81</f>
        <v xml:space="preserve"> </v>
      </c>
      <c r="H104" s="78" t="str">
        <f>'CRU historical'!O81</f>
        <v xml:space="preserve"> </v>
      </c>
      <c r="I104" s="78">
        <f>'CRU historical'!R81</f>
        <v>444.33333333333331</v>
      </c>
      <c r="J104" s="78">
        <f>AVERAGE('CRU historical'!U81, 'CRU historical'!X81, 'CRU historical'!AA81, 'CRU historical'!AD81)</f>
        <v>615</v>
      </c>
      <c r="L104" s="78" cm="1">
        <f t="array" ref="L104">IFERROR(SUMPRODUCT(('Sulphuric Acid freights'!$B$3:$B$513=B114)*('Sulphuric Acid freights'!$D$3:$D$513=D104)*('Sulphuric Acid freights'!$P$3:$P$513))/SUMPRODUCT(('Sulphuric Acid freights'!$B$3:$B$513=B114)*('Sulphuric Acid freights'!$D$3:$D$513=D104)*1), AVERAGE('Sulphuric Acid freights'!$P$3:$P$513))*2/3</f>
        <v>54.110671936758898</v>
      </c>
      <c r="M104" s="78" cm="1">
        <f t="array" ref="M104">IFERROR(SUMPRODUCT(('Sulphuric Acid freights'!$B$3:$B$513=B114)*('Sulphuric Acid freights'!$D$3:$D$513=D104)*('Sulphuric Acid freights'!$M$3:$M$513))/SUMPRODUCT(('Sulphuric Acid freights'!$B$3:$B$513=B114)*('Sulphuric Acid freights'!$D$3:$D$513=D104)*1)*2/3, AVERAGE('Sulphuric Acid freights'!$M$3:$M$513))</f>
        <v>23.573122529644269</v>
      </c>
      <c r="N104" s="78">
        <f t="shared" si="28"/>
        <v>48.699604743083007</v>
      </c>
      <c r="O104" s="78" cm="1">
        <f t="array" ref="O104">IF(SUMPRODUCT(('Sulphur freight'!$B$3:$B$1976=B114)*('Sulphur freight'!$D$3:$D$1976=D104)*('Sulphur freight'!$G$3:$G$1976))/SUMPRODUCT(('Sulphur freight'!$B$3:$B$1976=B114)*('Sulphur freight'!$D$3:$D$1976=D104)*1)=0, AVERAGE('Sulphur freight'!$G$3:$G$1976),SUMPRODUCT(('Sulphur freight'!$B$3:$B$1976=B114)*('Sulphur freight'!$D$3:$D$1976=D104)*('Sulphur freight'!$G$3:$G$1976))/SUMPRODUCT(('Sulphur freight'!$B$3:$B$1976=B114)*('Sulphur freight'!$D$3:$D$1976=D104)*1))</f>
        <v>41.5</v>
      </c>
      <c r="P104" s="78">
        <v>20</v>
      </c>
      <c r="R104" s="78" t="str">
        <f t="shared" si="29"/>
        <v xml:space="preserve"> </v>
      </c>
      <c r="S104" s="78">
        <f t="shared" si="30"/>
        <v>298.57312252964425</v>
      </c>
      <c r="T104" s="78" t="str">
        <f t="shared" si="25"/>
        <v/>
      </c>
      <c r="U104" s="78" t="str">
        <f t="shared" si="31"/>
        <v/>
      </c>
      <c r="V104" s="78">
        <f>IFERROR(I104+O104, "")</f>
        <v>485.83333333333331</v>
      </c>
      <c r="W104" s="78">
        <f t="shared" si="32"/>
        <v>635</v>
      </c>
      <c r="X104" s="78">
        <f t="shared" si="33"/>
        <v>178.32499999999999</v>
      </c>
      <c r="Y104" s="78">
        <f t="shared" si="34"/>
        <v>227.55</v>
      </c>
      <c r="AA104" s="88" t="str">
        <f t="shared" si="35"/>
        <v/>
      </c>
      <c r="AB104" s="77" t="str">
        <f t="shared" si="26"/>
        <v/>
      </c>
      <c r="AD104" s="88" t="str">
        <f t="shared" si="36"/>
        <v/>
      </c>
      <c r="AE104" s="77" t="str">
        <f t="shared" si="27"/>
        <v/>
      </c>
    </row>
    <row r="105" spans="2:31" x14ac:dyDescent="0.35">
      <c r="B105">
        <v>2007</v>
      </c>
      <c r="C105">
        <v>4</v>
      </c>
      <c r="D105">
        <v>10</v>
      </c>
      <c r="E105" s="78" t="str">
        <f>'CRU historical'!F82</f>
        <v xml:space="preserve"> </v>
      </c>
      <c r="F105" s="78">
        <f>'CRU historical'!I82</f>
        <v>271</v>
      </c>
      <c r="G105" s="78" t="str">
        <f>'CRU historical'!L82</f>
        <v xml:space="preserve"> </v>
      </c>
      <c r="H105" s="78" t="str">
        <f>'CRU historical'!O82</f>
        <v xml:space="preserve"> </v>
      </c>
      <c r="I105" s="78">
        <f>'CRU historical'!R82</f>
        <v>160.6</v>
      </c>
      <c r="J105" s="78">
        <f>AVERAGE('CRU historical'!U82, 'CRU historical'!X82, 'CRU historical'!AA82, 'CRU historical'!AD82)</f>
        <v>335</v>
      </c>
      <c r="L105" s="78" cm="1">
        <f t="array" ref="L105">IFERROR(SUMPRODUCT(('Sulphuric Acid freights'!$B$3:$B$513=B115)*('Sulphuric Acid freights'!$D$3:$D$513=D105)*('Sulphuric Acid freights'!$P$3:$P$513))/SUMPRODUCT(('Sulphuric Acid freights'!$B$3:$B$513=B115)*('Sulphuric Acid freights'!$D$3:$D$513=D105)*1), AVERAGE('Sulphuric Acid freights'!$P$3:$P$513))*2/3</f>
        <v>54.110671936758898</v>
      </c>
      <c r="M105" s="78" cm="1">
        <f t="array" ref="M105">IFERROR(SUMPRODUCT(('Sulphuric Acid freights'!$B$3:$B$513=B115)*('Sulphuric Acid freights'!$D$3:$D$513=D105)*('Sulphuric Acid freights'!$M$3:$M$513))/SUMPRODUCT(('Sulphuric Acid freights'!$B$3:$B$513=B115)*('Sulphuric Acid freights'!$D$3:$D$513=D105)*1)*2/3, AVERAGE('Sulphuric Acid freights'!$M$3:$M$513))</f>
        <v>23.573122529644269</v>
      </c>
      <c r="N105" s="78">
        <f t="shared" si="28"/>
        <v>48.699604743083007</v>
      </c>
      <c r="O105" s="78" cm="1">
        <f t="array" ref="O105">IF(SUMPRODUCT(('Sulphur freight'!$B$3:$B$1976=B115)*('Sulphur freight'!$D$3:$D$1976=D105)*('Sulphur freight'!$G$3:$G$1976))/SUMPRODUCT(('Sulphur freight'!$B$3:$B$1976=B115)*('Sulphur freight'!$D$3:$D$1976=D105)*1)=0, AVERAGE('Sulphur freight'!$G$3:$G$1976),SUMPRODUCT(('Sulphur freight'!$B$3:$B$1976=B115)*('Sulphur freight'!$D$3:$D$1976=D105)*('Sulphur freight'!$G$3:$G$1976))/SUMPRODUCT(('Sulphur freight'!$B$3:$B$1976=B115)*('Sulphur freight'!$D$3:$D$1976=D105)*1))</f>
        <v>24.4</v>
      </c>
      <c r="P105" s="78">
        <v>20</v>
      </c>
      <c r="R105" s="78" t="str">
        <f t="shared" si="29"/>
        <v xml:space="preserve"> </v>
      </c>
      <c r="S105" s="78">
        <f t="shared" si="30"/>
        <v>294.57312252964425</v>
      </c>
      <c r="T105" s="78" t="str">
        <f t="shared" si="25"/>
        <v/>
      </c>
      <c r="U105" s="78" t="str">
        <f t="shared" si="31"/>
        <v/>
      </c>
      <c r="V105" s="78">
        <f>IFERROR(I105+O105, "")</f>
        <v>185</v>
      </c>
      <c r="W105" s="78">
        <f t="shared" si="32"/>
        <v>355</v>
      </c>
      <c r="X105" s="78">
        <f t="shared" si="33"/>
        <v>79.050000000000011</v>
      </c>
      <c r="Y105" s="78">
        <f t="shared" si="34"/>
        <v>135.15</v>
      </c>
      <c r="AA105" s="88" t="str">
        <f t="shared" si="35"/>
        <v/>
      </c>
      <c r="AB105" s="77" t="str">
        <f t="shared" si="26"/>
        <v/>
      </c>
      <c r="AD105" s="88" t="str">
        <f t="shared" si="36"/>
        <v/>
      </c>
      <c r="AE105" s="77" t="str">
        <f t="shared" si="27"/>
        <v/>
      </c>
    </row>
    <row r="106" spans="2:31" x14ac:dyDescent="0.35">
      <c r="B106">
        <v>2008</v>
      </c>
      <c r="C106">
        <v>4</v>
      </c>
      <c r="D106">
        <v>11</v>
      </c>
      <c r="E106" s="78" t="str">
        <f>'CRU historical'!F83</f>
        <v xml:space="preserve"> </v>
      </c>
      <c r="F106" s="78">
        <f>'CRU historical'!I83</f>
        <v>255</v>
      </c>
      <c r="G106" s="78" t="str">
        <f>'CRU historical'!L83</f>
        <v xml:space="preserve"> </v>
      </c>
      <c r="H106" s="78" t="str">
        <f>'CRU historical'!O83</f>
        <v xml:space="preserve"> </v>
      </c>
      <c r="I106" s="78">
        <f>'CRU historical'!R83</f>
        <v>47.75</v>
      </c>
      <c r="J106" s="78">
        <f>AVERAGE('CRU historical'!U83, 'CRU historical'!X83, 'CRU historical'!AA83, 'CRU historical'!AD83)</f>
        <v>207.5</v>
      </c>
      <c r="L106" s="78" cm="1">
        <f t="array" ref="L106">IFERROR(SUMPRODUCT(('Sulphuric Acid freights'!$B$3:$B$513=B116)*('Sulphuric Acid freights'!$D$3:$D$513=D106)*('Sulphuric Acid freights'!$P$3:$P$513))/SUMPRODUCT(('Sulphuric Acid freights'!$B$3:$B$513=B116)*('Sulphuric Acid freights'!$D$3:$D$513=D106)*1), AVERAGE('Sulphuric Acid freights'!$P$3:$P$513))*2/3</f>
        <v>54.110671936758898</v>
      </c>
      <c r="M106" s="78" cm="1">
        <f t="array" ref="M106">IFERROR(SUMPRODUCT(('Sulphuric Acid freights'!$B$3:$B$513=B116)*('Sulphuric Acid freights'!$D$3:$D$513=D106)*('Sulphuric Acid freights'!$M$3:$M$513))/SUMPRODUCT(('Sulphuric Acid freights'!$B$3:$B$513=B116)*('Sulphuric Acid freights'!$D$3:$D$513=D106)*1)*2/3, AVERAGE('Sulphuric Acid freights'!$M$3:$M$513))</f>
        <v>23.573122529644269</v>
      </c>
      <c r="N106" s="78">
        <f t="shared" si="28"/>
        <v>48.699604743083007</v>
      </c>
      <c r="O106" s="78" cm="1">
        <f t="array" ref="O106">IF(SUMPRODUCT(('Sulphur freight'!$B$3:$B$1976=B116)*('Sulphur freight'!$D$3:$D$1976=D106)*('Sulphur freight'!$G$3:$G$1976))/SUMPRODUCT(('Sulphur freight'!$B$3:$B$1976=B116)*('Sulphur freight'!$D$3:$D$1976=D106)*1)=0, AVERAGE('Sulphur freight'!$G$3:$G$1976),SUMPRODUCT(('Sulphur freight'!$B$3:$B$1976=B116)*('Sulphur freight'!$D$3:$D$1976=D106)*('Sulphur freight'!$G$3:$G$1976))/SUMPRODUCT(('Sulphur freight'!$B$3:$B$1976=B116)*('Sulphur freight'!$D$3:$D$1976=D106)*1))</f>
        <v>15.5</v>
      </c>
      <c r="P106" s="78">
        <v>20</v>
      </c>
      <c r="R106" s="78" t="str">
        <f t="shared" si="29"/>
        <v xml:space="preserve"> </v>
      </c>
      <c r="S106" s="78">
        <f t="shared" si="30"/>
        <v>278.57312252964425</v>
      </c>
      <c r="T106" s="78" t="str">
        <f t="shared" si="25"/>
        <v/>
      </c>
      <c r="U106" s="78" t="str">
        <f t="shared" si="31"/>
        <v/>
      </c>
      <c r="V106" s="78">
        <f>IFERROR(I106+O106, "")</f>
        <v>63.25</v>
      </c>
      <c r="W106" s="78">
        <f t="shared" si="32"/>
        <v>227.5</v>
      </c>
      <c r="X106" s="78">
        <f t="shared" si="33"/>
        <v>38.872500000000002</v>
      </c>
      <c r="Y106" s="78">
        <f t="shared" si="34"/>
        <v>93.075000000000003</v>
      </c>
      <c r="AA106" s="88" t="str">
        <f t="shared" si="35"/>
        <v/>
      </c>
      <c r="AB106" s="77" t="str">
        <f t="shared" si="26"/>
        <v/>
      </c>
      <c r="AD106" s="88" t="str">
        <f t="shared" si="36"/>
        <v/>
      </c>
      <c r="AE106" s="77" t="str">
        <f t="shared" si="27"/>
        <v/>
      </c>
    </row>
    <row r="107" spans="2:31" x14ac:dyDescent="0.35">
      <c r="B107">
        <v>2008</v>
      </c>
      <c r="C107">
        <v>4</v>
      </c>
      <c r="D107">
        <v>12</v>
      </c>
      <c r="E107" s="78" t="str">
        <f>'CRU historical'!F84</f>
        <v xml:space="preserve"> </v>
      </c>
      <c r="F107" s="78">
        <f>'CRU historical'!I84</f>
        <v>35</v>
      </c>
      <c r="G107" s="78" t="str">
        <f>'CRU historical'!L84</f>
        <v xml:space="preserve"> </v>
      </c>
      <c r="H107" s="78" t="str">
        <f>'CRU historical'!O84</f>
        <v xml:space="preserve"> </v>
      </c>
      <c r="I107" s="78">
        <f>'CRU historical'!R84</f>
        <v>53.666666666666664</v>
      </c>
      <c r="J107" s="78">
        <f>AVERAGE('CRU historical'!U84, 'CRU historical'!X84, 'CRU historical'!AA84, 'CRU historical'!AD84)</f>
        <v>200.83333333333334</v>
      </c>
      <c r="L107" s="78" cm="1">
        <f t="array" ref="L107">IFERROR(SUMPRODUCT(('Sulphuric Acid freights'!$B$3:$B$513=B117)*('Sulphuric Acid freights'!$D$3:$D$513=D107)*('Sulphuric Acid freights'!$P$3:$P$513))/SUMPRODUCT(('Sulphuric Acid freights'!$B$3:$B$513=B117)*('Sulphuric Acid freights'!$D$3:$D$513=D107)*1), AVERAGE('Sulphuric Acid freights'!$P$3:$P$513))*2/3</f>
        <v>54.110671936758898</v>
      </c>
      <c r="M107" s="78" cm="1">
        <f t="array" ref="M107">IFERROR(SUMPRODUCT(('Sulphuric Acid freights'!$B$3:$B$513=B117)*('Sulphuric Acid freights'!$D$3:$D$513=D107)*('Sulphuric Acid freights'!$M$3:$M$513))/SUMPRODUCT(('Sulphuric Acid freights'!$B$3:$B$513=B117)*('Sulphuric Acid freights'!$D$3:$D$513=D107)*1)*2/3, AVERAGE('Sulphuric Acid freights'!$M$3:$M$513))</f>
        <v>23.573122529644269</v>
      </c>
      <c r="N107" s="78">
        <f t="shared" si="28"/>
        <v>48.699604743083007</v>
      </c>
      <c r="O107" s="78" cm="1">
        <f t="array" ref="O107">IF(SUMPRODUCT(('Sulphur freight'!$B$3:$B$1976=B117)*('Sulphur freight'!$D$3:$D$1976=D107)*('Sulphur freight'!$G$3:$G$1976))/SUMPRODUCT(('Sulphur freight'!$B$3:$B$1976=B117)*('Sulphur freight'!$D$3:$D$1976=D107)*1)=0, AVERAGE('Sulphur freight'!$G$3:$G$1976),SUMPRODUCT(('Sulphur freight'!$B$3:$B$1976=B117)*('Sulphur freight'!$D$3:$D$1976=D107)*('Sulphur freight'!$G$3:$G$1976))/SUMPRODUCT(('Sulphur freight'!$B$3:$B$1976=B117)*('Sulphur freight'!$D$3:$D$1976=D107)*1))</f>
        <v>15</v>
      </c>
      <c r="P107" s="78">
        <v>20</v>
      </c>
      <c r="R107" s="78" t="str">
        <f t="shared" si="29"/>
        <v xml:space="preserve"> </v>
      </c>
      <c r="S107" s="78">
        <f t="shared" si="30"/>
        <v>58.573122529644266</v>
      </c>
      <c r="T107" s="78" t="str">
        <f t="shared" si="25"/>
        <v/>
      </c>
      <c r="U107" s="78" t="str">
        <f t="shared" si="31"/>
        <v/>
      </c>
      <c r="V107" s="78">
        <f>IFERROR(I107+O107, "")</f>
        <v>68.666666666666657</v>
      </c>
      <c r="W107" s="78">
        <f t="shared" si="32"/>
        <v>220.83333333333334</v>
      </c>
      <c r="X107" s="78">
        <f t="shared" si="33"/>
        <v>40.659999999999997</v>
      </c>
      <c r="Y107" s="78">
        <f t="shared" si="34"/>
        <v>90.875</v>
      </c>
      <c r="AA107" s="88" t="str">
        <f t="shared" si="35"/>
        <v/>
      </c>
      <c r="AB107" s="77" t="str">
        <f t="shared" si="26"/>
        <v/>
      </c>
      <c r="AD107" s="88" t="str">
        <f t="shared" si="36"/>
        <v/>
      </c>
      <c r="AE107" s="77" t="str">
        <f t="shared" si="27"/>
        <v/>
      </c>
    </row>
    <row r="108" spans="2:31" x14ac:dyDescent="0.35">
      <c r="B108">
        <v>2008</v>
      </c>
      <c r="C108">
        <v>1</v>
      </c>
      <c r="D108">
        <v>1</v>
      </c>
      <c r="E108" s="78" t="str">
        <f>'CRU historical'!F85</f>
        <v xml:space="preserve"> </v>
      </c>
      <c r="F108" s="78">
        <f>'CRU historical'!I85</f>
        <v>35</v>
      </c>
      <c r="G108" s="78" t="str">
        <f>'CRU historical'!L85</f>
        <v xml:space="preserve"> </v>
      </c>
      <c r="H108" s="78" t="str">
        <f>'CRU historical'!O85</f>
        <v xml:space="preserve"> </v>
      </c>
      <c r="I108" s="78">
        <f>'CRU historical'!R85</f>
        <v>45.8</v>
      </c>
      <c r="J108" s="78">
        <f>AVERAGE('CRU historical'!U85, 'CRU historical'!X85, 'CRU historical'!AA85, 'CRU historical'!AD85)</f>
        <v>187.5</v>
      </c>
      <c r="L108" s="78" cm="1">
        <f t="array" ref="L108">IFERROR(SUMPRODUCT(('Sulphuric Acid freights'!$B$3:$B$513=B118)*('Sulphuric Acid freights'!$D$3:$D$513=D108)*('Sulphuric Acid freights'!$P$3:$P$513))/SUMPRODUCT(('Sulphuric Acid freights'!$B$3:$B$513=B118)*('Sulphuric Acid freights'!$D$3:$D$513=D108)*1), AVERAGE('Sulphuric Acid freights'!$P$3:$P$513))*2/3</f>
        <v>54.110671936758898</v>
      </c>
      <c r="M108" s="78" cm="1">
        <f t="array" ref="M108">IFERROR(SUMPRODUCT(('Sulphuric Acid freights'!$B$3:$B$513=B118)*('Sulphuric Acid freights'!$D$3:$D$513=D108)*('Sulphuric Acid freights'!$M$3:$M$513))/SUMPRODUCT(('Sulphuric Acid freights'!$B$3:$B$513=B118)*('Sulphuric Acid freights'!$D$3:$D$513=D108)*1)*2/3, AVERAGE('Sulphuric Acid freights'!$M$3:$M$513))</f>
        <v>23.573122529644269</v>
      </c>
      <c r="N108" s="78">
        <f t="shared" si="28"/>
        <v>48.699604743083007</v>
      </c>
      <c r="O108" s="78" cm="1">
        <f t="array" ref="O108">IF(SUMPRODUCT(('Sulphur freight'!$B$3:$B$1976=B118)*('Sulphur freight'!$D$3:$D$1976=D108)*('Sulphur freight'!$G$3:$G$1976))/SUMPRODUCT(('Sulphur freight'!$B$3:$B$1976=B118)*('Sulphur freight'!$D$3:$D$1976=D108)*1)=0, AVERAGE('Sulphur freight'!$G$3:$G$1976),SUMPRODUCT(('Sulphur freight'!$B$3:$B$1976=B118)*('Sulphur freight'!$D$3:$D$1976=D108)*('Sulphur freight'!$G$3:$G$1976))/SUMPRODUCT(('Sulphur freight'!$B$3:$B$1976=B118)*('Sulphur freight'!$D$3:$D$1976=D108)*1))</f>
        <v>16.8</v>
      </c>
      <c r="P108" s="78">
        <v>20</v>
      </c>
      <c r="R108" s="78" t="str">
        <f t="shared" si="29"/>
        <v xml:space="preserve"> </v>
      </c>
      <c r="S108" s="78">
        <f t="shared" si="30"/>
        <v>58.573122529644266</v>
      </c>
      <c r="T108" s="78" t="str">
        <f t="shared" si="25"/>
        <v/>
      </c>
      <c r="U108" s="78" t="str">
        <f t="shared" si="31"/>
        <v/>
      </c>
      <c r="V108" s="78">
        <f>IFERROR(I108+O108, "")</f>
        <v>62.599999999999994</v>
      </c>
      <c r="W108" s="78">
        <f t="shared" si="32"/>
        <v>207.5</v>
      </c>
      <c r="X108" s="78">
        <f t="shared" si="33"/>
        <v>38.658000000000001</v>
      </c>
      <c r="Y108" s="78">
        <f t="shared" si="34"/>
        <v>86.475000000000009</v>
      </c>
      <c r="AA108" s="88" t="str">
        <f t="shared" si="35"/>
        <v/>
      </c>
      <c r="AB108" s="77" t="str">
        <f t="shared" si="26"/>
        <v/>
      </c>
      <c r="AD108" s="88" t="str">
        <f t="shared" si="36"/>
        <v/>
      </c>
      <c r="AE108" s="77" t="str">
        <f t="shared" si="27"/>
        <v/>
      </c>
    </row>
    <row r="109" spans="2:31" x14ac:dyDescent="0.35">
      <c r="B109">
        <v>2008</v>
      </c>
      <c r="C109">
        <v>1</v>
      </c>
      <c r="D109">
        <v>2</v>
      </c>
      <c r="E109" s="78" t="str">
        <f>'CRU historical'!F86</f>
        <v xml:space="preserve"> </v>
      </c>
      <c r="F109" s="78">
        <f>'CRU historical'!I86</f>
        <v>23.75</v>
      </c>
      <c r="G109" s="78" t="str">
        <f>'CRU historical'!L86</f>
        <v xml:space="preserve"> </v>
      </c>
      <c r="H109" s="78" t="str">
        <f>'CRU historical'!O86</f>
        <v xml:space="preserve"> </v>
      </c>
      <c r="I109" s="78">
        <f>'CRU historical'!R86</f>
        <v>49.5</v>
      </c>
      <c r="J109" s="78">
        <f>AVERAGE('CRU historical'!U86, 'CRU historical'!X86, 'CRU historical'!AA86, 'CRU historical'!AD86)</f>
        <v>27.5</v>
      </c>
      <c r="L109" s="78" cm="1">
        <f t="array" ref="L109">IFERROR(SUMPRODUCT(('Sulphuric Acid freights'!$B$3:$B$513=B119)*('Sulphuric Acid freights'!$D$3:$D$513=D109)*('Sulphuric Acid freights'!$P$3:$P$513))/SUMPRODUCT(('Sulphuric Acid freights'!$B$3:$B$513=B119)*('Sulphuric Acid freights'!$D$3:$D$513=D109)*1), AVERAGE('Sulphuric Acid freights'!$P$3:$P$513))*2/3</f>
        <v>54.110671936758898</v>
      </c>
      <c r="M109" s="78" cm="1">
        <f t="array" ref="M109">IFERROR(SUMPRODUCT(('Sulphuric Acid freights'!$B$3:$B$513=B119)*('Sulphuric Acid freights'!$D$3:$D$513=D109)*('Sulphuric Acid freights'!$M$3:$M$513))/SUMPRODUCT(('Sulphuric Acid freights'!$B$3:$B$513=B119)*('Sulphuric Acid freights'!$D$3:$D$513=D109)*1)*2/3, AVERAGE('Sulphuric Acid freights'!$M$3:$M$513))</f>
        <v>23.573122529644269</v>
      </c>
      <c r="N109" s="78">
        <f t="shared" si="28"/>
        <v>48.699604743083007</v>
      </c>
      <c r="O109" s="78" cm="1">
        <f t="array" ref="O109">IF(SUMPRODUCT(('Sulphur freight'!$B$3:$B$1976=B119)*('Sulphur freight'!$D$3:$D$1976=D109)*('Sulphur freight'!$G$3:$G$1976))/SUMPRODUCT(('Sulphur freight'!$B$3:$B$1976=B119)*('Sulphur freight'!$D$3:$D$1976=D109)*1)=0, AVERAGE('Sulphur freight'!$G$3:$G$1976),SUMPRODUCT(('Sulphur freight'!$B$3:$B$1976=B119)*('Sulphur freight'!$D$3:$D$1976=D109)*('Sulphur freight'!$G$3:$G$1976))/SUMPRODUCT(('Sulphur freight'!$B$3:$B$1976=B119)*('Sulphur freight'!$D$3:$D$1976=D109)*1))</f>
        <v>19.5</v>
      </c>
      <c r="P109" s="78">
        <v>20</v>
      </c>
      <c r="R109" s="78" t="str">
        <f t="shared" si="29"/>
        <v xml:space="preserve"> </v>
      </c>
      <c r="S109" s="78">
        <f t="shared" si="30"/>
        <v>47.323122529644266</v>
      </c>
      <c r="T109" s="78" t="str">
        <f t="shared" si="25"/>
        <v/>
      </c>
      <c r="U109" s="78" t="str">
        <f t="shared" si="31"/>
        <v/>
      </c>
      <c r="V109" s="78">
        <f>IFERROR(I109+O109, "")</f>
        <v>69</v>
      </c>
      <c r="W109" s="78">
        <f t="shared" si="32"/>
        <v>47.5</v>
      </c>
      <c r="X109" s="78">
        <f t="shared" si="33"/>
        <v>40.769999999999996</v>
      </c>
      <c r="Y109" s="78">
        <f t="shared" si="34"/>
        <v>33.674999999999997</v>
      </c>
      <c r="AA109" s="88" t="str">
        <f t="shared" si="35"/>
        <v/>
      </c>
      <c r="AB109" s="77" t="str">
        <f t="shared" si="26"/>
        <v/>
      </c>
      <c r="AD109" s="88" t="str">
        <f t="shared" si="36"/>
        <v/>
      </c>
      <c r="AE109" s="77" t="str">
        <f t="shared" si="27"/>
        <v/>
      </c>
    </row>
    <row r="110" spans="2:31" x14ac:dyDescent="0.35">
      <c r="B110">
        <v>2008</v>
      </c>
      <c r="C110">
        <v>1</v>
      </c>
      <c r="D110">
        <v>3</v>
      </c>
      <c r="E110" s="78" t="str">
        <f>'CRU historical'!F87</f>
        <v xml:space="preserve"> </v>
      </c>
      <c r="F110" s="78">
        <f>'CRU historical'!I87</f>
        <v>10</v>
      </c>
      <c r="G110" s="78" t="str">
        <f>'CRU historical'!L87</f>
        <v xml:space="preserve"> </v>
      </c>
      <c r="H110" s="78" t="str">
        <f>'CRU historical'!O87</f>
        <v xml:space="preserve"> </v>
      </c>
      <c r="I110" s="78">
        <f>'CRU historical'!R87</f>
        <v>48.25</v>
      </c>
      <c r="J110" s="78">
        <f>AVERAGE('CRU historical'!U87, 'CRU historical'!X87, 'CRU historical'!AA87, 'CRU historical'!AD87)</f>
        <v>34</v>
      </c>
      <c r="L110" s="78" cm="1">
        <f t="array" ref="L110">IFERROR(SUMPRODUCT(('Sulphuric Acid freights'!$B$3:$B$513=B120)*('Sulphuric Acid freights'!$D$3:$D$513=D110)*('Sulphuric Acid freights'!$P$3:$P$513))/SUMPRODUCT(('Sulphuric Acid freights'!$B$3:$B$513=B120)*('Sulphuric Acid freights'!$D$3:$D$513=D110)*1), AVERAGE('Sulphuric Acid freights'!$P$3:$P$513))*2/3</f>
        <v>54.110671936758898</v>
      </c>
      <c r="M110" s="78" cm="1">
        <f t="array" ref="M110">IFERROR(SUMPRODUCT(('Sulphuric Acid freights'!$B$3:$B$513=B120)*('Sulphuric Acid freights'!$D$3:$D$513=D110)*('Sulphuric Acid freights'!$M$3:$M$513))/SUMPRODUCT(('Sulphuric Acid freights'!$B$3:$B$513=B120)*('Sulphuric Acid freights'!$D$3:$D$513=D110)*1)*2/3, AVERAGE('Sulphuric Acid freights'!$M$3:$M$513))</f>
        <v>23.573122529644269</v>
      </c>
      <c r="N110" s="78">
        <f t="shared" si="28"/>
        <v>48.699604743083007</v>
      </c>
      <c r="O110" s="78" cm="1">
        <f t="array" ref="O110">IF(SUMPRODUCT(('Sulphur freight'!$B$3:$B$1976=B120)*('Sulphur freight'!$D$3:$D$1976=D110)*('Sulphur freight'!$G$3:$G$1976))/SUMPRODUCT(('Sulphur freight'!$B$3:$B$1976=B120)*('Sulphur freight'!$D$3:$D$1976=D110)*1)=0, AVERAGE('Sulphur freight'!$G$3:$G$1976),SUMPRODUCT(('Sulphur freight'!$B$3:$B$1976=B120)*('Sulphur freight'!$D$3:$D$1976=D110)*('Sulphur freight'!$G$3:$G$1976))/SUMPRODUCT(('Sulphur freight'!$B$3:$B$1976=B120)*('Sulphur freight'!$D$3:$D$1976=D110)*1))</f>
        <v>19</v>
      </c>
      <c r="P110" s="78">
        <v>20</v>
      </c>
      <c r="R110" s="78" t="str">
        <f t="shared" si="29"/>
        <v xml:space="preserve"> </v>
      </c>
      <c r="S110" s="78">
        <f t="shared" si="30"/>
        <v>33.573122529644266</v>
      </c>
      <c r="T110" s="78" t="str">
        <f t="shared" si="25"/>
        <v/>
      </c>
      <c r="U110" s="78" t="str">
        <f t="shared" si="31"/>
        <v/>
      </c>
      <c r="V110" s="78">
        <f>IFERROR(I110+O110, "")</f>
        <v>67.25</v>
      </c>
      <c r="W110" s="78">
        <f t="shared" si="32"/>
        <v>54</v>
      </c>
      <c r="X110" s="78">
        <f t="shared" si="33"/>
        <v>40.192500000000003</v>
      </c>
      <c r="Y110" s="78">
        <f t="shared" si="34"/>
        <v>35.82</v>
      </c>
      <c r="AA110" s="88" t="str">
        <f t="shared" si="35"/>
        <v/>
      </c>
      <c r="AB110" s="77" t="str">
        <f t="shared" si="26"/>
        <v/>
      </c>
      <c r="AD110" s="88" t="str">
        <f t="shared" si="36"/>
        <v/>
      </c>
      <c r="AE110" s="77" t="str">
        <f t="shared" si="27"/>
        <v/>
      </c>
    </row>
    <row r="111" spans="2:31" x14ac:dyDescent="0.35">
      <c r="B111">
        <v>2008</v>
      </c>
      <c r="C111">
        <v>2</v>
      </c>
      <c r="D111">
        <v>4</v>
      </c>
      <c r="E111" s="78" t="str">
        <f>'CRU historical'!F88</f>
        <v xml:space="preserve"> </v>
      </c>
      <c r="F111" s="78">
        <f>'CRU historical'!I88</f>
        <v>8</v>
      </c>
      <c r="G111" s="78" t="str">
        <f>'CRU historical'!L88</f>
        <v xml:space="preserve"> </v>
      </c>
      <c r="H111" s="78" t="str">
        <f>'CRU historical'!O88</f>
        <v xml:space="preserve"> </v>
      </c>
      <c r="I111" s="78">
        <f>'CRU historical'!R88</f>
        <v>52.2</v>
      </c>
      <c r="J111" s="78">
        <f>AVERAGE('CRU historical'!U88, 'CRU historical'!X88, 'CRU historical'!AA88, 'CRU historical'!AD88)</f>
        <v>35.5</v>
      </c>
      <c r="L111" s="78" cm="1">
        <f t="array" ref="L111">IFERROR(SUMPRODUCT(('Sulphuric Acid freights'!$B$3:$B$513=B121)*('Sulphuric Acid freights'!$D$3:$D$513=D111)*('Sulphuric Acid freights'!$P$3:$P$513))/SUMPRODUCT(('Sulphuric Acid freights'!$B$3:$B$513=B121)*('Sulphuric Acid freights'!$D$3:$D$513=D111)*1), AVERAGE('Sulphuric Acid freights'!$P$3:$P$513))*2/3</f>
        <v>54.110671936758898</v>
      </c>
      <c r="M111" s="78" cm="1">
        <f t="array" ref="M111">IFERROR(SUMPRODUCT(('Sulphuric Acid freights'!$B$3:$B$513=B121)*('Sulphuric Acid freights'!$D$3:$D$513=D111)*('Sulphuric Acid freights'!$M$3:$M$513))/SUMPRODUCT(('Sulphuric Acid freights'!$B$3:$B$513=B121)*('Sulphuric Acid freights'!$D$3:$D$513=D111)*1)*2/3, AVERAGE('Sulphuric Acid freights'!$M$3:$M$513))</f>
        <v>23.573122529644269</v>
      </c>
      <c r="N111" s="78">
        <f t="shared" si="28"/>
        <v>48.699604743083007</v>
      </c>
      <c r="O111" s="78" cm="1">
        <f t="array" ref="O111">IF(SUMPRODUCT(('Sulphur freight'!$B$3:$B$1976=B121)*('Sulphur freight'!$D$3:$D$1976=D111)*('Sulphur freight'!$G$3:$G$1976))/SUMPRODUCT(('Sulphur freight'!$B$3:$B$1976=B121)*('Sulphur freight'!$D$3:$D$1976=D111)*1)=0, AVERAGE('Sulphur freight'!$G$3:$G$1976),SUMPRODUCT(('Sulphur freight'!$B$3:$B$1976=B121)*('Sulphur freight'!$D$3:$D$1976=D111)*('Sulphur freight'!$G$3:$G$1976))/SUMPRODUCT(('Sulphur freight'!$B$3:$B$1976=B121)*('Sulphur freight'!$D$3:$D$1976=D111)*1))</f>
        <v>14.8</v>
      </c>
      <c r="P111" s="78">
        <v>20</v>
      </c>
      <c r="R111" s="78" t="str">
        <f t="shared" si="29"/>
        <v xml:space="preserve"> </v>
      </c>
      <c r="S111" s="78">
        <f t="shared" si="30"/>
        <v>31.573122529644269</v>
      </c>
      <c r="T111" s="78" t="str">
        <f t="shared" si="25"/>
        <v/>
      </c>
      <c r="U111" s="78" t="str">
        <f t="shared" si="31"/>
        <v/>
      </c>
      <c r="V111" s="78">
        <f>IFERROR(I111+O111, "")</f>
        <v>67</v>
      </c>
      <c r="W111" s="78">
        <f t="shared" si="32"/>
        <v>55.5</v>
      </c>
      <c r="X111" s="78">
        <f t="shared" si="33"/>
        <v>40.11</v>
      </c>
      <c r="Y111" s="78">
        <f t="shared" si="34"/>
        <v>36.314999999999998</v>
      </c>
      <c r="AA111" s="88" t="str">
        <f t="shared" si="35"/>
        <v/>
      </c>
      <c r="AB111" s="77" t="str">
        <f t="shared" si="26"/>
        <v/>
      </c>
      <c r="AD111" s="88" t="str">
        <f t="shared" si="36"/>
        <v/>
      </c>
      <c r="AE111" s="77" t="str">
        <f t="shared" si="27"/>
        <v/>
      </c>
    </row>
    <row r="112" spans="2:31" x14ac:dyDescent="0.35">
      <c r="B112">
        <v>2008</v>
      </c>
      <c r="C112">
        <v>2</v>
      </c>
      <c r="D112">
        <v>5</v>
      </c>
      <c r="E112" s="78" t="str">
        <f>'CRU historical'!F89</f>
        <v xml:space="preserve"> </v>
      </c>
      <c r="F112" s="78">
        <f>'CRU historical'!I89</f>
        <v>8</v>
      </c>
      <c r="G112" s="78" t="str">
        <f>'CRU historical'!L89</f>
        <v xml:space="preserve"> </v>
      </c>
      <c r="H112" s="78" t="str">
        <f>'CRU historical'!O89</f>
        <v xml:space="preserve"> </v>
      </c>
      <c r="I112" s="78">
        <f>'CRU historical'!R89</f>
        <v>45</v>
      </c>
      <c r="J112" s="78">
        <f>AVERAGE('CRU historical'!U89, 'CRU historical'!X89, 'CRU historical'!AA89, 'CRU historical'!AD89)</f>
        <v>35.5</v>
      </c>
      <c r="L112" s="78" cm="1">
        <f t="array" ref="L112">IFERROR(SUMPRODUCT(('Sulphuric Acid freights'!$B$3:$B$513=B122)*('Sulphuric Acid freights'!$D$3:$D$513=D112)*('Sulphuric Acid freights'!$P$3:$P$513))/SUMPRODUCT(('Sulphuric Acid freights'!$B$3:$B$513=B122)*('Sulphuric Acid freights'!$D$3:$D$513=D112)*1), AVERAGE('Sulphuric Acid freights'!$P$3:$P$513))*2/3</f>
        <v>54.110671936758898</v>
      </c>
      <c r="M112" s="78" cm="1">
        <f t="array" ref="M112">IFERROR(SUMPRODUCT(('Sulphuric Acid freights'!$B$3:$B$513=B122)*('Sulphuric Acid freights'!$D$3:$D$513=D112)*('Sulphuric Acid freights'!$M$3:$M$513))/SUMPRODUCT(('Sulphuric Acid freights'!$B$3:$B$513=B122)*('Sulphuric Acid freights'!$D$3:$D$513=D112)*1)*2/3, AVERAGE('Sulphuric Acid freights'!$M$3:$M$513))</f>
        <v>23.573122529644269</v>
      </c>
      <c r="N112" s="78">
        <f t="shared" si="28"/>
        <v>48.699604743083007</v>
      </c>
      <c r="O112" s="78" cm="1">
        <f t="array" ref="O112">IF(SUMPRODUCT(('Sulphur freight'!$B$3:$B$1976=B122)*('Sulphur freight'!$D$3:$D$1976=D112)*('Sulphur freight'!$G$3:$G$1976))/SUMPRODUCT(('Sulphur freight'!$B$3:$B$1976=B122)*('Sulphur freight'!$D$3:$D$1976=D112)*1)=0, AVERAGE('Sulphur freight'!$G$3:$G$1976),SUMPRODUCT(('Sulphur freight'!$B$3:$B$1976=B122)*('Sulphur freight'!$D$3:$D$1976=D112)*('Sulphur freight'!$G$3:$G$1976))/SUMPRODUCT(('Sulphur freight'!$B$3:$B$1976=B122)*('Sulphur freight'!$D$3:$D$1976=D112)*1))</f>
        <v>16</v>
      </c>
      <c r="P112" s="78">
        <v>20</v>
      </c>
      <c r="R112" s="78" t="str">
        <f t="shared" si="29"/>
        <v xml:space="preserve"> </v>
      </c>
      <c r="S112" s="78">
        <f t="shared" si="30"/>
        <v>31.573122529644269</v>
      </c>
      <c r="T112" s="78" t="str">
        <f t="shared" si="25"/>
        <v/>
      </c>
      <c r="U112" s="78" t="str">
        <f t="shared" si="31"/>
        <v/>
      </c>
      <c r="V112" s="78">
        <f>IFERROR(I112+O112, "")</f>
        <v>61</v>
      </c>
      <c r="W112" s="78">
        <f t="shared" si="32"/>
        <v>55.5</v>
      </c>
      <c r="X112" s="78">
        <f t="shared" si="33"/>
        <v>38.130000000000003</v>
      </c>
      <c r="Y112" s="78">
        <f t="shared" si="34"/>
        <v>36.314999999999998</v>
      </c>
      <c r="AA112" s="88" t="str">
        <f t="shared" si="35"/>
        <v/>
      </c>
      <c r="AB112" s="77" t="str">
        <f t="shared" si="26"/>
        <v/>
      </c>
      <c r="AD112" s="88" t="str">
        <f t="shared" si="36"/>
        <v/>
      </c>
      <c r="AE112" s="77" t="str">
        <f t="shared" si="27"/>
        <v/>
      </c>
    </row>
    <row r="113" spans="2:31" x14ac:dyDescent="0.35">
      <c r="B113">
        <v>2008</v>
      </c>
      <c r="C113">
        <v>2</v>
      </c>
      <c r="D113">
        <v>6</v>
      </c>
      <c r="E113" s="78" t="str">
        <f>'CRU historical'!F90</f>
        <v xml:space="preserve"> </v>
      </c>
      <c r="F113" s="78">
        <f>'CRU historical'!I90</f>
        <v>4.75</v>
      </c>
      <c r="G113" s="78" t="str">
        <f>'CRU historical'!L90</f>
        <v xml:space="preserve"> </v>
      </c>
      <c r="H113" s="78" t="str">
        <f>'CRU historical'!O90</f>
        <v xml:space="preserve"> </v>
      </c>
      <c r="I113" s="78">
        <f>'CRU historical'!R90</f>
        <v>41.75</v>
      </c>
      <c r="J113" s="78">
        <f>AVERAGE('CRU historical'!U90, 'CRU historical'!X90, 'CRU historical'!AA90, 'CRU historical'!AD90)</f>
        <v>34.5</v>
      </c>
      <c r="L113" s="78" cm="1">
        <f t="array" ref="L113">IFERROR(SUMPRODUCT(('Sulphuric Acid freights'!$B$3:$B$513=B123)*('Sulphuric Acid freights'!$D$3:$D$513=D113)*('Sulphuric Acid freights'!$P$3:$P$513))/SUMPRODUCT(('Sulphuric Acid freights'!$B$3:$B$513=B123)*('Sulphuric Acid freights'!$D$3:$D$513=D113)*1), AVERAGE('Sulphuric Acid freights'!$P$3:$P$513))*2/3</f>
        <v>54.110671936758898</v>
      </c>
      <c r="M113" s="78" cm="1">
        <f t="array" ref="M113">IFERROR(SUMPRODUCT(('Sulphuric Acid freights'!$B$3:$B$513=B123)*('Sulphuric Acid freights'!$D$3:$D$513=D113)*('Sulphuric Acid freights'!$M$3:$M$513))/SUMPRODUCT(('Sulphuric Acid freights'!$B$3:$B$513=B123)*('Sulphuric Acid freights'!$D$3:$D$513=D113)*1)*2/3, AVERAGE('Sulphuric Acid freights'!$M$3:$M$513))</f>
        <v>23.573122529644269</v>
      </c>
      <c r="N113" s="78">
        <f t="shared" si="28"/>
        <v>48.699604743083007</v>
      </c>
      <c r="O113" s="78" cm="1">
        <f t="array" ref="O113">IF(SUMPRODUCT(('Sulphur freight'!$B$3:$B$1976=B123)*('Sulphur freight'!$D$3:$D$1976=D113)*('Sulphur freight'!$G$3:$G$1976))/SUMPRODUCT(('Sulphur freight'!$B$3:$B$1976=B123)*('Sulphur freight'!$D$3:$D$1976=D113)*1)=0, AVERAGE('Sulphur freight'!$G$3:$G$1976),SUMPRODUCT(('Sulphur freight'!$B$3:$B$1976=B123)*('Sulphur freight'!$D$3:$D$1976=D113)*('Sulphur freight'!$G$3:$G$1976))/SUMPRODUCT(('Sulphur freight'!$B$3:$B$1976=B123)*('Sulphur freight'!$D$3:$D$1976=D113)*1))</f>
        <v>22.75</v>
      </c>
      <c r="P113" s="78">
        <v>20</v>
      </c>
      <c r="R113" s="78" t="str">
        <f t="shared" si="29"/>
        <v xml:space="preserve"> </v>
      </c>
      <c r="S113" s="78">
        <f t="shared" si="30"/>
        <v>28.323122529644269</v>
      </c>
      <c r="T113" s="78" t="str">
        <f t="shared" si="25"/>
        <v/>
      </c>
      <c r="U113" s="78" t="str">
        <f t="shared" si="31"/>
        <v/>
      </c>
      <c r="V113" s="78">
        <f>IFERROR(I113+O113, "")</f>
        <v>64.5</v>
      </c>
      <c r="W113" s="78">
        <f t="shared" si="32"/>
        <v>54.5</v>
      </c>
      <c r="X113" s="78">
        <f t="shared" si="33"/>
        <v>39.284999999999997</v>
      </c>
      <c r="Y113" s="78">
        <f t="shared" si="34"/>
        <v>35.984999999999999</v>
      </c>
      <c r="AA113" s="88" t="str">
        <f t="shared" si="35"/>
        <v/>
      </c>
      <c r="AB113" s="77" t="str">
        <f t="shared" si="26"/>
        <v/>
      </c>
      <c r="AD113" s="88" t="str">
        <f t="shared" si="36"/>
        <v/>
      </c>
      <c r="AE113" s="77" t="str">
        <f t="shared" si="27"/>
        <v/>
      </c>
    </row>
    <row r="114" spans="2:31" x14ac:dyDescent="0.35">
      <c r="B114">
        <v>2008</v>
      </c>
      <c r="C114">
        <v>3</v>
      </c>
      <c r="D114">
        <v>7</v>
      </c>
      <c r="E114" s="78" t="str">
        <f>'CRU historical'!F91</f>
        <v xml:space="preserve"> </v>
      </c>
      <c r="F114" s="78">
        <f>'CRU historical'!I91</f>
        <v>-5</v>
      </c>
      <c r="G114" s="78" t="str">
        <f>'CRU historical'!L91</f>
        <v xml:space="preserve"> </v>
      </c>
      <c r="H114" s="78" t="str">
        <f>'CRU historical'!O91</f>
        <v xml:space="preserve"> </v>
      </c>
      <c r="I114" s="78">
        <f>'CRU historical'!R91</f>
        <v>33</v>
      </c>
      <c r="J114" s="78">
        <f>AVERAGE('CRU historical'!U91, 'CRU historical'!X91, 'CRU historical'!AA91, 'CRU historical'!AD91)</f>
        <v>36.9</v>
      </c>
      <c r="L114" s="78" cm="1">
        <f t="array" ref="L114">IFERROR(SUMPRODUCT(('Sulphuric Acid freights'!$B$3:$B$513=B124)*('Sulphuric Acid freights'!$D$3:$D$513=D114)*('Sulphuric Acid freights'!$P$3:$P$513))/SUMPRODUCT(('Sulphuric Acid freights'!$B$3:$B$513=B124)*('Sulphuric Acid freights'!$D$3:$D$513=D114)*1), AVERAGE('Sulphuric Acid freights'!$P$3:$P$513))*2/3</f>
        <v>54.110671936758898</v>
      </c>
      <c r="M114" s="78" cm="1">
        <f t="array" ref="M114">IFERROR(SUMPRODUCT(('Sulphuric Acid freights'!$B$3:$B$513=B124)*('Sulphuric Acid freights'!$D$3:$D$513=D114)*('Sulphuric Acid freights'!$M$3:$M$513))/SUMPRODUCT(('Sulphuric Acid freights'!$B$3:$B$513=B124)*('Sulphuric Acid freights'!$D$3:$D$513=D114)*1)*2/3, AVERAGE('Sulphuric Acid freights'!$M$3:$M$513))</f>
        <v>23.573122529644269</v>
      </c>
      <c r="N114" s="78">
        <f t="shared" si="28"/>
        <v>48.699604743083007</v>
      </c>
      <c r="O114" s="78" cm="1">
        <f t="array" ref="O114">IF(SUMPRODUCT(('Sulphur freight'!$B$3:$B$1976=B124)*('Sulphur freight'!$D$3:$D$1976=D114)*('Sulphur freight'!$G$3:$G$1976))/SUMPRODUCT(('Sulphur freight'!$B$3:$B$1976=B124)*('Sulphur freight'!$D$3:$D$1976=D114)*1)=0, AVERAGE('Sulphur freight'!$G$3:$G$1976),SUMPRODUCT(('Sulphur freight'!$B$3:$B$1976=B124)*('Sulphur freight'!$D$3:$D$1976=D114)*('Sulphur freight'!$G$3:$G$1976))/SUMPRODUCT(('Sulphur freight'!$B$3:$B$1976=B124)*('Sulphur freight'!$D$3:$D$1976=D114)*1))</f>
        <v>23.6</v>
      </c>
      <c r="P114" s="78">
        <v>20</v>
      </c>
      <c r="R114" s="78" t="str">
        <f t="shared" si="29"/>
        <v xml:space="preserve"> </v>
      </c>
      <c r="S114" s="78">
        <f t="shared" si="30"/>
        <v>18.573122529644269</v>
      </c>
      <c r="T114" s="78" t="str">
        <f t="shared" si="25"/>
        <v/>
      </c>
      <c r="U114" s="78" t="str">
        <f t="shared" si="31"/>
        <v/>
      </c>
      <c r="V114" s="78">
        <f>IFERROR(I114+O114, "")</f>
        <v>56.6</v>
      </c>
      <c r="W114" s="78">
        <f t="shared" si="32"/>
        <v>56.9</v>
      </c>
      <c r="X114" s="78">
        <f t="shared" si="33"/>
        <v>36.677999999999997</v>
      </c>
      <c r="Y114" s="78">
        <f t="shared" si="34"/>
        <v>36.777000000000001</v>
      </c>
      <c r="AA114" s="88" t="str">
        <f t="shared" si="35"/>
        <v/>
      </c>
      <c r="AB114" s="77" t="str">
        <f t="shared" si="26"/>
        <v/>
      </c>
      <c r="AD114" s="88" t="str">
        <f t="shared" si="36"/>
        <v/>
      </c>
      <c r="AE114" s="77" t="str">
        <f t="shared" si="27"/>
        <v/>
      </c>
    </row>
    <row r="115" spans="2:31" x14ac:dyDescent="0.35">
      <c r="B115">
        <v>2008</v>
      </c>
      <c r="C115">
        <v>3</v>
      </c>
      <c r="D115">
        <v>8</v>
      </c>
      <c r="E115" s="78" t="str">
        <f>'CRU historical'!F92</f>
        <v xml:space="preserve"> </v>
      </c>
      <c r="F115" s="78">
        <f>'CRU historical'!I92</f>
        <v>-5</v>
      </c>
      <c r="G115" s="78" t="str">
        <f>'CRU historical'!L92</f>
        <v xml:space="preserve"> </v>
      </c>
      <c r="H115" s="78" t="str">
        <f>'CRU historical'!O92</f>
        <v xml:space="preserve"> </v>
      </c>
      <c r="I115" s="78">
        <f>'CRU historical'!R92</f>
        <v>34.75</v>
      </c>
      <c r="J115" s="78">
        <f>AVERAGE('CRU historical'!U92, 'CRU historical'!X92, 'CRU historical'!AA92, 'CRU historical'!AD92)</f>
        <v>37.5</v>
      </c>
      <c r="L115" s="78" cm="1">
        <f t="array" ref="L115">IFERROR(SUMPRODUCT(('Sulphuric Acid freights'!$B$3:$B$513=B125)*('Sulphuric Acid freights'!$D$3:$D$513=D115)*('Sulphuric Acid freights'!$P$3:$P$513))/SUMPRODUCT(('Sulphuric Acid freights'!$B$3:$B$513=B125)*('Sulphuric Acid freights'!$D$3:$D$513=D115)*1), AVERAGE('Sulphuric Acid freights'!$P$3:$P$513))*2/3</f>
        <v>54.110671936758898</v>
      </c>
      <c r="M115" s="78" cm="1">
        <f t="array" ref="M115">IFERROR(SUMPRODUCT(('Sulphuric Acid freights'!$B$3:$B$513=B125)*('Sulphuric Acid freights'!$D$3:$D$513=D115)*('Sulphuric Acid freights'!$M$3:$M$513))/SUMPRODUCT(('Sulphuric Acid freights'!$B$3:$B$513=B125)*('Sulphuric Acid freights'!$D$3:$D$513=D115)*1)*2/3, AVERAGE('Sulphuric Acid freights'!$M$3:$M$513))</f>
        <v>23.573122529644269</v>
      </c>
      <c r="N115" s="78">
        <f t="shared" si="28"/>
        <v>48.699604743083007</v>
      </c>
      <c r="O115" s="78" cm="1">
        <f t="array" ref="O115">IF(SUMPRODUCT(('Sulphur freight'!$B$3:$B$1976=B125)*('Sulphur freight'!$D$3:$D$1976=D115)*('Sulphur freight'!$G$3:$G$1976))/SUMPRODUCT(('Sulphur freight'!$B$3:$B$1976=B125)*('Sulphur freight'!$D$3:$D$1976=D115)*1)=0, AVERAGE('Sulphur freight'!$G$3:$G$1976),SUMPRODUCT(('Sulphur freight'!$B$3:$B$1976=B125)*('Sulphur freight'!$D$3:$D$1976=D115)*('Sulphur freight'!$G$3:$G$1976))/SUMPRODUCT(('Sulphur freight'!$B$3:$B$1976=B125)*('Sulphur freight'!$D$3:$D$1976=D115)*1))</f>
        <v>24.5</v>
      </c>
      <c r="P115" s="78">
        <v>20</v>
      </c>
      <c r="R115" s="78" t="str">
        <f t="shared" si="29"/>
        <v xml:space="preserve"> </v>
      </c>
      <c r="S115" s="78">
        <f t="shared" si="30"/>
        <v>18.573122529644269</v>
      </c>
      <c r="T115" s="78" t="str">
        <f t="shared" si="25"/>
        <v/>
      </c>
      <c r="U115" s="78" t="str">
        <f t="shared" si="31"/>
        <v/>
      </c>
      <c r="V115" s="78">
        <f>IFERROR(I115+O115, "")</f>
        <v>59.25</v>
      </c>
      <c r="W115" s="78">
        <f t="shared" si="32"/>
        <v>57.5</v>
      </c>
      <c r="X115" s="78">
        <f t="shared" si="33"/>
        <v>37.552500000000002</v>
      </c>
      <c r="Y115" s="78">
        <f t="shared" si="34"/>
        <v>36.975000000000001</v>
      </c>
      <c r="AA115" s="88" t="str">
        <f t="shared" si="35"/>
        <v/>
      </c>
      <c r="AB115" s="77" t="str">
        <f t="shared" si="26"/>
        <v/>
      </c>
      <c r="AD115" s="88" t="str">
        <f t="shared" si="36"/>
        <v/>
      </c>
      <c r="AE115" s="77" t="str">
        <f t="shared" si="27"/>
        <v/>
      </c>
    </row>
    <row r="116" spans="2:31" x14ac:dyDescent="0.35">
      <c r="B116">
        <v>2008</v>
      </c>
      <c r="C116">
        <v>3</v>
      </c>
      <c r="D116">
        <v>9</v>
      </c>
      <c r="E116" s="78" t="str">
        <f>'CRU historical'!F93</f>
        <v xml:space="preserve"> </v>
      </c>
      <c r="F116" s="78">
        <f>'CRU historical'!I93</f>
        <v>0</v>
      </c>
      <c r="G116" s="78" t="str">
        <f>'CRU historical'!L93</f>
        <v xml:space="preserve"> </v>
      </c>
      <c r="H116" s="78" t="str">
        <f>'CRU historical'!O93</f>
        <v xml:space="preserve"> </v>
      </c>
      <c r="I116" s="78">
        <f>'CRU historical'!R93</f>
        <v>40</v>
      </c>
      <c r="J116" s="78">
        <f>AVERAGE('CRU historical'!U93, 'CRU historical'!X93, 'CRU historical'!AA93, 'CRU historical'!AD93)</f>
        <v>37.5</v>
      </c>
      <c r="L116" s="78" cm="1">
        <f t="array" ref="L116">IFERROR(SUMPRODUCT(('Sulphuric Acid freights'!$B$3:$B$513=B126)*('Sulphuric Acid freights'!$D$3:$D$513=D116)*('Sulphuric Acid freights'!$P$3:$P$513))/SUMPRODUCT(('Sulphuric Acid freights'!$B$3:$B$513=B126)*('Sulphuric Acid freights'!$D$3:$D$513=D116)*1), AVERAGE('Sulphuric Acid freights'!$P$3:$P$513))*2/3</f>
        <v>54.110671936758898</v>
      </c>
      <c r="M116" s="78" cm="1">
        <f t="array" ref="M116">IFERROR(SUMPRODUCT(('Sulphuric Acid freights'!$B$3:$B$513=B126)*('Sulphuric Acid freights'!$D$3:$D$513=D116)*('Sulphuric Acid freights'!$M$3:$M$513))/SUMPRODUCT(('Sulphuric Acid freights'!$B$3:$B$513=B126)*('Sulphuric Acid freights'!$D$3:$D$513=D116)*1)*2/3, AVERAGE('Sulphuric Acid freights'!$M$3:$M$513))</f>
        <v>23.573122529644269</v>
      </c>
      <c r="N116" s="78">
        <f t="shared" si="28"/>
        <v>48.699604743083007</v>
      </c>
      <c r="O116" s="78" cm="1">
        <f t="array" ref="O116">IF(SUMPRODUCT(('Sulphur freight'!$B$3:$B$1976=B126)*('Sulphur freight'!$D$3:$D$1976=D116)*('Sulphur freight'!$G$3:$G$1976))/SUMPRODUCT(('Sulphur freight'!$B$3:$B$1976=B126)*('Sulphur freight'!$D$3:$D$1976=D116)*1)=0, AVERAGE('Sulphur freight'!$G$3:$G$1976),SUMPRODUCT(('Sulphur freight'!$B$3:$B$1976=B126)*('Sulphur freight'!$D$3:$D$1976=D116)*('Sulphur freight'!$G$3:$G$1976))/SUMPRODUCT(('Sulphur freight'!$B$3:$B$1976=B126)*('Sulphur freight'!$D$3:$D$1976=D116)*1))</f>
        <v>22.75</v>
      </c>
      <c r="P116" s="78">
        <v>20</v>
      </c>
      <c r="R116" s="78" t="str">
        <f t="shared" si="29"/>
        <v xml:space="preserve"> </v>
      </c>
      <c r="S116" s="78" t="str">
        <f t="shared" si="30"/>
        <v/>
      </c>
      <c r="T116" s="78" t="str">
        <f t="shared" si="25"/>
        <v/>
      </c>
      <c r="U116" s="78" t="str">
        <f t="shared" si="31"/>
        <v/>
      </c>
      <c r="V116" s="78">
        <f>IFERROR(I116+O116, "")</f>
        <v>62.75</v>
      </c>
      <c r="W116" s="78">
        <f t="shared" si="32"/>
        <v>57.5</v>
      </c>
      <c r="X116" s="78">
        <f t="shared" si="33"/>
        <v>38.707499999999996</v>
      </c>
      <c r="Y116" s="78">
        <f t="shared" si="34"/>
        <v>36.975000000000001</v>
      </c>
      <c r="AA116" s="88" t="str">
        <f t="shared" si="35"/>
        <v/>
      </c>
      <c r="AB116" s="77" t="str">
        <f t="shared" si="26"/>
        <v/>
      </c>
      <c r="AD116" s="88" t="str">
        <f t="shared" si="36"/>
        <v/>
      </c>
      <c r="AE116" s="77" t="str">
        <f t="shared" si="27"/>
        <v/>
      </c>
    </row>
    <row r="117" spans="2:31" x14ac:dyDescent="0.35">
      <c r="B117">
        <v>2008</v>
      </c>
      <c r="C117">
        <v>4</v>
      </c>
      <c r="D117">
        <v>10</v>
      </c>
      <c r="E117" s="78" t="str">
        <f>'CRU historical'!F94</f>
        <v xml:space="preserve"> </v>
      </c>
      <c r="F117" s="78">
        <f>'CRU historical'!I94</f>
        <v>-5.2</v>
      </c>
      <c r="G117" s="78" t="str">
        <f>'CRU historical'!L94</f>
        <v xml:space="preserve"> </v>
      </c>
      <c r="H117" s="78" t="str">
        <f>'CRU historical'!O94</f>
        <v xml:space="preserve"> </v>
      </c>
      <c r="I117" s="78">
        <f>'CRU historical'!R94</f>
        <v>44.6</v>
      </c>
      <c r="J117" s="78">
        <f>AVERAGE('CRU historical'!U94, 'CRU historical'!X94, 'CRU historical'!AA94, 'CRU historical'!AD94)</f>
        <v>37.5</v>
      </c>
      <c r="L117" s="78" cm="1">
        <f t="array" ref="L117">IFERROR(SUMPRODUCT(('Sulphuric Acid freights'!$B$3:$B$513=B127)*('Sulphuric Acid freights'!$D$3:$D$513=D117)*('Sulphuric Acid freights'!$P$3:$P$513))/SUMPRODUCT(('Sulphuric Acid freights'!$B$3:$B$513=B127)*('Sulphuric Acid freights'!$D$3:$D$513=D117)*1), AVERAGE('Sulphuric Acid freights'!$P$3:$P$513))*2/3</f>
        <v>54.110671936758898</v>
      </c>
      <c r="M117" s="78" cm="1">
        <f t="array" ref="M117">IFERROR(SUMPRODUCT(('Sulphuric Acid freights'!$B$3:$B$513=B127)*('Sulphuric Acid freights'!$D$3:$D$513=D117)*('Sulphuric Acid freights'!$M$3:$M$513))/SUMPRODUCT(('Sulphuric Acid freights'!$B$3:$B$513=B127)*('Sulphuric Acid freights'!$D$3:$D$513=D117)*1)*2/3, AVERAGE('Sulphuric Acid freights'!$M$3:$M$513))</f>
        <v>23.573122529644269</v>
      </c>
      <c r="N117" s="78">
        <f t="shared" si="28"/>
        <v>48.699604743083007</v>
      </c>
      <c r="O117" s="78" cm="1">
        <f t="array" ref="O117">IF(SUMPRODUCT(('Sulphur freight'!$B$3:$B$1976=B127)*('Sulphur freight'!$D$3:$D$1976=D117)*('Sulphur freight'!$G$3:$G$1976))/SUMPRODUCT(('Sulphur freight'!$B$3:$B$1976=B127)*('Sulphur freight'!$D$3:$D$1976=D117)*1)=0, AVERAGE('Sulphur freight'!$G$3:$G$1976),SUMPRODUCT(('Sulphur freight'!$B$3:$B$1976=B127)*('Sulphur freight'!$D$3:$D$1976=D117)*('Sulphur freight'!$G$3:$G$1976))/SUMPRODUCT(('Sulphur freight'!$B$3:$B$1976=B127)*('Sulphur freight'!$D$3:$D$1976=D117)*1))</f>
        <v>22.6</v>
      </c>
      <c r="P117" s="78">
        <v>20</v>
      </c>
      <c r="R117" s="78" t="str">
        <f t="shared" si="29"/>
        <v xml:space="preserve"> </v>
      </c>
      <c r="S117" s="78">
        <f t="shared" si="30"/>
        <v>18.37312252964427</v>
      </c>
      <c r="T117" s="78" t="str">
        <f t="shared" si="25"/>
        <v/>
      </c>
      <c r="U117" s="78" t="str">
        <f t="shared" si="31"/>
        <v/>
      </c>
      <c r="V117" s="78">
        <f>IFERROR(I117+O117, "")</f>
        <v>67.2</v>
      </c>
      <c r="W117" s="78">
        <f t="shared" si="32"/>
        <v>57.5</v>
      </c>
      <c r="X117" s="78">
        <f t="shared" si="33"/>
        <v>40.176000000000002</v>
      </c>
      <c r="Y117" s="78">
        <f t="shared" si="34"/>
        <v>36.975000000000001</v>
      </c>
      <c r="AA117" s="88" t="str">
        <f t="shared" si="35"/>
        <v/>
      </c>
      <c r="AB117" s="77" t="str">
        <f t="shared" si="26"/>
        <v/>
      </c>
      <c r="AD117" s="88" t="str">
        <f t="shared" si="36"/>
        <v/>
      </c>
      <c r="AE117" s="77" t="str">
        <f t="shared" si="27"/>
        <v/>
      </c>
    </row>
    <row r="118" spans="2:31" x14ac:dyDescent="0.35">
      <c r="B118">
        <v>2009</v>
      </c>
      <c r="C118">
        <v>4</v>
      </c>
      <c r="D118">
        <v>11</v>
      </c>
      <c r="E118" s="78" t="str">
        <f>'CRU historical'!F95</f>
        <v xml:space="preserve"> </v>
      </c>
      <c r="F118" s="78">
        <f>'CRU historical'!I95</f>
        <v>-13</v>
      </c>
      <c r="G118" s="78" t="str">
        <f>'CRU historical'!L95</f>
        <v xml:space="preserve"> </v>
      </c>
      <c r="H118" s="78" t="str">
        <f>'CRU historical'!O95</f>
        <v xml:space="preserve"> </v>
      </c>
      <c r="I118" s="78">
        <f>'CRU historical'!R95</f>
        <v>55.75</v>
      </c>
      <c r="J118" s="78">
        <f>AVERAGE('CRU historical'!U95, 'CRU historical'!X95, 'CRU historical'!AA95, 'CRU historical'!AD95)</f>
        <v>37.5</v>
      </c>
      <c r="L118" s="78" cm="1">
        <f t="array" ref="L118">IFERROR(SUMPRODUCT(('Sulphuric Acid freights'!$B$3:$B$513=B128)*('Sulphuric Acid freights'!$D$3:$D$513=D118)*('Sulphuric Acid freights'!$P$3:$P$513))/SUMPRODUCT(('Sulphuric Acid freights'!$B$3:$B$513=B128)*('Sulphuric Acid freights'!$D$3:$D$513=D118)*1), AVERAGE('Sulphuric Acid freights'!$P$3:$P$513))*2/3</f>
        <v>54.110671936758898</v>
      </c>
      <c r="M118" s="78" cm="1">
        <f t="array" ref="M118">IFERROR(SUMPRODUCT(('Sulphuric Acid freights'!$B$3:$B$513=B128)*('Sulphuric Acid freights'!$D$3:$D$513=D118)*('Sulphuric Acid freights'!$M$3:$M$513))/SUMPRODUCT(('Sulphuric Acid freights'!$B$3:$B$513=B128)*('Sulphuric Acid freights'!$D$3:$D$513=D118)*1)*2/3, AVERAGE('Sulphuric Acid freights'!$M$3:$M$513))</f>
        <v>23.573122529644269</v>
      </c>
      <c r="N118" s="78">
        <f t="shared" si="28"/>
        <v>48.699604743083007</v>
      </c>
      <c r="O118" s="78" cm="1">
        <f t="array" ref="O118">IF(SUMPRODUCT(('Sulphur freight'!$B$3:$B$1976=B128)*('Sulphur freight'!$D$3:$D$1976=D118)*('Sulphur freight'!$G$3:$G$1976))/SUMPRODUCT(('Sulphur freight'!$B$3:$B$1976=B128)*('Sulphur freight'!$D$3:$D$1976=D118)*1)=0, AVERAGE('Sulphur freight'!$G$3:$G$1976),SUMPRODUCT(('Sulphur freight'!$B$3:$B$1976=B128)*('Sulphur freight'!$D$3:$D$1976=D118)*('Sulphur freight'!$G$3:$G$1976))/SUMPRODUCT(('Sulphur freight'!$B$3:$B$1976=B128)*('Sulphur freight'!$D$3:$D$1976=D118)*1))</f>
        <v>25.25</v>
      </c>
      <c r="P118" s="78">
        <v>20</v>
      </c>
      <c r="R118" s="78" t="str">
        <f t="shared" si="29"/>
        <v xml:space="preserve"> </v>
      </c>
      <c r="S118" s="78">
        <f t="shared" si="30"/>
        <v>10.573122529644269</v>
      </c>
      <c r="T118" s="78" t="str">
        <f t="shared" si="25"/>
        <v/>
      </c>
      <c r="U118" s="78" t="str">
        <f t="shared" si="31"/>
        <v/>
      </c>
      <c r="V118" s="78">
        <f>IFERROR(I118+O118, "")</f>
        <v>81</v>
      </c>
      <c r="W118" s="78">
        <f t="shared" si="32"/>
        <v>57.5</v>
      </c>
      <c r="X118" s="78">
        <f t="shared" si="33"/>
        <v>44.730000000000004</v>
      </c>
      <c r="Y118" s="78">
        <f t="shared" si="34"/>
        <v>36.975000000000001</v>
      </c>
      <c r="AA118" s="88" t="str">
        <f t="shared" si="35"/>
        <v/>
      </c>
      <c r="AB118" s="77" t="str">
        <f t="shared" si="26"/>
        <v/>
      </c>
      <c r="AD118" s="88" t="str">
        <f t="shared" si="36"/>
        <v/>
      </c>
      <c r="AE118" s="77" t="str">
        <f t="shared" si="27"/>
        <v/>
      </c>
    </row>
    <row r="119" spans="2:31" x14ac:dyDescent="0.35">
      <c r="B119">
        <v>2009</v>
      </c>
      <c r="C119">
        <v>4</v>
      </c>
      <c r="D119">
        <v>12</v>
      </c>
      <c r="E119" s="78" t="str">
        <f>'CRU historical'!F96</f>
        <v xml:space="preserve"> </v>
      </c>
      <c r="F119" s="78">
        <f>'CRU historical'!I96</f>
        <v>-0.6</v>
      </c>
      <c r="G119" s="78" t="str">
        <f>'CRU historical'!L96</f>
        <v xml:space="preserve"> </v>
      </c>
      <c r="H119" s="78" t="str">
        <f>'CRU historical'!O96</f>
        <v xml:space="preserve"> </v>
      </c>
      <c r="I119" s="78">
        <f>'CRU historical'!R96</f>
        <v>68.2</v>
      </c>
      <c r="J119" s="78">
        <f>AVERAGE('CRU historical'!U96, 'CRU historical'!X96, 'CRU historical'!AA96, 'CRU historical'!AD96)</f>
        <v>37.5</v>
      </c>
      <c r="L119" s="78" cm="1">
        <f t="array" ref="L119">IFERROR(SUMPRODUCT(('Sulphuric Acid freights'!$B$3:$B$513=B129)*('Sulphuric Acid freights'!$D$3:$D$513=D119)*('Sulphuric Acid freights'!$P$3:$P$513))/SUMPRODUCT(('Sulphuric Acid freights'!$B$3:$B$513=B129)*('Sulphuric Acid freights'!$D$3:$D$513=D119)*1), AVERAGE('Sulphuric Acid freights'!$P$3:$P$513))*2/3</f>
        <v>54.110671936758898</v>
      </c>
      <c r="M119" s="78" cm="1">
        <f t="array" ref="M119">IFERROR(SUMPRODUCT(('Sulphuric Acid freights'!$B$3:$B$513=B129)*('Sulphuric Acid freights'!$D$3:$D$513=D119)*('Sulphuric Acid freights'!$M$3:$M$513))/SUMPRODUCT(('Sulphuric Acid freights'!$B$3:$B$513=B129)*('Sulphuric Acid freights'!$D$3:$D$513=D119)*1)*2/3, AVERAGE('Sulphuric Acid freights'!$M$3:$M$513))</f>
        <v>23.573122529644269</v>
      </c>
      <c r="N119" s="78">
        <f t="shared" si="28"/>
        <v>48.699604743083007</v>
      </c>
      <c r="O119" s="78" cm="1">
        <f t="array" ref="O119">IF(SUMPRODUCT(('Sulphur freight'!$B$3:$B$1976=B129)*('Sulphur freight'!$D$3:$D$1976=D119)*('Sulphur freight'!$G$3:$G$1976))/SUMPRODUCT(('Sulphur freight'!$B$3:$B$1976=B129)*('Sulphur freight'!$D$3:$D$1976=D119)*1)=0, AVERAGE('Sulphur freight'!$G$3:$G$1976),SUMPRODUCT(('Sulphur freight'!$B$3:$B$1976=B129)*('Sulphur freight'!$D$3:$D$1976=D119)*('Sulphur freight'!$G$3:$G$1976))/SUMPRODUCT(('Sulphur freight'!$B$3:$B$1976=B129)*('Sulphur freight'!$D$3:$D$1976=D119)*1))</f>
        <v>28.5</v>
      </c>
      <c r="P119" s="78">
        <v>20</v>
      </c>
      <c r="R119" s="78" t="str">
        <f t="shared" si="29"/>
        <v xml:space="preserve"> </v>
      </c>
      <c r="S119" s="78">
        <f t="shared" si="30"/>
        <v>22.973122529644268</v>
      </c>
      <c r="T119" s="78" t="str">
        <f t="shared" si="25"/>
        <v/>
      </c>
      <c r="U119" s="78" t="str">
        <f t="shared" si="31"/>
        <v/>
      </c>
      <c r="V119" s="78">
        <f>IFERROR(I119+O119, "")</f>
        <v>96.7</v>
      </c>
      <c r="W119" s="78">
        <f t="shared" si="32"/>
        <v>57.5</v>
      </c>
      <c r="X119" s="78">
        <f t="shared" si="33"/>
        <v>49.911000000000001</v>
      </c>
      <c r="Y119" s="78">
        <f t="shared" si="34"/>
        <v>36.975000000000001</v>
      </c>
      <c r="AA119" s="88" t="str">
        <f t="shared" si="35"/>
        <v/>
      </c>
      <c r="AB119" s="77" t="str">
        <f t="shared" si="26"/>
        <v/>
      </c>
      <c r="AD119" s="88" t="str">
        <f t="shared" si="36"/>
        <v/>
      </c>
      <c r="AE119" s="77" t="str">
        <f t="shared" si="27"/>
        <v/>
      </c>
    </row>
    <row r="120" spans="2:31" x14ac:dyDescent="0.35">
      <c r="B120">
        <v>2009</v>
      </c>
      <c r="C120">
        <v>1</v>
      </c>
      <c r="D120">
        <v>1</v>
      </c>
      <c r="E120" s="78" t="str">
        <f>'CRU historical'!F97</f>
        <v xml:space="preserve"> </v>
      </c>
      <c r="F120" s="78">
        <f>'CRU historical'!I97</f>
        <v>20</v>
      </c>
      <c r="G120" s="78" t="str">
        <f>'CRU historical'!L97</f>
        <v xml:space="preserve"> </v>
      </c>
      <c r="H120" s="78" t="str">
        <f>'CRU historical'!O97</f>
        <v xml:space="preserve"> </v>
      </c>
      <c r="I120" s="78">
        <f>'CRU historical'!R97</f>
        <v>122.75</v>
      </c>
      <c r="J120" s="78">
        <f>AVERAGE('CRU historical'!U97, 'CRU historical'!X97, 'CRU historical'!AA97, 'CRU historical'!AD97)</f>
        <v>63.875</v>
      </c>
      <c r="L120" s="78" cm="1">
        <f t="array" ref="L120">IFERROR(SUMPRODUCT(('Sulphuric Acid freights'!$B$3:$B$513=B130)*('Sulphuric Acid freights'!$D$3:$D$513=D120)*('Sulphuric Acid freights'!$P$3:$P$513))/SUMPRODUCT(('Sulphuric Acid freights'!$B$3:$B$513=B130)*('Sulphuric Acid freights'!$D$3:$D$513=D120)*1), AVERAGE('Sulphuric Acid freights'!$P$3:$P$513))*2/3</f>
        <v>54.110671936758898</v>
      </c>
      <c r="M120" s="78" cm="1">
        <f t="array" ref="M120">IFERROR(SUMPRODUCT(('Sulphuric Acid freights'!$B$3:$B$513=B130)*('Sulphuric Acid freights'!$D$3:$D$513=D120)*('Sulphuric Acid freights'!$M$3:$M$513))/SUMPRODUCT(('Sulphuric Acid freights'!$B$3:$B$513=B130)*('Sulphuric Acid freights'!$D$3:$D$513=D120)*1)*2/3, AVERAGE('Sulphuric Acid freights'!$M$3:$M$513))</f>
        <v>23.573122529644269</v>
      </c>
      <c r="N120" s="78">
        <f t="shared" si="28"/>
        <v>48.699604743083007</v>
      </c>
      <c r="O120" s="78" cm="1">
        <f t="array" ref="O120">IF(SUMPRODUCT(('Sulphur freight'!$B$3:$B$1976=B130)*('Sulphur freight'!$D$3:$D$1976=D120)*('Sulphur freight'!$G$3:$G$1976))/SUMPRODUCT(('Sulphur freight'!$B$3:$B$1976=B130)*('Sulphur freight'!$D$3:$D$1976=D120)*1)=0, AVERAGE('Sulphur freight'!$G$3:$G$1976),SUMPRODUCT(('Sulphur freight'!$B$3:$B$1976=B130)*('Sulphur freight'!$D$3:$D$1976=D120)*('Sulphur freight'!$G$3:$G$1976))/SUMPRODUCT(('Sulphur freight'!$B$3:$B$1976=B130)*('Sulphur freight'!$D$3:$D$1976=D120)*1))</f>
        <v>30.25</v>
      </c>
      <c r="P120" s="78">
        <v>20</v>
      </c>
      <c r="R120" s="78" t="str">
        <f t="shared" si="29"/>
        <v xml:space="preserve"> </v>
      </c>
      <c r="S120" s="78">
        <f t="shared" si="30"/>
        <v>43.573122529644266</v>
      </c>
      <c r="T120" s="78" t="str">
        <f t="shared" si="25"/>
        <v/>
      </c>
      <c r="U120" s="78" t="str">
        <f t="shared" si="31"/>
        <v/>
      </c>
      <c r="V120" s="78">
        <f>IFERROR(I120+O120, "")</f>
        <v>153</v>
      </c>
      <c r="W120" s="78">
        <f t="shared" si="32"/>
        <v>83.875</v>
      </c>
      <c r="X120" s="78">
        <f t="shared" si="33"/>
        <v>68.490000000000009</v>
      </c>
      <c r="Y120" s="78">
        <f t="shared" si="34"/>
        <v>45.678750000000001</v>
      </c>
      <c r="AA120" s="88" t="str">
        <f t="shared" si="35"/>
        <v/>
      </c>
      <c r="AB120" s="77" t="str">
        <f t="shared" si="26"/>
        <v/>
      </c>
      <c r="AD120" s="88" t="str">
        <f t="shared" si="36"/>
        <v/>
      </c>
      <c r="AE120" s="77" t="str">
        <f t="shared" si="27"/>
        <v/>
      </c>
    </row>
    <row r="121" spans="2:31" x14ac:dyDescent="0.35">
      <c r="B121">
        <v>2009</v>
      </c>
      <c r="C121">
        <v>1</v>
      </c>
      <c r="D121">
        <v>2</v>
      </c>
      <c r="E121" s="78" t="str">
        <f>'CRU historical'!F98</f>
        <v xml:space="preserve"> </v>
      </c>
      <c r="F121" s="78">
        <f>'CRU historical'!I98</f>
        <v>47.5</v>
      </c>
      <c r="G121" s="78" t="str">
        <f>'CRU historical'!L98</f>
        <v xml:space="preserve"> </v>
      </c>
      <c r="H121" s="78" t="str">
        <f>'CRU historical'!O98</f>
        <v xml:space="preserve"> </v>
      </c>
      <c r="I121" s="78">
        <f>'CRU historical'!R98</f>
        <v>167</v>
      </c>
      <c r="J121" s="78">
        <f>AVERAGE('CRU historical'!U98, 'CRU historical'!X98, 'CRU historical'!AA98, 'CRU historical'!AD98)</f>
        <v>67.625</v>
      </c>
      <c r="L121" s="78" cm="1">
        <f t="array" ref="L121">IFERROR(SUMPRODUCT(('Sulphuric Acid freights'!$B$3:$B$513=B131)*('Sulphuric Acid freights'!$D$3:$D$513=D121)*('Sulphuric Acid freights'!$P$3:$P$513))/SUMPRODUCT(('Sulphuric Acid freights'!$B$3:$B$513=B131)*('Sulphuric Acid freights'!$D$3:$D$513=D121)*1), AVERAGE('Sulphuric Acid freights'!$P$3:$P$513))*2/3</f>
        <v>54.110671936758898</v>
      </c>
      <c r="M121" s="78" cm="1">
        <f t="array" ref="M121">IFERROR(SUMPRODUCT(('Sulphuric Acid freights'!$B$3:$B$513=B131)*('Sulphuric Acid freights'!$D$3:$D$513=D121)*('Sulphuric Acid freights'!$M$3:$M$513))/SUMPRODUCT(('Sulphuric Acid freights'!$B$3:$B$513=B131)*('Sulphuric Acid freights'!$D$3:$D$513=D121)*1)*2/3, AVERAGE('Sulphuric Acid freights'!$M$3:$M$513))</f>
        <v>23.573122529644269</v>
      </c>
      <c r="N121" s="78">
        <f t="shared" si="28"/>
        <v>48.699604743083007</v>
      </c>
      <c r="O121" s="78" cm="1">
        <f t="array" ref="O121">IF(SUMPRODUCT(('Sulphur freight'!$B$3:$B$1976=B131)*('Sulphur freight'!$D$3:$D$1976=D121)*('Sulphur freight'!$G$3:$G$1976))/SUMPRODUCT(('Sulphur freight'!$B$3:$B$1976=B131)*('Sulphur freight'!$D$3:$D$1976=D121)*1)=0, AVERAGE('Sulphur freight'!$G$3:$G$1976),SUMPRODUCT(('Sulphur freight'!$B$3:$B$1976=B131)*('Sulphur freight'!$D$3:$D$1976=D121)*('Sulphur freight'!$G$3:$G$1976))/SUMPRODUCT(('Sulphur freight'!$B$3:$B$1976=B131)*('Sulphur freight'!$D$3:$D$1976=D121)*1))</f>
        <v>28.25</v>
      </c>
      <c r="P121" s="78">
        <v>20</v>
      </c>
      <c r="R121" s="78" t="str">
        <f t="shared" si="29"/>
        <v xml:space="preserve"> </v>
      </c>
      <c r="S121" s="78">
        <f t="shared" si="30"/>
        <v>71.073122529644266</v>
      </c>
      <c r="T121" s="78" t="str">
        <f t="shared" si="25"/>
        <v/>
      </c>
      <c r="U121" s="78" t="str">
        <f t="shared" si="31"/>
        <v/>
      </c>
      <c r="V121" s="78">
        <f>IFERROR(I121+O121, "")</f>
        <v>195.25</v>
      </c>
      <c r="W121" s="78">
        <f t="shared" si="32"/>
        <v>87.625</v>
      </c>
      <c r="X121" s="78">
        <f t="shared" si="33"/>
        <v>82.432500000000005</v>
      </c>
      <c r="Y121" s="78">
        <f t="shared" si="34"/>
        <v>46.916250000000005</v>
      </c>
      <c r="AA121" s="88" t="str">
        <f t="shared" si="35"/>
        <v/>
      </c>
      <c r="AB121" s="77" t="str">
        <f t="shared" si="26"/>
        <v/>
      </c>
      <c r="AD121" s="88" t="str">
        <f t="shared" si="36"/>
        <v/>
      </c>
      <c r="AE121" s="77" t="str">
        <f t="shared" si="27"/>
        <v/>
      </c>
    </row>
    <row r="122" spans="2:31" x14ac:dyDescent="0.35">
      <c r="B122">
        <v>2009</v>
      </c>
      <c r="C122">
        <v>1</v>
      </c>
      <c r="D122">
        <v>3</v>
      </c>
      <c r="E122" s="78" t="str">
        <f>'CRU historical'!F99</f>
        <v xml:space="preserve"> </v>
      </c>
      <c r="F122" s="78">
        <f>'CRU historical'!I99</f>
        <v>50</v>
      </c>
      <c r="G122" s="78" t="str">
        <f>'CRU historical'!L99</f>
        <v xml:space="preserve"> </v>
      </c>
      <c r="H122" s="78" t="str">
        <f>'CRU historical'!O99</f>
        <v xml:space="preserve"> </v>
      </c>
      <c r="I122" s="78">
        <f>'CRU historical'!R99</f>
        <v>181</v>
      </c>
      <c r="J122" s="78">
        <f>AVERAGE('CRU historical'!U99, 'CRU historical'!X99, 'CRU historical'!AA99, 'CRU historical'!AD99)</f>
        <v>67</v>
      </c>
      <c r="L122" s="78" cm="1">
        <f t="array" ref="L122">IFERROR(SUMPRODUCT(('Sulphuric Acid freights'!$B$3:$B$513=B132)*('Sulphuric Acid freights'!$D$3:$D$513=D122)*('Sulphuric Acid freights'!$P$3:$P$513))/SUMPRODUCT(('Sulphuric Acid freights'!$B$3:$B$513=B132)*('Sulphuric Acid freights'!$D$3:$D$513=D122)*1), AVERAGE('Sulphuric Acid freights'!$P$3:$P$513))*2/3</f>
        <v>54.110671936758898</v>
      </c>
      <c r="M122" s="78" cm="1">
        <f t="array" ref="M122">IFERROR(SUMPRODUCT(('Sulphuric Acid freights'!$B$3:$B$513=B132)*('Sulphuric Acid freights'!$D$3:$D$513=D122)*('Sulphuric Acid freights'!$M$3:$M$513))/SUMPRODUCT(('Sulphuric Acid freights'!$B$3:$B$513=B132)*('Sulphuric Acid freights'!$D$3:$D$513=D122)*1)*2/3, AVERAGE('Sulphuric Acid freights'!$M$3:$M$513))</f>
        <v>23.573122529644269</v>
      </c>
      <c r="N122" s="78">
        <f t="shared" si="28"/>
        <v>48.699604743083007</v>
      </c>
      <c r="O122" s="78" cm="1">
        <f t="array" ref="O122">IF(SUMPRODUCT(('Sulphur freight'!$B$3:$B$1976=B132)*('Sulphur freight'!$D$3:$D$1976=D122)*('Sulphur freight'!$G$3:$G$1976))/SUMPRODUCT(('Sulphur freight'!$B$3:$B$1976=B132)*('Sulphur freight'!$D$3:$D$1976=D122)*1)=0, AVERAGE('Sulphur freight'!$G$3:$G$1976),SUMPRODUCT(('Sulphur freight'!$B$3:$B$1976=B132)*('Sulphur freight'!$D$3:$D$1976=D122)*('Sulphur freight'!$G$3:$G$1976))/SUMPRODUCT(('Sulphur freight'!$B$3:$B$1976=B132)*('Sulphur freight'!$D$3:$D$1976=D122)*1))</f>
        <v>33.25</v>
      </c>
      <c r="P122" s="78">
        <v>20</v>
      </c>
      <c r="R122" s="78" t="str">
        <f t="shared" si="29"/>
        <v xml:space="preserve"> </v>
      </c>
      <c r="S122" s="78">
        <f t="shared" si="30"/>
        <v>73.573122529644266</v>
      </c>
      <c r="T122" s="78" t="str">
        <f t="shared" si="25"/>
        <v/>
      </c>
      <c r="U122" s="78" t="str">
        <f t="shared" si="31"/>
        <v/>
      </c>
      <c r="V122" s="78">
        <f>IFERROR(I122+O122, "")</f>
        <v>214.25</v>
      </c>
      <c r="W122" s="78">
        <f t="shared" si="32"/>
        <v>87</v>
      </c>
      <c r="X122" s="78">
        <f t="shared" si="33"/>
        <v>88.702500000000001</v>
      </c>
      <c r="Y122" s="78">
        <f t="shared" si="34"/>
        <v>46.71</v>
      </c>
      <c r="AA122" s="88" t="str">
        <f t="shared" si="35"/>
        <v/>
      </c>
      <c r="AB122" s="77" t="str">
        <f t="shared" si="26"/>
        <v/>
      </c>
      <c r="AD122" s="88" t="str">
        <f t="shared" si="36"/>
        <v/>
      </c>
      <c r="AE122" s="77" t="str">
        <f t="shared" si="27"/>
        <v/>
      </c>
    </row>
    <row r="123" spans="2:31" x14ac:dyDescent="0.35">
      <c r="B123">
        <v>2009</v>
      </c>
      <c r="C123">
        <v>2</v>
      </c>
      <c r="D123">
        <v>4</v>
      </c>
      <c r="E123" s="78" t="str">
        <f>'CRU historical'!F100</f>
        <v xml:space="preserve"> </v>
      </c>
      <c r="F123" s="78">
        <f>'CRU historical'!I100</f>
        <v>50</v>
      </c>
      <c r="G123" s="78" t="str">
        <f>'CRU historical'!L100</f>
        <v xml:space="preserve"> </v>
      </c>
      <c r="H123" s="78" t="str">
        <f>'CRU historical'!O100</f>
        <v xml:space="preserve"> </v>
      </c>
      <c r="I123" s="78">
        <f>'CRU historical'!R100</f>
        <v>178.6</v>
      </c>
      <c r="J123" s="78">
        <f>AVERAGE('CRU historical'!U100, 'CRU historical'!X100, 'CRU historical'!AA100, 'CRU historical'!AD100)</f>
        <v>67</v>
      </c>
      <c r="L123" s="78" cm="1">
        <f t="array" ref="L123">IFERROR(SUMPRODUCT(('Sulphuric Acid freights'!$B$3:$B$513=B133)*('Sulphuric Acid freights'!$D$3:$D$513=D123)*('Sulphuric Acid freights'!$P$3:$P$513))/SUMPRODUCT(('Sulphuric Acid freights'!$B$3:$B$513=B133)*('Sulphuric Acid freights'!$D$3:$D$513=D123)*1), AVERAGE('Sulphuric Acid freights'!$P$3:$P$513))*2/3</f>
        <v>54.110671936758898</v>
      </c>
      <c r="M123" s="78" cm="1">
        <f t="array" ref="M123">IFERROR(SUMPRODUCT(('Sulphuric Acid freights'!$B$3:$B$513=B133)*('Sulphuric Acid freights'!$D$3:$D$513=D123)*('Sulphuric Acid freights'!$M$3:$M$513))/SUMPRODUCT(('Sulphuric Acid freights'!$B$3:$B$513=B133)*('Sulphuric Acid freights'!$D$3:$D$513=D123)*1)*2/3, AVERAGE('Sulphuric Acid freights'!$M$3:$M$513))</f>
        <v>23.573122529644269</v>
      </c>
      <c r="N123" s="78">
        <f t="shared" si="28"/>
        <v>48.699604743083007</v>
      </c>
      <c r="O123" s="78" cm="1">
        <f t="array" ref="O123">IF(SUMPRODUCT(('Sulphur freight'!$B$3:$B$1976=B133)*('Sulphur freight'!$D$3:$D$1976=D123)*('Sulphur freight'!$G$3:$G$1976))/SUMPRODUCT(('Sulphur freight'!$B$3:$B$1976=B133)*('Sulphur freight'!$D$3:$D$1976=D123)*1)=0, AVERAGE('Sulphur freight'!$G$3:$G$1976),SUMPRODUCT(('Sulphur freight'!$B$3:$B$1976=B133)*('Sulphur freight'!$D$3:$D$1976=D123)*('Sulphur freight'!$G$3:$G$1976))/SUMPRODUCT(('Sulphur freight'!$B$3:$B$1976=B133)*('Sulphur freight'!$D$3:$D$1976=D123)*1))</f>
        <v>31.8</v>
      </c>
      <c r="P123" s="78">
        <v>20</v>
      </c>
      <c r="R123" s="78" t="str">
        <f t="shared" si="29"/>
        <v xml:space="preserve"> </v>
      </c>
      <c r="S123" s="78">
        <f t="shared" si="30"/>
        <v>73.573122529644266</v>
      </c>
      <c r="T123" s="78" t="str">
        <f t="shared" si="25"/>
        <v/>
      </c>
      <c r="U123" s="78" t="str">
        <f t="shared" si="31"/>
        <v/>
      </c>
      <c r="V123" s="78">
        <f>IFERROR(I123+O123, "")</f>
        <v>210.4</v>
      </c>
      <c r="W123" s="78">
        <f t="shared" si="32"/>
        <v>87</v>
      </c>
      <c r="X123" s="78">
        <f t="shared" si="33"/>
        <v>87.432000000000002</v>
      </c>
      <c r="Y123" s="78">
        <f t="shared" si="34"/>
        <v>46.71</v>
      </c>
      <c r="AA123" s="88" t="str">
        <f t="shared" si="35"/>
        <v/>
      </c>
      <c r="AB123" s="77" t="str">
        <f t="shared" si="26"/>
        <v/>
      </c>
      <c r="AD123" s="88" t="str">
        <f t="shared" si="36"/>
        <v/>
      </c>
      <c r="AE123" s="77" t="str">
        <f t="shared" si="27"/>
        <v/>
      </c>
    </row>
    <row r="124" spans="2:31" x14ac:dyDescent="0.35">
      <c r="B124">
        <v>2009</v>
      </c>
      <c r="C124">
        <v>2</v>
      </c>
      <c r="D124">
        <v>5</v>
      </c>
      <c r="E124" s="78" t="str">
        <f>'CRU historical'!F101</f>
        <v xml:space="preserve"> </v>
      </c>
      <c r="F124" s="78">
        <f>'CRU historical'!I101</f>
        <v>50</v>
      </c>
      <c r="G124" s="78" t="str">
        <f>'CRU historical'!L101</f>
        <v xml:space="preserve"> </v>
      </c>
      <c r="H124" s="78" t="str">
        <f>'CRU historical'!O101</f>
        <v xml:space="preserve"> </v>
      </c>
      <c r="I124" s="78">
        <f>'CRU historical'!R101</f>
        <v>121.5</v>
      </c>
      <c r="J124" s="78">
        <f>AVERAGE('CRU historical'!U101, 'CRU historical'!X101, 'CRU historical'!AA101, 'CRU historical'!AD101)</f>
        <v>67.625</v>
      </c>
      <c r="L124" s="78" cm="1">
        <f t="array" ref="L124">IFERROR(SUMPRODUCT(('Sulphuric Acid freights'!$B$3:$B$513=B134)*('Sulphuric Acid freights'!$D$3:$D$513=D124)*('Sulphuric Acid freights'!$P$3:$P$513))/SUMPRODUCT(('Sulphuric Acid freights'!$B$3:$B$513=B134)*('Sulphuric Acid freights'!$D$3:$D$513=D124)*1), AVERAGE('Sulphuric Acid freights'!$P$3:$P$513))*2/3</f>
        <v>54.110671936758898</v>
      </c>
      <c r="M124" s="78" cm="1">
        <f t="array" ref="M124">IFERROR(SUMPRODUCT(('Sulphuric Acid freights'!$B$3:$B$513=B134)*('Sulphuric Acid freights'!$D$3:$D$513=D124)*('Sulphuric Acid freights'!$M$3:$M$513))/SUMPRODUCT(('Sulphuric Acid freights'!$B$3:$B$513=B134)*('Sulphuric Acid freights'!$D$3:$D$513=D124)*1)*2/3, AVERAGE('Sulphuric Acid freights'!$M$3:$M$513))</f>
        <v>23.573122529644269</v>
      </c>
      <c r="N124" s="78">
        <f t="shared" si="28"/>
        <v>48.699604743083007</v>
      </c>
      <c r="O124" s="78" cm="1">
        <f t="array" ref="O124">IF(SUMPRODUCT(('Sulphur freight'!$B$3:$B$1976=B134)*('Sulphur freight'!$D$3:$D$1976=D124)*('Sulphur freight'!$G$3:$G$1976))/SUMPRODUCT(('Sulphur freight'!$B$3:$B$1976=B134)*('Sulphur freight'!$D$3:$D$1976=D124)*1)=0, AVERAGE('Sulphur freight'!$G$3:$G$1976),SUMPRODUCT(('Sulphur freight'!$B$3:$B$1976=B134)*('Sulphur freight'!$D$3:$D$1976=D124)*('Sulphur freight'!$G$3:$G$1976))/SUMPRODUCT(('Sulphur freight'!$B$3:$B$1976=B134)*('Sulphur freight'!$D$3:$D$1976=D124)*1))</f>
        <v>32.5</v>
      </c>
      <c r="P124" s="78">
        <v>20</v>
      </c>
      <c r="R124" s="78" t="str">
        <f t="shared" si="29"/>
        <v xml:space="preserve"> </v>
      </c>
      <c r="S124" s="78">
        <f t="shared" si="30"/>
        <v>73.573122529644266</v>
      </c>
      <c r="T124" s="78" t="str">
        <f t="shared" si="25"/>
        <v/>
      </c>
      <c r="U124" s="78" t="str">
        <f t="shared" si="31"/>
        <v/>
      </c>
      <c r="V124" s="78">
        <f>IFERROR(I124+O124, "")</f>
        <v>154</v>
      </c>
      <c r="W124" s="78">
        <f t="shared" si="32"/>
        <v>87.625</v>
      </c>
      <c r="X124" s="78">
        <f t="shared" si="33"/>
        <v>68.819999999999993</v>
      </c>
      <c r="Y124" s="78">
        <f t="shared" si="34"/>
        <v>46.916250000000005</v>
      </c>
      <c r="AA124" s="88" t="str">
        <f t="shared" si="35"/>
        <v/>
      </c>
      <c r="AB124" s="77" t="str">
        <f t="shared" si="26"/>
        <v/>
      </c>
      <c r="AD124" s="88" t="str">
        <f t="shared" si="36"/>
        <v/>
      </c>
      <c r="AE124" s="77" t="str">
        <f t="shared" si="27"/>
        <v/>
      </c>
    </row>
    <row r="125" spans="2:31" x14ac:dyDescent="0.35">
      <c r="B125">
        <v>2009</v>
      </c>
      <c r="C125">
        <v>2</v>
      </c>
      <c r="D125">
        <v>6</v>
      </c>
      <c r="E125" s="78" t="str">
        <f>'CRU historical'!F102</f>
        <v xml:space="preserve"> </v>
      </c>
      <c r="F125" s="78">
        <f>'CRU historical'!I102</f>
        <v>50</v>
      </c>
      <c r="G125" s="78" t="str">
        <f>'CRU historical'!L102</f>
        <v xml:space="preserve"> </v>
      </c>
      <c r="H125" s="78" t="str">
        <f>'CRU historical'!O102</f>
        <v xml:space="preserve"> </v>
      </c>
      <c r="I125" s="78">
        <f>'CRU historical'!R102</f>
        <v>80.75</v>
      </c>
      <c r="J125" s="78">
        <f>AVERAGE('CRU historical'!U102, 'CRU historical'!X102, 'CRU historical'!AA102, 'CRU historical'!AD102)</f>
        <v>69.5</v>
      </c>
      <c r="L125" s="78" cm="1">
        <f t="array" ref="L125">IFERROR(SUMPRODUCT(('Sulphuric Acid freights'!$B$3:$B$513=B135)*('Sulphuric Acid freights'!$D$3:$D$513=D125)*('Sulphuric Acid freights'!$P$3:$P$513))/SUMPRODUCT(('Sulphuric Acid freights'!$B$3:$B$513=B135)*('Sulphuric Acid freights'!$D$3:$D$513=D125)*1), AVERAGE('Sulphuric Acid freights'!$P$3:$P$513))*2/3</f>
        <v>54.110671936758898</v>
      </c>
      <c r="M125" s="78" cm="1">
        <f t="array" ref="M125">IFERROR(SUMPRODUCT(('Sulphuric Acid freights'!$B$3:$B$513=B135)*('Sulphuric Acid freights'!$D$3:$D$513=D125)*('Sulphuric Acid freights'!$M$3:$M$513))/SUMPRODUCT(('Sulphuric Acid freights'!$B$3:$B$513=B135)*('Sulphuric Acid freights'!$D$3:$D$513=D125)*1)*2/3, AVERAGE('Sulphuric Acid freights'!$M$3:$M$513))</f>
        <v>23.573122529644269</v>
      </c>
      <c r="N125" s="78">
        <f t="shared" si="28"/>
        <v>48.699604743083007</v>
      </c>
      <c r="O125" s="78" cm="1">
        <f t="array" ref="O125">IF(SUMPRODUCT(('Sulphur freight'!$B$3:$B$1976=B135)*('Sulphur freight'!$D$3:$D$1976=D125)*('Sulphur freight'!$G$3:$G$1976))/SUMPRODUCT(('Sulphur freight'!$B$3:$B$1976=B135)*('Sulphur freight'!$D$3:$D$1976=D125)*1)=0, AVERAGE('Sulphur freight'!$G$3:$G$1976),SUMPRODUCT(('Sulphur freight'!$B$3:$B$1976=B135)*('Sulphur freight'!$D$3:$D$1976=D125)*('Sulphur freight'!$G$3:$G$1976))/SUMPRODUCT(('Sulphur freight'!$B$3:$B$1976=B135)*('Sulphur freight'!$D$3:$D$1976=D125)*1))</f>
        <v>27</v>
      </c>
      <c r="P125" s="78">
        <v>20</v>
      </c>
      <c r="R125" s="78" t="str">
        <f t="shared" si="29"/>
        <v xml:space="preserve"> </v>
      </c>
      <c r="S125" s="78">
        <f t="shared" si="30"/>
        <v>73.573122529644266</v>
      </c>
      <c r="T125" s="78" t="str">
        <f t="shared" si="25"/>
        <v/>
      </c>
      <c r="U125" s="78" t="str">
        <f t="shared" si="31"/>
        <v/>
      </c>
      <c r="V125" s="78">
        <f>IFERROR(I125+O125, "")</f>
        <v>107.75</v>
      </c>
      <c r="W125" s="78">
        <f t="shared" si="32"/>
        <v>89.5</v>
      </c>
      <c r="X125" s="78">
        <f t="shared" si="33"/>
        <v>53.557500000000005</v>
      </c>
      <c r="Y125" s="78">
        <f t="shared" si="34"/>
        <v>47.534999999999997</v>
      </c>
      <c r="AA125" s="88" t="str">
        <f t="shared" si="35"/>
        <v/>
      </c>
      <c r="AB125" s="77" t="str">
        <f t="shared" si="26"/>
        <v/>
      </c>
      <c r="AD125" s="88" t="str">
        <f t="shared" si="36"/>
        <v/>
      </c>
      <c r="AE125" s="77" t="str">
        <f t="shared" si="27"/>
        <v/>
      </c>
    </row>
    <row r="126" spans="2:31" x14ac:dyDescent="0.35">
      <c r="B126">
        <v>2009</v>
      </c>
      <c r="C126">
        <v>3</v>
      </c>
      <c r="D126">
        <v>7</v>
      </c>
      <c r="E126" s="78" t="str">
        <f>'CRU historical'!F103</f>
        <v xml:space="preserve"> </v>
      </c>
      <c r="F126" s="78">
        <f>'CRU historical'!I103</f>
        <v>50</v>
      </c>
      <c r="G126" s="78" t="str">
        <f>'CRU historical'!L103</f>
        <v xml:space="preserve"> </v>
      </c>
      <c r="H126" s="78" t="str">
        <f>'CRU historical'!O103</f>
        <v xml:space="preserve"> </v>
      </c>
      <c r="I126" s="78">
        <f>'CRU historical'!R103</f>
        <v>66.599999999999994</v>
      </c>
      <c r="J126" s="78">
        <f>AVERAGE('CRU historical'!U103, 'CRU historical'!X103, 'CRU historical'!AA103, 'CRU historical'!AD103)</f>
        <v>70.099999999999994</v>
      </c>
      <c r="L126" s="78" cm="1">
        <f t="array" ref="L126">IFERROR(SUMPRODUCT(('Sulphuric Acid freights'!$B$3:$B$513=B136)*('Sulphuric Acid freights'!$D$3:$D$513=D126)*('Sulphuric Acid freights'!$P$3:$P$513))/SUMPRODUCT(('Sulphuric Acid freights'!$B$3:$B$513=B136)*('Sulphuric Acid freights'!$D$3:$D$513=D126)*1), AVERAGE('Sulphuric Acid freights'!$P$3:$P$513))*2/3</f>
        <v>54.110671936758898</v>
      </c>
      <c r="M126" s="78" cm="1">
        <f t="array" ref="M126">IFERROR(SUMPRODUCT(('Sulphuric Acid freights'!$B$3:$B$513=B136)*('Sulphuric Acid freights'!$D$3:$D$513=D126)*('Sulphuric Acid freights'!$M$3:$M$513))/SUMPRODUCT(('Sulphuric Acid freights'!$B$3:$B$513=B136)*('Sulphuric Acid freights'!$D$3:$D$513=D126)*1)*2/3, AVERAGE('Sulphuric Acid freights'!$M$3:$M$513))</f>
        <v>23.573122529644269</v>
      </c>
      <c r="N126" s="78">
        <f t="shared" si="28"/>
        <v>48.699604743083007</v>
      </c>
      <c r="O126" s="78" cm="1">
        <f t="array" ref="O126">IF(SUMPRODUCT(('Sulphur freight'!$B$3:$B$1976=B136)*('Sulphur freight'!$D$3:$D$1976=D126)*('Sulphur freight'!$G$3:$G$1976))/SUMPRODUCT(('Sulphur freight'!$B$3:$B$1976=B136)*('Sulphur freight'!$D$3:$D$1976=D126)*1)=0, AVERAGE('Sulphur freight'!$G$3:$G$1976),SUMPRODUCT(('Sulphur freight'!$B$3:$B$1976=B136)*('Sulphur freight'!$D$3:$D$1976=D126)*('Sulphur freight'!$G$3:$G$1976))/SUMPRODUCT(('Sulphur freight'!$B$3:$B$1976=B136)*('Sulphur freight'!$D$3:$D$1976=D126)*1))</f>
        <v>24.4</v>
      </c>
      <c r="P126" s="78">
        <v>20</v>
      </c>
      <c r="R126" s="78" t="str">
        <f t="shared" si="29"/>
        <v xml:space="preserve"> </v>
      </c>
      <c r="S126" s="78">
        <f t="shared" si="30"/>
        <v>73.573122529644266</v>
      </c>
      <c r="T126" s="78" t="str">
        <f t="shared" si="25"/>
        <v/>
      </c>
      <c r="U126" s="78" t="str">
        <f t="shared" si="31"/>
        <v/>
      </c>
      <c r="V126" s="78">
        <f>IFERROR(I126+O126, "")</f>
        <v>91</v>
      </c>
      <c r="W126" s="78">
        <f t="shared" si="32"/>
        <v>90.1</v>
      </c>
      <c r="X126" s="78">
        <f t="shared" si="33"/>
        <v>48.03</v>
      </c>
      <c r="Y126" s="78">
        <f t="shared" si="34"/>
        <v>47.733000000000004</v>
      </c>
      <c r="AA126" s="88" t="str">
        <f t="shared" si="35"/>
        <v/>
      </c>
      <c r="AB126" s="77" t="str">
        <f t="shared" si="26"/>
        <v/>
      </c>
      <c r="AD126" s="88" t="str">
        <f t="shared" si="36"/>
        <v/>
      </c>
      <c r="AE126" s="77" t="str">
        <f t="shared" si="27"/>
        <v/>
      </c>
    </row>
    <row r="127" spans="2:31" x14ac:dyDescent="0.35">
      <c r="B127">
        <v>2009</v>
      </c>
      <c r="C127">
        <v>3</v>
      </c>
      <c r="D127">
        <v>8</v>
      </c>
      <c r="E127" s="78" t="str">
        <f>'CRU historical'!F104</f>
        <v xml:space="preserve"> </v>
      </c>
      <c r="F127" s="78">
        <f>'CRU historical'!I104</f>
        <v>51.25</v>
      </c>
      <c r="G127" s="78" t="str">
        <f>'CRU historical'!L104</f>
        <v xml:space="preserve"> </v>
      </c>
      <c r="H127" s="78" t="str">
        <f>'CRU historical'!O104</f>
        <v xml:space="preserve"> </v>
      </c>
      <c r="I127" s="78">
        <f>'CRU historical'!R104</f>
        <v>123</v>
      </c>
      <c r="J127" s="78">
        <f>AVERAGE('CRU historical'!U104, 'CRU historical'!X104, 'CRU historical'!AA104, 'CRU historical'!AD104)</f>
        <v>70.125</v>
      </c>
      <c r="L127" s="78" cm="1">
        <f t="array" ref="L127">IFERROR(SUMPRODUCT(('Sulphuric Acid freights'!$B$3:$B$513=B137)*('Sulphuric Acid freights'!$D$3:$D$513=D127)*('Sulphuric Acid freights'!$P$3:$P$513))/SUMPRODUCT(('Sulphuric Acid freights'!$B$3:$B$513=B137)*('Sulphuric Acid freights'!$D$3:$D$513=D127)*1), AVERAGE('Sulphuric Acid freights'!$P$3:$P$513))*2/3</f>
        <v>54.110671936758898</v>
      </c>
      <c r="M127" s="78" cm="1">
        <f t="array" ref="M127">IFERROR(SUMPRODUCT(('Sulphuric Acid freights'!$B$3:$B$513=B137)*('Sulphuric Acid freights'!$D$3:$D$513=D127)*('Sulphuric Acid freights'!$M$3:$M$513))/SUMPRODUCT(('Sulphuric Acid freights'!$B$3:$B$513=B137)*('Sulphuric Acid freights'!$D$3:$D$513=D127)*1)*2/3, AVERAGE('Sulphuric Acid freights'!$M$3:$M$513))</f>
        <v>23.573122529644269</v>
      </c>
      <c r="N127" s="78">
        <f t="shared" si="28"/>
        <v>48.699604743083007</v>
      </c>
      <c r="O127" s="78" cm="1">
        <f t="array" ref="O127">IF(SUMPRODUCT(('Sulphur freight'!$B$3:$B$1976=B137)*('Sulphur freight'!$D$3:$D$1976=D127)*('Sulphur freight'!$G$3:$G$1976))/SUMPRODUCT(('Sulphur freight'!$B$3:$B$1976=B137)*('Sulphur freight'!$D$3:$D$1976=D127)*1)=0, AVERAGE('Sulphur freight'!$G$3:$G$1976),SUMPRODUCT(('Sulphur freight'!$B$3:$B$1976=B137)*('Sulphur freight'!$D$3:$D$1976=D127)*('Sulphur freight'!$G$3:$G$1976))/SUMPRODUCT(('Sulphur freight'!$B$3:$B$1976=B137)*('Sulphur freight'!$D$3:$D$1976=D127)*1))</f>
        <v>28.25</v>
      </c>
      <c r="P127" s="78">
        <v>20</v>
      </c>
      <c r="R127" s="78" t="str">
        <f t="shared" si="29"/>
        <v xml:space="preserve"> </v>
      </c>
      <c r="S127" s="78">
        <f t="shared" si="30"/>
        <v>74.823122529644266</v>
      </c>
      <c r="T127" s="78" t="str">
        <f t="shared" si="25"/>
        <v/>
      </c>
      <c r="U127" s="78" t="str">
        <f t="shared" si="31"/>
        <v/>
      </c>
      <c r="V127" s="78">
        <f>IFERROR(I127+O127, "")</f>
        <v>151.25</v>
      </c>
      <c r="W127" s="78">
        <f t="shared" si="32"/>
        <v>90.125</v>
      </c>
      <c r="X127" s="78">
        <f t="shared" si="33"/>
        <v>67.912499999999994</v>
      </c>
      <c r="Y127" s="78">
        <f t="shared" si="34"/>
        <v>47.741250000000001</v>
      </c>
      <c r="AA127" s="88" t="str">
        <f t="shared" si="35"/>
        <v/>
      </c>
      <c r="AB127" s="77" t="str">
        <f t="shared" si="26"/>
        <v/>
      </c>
      <c r="AD127" s="88" t="str">
        <f t="shared" si="36"/>
        <v/>
      </c>
      <c r="AE127" s="77" t="str">
        <f t="shared" si="27"/>
        <v/>
      </c>
    </row>
    <row r="128" spans="2:31" x14ac:dyDescent="0.35">
      <c r="B128">
        <v>2009</v>
      </c>
      <c r="C128">
        <v>3</v>
      </c>
      <c r="D128">
        <v>9</v>
      </c>
      <c r="E128" s="78" t="str">
        <f>'CRU historical'!F105</f>
        <v xml:space="preserve"> </v>
      </c>
      <c r="F128" s="78">
        <f>'CRU historical'!I105</f>
        <v>55</v>
      </c>
      <c r="G128" s="78" t="str">
        <f>'CRU historical'!L105</f>
        <v xml:space="preserve"> </v>
      </c>
      <c r="H128" s="78" t="str">
        <f>'CRU historical'!O105</f>
        <v xml:space="preserve"> </v>
      </c>
      <c r="I128" s="78">
        <f>'CRU historical'!R105</f>
        <v>148.4</v>
      </c>
      <c r="J128" s="78">
        <f>AVERAGE('CRU historical'!U105, 'CRU historical'!X105, 'CRU historical'!AA105, 'CRU historical'!AD105)</f>
        <v>72</v>
      </c>
      <c r="L128" s="78" cm="1">
        <f t="array" ref="L128">IFERROR(SUMPRODUCT(('Sulphuric Acid freights'!$B$3:$B$513=B138)*('Sulphuric Acid freights'!$D$3:$D$513=D128)*('Sulphuric Acid freights'!$P$3:$P$513))/SUMPRODUCT(('Sulphuric Acid freights'!$B$3:$B$513=B138)*('Sulphuric Acid freights'!$D$3:$D$513=D128)*1), AVERAGE('Sulphuric Acid freights'!$P$3:$P$513))*2/3</f>
        <v>54.110671936758898</v>
      </c>
      <c r="M128" s="78" cm="1">
        <f t="array" ref="M128">IFERROR(SUMPRODUCT(('Sulphuric Acid freights'!$B$3:$B$513=B138)*('Sulphuric Acid freights'!$D$3:$D$513=D128)*('Sulphuric Acid freights'!$M$3:$M$513))/SUMPRODUCT(('Sulphuric Acid freights'!$B$3:$B$513=B138)*('Sulphuric Acid freights'!$D$3:$D$513=D128)*1)*2/3, AVERAGE('Sulphuric Acid freights'!$M$3:$M$513))</f>
        <v>23.573122529644269</v>
      </c>
      <c r="N128" s="78">
        <f t="shared" si="28"/>
        <v>48.699604743083007</v>
      </c>
      <c r="O128" s="78" cm="1">
        <f t="array" ref="O128">IF(SUMPRODUCT(('Sulphur freight'!$B$3:$B$1976=B138)*('Sulphur freight'!$D$3:$D$1976=D128)*('Sulphur freight'!$G$3:$G$1976))/SUMPRODUCT(('Sulphur freight'!$B$3:$B$1976=B138)*('Sulphur freight'!$D$3:$D$1976=D128)*1)=0, AVERAGE('Sulphur freight'!$G$3:$G$1976),SUMPRODUCT(('Sulphur freight'!$B$3:$B$1976=B138)*('Sulphur freight'!$D$3:$D$1976=D128)*('Sulphur freight'!$G$3:$G$1976))/SUMPRODUCT(('Sulphur freight'!$B$3:$B$1976=B138)*('Sulphur freight'!$D$3:$D$1976=D128)*1))</f>
        <v>29.6</v>
      </c>
      <c r="P128" s="78">
        <v>20</v>
      </c>
      <c r="R128" s="78" t="str">
        <f t="shared" si="29"/>
        <v xml:space="preserve"> </v>
      </c>
      <c r="S128" s="78">
        <f t="shared" si="30"/>
        <v>78.573122529644266</v>
      </c>
      <c r="T128" s="78" t="str">
        <f t="shared" si="25"/>
        <v/>
      </c>
      <c r="U128" s="78" t="str">
        <f t="shared" si="31"/>
        <v/>
      </c>
      <c r="V128" s="78">
        <f>IFERROR(I128+O128, "")</f>
        <v>178</v>
      </c>
      <c r="W128" s="78">
        <f t="shared" si="32"/>
        <v>92</v>
      </c>
      <c r="X128" s="78">
        <f t="shared" si="33"/>
        <v>76.740000000000009</v>
      </c>
      <c r="Y128" s="78">
        <f t="shared" si="34"/>
        <v>48.36</v>
      </c>
      <c r="AA128" s="88" t="str">
        <f t="shared" si="35"/>
        <v/>
      </c>
      <c r="AB128" s="77" t="str">
        <f t="shared" si="26"/>
        <v/>
      </c>
      <c r="AD128" s="88" t="str">
        <f t="shared" si="36"/>
        <v/>
      </c>
      <c r="AE128" s="77" t="str">
        <f t="shared" si="27"/>
        <v/>
      </c>
    </row>
    <row r="129" spans="2:31" x14ac:dyDescent="0.35">
      <c r="B129">
        <v>2009</v>
      </c>
      <c r="C129">
        <v>4</v>
      </c>
      <c r="D129">
        <v>10</v>
      </c>
      <c r="E129" s="78" t="str">
        <f>'CRU historical'!F106</f>
        <v xml:space="preserve"> </v>
      </c>
      <c r="F129" s="78">
        <f>'CRU historical'!I106</f>
        <v>55</v>
      </c>
      <c r="G129" s="78" t="str">
        <f>'CRU historical'!L106</f>
        <v xml:space="preserve"> </v>
      </c>
      <c r="H129" s="78" t="str">
        <f>'CRU historical'!O106</f>
        <v xml:space="preserve"> </v>
      </c>
      <c r="I129" s="78">
        <f>'CRU historical'!R106</f>
        <v>165.25</v>
      </c>
      <c r="J129" s="78">
        <f>AVERAGE('CRU historical'!U106, 'CRU historical'!X106, 'CRU historical'!AA106, 'CRU historical'!AD106)</f>
        <v>72</v>
      </c>
      <c r="L129" s="78" cm="1">
        <f t="array" ref="L129">IFERROR(SUMPRODUCT(('Sulphuric Acid freights'!$B$3:$B$513=B139)*('Sulphuric Acid freights'!$D$3:$D$513=D129)*('Sulphuric Acid freights'!$P$3:$P$513))/SUMPRODUCT(('Sulphuric Acid freights'!$B$3:$B$513=B139)*('Sulphuric Acid freights'!$D$3:$D$513=D129)*1), AVERAGE('Sulphuric Acid freights'!$P$3:$P$513))*2/3</f>
        <v>54.110671936758898</v>
      </c>
      <c r="M129" s="78" cm="1">
        <f t="array" ref="M129">IFERROR(SUMPRODUCT(('Sulphuric Acid freights'!$B$3:$B$513=B139)*('Sulphuric Acid freights'!$D$3:$D$513=D129)*('Sulphuric Acid freights'!$M$3:$M$513))/SUMPRODUCT(('Sulphuric Acid freights'!$B$3:$B$513=B139)*('Sulphuric Acid freights'!$D$3:$D$513=D129)*1)*2/3, AVERAGE('Sulphuric Acid freights'!$M$3:$M$513))</f>
        <v>23.573122529644269</v>
      </c>
      <c r="N129" s="78">
        <f t="shared" si="28"/>
        <v>48.699604743083007</v>
      </c>
      <c r="O129" s="78" cm="1">
        <f t="array" ref="O129">IF(SUMPRODUCT(('Sulphur freight'!$B$3:$B$1976=B139)*('Sulphur freight'!$D$3:$D$1976=D129)*('Sulphur freight'!$G$3:$G$1976))/SUMPRODUCT(('Sulphur freight'!$B$3:$B$1976=B139)*('Sulphur freight'!$D$3:$D$1976=D129)*1)=0, AVERAGE('Sulphur freight'!$G$3:$G$1976),SUMPRODUCT(('Sulphur freight'!$B$3:$B$1976=B139)*('Sulphur freight'!$D$3:$D$1976=D129)*('Sulphur freight'!$G$3:$G$1976))/SUMPRODUCT(('Sulphur freight'!$B$3:$B$1976=B139)*('Sulphur freight'!$D$3:$D$1976=D129)*1))</f>
        <v>28.25</v>
      </c>
      <c r="P129" s="78">
        <v>20</v>
      </c>
      <c r="R129" s="78" t="str">
        <f t="shared" si="29"/>
        <v xml:space="preserve"> </v>
      </c>
      <c r="S129" s="78">
        <f t="shared" si="30"/>
        <v>78.573122529644266</v>
      </c>
      <c r="T129" s="78" t="str">
        <f t="shared" si="25"/>
        <v/>
      </c>
      <c r="U129" s="78" t="str">
        <f t="shared" si="31"/>
        <v/>
      </c>
      <c r="V129" s="78">
        <f>IFERROR(I129+O129, "")</f>
        <v>193.5</v>
      </c>
      <c r="W129" s="78">
        <f t="shared" si="32"/>
        <v>92</v>
      </c>
      <c r="X129" s="78">
        <f t="shared" si="33"/>
        <v>81.855000000000004</v>
      </c>
      <c r="Y129" s="78">
        <f t="shared" si="34"/>
        <v>48.36</v>
      </c>
      <c r="AA129" s="88" t="str">
        <f t="shared" si="35"/>
        <v/>
      </c>
      <c r="AB129" s="77" t="str">
        <f t="shared" si="26"/>
        <v/>
      </c>
      <c r="AD129" s="88" t="str">
        <f t="shared" si="36"/>
        <v/>
      </c>
      <c r="AE129" s="77" t="str">
        <f t="shared" si="27"/>
        <v/>
      </c>
    </row>
    <row r="130" spans="2:31" x14ac:dyDescent="0.35">
      <c r="B130">
        <v>2010</v>
      </c>
      <c r="C130">
        <v>4</v>
      </c>
      <c r="D130">
        <v>11</v>
      </c>
      <c r="E130" s="78" t="str">
        <f>'CRU historical'!F107</f>
        <v xml:space="preserve"> </v>
      </c>
      <c r="F130" s="78">
        <f>'CRU historical'!I107</f>
        <v>70</v>
      </c>
      <c r="G130" s="78" t="str">
        <f>'CRU historical'!L107</f>
        <v xml:space="preserve"> </v>
      </c>
      <c r="H130" s="78" t="str">
        <f>'CRU historical'!O107</f>
        <v xml:space="preserve"> </v>
      </c>
      <c r="I130" s="78">
        <f>'CRU historical'!R107</f>
        <v>172.5</v>
      </c>
      <c r="J130" s="78">
        <f>AVERAGE('CRU historical'!U107, 'CRU historical'!X107, 'CRU historical'!AA107, 'CRU historical'!AD107)</f>
        <v>89.666666666666671</v>
      </c>
      <c r="L130" s="78" cm="1">
        <f t="array" ref="L130">IFERROR(SUMPRODUCT(('Sulphuric Acid freights'!$B$3:$B$513=B140)*('Sulphuric Acid freights'!$D$3:$D$513=D130)*('Sulphuric Acid freights'!$P$3:$P$513))/SUMPRODUCT(('Sulphuric Acid freights'!$B$3:$B$513=B140)*('Sulphuric Acid freights'!$D$3:$D$513=D130)*1), AVERAGE('Sulphuric Acid freights'!$P$3:$P$513))*2/3</f>
        <v>54.110671936758898</v>
      </c>
      <c r="M130" s="78" cm="1">
        <f t="array" ref="M130">IFERROR(SUMPRODUCT(('Sulphuric Acid freights'!$B$3:$B$513=B140)*('Sulphuric Acid freights'!$D$3:$D$513=D130)*('Sulphuric Acid freights'!$M$3:$M$513))/SUMPRODUCT(('Sulphuric Acid freights'!$B$3:$B$513=B140)*('Sulphuric Acid freights'!$D$3:$D$513=D130)*1)*2/3, AVERAGE('Sulphuric Acid freights'!$M$3:$M$513))</f>
        <v>23.573122529644269</v>
      </c>
      <c r="N130" s="78">
        <f t="shared" si="28"/>
        <v>48.699604743083007</v>
      </c>
      <c r="O130" s="78" cm="1">
        <f t="array" ref="O130">IF(SUMPRODUCT(('Sulphur freight'!$B$3:$B$1976=B140)*('Sulphur freight'!$D$3:$D$1976=D130)*('Sulphur freight'!$G$3:$G$1976))/SUMPRODUCT(('Sulphur freight'!$B$3:$B$1976=B140)*('Sulphur freight'!$D$3:$D$1976=D130)*1)=0, AVERAGE('Sulphur freight'!$G$3:$G$1976),SUMPRODUCT(('Sulphur freight'!$B$3:$B$1976=B140)*('Sulphur freight'!$D$3:$D$1976=D130)*('Sulphur freight'!$G$3:$G$1976))/SUMPRODUCT(('Sulphur freight'!$B$3:$B$1976=B140)*('Sulphur freight'!$D$3:$D$1976=D130)*1))</f>
        <v>26.75</v>
      </c>
      <c r="P130" s="78">
        <v>20</v>
      </c>
      <c r="R130" s="78" t="str">
        <f t="shared" si="29"/>
        <v xml:space="preserve"> </v>
      </c>
      <c r="S130" s="78">
        <f t="shared" si="30"/>
        <v>93.573122529644266</v>
      </c>
      <c r="T130" s="78" t="str">
        <f t="shared" si="25"/>
        <v/>
      </c>
      <c r="U130" s="78" t="str">
        <f t="shared" si="31"/>
        <v/>
      </c>
      <c r="V130" s="78">
        <f>IFERROR(I130+O130, "")</f>
        <v>199.25</v>
      </c>
      <c r="W130" s="78">
        <f t="shared" si="32"/>
        <v>109.66666666666667</v>
      </c>
      <c r="X130" s="78">
        <f t="shared" si="33"/>
        <v>83.752499999999998</v>
      </c>
      <c r="Y130" s="78">
        <f t="shared" si="34"/>
        <v>54.190000000000005</v>
      </c>
      <c r="AA130" s="88" t="str">
        <f t="shared" si="35"/>
        <v/>
      </c>
      <c r="AB130" s="77" t="str">
        <f t="shared" si="26"/>
        <v/>
      </c>
      <c r="AD130" s="88" t="str">
        <f t="shared" si="36"/>
        <v/>
      </c>
      <c r="AE130" s="77" t="str">
        <f t="shared" si="27"/>
        <v/>
      </c>
    </row>
    <row r="131" spans="2:31" x14ac:dyDescent="0.35">
      <c r="B131">
        <v>2010</v>
      </c>
      <c r="C131">
        <v>4</v>
      </c>
      <c r="D131">
        <v>12</v>
      </c>
      <c r="E131" s="78" t="str">
        <f>'CRU historical'!F108</f>
        <v xml:space="preserve"> </v>
      </c>
      <c r="F131" s="78">
        <f>'CRU historical'!I108</f>
        <v>75</v>
      </c>
      <c r="G131" s="78" t="str">
        <f>'CRU historical'!L108</f>
        <v xml:space="preserve"> </v>
      </c>
      <c r="H131" s="78" t="str">
        <f>'CRU historical'!O108</f>
        <v xml:space="preserve"> </v>
      </c>
      <c r="I131" s="78">
        <f>'CRU historical'!R108</f>
        <v>159</v>
      </c>
      <c r="J131" s="78">
        <f>AVERAGE('CRU historical'!U108, 'CRU historical'!X108, 'CRU historical'!AA108, 'CRU historical'!AD108)</f>
        <v>89.666666666666671</v>
      </c>
      <c r="L131" s="78" cm="1">
        <f t="array" ref="L131">IFERROR(SUMPRODUCT(('Sulphuric Acid freights'!$B$3:$B$513=B141)*('Sulphuric Acid freights'!$D$3:$D$513=D131)*('Sulphuric Acid freights'!$P$3:$P$513))/SUMPRODUCT(('Sulphuric Acid freights'!$B$3:$B$513=B141)*('Sulphuric Acid freights'!$D$3:$D$513=D131)*1), AVERAGE('Sulphuric Acid freights'!$P$3:$P$513))*2/3</f>
        <v>54.110671936758898</v>
      </c>
      <c r="M131" s="78" cm="1">
        <f t="array" ref="M131">IFERROR(SUMPRODUCT(('Sulphuric Acid freights'!$B$3:$B$513=B141)*('Sulphuric Acid freights'!$D$3:$D$513=D131)*('Sulphuric Acid freights'!$M$3:$M$513))/SUMPRODUCT(('Sulphuric Acid freights'!$B$3:$B$513=B141)*('Sulphuric Acid freights'!$D$3:$D$513=D131)*1)*2/3, AVERAGE('Sulphuric Acid freights'!$M$3:$M$513))</f>
        <v>23.573122529644269</v>
      </c>
      <c r="N131" s="78">
        <f t="shared" si="28"/>
        <v>48.699604743083007</v>
      </c>
      <c r="O131" s="78" cm="1">
        <f t="array" ref="O131">IF(SUMPRODUCT(('Sulphur freight'!$B$3:$B$1976=B141)*('Sulphur freight'!$D$3:$D$1976=D131)*('Sulphur freight'!$G$3:$G$1976))/SUMPRODUCT(('Sulphur freight'!$B$3:$B$1976=B141)*('Sulphur freight'!$D$3:$D$1976=D131)*1)=0, AVERAGE('Sulphur freight'!$G$3:$G$1976),SUMPRODUCT(('Sulphur freight'!$B$3:$B$1976=B141)*('Sulphur freight'!$D$3:$D$1976=D131)*('Sulphur freight'!$G$3:$G$1976))/SUMPRODUCT(('Sulphur freight'!$B$3:$B$1976=B141)*('Sulphur freight'!$D$3:$D$1976=D131)*1))</f>
        <v>27</v>
      </c>
      <c r="P131" s="78">
        <v>20</v>
      </c>
      <c r="R131" s="78" t="str">
        <f t="shared" si="29"/>
        <v xml:space="preserve"> </v>
      </c>
      <c r="S131" s="78">
        <f t="shared" si="30"/>
        <v>98.573122529644266</v>
      </c>
      <c r="T131" s="78" t="str">
        <f t="shared" si="25"/>
        <v/>
      </c>
      <c r="U131" s="78" t="str">
        <f t="shared" si="31"/>
        <v/>
      </c>
      <c r="V131" s="78">
        <f>IFERROR(I131+O131, "")</f>
        <v>186</v>
      </c>
      <c r="W131" s="78">
        <f t="shared" si="32"/>
        <v>109.66666666666667</v>
      </c>
      <c r="X131" s="78">
        <f t="shared" si="33"/>
        <v>79.38</v>
      </c>
      <c r="Y131" s="78">
        <f t="shared" si="34"/>
        <v>54.190000000000005</v>
      </c>
      <c r="AA131" s="88" t="str">
        <f t="shared" si="35"/>
        <v/>
      </c>
      <c r="AB131" s="77" t="str">
        <f t="shared" si="26"/>
        <v/>
      </c>
      <c r="AD131" s="88" t="str">
        <f t="shared" si="36"/>
        <v/>
      </c>
      <c r="AE131" s="77" t="str">
        <f t="shared" si="27"/>
        <v/>
      </c>
    </row>
    <row r="132" spans="2:31" x14ac:dyDescent="0.35">
      <c r="B132">
        <v>2010</v>
      </c>
      <c r="C132">
        <v>1</v>
      </c>
      <c r="D132">
        <v>1</v>
      </c>
      <c r="E132" s="78" t="str">
        <f>'CRU historical'!F109</f>
        <v xml:space="preserve"> </v>
      </c>
      <c r="F132" s="78">
        <f>'CRU historical'!I109</f>
        <v>76.25</v>
      </c>
      <c r="G132" s="78" t="str">
        <f>'CRU historical'!L109</f>
        <v xml:space="preserve"> </v>
      </c>
      <c r="H132" s="78" t="str">
        <f>'CRU historical'!O109</f>
        <v xml:space="preserve"> </v>
      </c>
      <c r="I132" s="78">
        <f>'CRU historical'!R109</f>
        <v>156.25</v>
      </c>
      <c r="J132" s="78">
        <f>AVERAGE('CRU historical'!U109, 'CRU historical'!X109, 'CRU historical'!AA109, 'CRU historical'!AD109)</f>
        <v>132.41666666666666</v>
      </c>
      <c r="L132" s="78" cm="1">
        <f t="array" ref="L132">IFERROR(SUMPRODUCT(('Sulphuric Acid freights'!$B$3:$B$513=B142)*('Sulphuric Acid freights'!$D$3:$D$513=D132)*('Sulphuric Acid freights'!$P$3:$P$513))/SUMPRODUCT(('Sulphuric Acid freights'!$B$3:$B$513=B142)*('Sulphuric Acid freights'!$D$3:$D$513=D132)*1), AVERAGE('Sulphuric Acid freights'!$P$3:$P$513))*2/3</f>
        <v>54.110671936758898</v>
      </c>
      <c r="M132" s="78" cm="1">
        <f t="array" ref="M132">IFERROR(SUMPRODUCT(('Sulphuric Acid freights'!$B$3:$B$513=B142)*('Sulphuric Acid freights'!$D$3:$D$513=D132)*('Sulphuric Acid freights'!$M$3:$M$513))/SUMPRODUCT(('Sulphuric Acid freights'!$B$3:$B$513=B142)*('Sulphuric Acid freights'!$D$3:$D$513=D132)*1)*2/3, AVERAGE('Sulphuric Acid freights'!$M$3:$M$513))</f>
        <v>23.573122529644269</v>
      </c>
      <c r="N132" s="78">
        <f t="shared" si="28"/>
        <v>48.699604743083007</v>
      </c>
      <c r="O132" s="78" cm="1">
        <f t="array" ref="O132">IF(SUMPRODUCT(('Sulphur freight'!$B$3:$B$1976=B142)*('Sulphur freight'!$D$3:$D$1976=D132)*('Sulphur freight'!$G$3:$G$1976))/SUMPRODUCT(('Sulphur freight'!$B$3:$B$1976=B142)*('Sulphur freight'!$D$3:$D$1976=D132)*1)=0, AVERAGE('Sulphur freight'!$G$3:$G$1976),SUMPRODUCT(('Sulphur freight'!$B$3:$B$1976=B142)*('Sulphur freight'!$D$3:$D$1976=D132)*('Sulphur freight'!$G$3:$G$1976))/SUMPRODUCT(('Sulphur freight'!$B$3:$B$1976=B142)*('Sulphur freight'!$D$3:$D$1976=D132)*1))</f>
        <v>26.5</v>
      </c>
      <c r="P132" s="78">
        <v>20</v>
      </c>
      <c r="R132" s="78" t="str">
        <f t="shared" si="29"/>
        <v xml:space="preserve"> </v>
      </c>
      <c r="S132" s="78">
        <f t="shared" si="30"/>
        <v>99.823122529644266</v>
      </c>
      <c r="T132" s="78" t="str">
        <f t="shared" si="25"/>
        <v/>
      </c>
      <c r="U132" s="78" t="str">
        <f t="shared" si="31"/>
        <v/>
      </c>
      <c r="V132" s="78">
        <f>IFERROR(I132+O132, "")</f>
        <v>182.75</v>
      </c>
      <c r="W132" s="78">
        <f t="shared" si="32"/>
        <v>152.41666666666666</v>
      </c>
      <c r="X132" s="78">
        <f t="shared" si="33"/>
        <v>78.307500000000005</v>
      </c>
      <c r="Y132" s="78">
        <f t="shared" si="34"/>
        <v>68.297499999999999</v>
      </c>
      <c r="AA132" s="88" t="str">
        <f t="shared" si="35"/>
        <v/>
      </c>
      <c r="AB132" s="77" t="str">
        <f t="shared" si="26"/>
        <v/>
      </c>
      <c r="AD132" s="88" t="str">
        <f t="shared" si="36"/>
        <v/>
      </c>
      <c r="AE132" s="77" t="str">
        <f t="shared" si="27"/>
        <v/>
      </c>
    </row>
    <row r="133" spans="2:31" x14ac:dyDescent="0.35">
      <c r="B133">
        <v>2010</v>
      </c>
      <c r="C133">
        <v>1</v>
      </c>
      <c r="D133">
        <v>2</v>
      </c>
      <c r="E133" s="78" t="str">
        <f>'CRU historical'!F110</f>
        <v xml:space="preserve"> </v>
      </c>
      <c r="F133" s="78">
        <f>'CRU historical'!I110</f>
        <v>80</v>
      </c>
      <c r="G133" s="78" t="str">
        <f>'CRU historical'!L110</f>
        <v xml:space="preserve"> </v>
      </c>
      <c r="H133" s="78" t="str">
        <f>'CRU historical'!O110</f>
        <v xml:space="preserve"> </v>
      </c>
      <c r="I133" s="78">
        <f>'CRU historical'!R110</f>
        <v>184.75</v>
      </c>
      <c r="J133" s="78">
        <f>AVERAGE('CRU historical'!U110, 'CRU historical'!X110, 'CRU historical'!AA110, 'CRU historical'!AD110)</f>
        <v>150.66666666666666</v>
      </c>
      <c r="L133" s="78" cm="1">
        <f t="array" ref="L133">IFERROR(SUMPRODUCT(('Sulphuric Acid freights'!$B$3:$B$513=B143)*('Sulphuric Acid freights'!$D$3:$D$513=D133)*('Sulphuric Acid freights'!$P$3:$P$513))/SUMPRODUCT(('Sulphuric Acid freights'!$B$3:$B$513=B143)*('Sulphuric Acid freights'!$D$3:$D$513=D133)*1), AVERAGE('Sulphuric Acid freights'!$P$3:$P$513))*2/3</f>
        <v>54.110671936758898</v>
      </c>
      <c r="M133" s="78" cm="1">
        <f t="array" ref="M133">IFERROR(SUMPRODUCT(('Sulphuric Acid freights'!$B$3:$B$513=B143)*('Sulphuric Acid freights'!$D$3:$D$513=D133)*('Sulphuric Acid freights'!$M$3:$M$513))/SUMPRODUCT(('Sulphuric Acid freights'!$B$3:$B$513=B143)*('Sulphuric Acid freights'!$D$3:$D$513=D133)*1)*2/3, AVERAGE('Sulphuric Acid freights'!$M$3:$M$513))</f>
        <v>23.573122529644269</v>
      </c>
      <c r="N133" s="78">
        <f t="shared" si="28"/>
        <v>48.699604743083007</v>
      </c>
      <c r="O133" s="78" cm="1">
        <f t="array" ref="O133">IF(SUMPRODUCT(('Sulphur freight'!$B$3:$B$1976=B143)*('Sulphur freight'!$D$3:$D$1976=D133)*('Sulphur freight'!$G$3:$G$1976))/SUMPRODUCT(('Sulphur freight'!$B$3:$B$1976=B143)*('Sulphur freight'!$D$3:$D$1976=D133)*1)=0, AVERAGE('Sulphur freight'!$G$3:$G$1976),SUMPRODUCT(('Sulphur freight'!$B$3:$B$1976=B143)*('Sulphur freight'!$D$3:$D$1976=D133)*('Sulphur freight'!$G$3:$G$1976))/SUMPRODUCT(('Sulphur freight'!$B$3:$B$1976=B143)*('Sulphur freight'!$D$3:$D$1976=D133)*1))</f>
        <v>26.75</v>
      </c>
      <c r="P133" s="78">
        <v>20</v>
      </c>
      <c r="R133" s="78" t="str">
        <f t="shared" si="29"/>
        <v xml:space="preserve"> </v>
      </c>
      <c r="S133" s="78">
        <f t="shared" si="30"/>
        <v>103.57312252964427</v>
      </c>
      <c r="T133" s="78" t="str">
        <f t="shared" si="25"/>
        <v/>
      </c>
      <c r="U133" s="78" t="str">
        <f t="shared" si="31"/>
        <v/>
      </c>
      <c r="V133" s="78">
        <f>IFERROR(I133+O133, "")</f>
        <v>211.5</v>
      </c>
      <c r="W133" s="78">
        <f t="shared" si="32"/>
        <v>170.66666666666666</v>
      </c>
      <c r="X133" s="78">
        <f t="shared" si="33"/>
        <v>87.795000000000002</v>
      </c>
      <c r="Y133" s="78">
        <f t="shared" si="34"/>
        <v>74.319999999999993</v>
      </c>
      <c r="AA133" s="88" t="str">
        <f t="shared" si="35"/>
        <v/>
      </c>
      <c r="AB133" s="77" t="str">
        <f t="shared" si="26"/>
        <v/>
      </c>
      <c r="AD133" s="88" t="str">
        <f t="shared" si="36"/>
        <v/>
      </c>
      <c r="AE133" s="77" t="str">
        <f t="shared" si="27"/>
        <v/>
      </c>
    </row>
    <row r="134" spans="2:31" x14ac:dyDescent="0.35">
      <c r="B134">
        <v>2010</v>
      </c>
      <c r="C134">
        <v>1</v>
      </c>
      <c r="D134">
        <v>3</v>
      </c>
      <c r="E134" s="78" t="str">
        <f>'CRU historical'!F111</f>
        <v xml:space="preserve"> </v>
      </c>
      <c r="F134" s="78">
        <f>'CRU historical'!I111</f>
        <v>83</v>
      </c>
      <c r="G134" s="78" t="str">
        <f>'CRU historical'!L111</f>
        <v xml:space="preserve"> </v>
      </c>
      <c r="H134" s="78" t="str">
        <f>'CRU historical'!O111</f>
        <v xml:space="preserve"> </v>
      </c>
      <c r="I134" s="78">
        <f>'CRU historical'!R111</f>
        <v>196.8</v>
      </c>
      <c r="J134" s="78">
        <f>AVERAGE('CRU historical'!U111, 'CRU historical'!X111, 'CRU historical'!AA111, 'CRU historical'!AD111)</f>
        <v>174.5</v>
      </c>
      <c r="L134" s="78" cm="1">
        <f t="array" ref="L134">IFERROR(SUMPRODUCT(('Sulphuric Acid freights'!$B$3:$B$513=B144)*('Sulphuric Acid freights'!$D$3:$D$513=D134)*('Sulphuric Acid freights'!$P$3:$P$513))/SUMPRODUCT(('Sulphuric Acid freights'!$B$3:$B$513=B144)*('Sulphuric Acid freights'!$D$3:$D$513=D134)*1), AVERAGE('Sulphuric Acid freights'!$P$3:$P$513))*2/3</f>
        <v>54.110671936758898</v>
      </c>
      <c r="M134" s="78" cm="1">
        <f t="array" ref="M134">IFERROR(SUMPRODUCT(('Sulphuric Acid freights'!$B$3:$B$513=B144)*('Sulphuric Acid freights'!$D$3:$D$513=D134)*('Sulphuric Acid freights'!$M$3:$M$513))/SUMPRODUCT(('Sulphuric Acid freights'!$B$3:$B$513=B144)*('Sulphuric Acid freights'!$D$3:$D$513=D134)*1)*2/3, AVERAGE('Sulphuric Acid freights'!$M$3:$M$513))</f>
        <v>23.573122529644269</v>
      </c>
      <c r="N134" s="78">
        <f t="shared" si="28"/>
        <v>48.699604743083007</v>
      </c>
      <c r="O134" s="78" cm="1">
        <f t="array" ref="O134">IF(SUMPRODUCT(('Sulphur freight'!$B$3:$B$1976=B144)*('Sulphur freight'!$D$3:$D$1976=D134)*('Sulphur freight'!$G$3:$G$1976))/SUMPRODUCT(('Sulphur freight'!$B$3:$B$1976=B144)*('Sulphur freight'!$D$3:$D$1976=D134)*1)=0, AVERAGE('Sulphur freight'!$G$3:$G$1976),SUMPRODUCT(('Sulphur freight'!$B$3:$B$1976=B144)*('Sulphur freight'!$D$3:$D$1976=D134)*('Sulphur freight'!$G$3:$G$1976))/SUMPRODUCT(('Sulphur freight'!$B$3:$B$1976=B144)*('Sulphur freight'!$D$3:$D$1976=D134)*1))</f>
        <v>29.2</v>
      </c>
      <c r="P134" s="78">
        <v>20</v>
      </c>
      <c r="R134" s="78" t="str">
        <f t="shared" si="29"/>
        <v xml:space="preserve"> </v>
      </c>
      <c r="S134" s="78">
        <f t="shared" si="30"/>
        <v>106.57312252964427</v>
      </c>
      <c r="T134" s="78" t="str">
        <f t="shared" si="25"/>
        <v/>
      </c>
      <c r="U134" s="78" t="str">
        <f t="shared" si="31"/>
        <v/>
      </c>
      <c r="V134" s="78">
        <f>IFERROR(I134+O134, "")</f>
        <v>226</v>
      </c>
      <c r="W134" s="78">
        <f t="shared" si="32"/>
        <v>194.5</v>
      </c>
      <c r="X134" s="78">
        <f t="shared" si="33"/>
        <v>92.58</v>
      </c>
      <c r="Y134" s="78">
        <f t="shared" si="34"/>
        <v>82.185000000000002</v>
      </c>
      <c r="AA134" s="88" t="str">
        <f t="shared" si="35"/>
        <v/>
      </c>
      <c r="AB134" s="77" t="str">
        <f t="shared" si="26"/>
        <v/>
      </c>
      <c r="AD134" s="88" t="str">
        <f t="shared" si="36"/>
        <v/>
      </c>
      <c r="AE134" s="77" t="str">
        <f t="shared" si="27"/>
        <v/>
      </c>
    </row>
    <row r="135" spans="2:31" x14ac:dyDescent="0.35">
      <c r="B135">
        <v>2010</v>
      </c>
      <c r="C135">
        <v>2</v>
      </c>
      <c r="D135">
        <v>4</v>
      </c>
      <c r="E135" s="78" t="str">
        <f>'CRU historical'!F112</f>
        <v xml:space="preserve"> </v>
      </c>
      <c r="F135" s="78">
        <f>'CRU historical'!I112</f>
        <v>95</v>
      </c>
      <c r="G135" s="78" t="str">
        <f>'CRU historical'!L112</f>
        <v xml:space="preserve"> </v>
      </c>
      <c r="H135" s="78" t="str">
        <f>'CRU historical'!O112</f>
        <v xml:space="preserve"> </v>
      </c>
      <c r="I135" s="78">
        <f>'CRU historical'!R112</f>
        <v>200.25</v>
      </c>
      <c r="J135" s="78">
        <f>AVERAGE('CRU historical'!U112, 'CRU historical'!X112, 'CRU historical'!AA112, 'CRU historical'!AD112)</f>
        <v>191</v>
      </c>
      <c r="L135" s="78" cm="1">
        <f t="array" ref="L135">IFERROR(SUMPRODUCT(('Sulphuric Acid freights'!$B$3:$B$513=B145)*('Sulphuric Acid freights'!$D$3:$D$513=D135)*('Sulphuric Acid freights'!$P$3:$P$513))/SUMPRODUCT(('Sulphuric Acid freights'!$B$3:$B$513=B145)*('Sulphuric Acid freights'!$D$3:$D$513=D135)*1), AVERAGE('Sulphuric Acid freights'!$P$3:$P$513))*2/3</f>
        <v>54.110671936758898</v>
      </c>
      <c r="M135" s="78" cm="1">
        <f t="array" ref="M135">IFERROR(SUMPRODUCT(('Sulphuric Acid freights'!$B$3:$B$513=B145)*('Sulphuric Acid freights'!$D$3:$D$513=D135)*('Sulphuric Acid freights'!$M$3:$M$513))/SUMPRODUCT(('Sulphuric Acid freights'!$B$3:$B$513=B145)*('Sulphuric Acid freights'!$D$3:$D$513=D135)*1)*2/3, AVERAGE('Sulphuric Acid freights'!$M$3:$M$513))</f>
        <v>23.573122529644269</v>
      </c>
      <c r="N135" s="78">
        <f t="shared" si="28"/>
        <v>48.699604743083007</v>
      </c>
      <c r="O135" s="78" cm="1">
        <f t="array" ref="O135">IF(SUMPRODUCT(('Sulphur freight'!$B$3:$B$1976=B145)*('Sulphur freight'!$D$3:$D$1976=D135)*('Sulphur freight'!$G$3:$G$1976))/SUMPRODUCT(('Sulphur freight'!$B$3:$B$1976=B145)*('Sulphur freight'!$D$3:$D$1976=D135)*1)=0, AVERAGE('Sulphur freight'!$G$3:$G$1976),SUMPRODUCT(('Sulphur freight'!$B$3:$B$1976=B145)*('Sulphur freight'!$D$3:$D$1976=D135)*('Sulphur freight'!$G$3:$G$1976))/SUMPRODUCT(('Sulphur freight'!$B$3:$B$1976=B145)*('Sulphur freight'!$D$3:$D$1976=D135)*1))</f>
        <v>32</v>
      </c>
      <c r="P135" s="78">
        <v>20</v>
      </c>
      <c r="R135" s="78" t="str">
        <f t="shared" si="29"/>
        <v xml:space="preserve"> </v>
      </c>
      <c r="S135" s="78">
        <f t="shared" si="30"/>
        <v>118.57312252964427</v>
      </c>
      <c r="T135" s="78" t="str">
        <f t="shared" si="25"/>
        <v/>
      </c>
      <c r="U135" s="78" t="str">
        <f t="shared" si="31"/>
        <v/>
      </c>
      <c r="V135" s="78">
        <f>IFERROR(I135+O135, "")</f>
        <v>232.25</v>
      </c>
      <c r="W135" s="78">
        <f t="shared" si="32"/>
        <v>211</v>
      </c>
      <c r="X135" s="78">
        <f t="shared" si="33"/>
        <v>94.642499999999998</v>
      </c>
      <c r="Y135" s="78">
        <f t="shared" si="34"/>
        <v>87.63000000000001</v>
      </c>
      <c r="AA135" s="88" t="str">
        <f t="shared" si="35"/>
        <v/>
      </c>
      <c r="AB135" s="77" t="str">
        <f t="shared" si="26"/>
        <v/>
      </c>
      <c r="AD135" s="88" t="str">
        <f t="shared" si="36"/>
        <v/>
      </c>
      <c r="AE135" s="77" t="str">
        <f t="shared" si="27"/>
        <v/>
      </c>
    </row>
    <row r="136" spans="2:31" x14ac:dyDescent="0.35">
      <c r="B136">
        <v>2010</v>
      </c>
      <c r="C136">
        <v>2</v>
      </c>
      <c r="D136">
        <v>5</v>
      </c>
      <c r="E136" s="78" t="str">
        <f>'CRU historical'!F113</f>
        <v xml:space="preserve"> </v>
      </c>
      <c r="F136" s="78">
        <f>'CRU historical'!I113</f>
        <v>95</v>
      </c>
      <c r="G136" s="78" t="str">
        <f>'CRU historical'!L113</f>
        <v xml:space="preserve"> </v>
      </c>
      <c r="H136" s="78" t="str">
        <f>'CRU historical'!O113</f>
        <v xml:space="preserve"> </v>
      </c>
      <c r="I136" s="78">
        <f>'CRU historical'!R113</f>
        <v>212</v>
      </c>
      <c r="J136" s="78">
        <f>AVERAGE('CRU historical'!U113, 'CRU historical'!X113, 'CRU historical'!AA113, 'CRU historical'!AD113)</f>
        <v>196.5</v>
      </c>
      <c r="L136" s="78" cm="1">
        <f t="array" ref="L136">IFERROR(SUMPRODUCT(('Sulphuric Acid freights'!$B$3:$B$513=B146)*('Sulphuric Acid freights'!$D$3:$D$513=D136)*('Sulphuric Acid freights'!$P$3:$P$513))/SUMPRODUCT(('Sulphuric Acid freights'!$B$3:$B$513=B146)*('Sulphuric Acid freights'!$D$3:$D$513=D136)*1), AVERAGE('Sulphuric Acid freights'!$P$3:$P$513))*2/3</f>
        <v>54.110671936758898</v>
      </c>
      <c r="M136" s="78" cm="1">
        <f t="array" ref="M136">IFERROR(SUMPRODUCT(('Sulphuric Acid freights'!$B$3:$B$513=B146)*('Sulphuric Acid freights'!$D$3:$D$513=D136)*('Sulphuric Acid freights'!$M$3:$M$513))/SUMPRODUCT(('Sulphuric Acid freights'!$B$3:$B$513=B146)*('Sulphuric Acid freights'!$D$3:$D$513=D136)*1)*2/3, AVERAGE('Sulphuric Acid freights'!$M$3:$M$513))</f>
        <v>23.573122529644269</v>
      </c>
      <c r="N136" s="78">
        <f t="shared" si="28"/>
        <v>48.699604743083007</v>
      </c>
      <c r="O136" s="78" cm="1">
        <f t="array" ref="O136">IF(SUMPRODUCT(('Sulphur freight'!$B$3:$B$1976=B146)*('Sulphur freight'!$D$3:$D$1976=D136)*('Sulphur freight'!$G$3:$G$1976))/SUMPRODUCT(('Sulphur freight'!$B$3:$B$1976=B146)*('Sulphur freight'!$D$3:$D$1976=D136)*1)=0, AVERAGE('Sulphur freight'!$G$3:$G$1976),SUMPRODUCT(('Sulphur freight'!$B$3:$B$1976=B146)*('Sulphur freight'!$D$3:$D$1976=D136)*('Sulphur freight'!$G$3:$G$1976))/SUMPRODUCT(('Sulphur freight'!$B$3:$B$1976=B146)*('Sulphur freight'!$D$3:$D$1976=D136)*1))</f>
        <v>32.75</v>
      </c>
      <c r="P136" s="78">
        <v>20</v>
      </c>
      <c r="R136" s="78" t="str">
        <f t="shared" si="29"/>
        <v xml:space="preserve"> </v>
      </c>
      <c r="S136" s="78">
        <f t="shared" si="30"/>
        <v>118.57312252964427</v>
      </c>
      <c r="T136" s="78" t="str">
        <f t="shared" si="25"/>
        <v/>
      </c>
      <c r="U136" s="78" t="str">
        <f t="shared" si="31"/>
        <v/>
      </c>
      <c r="V136" s="78">
        <f>IFERROR(I136+O136, "")</f>
        <v>244.75</v>
      </c>
      <c r="W136" s="78">
        <f t="shared" si="32"/>
        <v>216.5</v>
      </c>
      <c r="X136" s="78">
        <f t="shared" si="33"/>
        <v>98.767499999999998</v>
      </c>
      <c r="Y136" s="78">
        <f t="shared" si="34"/>
        <v>89.445000000000007</v>
      </c>
      <c r="AA136" s="88" t="str">
        <f t="shared" si="35"/>
        <v/>
      </c>
      <c r="AB136" s="77" t="str">
        <f t="shared" si="26"/>
        <v/>
      </c>
      <c r="AD136" s="88" t="str">
        <f t="shared" si="36"/>
        <v/>
      </c>
      <c r="AE136" s="77" t="str">
        <f t="shared" si="27"/>
        <v/>
      </c>
    </row>
    <row r="137" spans="2:31" x14ac:dyDescent="0.35">
      <c r="B137">
        <v>2010</v>
      </c>
      <c r="C137">
        <v>2</v>
      </c>
      <c r="D137">
        <v>6</v>
      </c>
      <c r="E137" s="78" t="str">
        <f>'CRU historical'!F114</f>
        <v xml:space="preserve"> </v>
      </c>
      <c r="F137" s="78">
        <f>'CRU historical'!I114</f>
        <v>99</v>
      </c>
      <c r="G137" s="78" t="str">
        <f>'CRU historical'!L114</f>
        <v xml:space="preserve"> </v>
      </c>
      <c r="H137" s="78" t="str">
        <f>'CRU historical'!O114</f>
        <v xml:space="preserve"> </v>
      </c>
      <c r="I137" s="78">
        <f>'CRU historical'!R114</f>
        <v>220</v>
      </c>
      <c r="J137" s="78">
        <f>AVERAGE('CRU historical'!U114, 'CRU historical'!X114, 'CRU historical'!AA114, 'CRU historical'!AD114)</f>
        <v>196.5</v>
      </c>
      <c r="L137" s="78" cm="1">
        <f t="array" ref="L137">IFERROR(SUMPRODUCT(('Sulphuric Acid freights'!$B$3:$B$513=B147)*('Sulphuric Acid freights'!$D$3:$D$513=D137)*('Sulphuric Acid freights'!$P$3:$P$513))/SUMPRODUCT(('Sulphuric Acid freights'!$B$3:$B$513=B147)*('Sulphuric Acid freights'!$D$3:$D$513=D137)*1), AVERAGE('Sulphuric Acid freights'!$P$3:$P$513))*2/3</f>
        <v>54.110671936758898</v>
      </c>
      <c r="M137" s="78" cm="1">
        <f t="array" ref="M137">IFERROR(SUMPRODUCT(('Sulphuric Acid freights'!$B$3:$B$513=B147)*('Sulphuric Acid freights'!$D$3:$D$513=D137)*('Sulphuric Acid freights'!$M$3:$M$513))/SUMPRODUCT(('Sulphuric Acid freights'!$B$3:$B$513=B147)*('Sulphuric Acid freights'!$D$3:$D$513=D137)*1)*2/3, AVERAGE('Sulphuric Acid freights'!$M$3:$M$513))</f>
        <v>23.573122529644269</v>
      </c>
      <c r="N137" s="78">
        <f t="shared" si="28"/>
        <v>48.699604743083007</v>
      </c>
      <c r="O137" s="78" cm="1">
        <f t="array" ref="O137">IF(SUMPRODUCT(('Sulphur freight'!$B$3:$B$1976=B147)*('Sulphur freight'!$D$3:$D$1976=D137)*('Sulphur freight'!$G$3:$G$1976))/SUMPRODUCT(('Sulphur freight'!$B$3:$B$1976=B147)*('Sulphur freight'!$D$3:$D$1976=D137)*1)=0, AVERAGE('Sulphur freight'!$G$3:$G$1976),SUMPRODUCT(('Sulphur freight'!$B$3:$B$1976=B147)*('Sulphur freight'!$D$3:$D$1976=D137)*('Sulphur freight'!$G$3:$G$1976))/SUMPRODUCT(('Sulphur freight'!$B$3:$B$1976=B147)*('Sulphur freight'!$D$3:$D$1976=D137)*1))</f>
        <v>33</v>
      </c>
      <c r="P137" s="78">
        <v>20</v>
      </c>
      <c r="R137" s="78" t="str">
        <f t="shared" si="29"/>
        <v xml:space="preserve"> </v>
      </c>
      <c r="S137" s="78">
        <f t="shared" si="30"/>
        <v>122.57312252964427</v>
      </c>
      <c r="T137" s="78" t="str">
        <f t="shared" si="25"/>
        <v/>
      </c>
      <c r="U137" s="78" t="str">
        <f t="shared" si="31"/>
        <v/>
      </c>
      <c r="V137" s="78">
        <f>IFERROR(I137+O137, "")</f>
        <v>253</v>
      </c>
      <c r="W137" s="78">
        <f t="shared" si="32"/>
        <v>216.5</v>
      </c>
      <c r="X137" s="78">
        <f t="shared" si="33"/>
        <v>101.49000000000001</v>
      </c>
      <c r="Y137" s="78">
        <f t="shared" si="34"/>
        <v>89.445000000000007</v>
      </c>
      <c r="AA137" s="88" t="str">
        <f t="shared" si="35"/>
        <v/>
      </c>
      <c r="AB137" s="77" t="str">
        <f t="shared" si="26"/>
        <v/>
      </c>
      <c r="AD137" s="88" t="str">
        <f t="shared" si="36"/>
        <v/>
      </c>
      <c r="AE137" s="77" t="str">
        <f t="shared" si="27"/>
        <v/>
      </c>
    </row>
    <row r="138" spans="2:31" x14ac:dyDescent="0.35">
      <c r="B138">
        <v>2010</v>
      </c>
      <c r="C138">
        <v>3</v>
      </c>
      <c r="D138">
        <v>7</v>
      </c>
      <c r="E138" s="78" t="str">
        <f>'CRU historical'!F115</f>
        <v xml:space="preserve"> </v>
      </c>
      <c r="F138" s="78">
        <f>'CRU historical'!I115</f>
        <v>101.25</v>
      </c>
      <c r="G138" s="78" t="str">
        <f>'CRU historical'!L115</f>
        <v xml:space="preserve"> </v>
      </c>
      <c r="H138" s="78" t="str">
        <f>'CRU historical'!O115</f>
        <v xml:space="preserve"> </v>
      </c>
      <c r="I138" s="78">
        <f>'CRU historical'!R115</f>
        <v>199.5</v>
      </c>
      <c r="J138" s="78">
        <f>AVERAGE('CRU historical'!U115, 'CRU historical'!X115, 'CRU historical'!AA115, 'CRU historical'!AD115)</f>
        <v>196.5</v>
      </c>
      <c r="L138" s="78" cm="1">
        <f t="array" ref="L138">IFERROR(SUMPRODUCT(('Sulphuric Acid freights'!$B$3:$B$513=B148)*('Sulphuric Acid freights'!$D$3:$D$513=D138)*('Sulphuric Acid freights'!$P$3:$P$513))/SUMPRODUCT(('Sulphuric Acid freights'!$B$3:$B$513=B148)*('Sulphuric Acid freights'!$D$3:$D$513=D138)*1), AVERAGE('Sulphuric Acid freights'!$P$3:$P$513))*2/3</f>
        <v>54.110671936758898</v>
      </c>
      <c r="M138" s="78" cm="1">
        <f t="array" ref="M138">IFERROR(SUMPRODUCT(('Sulphuric Acid freights'!$B$3:$B$513=B148)*('Sulphuric Acid freights'!$D$3:$D$513=D138)*('Sulphuric Acid freights'!$M$3:$M$513))/SUMPRODUCT(('Sulphuric Acid freights'!$B$3:$B$513=B148)*('Sulphuric Acid freights'!$D$3:$D$513=D138)*1)*2/3, AVERAGE('Sulphuric Acid freights'!$M$3:$M$513))</f>
        <v>23.573122529644269</v>
      </c>
      <c r="N138" s="78">
        <f t="shared" si="28"/>
        <v>48.699604743083007</v>
      </c>
      <c r="O138" s="78" cm="1">
        <f t="array" ref="O138">IF(SUMPRODUCT(('Sulphur freight'!$B$3:$B$1976=B148)*('Sulphur freight'!$D$3:$D$1976=D138)*('Sulphur freight'!$G$3:$G$1976))/SUMPRODUCT(('Sulphur freight'!$B$3:$B$1976=B148)*('Sulphur freight'!$D$3:$D$1976=D138)*1)=0, AVERAGE('Sulphur freight'!$G$3:$G$1976),SUMPRODUCT(('Sulphur freight'!$B$3:$B$1976=B148)*('Sulphur freight'!$D$3:$D$1976=D138)*('Sulphur freight'!$G$3:$G$1976))/SUMPRODUCT(('Sulphur freight'!$B$3:$B$1976=B148)*('Sulphur freight'!$D$3:$D$1976=D138)*1))</f>
        <v>31</v>
      </c>
      <c r="P138" s="78">
        <v>20</v>
      </c>
      <c r="R138" s="78" t="str">
        <f t="shared" si="29"/>
        <v xml:space="preserve"> </v>
      </c>
      <c r="S138" s="78">
        <f t="shared" si="30"/>
        <v>124.82312252964427</v>
      </c>
      <c r="T138" s="78" t="str">
        <f t="shared" si="25"/>
        <v/>
      </c>
      <c r="U138" s="78" t="str">
        <f t="shared" si="31"/>
        <v/>
      </c>
      <c r="V138" s="78">
        <f>IFERROR(I138+O138, "")</f>
        <v>230.5</v>
      </c>
      <c r="W138" s="78">
        <f t="shared" si="32"/>
        <v>216.5</v>
      </c>
      <c r="X138" s="78">
        <f t="shared" si="33"/>
        <v>94.064999999999998</v>
      </c>
      <c r="Y138" s="78">
        <f t="shared" si="34"/>
        <v>89.445000000000007</v>
      </c>
      <c r="AA138" s="88" t="str">
        <f t="shared" si="35"/>
        <v/>
      </c>
      <c r="AB138" s="77" t="str">
        <f t="shared" si="26"/>
        <v/>
      </c>
      <c r="AD138" s="88" t="str">
        <f t="shared" si="36"/>
        <v/>
      </c>
      <c r="AE138" s="77" t="str">
        <f t="shared" si="27"/>
        <v/>
      </c>
    </row>
    <row r="139" spans="2:31" x14ac:dyDescent="0.35">
      <c r="B139">
        <v>2010</v>
      </c>
      <c r="C139">
        <v>3</v>
      </c>
      <c r="D139">
        <v>8</v>
      </c>
      <c r="E139" s="78" t="str">
        <f>'CRU historical'!F116</f>
        <v xml:space="preserve"> </v>
      </c>
      <c r="F139" s="78">
        <f>'CRU historical'!I116</f>
        <v>105</v>
      </c>
      <c r="G139" s="78" t="str">
        <f>'CRU historical'!L116</f>
        <v xml:space="preserve"> </v>
      </c>
      <c r="H139" s="78" t="str">
        <f>'CRU historical'!O116</f>
        <v xml:space="preserve"> </v>
      </c>
      <c r="I139" s="78">
        <f>'CRU historical'!R116</f>
        <v>202.5</v>
      </c>
      <c r="J139" s="78">
        <f>AVERAGE('CRU historical'!U116, 'CRU historical'!X116, 'CRU historical'!AA116, 'CRU historical'!AD116)</f>
        <v>202.125</v>
      </c>
      <c r="L139" s="78" cm="1">
        <f t="array" ref="L139">IFERROR(SUMPRODUCT(('Sulphuric Acid freights'!$B$3:$B$513=B149)*('Sulphuric Acid freights'!$D$3:$D$513=D139)*('Sulphuric Acid freights'!$P$3:$P$513))/SUMPRODUCT(('Sulphuric Acid freights'!$B$3:$B$513=B149)*('Sulphuric Acid freights'!$D$3:$D$513=D139)*1), AVERAGE('Sulphuric Acid freights'!$P$3:$P$513))*2/3</f>
        <v>54.110671936758898</v>
      </c>
      <c r="M139" s="78" cm="1">
        <f t="array" ref="M139">IFERROR(SUMPRODUCT(('Sulphuric Acid freights'!$B$3:$B$513=B149)*('Sulphuric Acid freights'!$D$3:$D$513=D139)*('Sulphuric Acid freights'!$M$3:$M$513))/SUMPRODUCT(('Sulphuric Acid freights'!$B$3:$B$513=B149)*('Sulphuric Acid freights'!$D$3:$D$513=D139)*1)*2/3, AVERAGE('Sulphuric Acid freights'!$M$3:$M$513))</f>
        <v>23.573122529644269</v>
      </c>
      <c r="N139" s="78">
        <f t="shared" si="28"/>
        <v>48.699604743083007</v>
      </c>
      <c r="O139" s="78" cm="1">
        <f t="array" ref="O139">IF(SUMPRODUCT(('Sulphur freight'!$B$3:$B$1976=B149)*('Sulphur freight'!$D$3:$D$1976=D139)*('Sulphur freight'!$G$3:$G$1976))/SUMPRODUCT(('Sulphur freight'!$B$3:$B$1976=B149)*('Sulphur freight'!$D$3:$D$1976=D139)*1)=0, AVERAGE('Sulphur freight'!$G$3:$G$1976),SUMPRODUCT(('Sulphur freight'!$B$3:$B$1976=B149)*('Sulphur freight'!$D$3:$D$1976=D139)*('Sulphur freight'!$G$3:$G$1976))/SUMPRODUCT(('Sulphur freight'!$B$3:$B$1976=B149)*('Sulphur freight'!$D$3:$D$1976=D139)*1))</f>
        <v>29.75</v>
      </c>
      <c r="P139" s="78">
        <v>20</v>
      </c>
      <c r="R139" s="78" t="str">
        <f t="shared" si="29"/>
        <v xml:space="preserve"> </v>
      </c>
      <c r="S139" s="78">
        <f t="shared" si="30"/>
        <v>128.57312252964428</v>
      </c>
      <c r="T139" s="78" t="str">
        <f t="shared" si="25"/>
        <v/>
      </c>
      <c r="U139" s="78" t="str">
        <f t="shared" si="31"/>
        <v/>
      </c>
      <c r="V139" s="78">
        <f>IFERROR(I139+O139, "")</f>
        <v>232.25</v>
      </c>
      <c r="W139" s="78">
        <f t="shared" si="32"/>
        <v>222.125</v>
      </c>
      <c r="X139" s="78">
        <f t="shared" si="33"/>
        <v>94.642499999999998</v>
      </c>
      <c r="Y139" s="78">
        <f t="shared" si="34"/>
        <v>91.30125000000001</v>
      </c>
      <c r="AA139" s="88" t="str">
        <f t="shared" si="35"/>
        <v/>
      </c>
      <c r="AB139" s="77" t="str">
        <f t="shared" si="26"/>
        <v/>
      </c>
      <c r="AD139" s="88" t="str">
        <f t="shared" si="36"/>
        <v/>
      </c>
      <c r="AE139" s="77" t="str">
        <f t="shared" si="27"/>
        <v/>
      </c>
    </row>
    <row r="140" spans="2:31" x14ac:dyDescent="0.35">
      <c r="B140">
        <v>2010</v>
      </c>
      <c r="C140">
        <v>3</v>
      </c>
      <c r="D140">
        <v>9</v>
      </c>
      <c r="E140" s="78" t="str">
        <f>'CRU historical'!F117</f>
        <v xml:space="preserve"> </v>
      </c>
      <c r="F140" s="78">
        <f>'CRU historical'!I117</f>
        <v>105</v>
      </c>
      <c r="G140" s="78" t="str">
        <f>'CRU historical'!L117</f>
        <v xml:space="preserve"> </v>
      </c>
      <c r="H140" s="78" t="str">
        <f>'CRU historical'!O117</f>
        <v xml:space="preserve"> </v>
      </c>
      <c r="I140" s="78">
        <f>'CRU historical'!R117</f>
        <v>215</v>
      </c>
      <c r="J140" s="78">
        <f>AVERAGE('CRU historical'!U117, 'CRU historical'!X117, 'CRU historical'!AA117, 'CRU historical'!AD117)</f>
        <v>204</v>
      </c>
      <c r="L140" s="78" cm="1">
        <f t="array" ref="L140">IFERROR(SUMPRODUCT(('Sulphuric Acid freights'!$B$3:$B$513=B150)*('Sulphuric Acid freights'!$D$3:$D$513=D140)*('Sulphuric Acid freights'!$P$3:$P$513))/SUMPRODUCT(('Sulphuric Acid freights'!$B$3:$B$513=B150)*('Sulphuric Acid freights'!$D$3:$D$513=D140)*1), AVERAGE('Sulphuric Acid freights'!$P$3:$P$513))*2/3</f>
        <v>54.110671936758898</v>
      </c>
      <c r="M140" s="78" cm="1">
        <f t="array" ref="M140">IFERROR(SUMPRODUCT(('Sulphuric Acid freights'!$B$3:$B$513=B150)*('Sulphuric Acid freights'!$D$3:$D$513=D140)*('Sulphuric Acid freights'!$M$3:$M$513))/SUMPRODUCT(('Sulphuric Acid freights'!$B$3:$B$513=B150)*('Sulphuric Acid freights'!$D$3:$D$513=D140)*1)*2/3, AVERAGE('Sulphuric Acid freights'!$M$3:$M$513))</f>
        <v>23.573122529644269</v>
      </c>
      <c r="N140" s="78">
        <f t="shared" si="28"/>
        <v>48.699604743083007</v>
      </c>
      <c r="O140" s="78" cm="1">
        <f t="array" ref="O140">IF(SUMPRODUCT(('Sulphur freight'!$B$3:$B$1976=B150)*('Sulphur freight'!$D$3:$D$1976=D140)*('Sulphur freight'!$G$3:$G$1976))/SUMPRODUCT(('Sulphur freight'!$B$3:$B$1976=B150)*('Sulphur freight'!$D$3:$D$1976=D140)*1)=0, AVERAGE('Sulphur freight'!$G$3:$G$1976),SUMPRODUCT(('Sulphur freight'!$B$3:$B$1976=B150)*('Sulphur freight'!$D$3:$D$1976=D140)*('Sulphur freight'!$G$3:$G$1976))/SUMPRODUCT(('Sulphur freight'!$B$3:$B$1976=B150)*('Sulphur freight'!$D$3:$D$1976=D140)*1))</f>
        <v>30</v>
      </c>
      <c r="P140" s="78">
        <v>20</v>
      </c>
      <c r="R140" s="78" t="str">
        <f t="shared" si="29"/>
        <v xml:space="preserve"> </v>
      </c>
      <c r="S140" s="78">
        <f t="shared" si="30"/>
        <v>128.57312252964428</v>
      </c>
      <c r="T140" s="78" t="str">
        <f t="shared" si="25"/>
        <v/>
      </c>
      <c r="U140" s="78" t="str">
        <f t="shared" si="31"/>
        <v/>
      </c>
      <c r="V140" s="78">
        <f>IFERROR(I140+O140, "")</f>
        <v>245</v>
      </c>
      <c r="W140" s="78">
        <f t="shared" si="32"/>
        <v>224</v>
      </c>
      <c r="X140" s="78">
        <f t="shared" si="33"/>
        <v>98.850000000000009</v>
      </c>
      <c r="Y140" s="78">
        <f t="shared" si="34"/>
        <v>91.92</v>
      </c>
      <c r="AA140" s="88" t="str">
        <f t="shared" si="35"/>
        <v/>
      </c>
      <c r="AB140" s="77" t="str">
        <f t="shared" si="26"/>
        <v/>
      </c>
      <c r="AD140" s="88" t="str">
        <f t="shared" si="36"/>
        <v/>
      </c>
      <c r="AE140" s="77" t="str">
        <f t="shared" si="27"/>
        <v/>
      </c>
    </row>
    <row r="141" spans="2:31" x14ac:dyDescent="0.35">
      <c r="B141">
        <v>2010</v>
      </c>
      <c r="C141">
        <v>4</v>
      </c>
      <c r="D141">
        <v>10</v>
      </c>
      <c r="E141" s="78" t="str">
        <f>'CRU historical'!F118</f>
        <v xml:space="preserve"> </v>
      </c>
      <c r="F141" s="78">
        <f>'CRU historical'!I118</f>
        <v>105</v>
      </c>
      <c r="G141" s="78" t="str">
        <f>'CRU historical'!L118</f>
        <v xml:space="preserve"> </v>
      </c>
      <c r="H141" s="78" t="str">
        <f>'CRU historical'!O118</f>
        <v xml:space="preserve"> </v>
      </c>
      <c r="I141" s="78">
        <f>'CRU historical'!R118</f>
        <v>215.75</v>
      </c>
      <c r="J141" s="78">
        <f>AVERAGE('CRU historical'!U118, 'CRU historical'!X118, 'CRU historical'!AA118, 'CRU historical'!AD118)</f>
        <v>239.25</v>
      </c>
      <c r="L141" s="78" cm="1">
        <f t="array" ref="L141">IFERROR(SUMPRODUCT(('Sulphuric Acid freights'!$B$3:$B$513=B151)*('Sulphuric Acid freights'!$D$3:$D$513=D141)*('Sulphuric Acid freights'!$P$3:$P$513))/SUMPRODUCT(('Sulphuric Acid freights'!$B$3:$B$513=B151)*('Sulphuric Acid freights'!$D$3:$D$513=D141)*1), AVERAGE('Sulphuric Acid freights'!$P$3:$P$513))*2/3</f>
        <v>54.110671936758898</v>
      </c>
      <c r="M141" s="78" cm="1">
        <f t="array" ref="M141">IFERROR(SUMPRODUCT(('Sulphuric Acid freights'!$B$3:$B$513=B151)*('Sulphuric Acid freights'!$D$3:$D$513=D141)*('Sulphuric Acid freights'!$M$3:$M$513))/SUMPRODUCT(('Sulphuric Acid freights'!$B$3:$B$513=B151)*('Sulphuric Acid freights'!$D$3:$D$513=D141)*1)*2/3, AVERAGE('Sulphuric Acid freights'!$M$3:$M$513))</f>
        <v>23.573122529644269</v>
      </c>
      <c r="N141" s="78">
        <f t="shared" si="28"/>
        <v>48.699604743083007</v>
      </c>
      <c r="O141" s="78" cm="1">
        <f t="array" ref="O141">IF(SUMPRODUCT(('Sulphur freight'!$B$3:$B$1976=B151)*('Sulphur freight'!$D$3:$D$1976=D141)*('Sulphur freight'!$G$3:$G$1976))/SUMPRODUCT(('Sulphur freight'!$B$3:$B$1976=B151)*('Sulphur freight'!$D$3:$D$1976=D141)*1)=0, AVERAGE('Sulphur freight'!$G$3:$G$1976),SUMPRODUCT(('Sulphur freight'!$B$3:$B$1976=B151)*('Sulphur freight'!$D$3:$D$1976=D141)*('Sulphur freight'!$G$3:$G$1976))/SUMPRODUCT(('Sulphur freight'!$B$3:$B$1976=B151)*('Sulphur freight'!$D$3:$D$1976=D141)*1))</f>
        <v>28.75</v>
      </c>
      <c r="P141" s="78">
        <v>20</v>
      </c>
      <c r="R141" s="78" t="str">
        <f t="shared" si="29"/>
        <v xml:space="preserve"> </v>
      </c>
      <c r="S141" s="78">
        <f t="shared" si="30"/>
        <v>128.57312252964428</v>
      </c>
      <c r="T141" s="78" t="str">
        <f t="shared" si="25"/>
        <v/>
      </c>
      <c r="U141" s="78" t="str">
        <f t="shared" si="31"/>
        <v/>
      </c>
      <c r="V141" s="78">
        <f>IFERROR(I141+O141, "")</f>
        <v>244.5</v>
      </c>
      <c r="W141" s="78">
        <f t="shared" si="32"/>
        <v>259.25</v>
      </c>
      <c r="X141" s="78">
        <f t="shared" si="33"/>
        <v>98.685000000000002</v>
      </c>
      <c r="Y141" s="78">
        <f t="shared" si="34"/>
        <v>103.55250000000001</v>
      </c>
      <c r="AA141" s="88" t="str">
        <f t="shared" si="35"/>
        <v/>
      </c>
      <c r="AB141" s="77" t="str">
        <f t="shared" si="26"/>
        <v/>
      </c>
      <c r="AD141" s="88" t="str">
        <f t="shared" si="36"/>
        <v/>
      </c>
      <c r="AE141" s="77" t="str">
        <f t="shared" si="27"/>
        <v/>
      </c>
    </row>
    <row r="142" spans="2:31" x14ac:dyDescent="0.35">
      <c r="B142">
        <v>2011</v>
      </c>
      <c r="C142">
        <v>4</v>
      </c>
      <c r="D142">
        <v>11</v>
      </c>
      <c r="E142" s="78" t="str">
        <f>'CRU historical'!F119</f>
        <v xml:space="preserve"> </v>
      </c>
      <c r="F142" s="78">
        <f>'CRU historical'!I119</f>
        <v>105</v>
      </c>
      <c r="G142" s="78" t="str">
        <f>'CRU historical'!L119</f>
        <v xml:space="preserve"> </v>
      </c>
      <c r="H142" s="78" t="str">
        <f>'CRU historical'!O119</f>
        <v xml:space="preserve"> </v>
      </c>
      <c r="I142" s="78">
        <f>'CRU historical'!R119</f>
        <v>204.75</v>
      </c>
      <c r="J142" s="78">
        <f>AVERAGE('CRU historical'!U119, 'CRU historical'!X119, 'CRU historical'!AA119, 'CRU historical'!AD119)</f>
        <v>243</v>
      </c>
      <c r="L142" s="78" cm="1">
        <f t="array" ref="L142">IFERROR(SUMPRODUCT(('Sulphuric Acid freights'!$B$3:$B$513=B152)*('Sulphuric Acid freights'!$D$3:$D$513=D142)*('Sulphuric Acid freights'!$P$3:$P$513))/SUMPRODUCT(('Sulphuric Acid freights'!$B$3:$B$513=B152)*('Sulphuric Acid freights'!$D$3:$D$513=D142)*1), AVERAGE('Sulphuric Acid freights'!$P$3:$P$513))*2/3</f>
        <v>54.110671936758898</v>
      </c>
      <c r="M142" s="78" cm="1">
        <f t="array" ref="M142">IFERROR(SUMPRODUCT(('Sulphuric Acid freights'!$B$3:$B$513=B152)*('Sulphuric Acid freights'!$D$3:$D$513=D142)*('Sulphuric Acid freights'!$M$3:$M$513))/SUMPRODUCT(('Sulphuric Acid freights'!$B$3:$B$513=B152)*('Sulphuric Acid freights'!$D$3:$D$513=D142)*1)*2/3, AVERAGE('Sulphuric Acid freights'!$M$3:$M$513))</f>
        <v>23.573122529644269</v>
      </c>
      <c r="N142" s="78">
        <f t="shared" si="28"/>
        <v>48.699604743083007</v>
      </c>
      <c r="O142" s="78" cm="1">
        <f t="array" ref="O142">IF(SUMPRODUCT(('Sulphur freight'!$B$3:$B$1976=B152)*('Sulphur freight'!$D$3:$D$1976=D142)*('Sulphur freight'!$G$3:$G$1976))/SUMPRODUCT(('Sulphur freight'!$B$3:$B$1976=B152)*('Sulphur freight'!$D$3:$D$1976=D142)*1)=0, AVERAGE('Sulphur freight'!$G$3:$G$1976),SUMPRODUCT(('Sulphur freight'!$B$3:$B$1976=B152)*('Sulphur freight'!$D$3:$D$1976=D142)*('Sulphur freight'!$G$3:$G$1976))/SUMPRODUCT(('Sulphur freight'!$B$3:$B$1976=B152)*('Sulphur freight'!$D$3:$D$1976=D142)*1))</f>
        <v>28.25</v>
      </c>
      <c r="P142" s="78">
        <v>20</v>
      </c>
      <c r="R142" s="78" t="str">
        <f t="shared" si="29"/>
        <v xml:space="preserve"> </v>
      </c>
      <c r="S142" s="78">
        <f t="shared" si="30"/>
        <v>128.57312252964428</v>
      </c>
      <c r="T142" s="78" t="str">
        <f t="shared" si="25"/>
        <v/>
      </c>
      <c r="U142" s="78" t="str">
        <f t="shared" si="31"/>
        <v/>
      </c>
      <c r="V142" s="78">
        <f>IFERROR(I142+O142, "")</f>
        <v>233</v>
      </c>
      <c r="W142" s="78">
        <f t="shared" si="32"/>
        <v>263</v>
      </c>
      <c r="X142" s="78">
        <f t="shared" si="33"/>
        <v>94.89</v>
      </c>
      <c r="Y142" s="78">
        <f t="shared" si="34"/>
        <v>104.79</v>
      </c>
      <c r="AA142" s="88" t="str">
        <f t="shared" si="35"/>
        <v/>
      </c>
      <c r="AB142" s="77" t="str">
        <f t="shared" si="26"/>
        <v/>
      </c>
      <c r="AD142" s="88" t="str">
        <f t="shared" si="36"/>
        <v/>
      </c>
      <c r="AE142" s="77" t="str">
        <f t="shared" si="27"/>
        <v/>
      </c>
    </row>
    <row r="143" spans="2:31" x14ac:dyDescent="0.35">
      <c r="B143">
        <v>2011</v>
      </c>
      <c r="C143">
        <v>4</v>
      </c>
      <c r="D143">
        <v>12</v>
      </c>
      <c r="E143" s="78" t="str">
        <f>'CRU historical'!F120</f>
        <v xml:space="preserve"> </v>
      </c>
      <c r="F143" s="78">
        <f>'CRU historical'!I120</f>
        <v>99</v>
      </c>
      <c r="G143" s="78" t="str">
        <f>'CRU historical'!L120</f>
        <v xml:space="preserve"> </v>
      </c>
      <c r="H143" s="78" t="str">
        <f>'CRU historical'!O120</f>
        <v xml:space="preserve"> </v>
      </c>
      <c r="I143" s="78">
        <f>'CRU historical'!R120</f>
        <v>190.8</v>
      </c>
      <c r="J143" s="78">
        <f>AVERAGE('CRU historical'!U120, 'CRU historical'!X120, 'CRU historical'!AA120, 'CRU historical'!AD120)</f>
        <v>243</v>
      </c>
      <c r="L143" s="78" cm="1">
        <f t="array" ref="L143">IFERROR(SUMPRODUCT(('Sulphuric Acid freights'!$B$3:$B$513=B153)*('Sulphuric Acid freights'!$D$3:$D$513=D143)*('Sulphuric Acid freights'!$P$3:$P$513))/SUMPRODUCT(('Sulphuric Acid freights'!$B$3:$B$513=B153)*('Sulphuric Acid freights'!$D$3:$D$513=D143)*1), AVERAGE('Sulphuric Acid freights'!$P$3:$P$513))*2/3</f>
        <v>54.110671936758898</v>
      </c>
      <c r="M143" s="78" cm="1">
        <f t="array" ref="M143">IFERROR(SUMPRODUCT(('Sulphuric Acid freights'!$B$3:$B$513=B153)*('Sulphuric Acid freights'!$D$3:$D$513=D143)*('Sulphuric Acid freights'!$M$3:$M$513))/SUMPRODUCT(('Sulphuric Acid freights'!$B$3:$B$513=B153)*('Sulphuric Acid freights'!$D$3:$D$513=D143)*1)*2/3, AVERAGE('Sulphuric Acid freights'!$M$3:$M$513))</f>
        <v>23.573122529644269</v>
      </c>
      <c r="N143" s="78">
        <f t="shared" si="28"/>
        <v>48.699604743083007</v>
      </c>
      <c r="O143" s="78" cm="1">
        <f t="array" ref="O143">IF(SUMPRODUCT(('Sulphur freight'!$B$3:$B$1976=B153)*('Sulphur freight'!$D$3:$D$1976=D143)*('Sulphur freight'!$G$3:$G$1976))/SUMPRODUCT(('Sulphur freight'!$B$3:$B$1976=B153)*('Sulphur freight'!$D$3:$D$1976=D143)*1)=0, AVERAGE('Sulphur freight'!$G$3:$G$1976),SUMPRODUCT(('Sulphur freight'!$B$3:$B$1976=B153)*('Sulphur freight'!$D$3:$D$1976=D143)*('Sulphur freight'!$G$3:$G$1976))/SUMPRODUCT(('Sulphur freight'!$B$3:$B$1976=B153)*('Sulphur freight'!$D$3:$D$1976=D143)*1))</f>
        <v>27.6</v>
      </c>
      <c r="P143" s="78">
        <v>20</v>
      </c>
      <c r="R143" s="78" t="str">
        <f t="shared" si="29"/>
        <v xml:space="preserve"> </v>
      </c>
      <c r="S143" s="78">
        <f t="shared" si="30"/>
        <v>122.57312252964427</v>
      </c>
      <c r="T143" s="78" t="str">
        <f t="shared" si="25"/>
        <v/>
      </c>
      <c r="U143" s="78" t="str">
        <f t="shared" si="31"/>
        <v/>
      </c>
      <c r="V143" s="78">
        <f>IFERROR(I143+O143, "")</f>
        <v>218.4</v>
      </c>
      <c r="W143" s="78">
        <f t="shared" si="32"/>
        <v>263</v>
      </c>
      <c r="X143" s="78">
        <f t="shared" si="33"/>
        <v>90.072000000000003</v>
      </c>
      <c r="Y143" s="78">
        <f t="shared" si="34"/>
        <v>104.79</v>
      </c>
      <c r="AA143" s="88" t="str">
        <f t="shared" si="35"/>
        <v/>
      </c>
      <c r="AB143" s="77" t="str">
        <f t="shared" si="26"/>
        <v/>
      </c>
      <c r="AD143" s="88" t="str">
        <f t="shared" si="36"/>
        <v/>
      </c>
      <c r="AE143" s="77" t="str">
        <f t="shared" si="27"/>
        <v/>
      </c>
    </row>
    <row r="144" spans="2:31" x14ac:dyDescent="0.35">
      <c r="B144">
        <v>2011</v>
      </c>
      <c r="C144">
        <v>1</v>
      </c>
      <c r="D144">
        <v>1</v>
      </c>
      <c r="E144" s="78" t="str">
        <f>'CRU historical'!F121</f>
        <v xml:space="preserve"> </v>
      </c>
      <c r="F144" s="78">
        <f>'CRU historical'!I121</f>
        <v>85</v>
      </c>
      <c r="G144" s="78" t="str">
        <f>'CRU historical'!L121</f>
        <v xml:space="preserve"> </v>
      </c>
      <c r="H144" s="78" t="str">
        <f>'CRU historical'!O121</f>
        <v xml:space="preserve"> </v>
      </c>
      <c r="I144" s="78">
        <f>'CRU historical'!R121</f>
        <v>174.25</v>
      </c>
      <c r="J144" s="78">
        <f>AVERAGE('CRU historical'!U121, 'CRU historical'!X121, 'CRU historical'!AA121, 'CRU historical'!AD121)</f>
        <v>248</v>
      </c>
      <c r="L144" s="78" cm="1">
        <f t="array" ref="L144">IFERROR(SUMPRODUCT(('Sulphuric Acid freights'!$B$3:$B$513=B154)*('Sulphuric Acid freights'!$D$3:$D$513=D144)*('Sulphuric Acid freights'!$P$3:$P$513))/SUMPRODUCT(('Sulphuric Acid freights'!$B$3:$B$513=B154)*('Sulphuric Acid freights'!$D$3:$D$513=D144)*1), AVERAGE('Sulphuric Acid freights'!$P$3:$P$513))*2/3</f>
        <v>54.110671936758898</v>
      </c>
      <c r="M144" s="78" cm="1">
        <f t="array" ref="M144">IFERROR(SUMPRODUCT(('Sulphuric Acid freights'!$B$3:$B$513=B154)*('Sulphuric Acid freights'!$D$3:$D$513=D144)*('Sulphuric Acid freights'!$M$3:$M$513))/SUMPRODUCT(('Sulphuric Acid freights'!$B$3:$B$513=B154)*('Sulphuric Acid freights'!$D$3:$D$513=D144)*1)*2/3, AVERAGE('Sulphuric Acid freights'!$M$3:$M$513))</f>
        <v>23.573122529644269</v>
      </c>
      <c r="N144" s="78">
        <f t="shared" si="28"/>
        <v>48.699604743083007</v>
      </c>
      <c r="O144" s="78" cm="1">
        <f t="array" ref="O144">IF(SUMPRODUCT(('Sulphur freight'!$B$3:$B$1976=B154)*('Sulphur freight'!$D$3:$D$1976=D144)*('Sulphur freight'!$G$3:$G$1976))/SUMPRODUCT(('Sulphur freight'!$B$3:$B$1976=B154)*('Sulphur freight'!$D$3:$D$1976=D144)*1)=0, AVERAGE('Sulphur freight'!$G$3:$G$1976),SUMPRODUCT(('Sulphur freight'!$B$3:$B$1976=B154)*('Sulphur freight'!$D$3:$D$1976=D144)*('Sulphur freight'!$G$3:$G$1976))/SUMPRODUCT(('Sulphur freight'!$B$3:$B$1976=B154)*('Sulphur freight'!$D$3:$D$1976=D144)*1))</f>
        <v>25.75</v>
      </c>
      <c r="P144" s="78">
        <v>20</v>
      </c>
      <c r="R144" s="78" t="str">
        <f t="shared" si="29"/>
        <v xml:space="preserve"> </v>
      </c>
      <c r="S144" s="78">
        <f t="shared" si="30"/>
        <v>108.57312252964427</v>
      </c>
      <c r="T144" s="78" t="str">
        <f t="shared" si="25"/>
        <v/>
      </c>
      <c r="U144" s="78" t="str">
        <f t="shared" si="31"/>
        <v/>
      </c>
      <c r="V144" s="78">
        <f>IFERROR(I144+O144, "")</f>
        <v>200</v>
      </c>
      <c r="W144" s="78">
        <f t="shared" si="32"/>
        <v>268</v>
      </c>
      <c r="X144" s="78">
        <f t="shared" si="33"/>
        <v>84</v>
      </c>
      <c r="Y144" s="78">
        <f t="shared" si="34"/>
        <v>106.44</v>
      </c>
      <c r="AA144" s="88" t="str">
        <f t="shared" si="35"/>
        <v/>
      </c>
      <c r="AB144" s="77" t="str">
        <f t="shared" si="26"/>
        <v/>
      </c>
      <c r="AD144" s="88" t="str">
        <f t="shared" si="36"/>
        <v/>
      </c>
      <c r="AE144" s="77" t="str">
        <f t="shared" si="27"/>
        <v/>
      </c>
    </row>
    <row r="145" spans="2:31" x14ac:dyDescent="0.35">
      <c r="B145">
        <v>2011</v>
      </c>
      <c r="C145">
        <v>1</v>
      </c>
      <c r="D145">
        <v>2</v>
      </c>
      <c r="E145" s="78" t="str">
        <f>'CRU historical'!F122</f>
        <v xml:space="preserve"> </v>
      </c>
      <c r="F145" s="78">
        <f>'CRU historical'!I122</f>
        <v>55</v>
      </c>
      <c r="G145" s="78" t="str">
        <f>'CRU historical'!L122</f>
        <v xml:space="preserve"> </v>
      </c>
      <c r="H145" s="78" t="str">
        <f>'CRU historical'!O122</f>
        <v xml:space="preserve"> </v>
      </c>
      <c r="I145" s="78">
        <f>'CRU historical'!R122</f>
        <v>168.5</v>
      </c>
      <c r="J145" s="78">
        <f>AVERAGE('CRU historical'!U122, 'CRU historical'!X122, 'CRU historical'!AA122, 'CRU historical'!AD122)</f>
        <v>229.75</v>
      </c>
      <c r="L145" s="78" cm="1">
        <f t="array" ref="L145">IFERROR(SUMPRODUCT(('Sulphuric Acid freights'!$B$3:$B$513=B155)*('Sulphuric Acid freights'!$D$3:$D$513=D145)*('Sulphuric Acid freights'!$P$3:$P$513))/SUMPRODUCT(('Sulphuric Acid freights'!$B$3:$B$513=B155)*('Sulphuric Acid freights'!$D$3:$D$513=D145)*1), AVERAGE('Sulphuric Acid freights'!$P$3:$P$513))*2/3</f>
        <v>54.110671936758898</v>
      </c>
      <c r="M145" s="78" cm="1">
        <f t="array" ref="M145">IFERROR(SUMPRODUCT(('Sulphuric Acid freights'!$B$3:$B$513=B155)*('Sulphuric Acid freights'!$D$3:$D$513=D145)*('Sulphuric Acid freights'!$M$3:$M$513))/SUMPRODUCT(('Sulphuric Acid freights'!$B$3:$B$513=B155)*('Sulphuric Acid freights'!$D$3:$D$513=D145)*1)*2/3, AVERAGE('Sulphuric Acid freights'!$M$3:$M$513))</f>
        <v>23.573122529644269</v>
      </c>
      <c r="N145" s="78">
        <f t="shared" si="28"/>
        <v>48.699604743083007</v>
      </c>
      <c r="O145" s="78" cm="1">
        <f t="array" ref="O145">IF(SUMPRODUCT(('Sulphur freight'!$B$3:$B$1976=B155)*('Sulphur freight'!$D$3:$D$1976=D145)*('Sulphur freight'!$G$3:$G$1976))/SUMPRODUCT(('Sulphur freight'!$B$3:$B$1976=B155)*('Sulphur freight'!$D$3:$D$1976=D145)*1)=0, AVERAGE('Sulphur freight'!$G$3:$G$1976),SUMPRODUCT(('Sulphur freight'!$B$3:$B$1976=B155)*('Sulphur freight'!$D$3:$D$1976=D145)*('Sulphur freight'!$G$3:$G$1976))/SUMPRODUCT(('Sulphur freight'!$B$3:$B$1976=B155)*('Sulphur freight'!$D$3:$D$1976=D145)*1))</f>
        <v>24.25</v>
      </c>
      <c r="P145" s="78">
        <v>20</v>
      </c>
      <c r="R145" s="78" t="str">
        <f t="shared" si="29"/>
        <v xml:space="preserve"> </v>
      </c>
      <c r="S145" s="78">
        <f t="shared" si="30"/>
        <v>78.573122529644266</v>
      </c>
      <c r="T145" s="78" t="str">
        <f t="shared" si="25"/>
        <v/>
      </c>
      <c r="U145" s="78" t="str">
        <f t="shared" si="31"/>
        <v/>
      </c>
      <c r="V145" s="78">
        <f>IFERROR(I145+O145, "")</f>
        <v>192.75</v>
      </c>
      <c r="W145" s="78">
        <f t="shared" si="32"/>
        <v>249.75</v>
      </c>
      <c r="X145" s="78">
        <f t="shared" si="33"/>
        <v>81.607500000000002</v>
      </c>
      <c r="Y145" s="78">
        <f t="shared" si="34"/>
        <v>100.4175</v>
      </c>
      <c r="AA145" s="88" t="str">
        <f t="shared" si="35"/>
        <v/>
      </c>
      <c r="AB145" s="77" t="str">
        <f t="shared" si="26"/>
        <v/>
      </c>
      <c r="AD145" s="88" t="str">
        <f t="shared" si="36"/>
        <v/>
      </c>
      <c r="AE145" s="77" t="str">
        <f t="shared" si="27"/>
        <v/>
      </c>
    </row>
    <row r="146" spans="2:31" x14ac:dyDescent="0.35">
      <c r="B146">
        <v>2011</v>
      </c>
      <c r="C146">
        <v>1</v>
      </c>
      <c r="D146">
        <v>3</v>
      </c>
      <c r="E146" s="78" t="str">
        <f>'CRU historical'!F123</f>
        <v xml:space="preserve"> </v>
      </c>
      <c r="F146" s="78">
        <f>'CRU historical'!I123</f>
        <v>35</v>
      </c>
      <c r="G146" s="78" t="str">
        <f>'CRU historical'!L123</f>
        <v xml:space="preserve"> </v>
      </c>
      <c r="H146" s="78" t="str">
        <f>'CRU historical'!O123</f>
        <v xml:space="preserve"> </v>
      </c>
      <c r="I146" s="78">
        <f>'CRU historical'!R123</f>
        <v>186</v>
      </c>
      <c r="J146" s="78">
        <f>AVERAGE('CRU historical'!U123, 'CRU historical'!X123, 'CRU historical'!AA123, 'CRU historical'!AD123)</f>
        <v>157.5</v>
      </c>
      <c r="L146" s="78" cm="1">
        <f t="array" ref="L146">IFERROR(SUMPRODUCT(('Sulphuric Acid freights'!$B$3:$B$513=B156)*('Sulphuric Acid freights'!$D$3:$D$513=D146)*('Sulphuric Acid freights'!$P$3:$P$513))/SUMPRODUCT(('Sulphuric Acid freights'!$B$3:$B$513=B156)*('Sulphuric Acid freights'!$D$3:$D$513=D146)*1), AVERAGE('Sulphuric Acid freights'!$P$3:$P$513))*2/3</f>
        <v>54.110671936758898</v>
      </c>
      <c r="M146" s="78" cm="1">
        <f t="array" ref="M146">IFERROR(SUMPRODUCT(('Sulphuric Acid freights'!$B$3:$B$513=B156)*('Sulphuric Acid freights'!$D$3:$D$513=D146)*('Sulphuric Acid freights'!$M$3:$M$513))/SUMPRODUCT(('Sulphuric Acid freights'!$B$3:$B$513=B156)*('Sulphuric Acid freights'!$D$3:$D$513=D146)*1)*2/3, AVERAGE('Sulphuric Acid freights'!$M$3:$M$513))</f>
        <v>23.573122529644269</v>
      </c>
      <c r="N146" s="78">
        <f t="shared" si="28"/>
        <v>48.699604743083007</v>
      </c>
      <c r="O146" s="78" cm="1">
        <f t="array" ref="O146">IF(SUMPRODUCT(('Sulphur freight'!$B$3:$B$1976=B156)*('Sulphur freight'!$D$3:$D$1976=D146)*('Sulphur freight'!$G$3:$G$1976))/SUMPRODUCT(('Sulphur freight'!$B$3:$B$1976=B156)*('Sulphur freight'!$D$3:$D$1976=D146)*1)=0, AVERAGE('Sulphur freight'!$G$3:$G$1976),SUMPRODUCT(('Sulphur freight'!$B$3:$B$1976=B156)*('Sulphur freight'!$D$3:$D$1976=D146)*('Sulphur freight'!$G$3:$G$1976))/SUMPRODUCT(('Sulphur freight'!$B$3:$B$1976=B156)*('Sulphur freight'!$D$3:$D$1976=D146)*1))</f>
        <v>27.2</v>
      </c>
      <c r="P146" s="78">
        <v>20</v>
      </c>
      <c r="R146" s="78" t="str">
        <f t="shared" si="29"/>
        <v xml:space="preserve"> </v>
      </c>
      <c r="S146" s="78">
        <f t="shared" si="30"/>
        <v>58.573122529644266</v>
      </c>
      <c r="T146" s="78" t="str">
        <f t="shared" si="25"/>
        <v/>
      </c>
      <c r="U146" s="78" t="str">
        <f t="shared" si="31"/>
        <v/>
      </c>
      <c r="V146" s="78">
        <f>IFERROR(I146+O146, "")</f>
        <v>213.2</v>
      </c>
      <c r="W146" s="78">
        <f t="shared" si="32"/>
        <v>177.5</v>
      </c>
      <c r="X146" s="78">
        <f t="shared" si="33"/>
        <v>88.355999999999995</v>
      </c>
      <c r="Y146" s="78">
        <f t="shared" si="34"/>
        <v>76.575000000000003</v>
      </c>
      <c r="AA146" s="88" t="str">
        <f t="shared" si="35"/>
        <v/>
      </c>
      <c r="AB146" s="77" t="str">
        <f t="shared" si="26"/>
        <v/>
      </c>
      <c r="AD146" s="88" t="str">
        <f t="shared" si="36"/>
        <v/>
      </c>
      <c r="AE146" s="77" t="str">
        <f t="shared" si="27"/>
        <v/>
      </c>
    </row>
    <row r="147" spans="2:31" x14ac:dyDescent="0.35">
      <c r="B147">
        <v>2011</v>
      </c>
      <c r="C147">
        <v>2</v>
      </c>
      <c r="D147">
        <v>4</v>
      </c>
      <c r="E147" s="78" t="str">
        <f>'CRU historical'!F124</f>
        <v xml:space="preserve"> </v>
      </c>
      <c r="F147" s="78">
        <f>'CRU historical'!I124</f>
        <v>35</v>
      </c>
      <c r="G147" s="78" t="str">
        <f>'CRU historical'!L124</f>
        <v xml:space="preserve"> </v>
      </c>
      <c r="H147" s="78" t="str">
        <f>'CRU historical'!O124</f>
        <v xml:space="preserve"> </v>
      </c>
      <c r="I147" s="78">
        <f>'CRU historical'!R124</f>
        <v>191.5</v>
      </c>
      <c r="J147" s="78">
        <f>AVERAGE('CRU historical'!U124, 'CRU historical'!X124, 'CRU historical'!AA124, 'CRU historical'!AD124)</f>
        <v>175.625</v>
      </c>
      <c r="L147" s="78" cm="1">
        <f t="array" ref="L147">IFERROR(SUMPRODUCT(('Sulphuric Acid freights'!$B$3:$B$513=B157)*('Sulphuric Acid freights'!$D$3:$D$513=D147)*('Sulphuric Acid freights'!$P$3:$P$513))/SUMPRODUCT(('Sulphuric Acid freights'!$B$3:$B$513=B157)*('Sulphuric Acid freights'!$D$3:$D$513=D147)*1), AVERAGE('Sulphuric Acid freights'!$P$3:$P$513))*2/3</f>
        <v>54.110671936758898</v>
      </c>
      <c r="M147" s="78" cm="1">
        <f t="array" ref="M147">IFERROR(SUMPRODUCT(('Sulphuric Acid freights'!$B$3:$B$513=B157)*('Sulphuric Acid freights'!$D$3:$D$513=D147)*('Sulphuric Acid freights'!$M$3:$M$513))/SUMPRODUCT(('Sulphuric Acid freights'!$B$3:$B$513=B157)*('Sulphuric Acid freights'!$D$3:$D$513=D147)*1)*2/3, AVERAGE('Sulphuric Acid freights'!$M$3:$M$513))</f>
        <v>23.573122529644269</v>
      </c>
      <c r="N147" s="78">
        <f t="shared" si="28"/>
        <v>48.699604743083007</v>
      </c>
      <c r="O147" s="78" cm="1">
        <f t="array" ref="O147">IF(SUMPRODUCT(('Sulphur freight'!$B$3:$B$1976=B157)*('Sulphur freight'!$D$3:$D$1976=D147)*('Sulphur freight'!$G$3:$G$1976))/SUMPRODUCT(('Sulphur freight'!$B$3:$B$1976=B157)*('Sulphur freight'!$D$3:$D$1976=D147)*1)=0, AVERAGE('Sulphur freight'!$G$3:$G$1976),SUMPRODUCT(('Sulphur freight'!$B$3:$B$1976=B157)*('Sulphur freight'!$D$3:$D$1976=D147)*('Sulphur freight'!$G$3:$G$1976))/SUMPRODUCT(('Sulphur freight'!$B$3:$B$1976=B157)*('Sulphur freight'!$D$3:$D$1976=D147)*1))</f>
        <v>28.5</v>
      </c>
      <c r="P147" s="78">
        <v>20</v>
      </c>
      <c r="R147" s="78" t="str">
        <f t="shared" si="29"/>
        <v xml:space="preserve"> </v>
      </c>
      <c r="S147" s="78">
        <f t="shared" si="30"/>
        <v>58.573122529644266</v>
      </c>
      <c r="T147" s="78" t="str">
        <f t="shared" si="25"/>
        <v/>
      </c>
      <c r="U147" s="78" t="str">
        <f t="shared" si="31"/>
        <v/>
      </c>
      <c r="V147" s="78">
        <f>IFERROR(I147+O147, "")</f>
        <v>220</v>
      </c>
      <c r="W147" s="78">
        <f t="shared" si="32"/>
        <v>195.625</v>
      </c>
      <c r="X147" s="78">
        <f t="shared" si="33"/>
        <v>90.600000000000009</v>
      </c>
      <c r="Y147" s="78">
        <f t="shared" si="34"/>
        <v>82.556250000000006</v>
      </c>
      <c r="AA147" s="88" t="str">
        <f t="shared" si="35"/>
        <v/>
      </c>
      <c r="AB147" s="77" t="str">
        <f t="shared" si="26"/>
        <v/>
      </c>
      <c r="AD147" s="88" t="str">
        <f t="shared" si="36"/>
        <v/>
      </c>
      <c r="AE147" s="77" t="str">
        <f t="shared" si="27"/>
        <v/>
      </c>
    </row>
    <row r="148" spans="2:31" x14ac:dyDescent="0.35">
      <c r="B148">
        <v>2011</v>
      </c>
      <c r="C148">
        <v>2</v>
      </c>
      <c r="D148">
        <v>5</v>
      </c>
      <c r="E148" s="78" t="str">
        <f>'CRU historical'!F125</f>
        <v xml:space="preserve"> </v>
      </c>
      <c r="F148" s="78">
        <f>'CRU historical'!I125</f>
        <v>37</v>
      </c>
      <c r="G148" s="78" t="str">
        <f>'CRU historical'!L125</f>
        <v xml:space="preserve"> </v>
      </c>
      <c r="H148" s="78" t="str">
        <f>'CRU historical'!O125</f>
        <v xml:space="preserve"> </v>
      </c>
      <c r="I148" s="78">
        <f>'CRU historical'!R125</f>
        <v>200</v>
      </c>
      <c r="J148" s="78">
        <f>AVERAGE('CRU historical'!U125, 'CRU historical'!X125, 'CRU historical'!AA125, 'CRU historical'!AD125)</f>
        <v>213</v>
      </c>
      <c r="L148" s="78" cm="1">
        <f t="array" ref="L148">IFERROR(SUMPRODUCT(('Sulphuric Acid freights'!$B$3:$B$513=B158)*('Sulphuric Acid freights'!$D$3:$D$513=D148)*('Sulphuric Acid freights'!$P$3:$P$513))/SUMPRODUCT(('Sulphuric Acid freights'!$B$3:$B$513=B158)*('Sulphuric Acid freights'!$D$3:$D$513=D148)*1), AVERAGE('Sulphuric Acid freights'!$P$3:$P$513))*2/3</f>
        <v>54.110671936758898</v>
      </c>
      <c r="M148" s="78" cm="1">
        <f t="array" ref="M148">IFERROR(SUMPRODUCT(('Sulphuric Acid freights'!$B$3:$B$513=B158)*('Sulphuric Acid freights'!$D$3:$D$513=D148)*('Sulphuric Acid freights'!$M$3:$M$513))/SUMPRODUCT(('Sulphuric Acid freights'!$B$3:$B$513=B158)*('Sulphuric Acid freights'!$D$3:$D$513=D148)*1)*2/3, AVERAGE('Sulphuric Acid freights'!$M$3:$M$513))</f>
        <v>23.573122529644269</v>
      </c>
      <c r="N148" s="78">
        <f t="shared" si="28"/>
        <v>48.699604743083007</v>
      </c>
      <c r="O148" s="78" cm="1">
        <f t="array" ref="O148">IF(SUMPRODUCT(('Sulphur freight'!$B$3:$B$1976=B158)*('Sulphur freight'!$D$3:$D$1976=D148)*('Sulphur freight'!$G$3:$G$1976))/SUMPRODUCT(('Sulphur freight'!$B$3:$B$1976=B158)*('Sulphur freight'!$D$3:$D$1976=D148)*1)=0, AVERAGE('Sulphur freight'!$G$3:$G$1976),SUMPRODUCT(('Sulphur freight'!$B$3:$B$1976=B158)*('Sulphur freight'!$D$3:$D$1976=D148)*('Sulphur freight'!$G$3:$G$1976))/SUMPRODUCT(('Sulphur freight'!$B$3:$B$1976=B158)*('Sulphur freight'!$D$3:$D$1976=D148)*1))</f>
        <v>28.6</v>
      </c>
      <c r="P148" s="78">
        <v>20</v>
      </c>
      <c r="R148" s="78" t="str">
        <f t="shared" si="29"/>
        <v xml:space="preserve"> </v>
      </c>
      <c r="S148" s="78">
        <f t="shared" si="30"/>
        <v>60.573122529644266</v>
      </c>
      <c r="T148" s="78" t="str">
        <f t="shared" si="25"/>
        <v/>
      </c>
      <c r="U148" s="78" t="str">
        <f t="shared" si="31"/>
        <v/>
      </c>
      <c r="V148" s="78">
        <f>IFERROR(I148+O148, "")</f>
        <v>228.6</v>
      </c>
      <c r="W148" s="78">
        <f t="shared" si="32"/>
        <v>233</v>
      </c>
      <c r="X148" s="78">
        <f t="shared" si="33"/>
        <v>93.438000000000002</v>
      </c>
      <c r="Y148" s="78">
        <f t="shared" si="34"/>
        <v>94.89</v>
      </c>
      <c r="AA148" s="88" t="str">
        <f t="shared" si="35"/>
        <v/>
      </c>
      <c r="AB148" s="77" t="str">
        <f t="shared" si="26"/>
        <v/>
      </c>
      <c r="AD148" s="88" t="str">
        <f t="shared" si="36"/>
        <v/>
      </c>
      <c r="AE148" s="77" t="str">
        <f t="shared" si="27"/>
        <v/>
      </c>
    </row>
    <row r="149" spans="2:31" x14ac:dyDescent="0.35">
      <c r="B149">
        <v>2011</v>
      </c>
      <c r="C149">
        <v>2</v>
      </c>
      <c r="D149">
        <v>6</v>
      </c>
      <c r="E149" s="78" t="str">
        <f>'CRU historical'!F126</f>
        <v xml:space="preserve"> </v>
      </c>
      <c r="F149" s="78">
        <f>'CRU historical'!I126</f>
        <v>50</v>
      </c>
      <c r="G149" s="78" t="str">
        <f>'CRU historical'!L126</f>
        <v xml:space="preserve"> </v>
      </c>
      <c r="H149" s="78" t="str">
        <f>'CRU historical'!O126</f>
        <v xml:space="preserve"> </v>
      </c>
      <c r="I149" s="78">
        <f>'CRU historical'!R126</f>
        <v>187.5</v>
      </c>
      <c r="J149" s="78">
        <f>AVERAGE('CRU historical'!U126, 'CRU historical'!X126, 'CRU historical'!AA126, 'CRU historical'!AD126)</f>
        <v>217.625</v>
      </c>
      <c r="L149" s="78" cm="1">
        <f t="array" ref="L149">IFERROR(SUMPRODUCT(('Sulphuric Acid freights'!$B$3:$B$513=B159)*('Sulphuric Acid freights'!$D$3:$D$513=D149)*('Sulphuric Acid freights'!$P$3:$P$513))/SUMPRODUCT(('Sulphuric Acid freights'!$B$3:$B$513=B159)*('Sulphuric Acid freights'!$D$3:$D$513=D149)*1), AVERAGE('Sulphuric Acid freights'!$P$3:$P$513))*2/3</f>
        <v>54.110671936758898</v>
      </c>
      <c r="M149" s="78" cm="1">
        <f t="array" ref="M149">IFERROR(SUMPRODUCT(('Sulphuric Acid freights'!$B$3:$B$513=B159)*('Sulphuric Acid freights'!$D$3:$D$513=D149)*('Sulphuric Acid freights'!$M$3:$M$513))/SUMPRODUCT(('Sulphuric Acid freights'!$B$3:$B$513=B159)*('Sulphuric Acid freights'!$D$3:$D$513=D149)*1)*2/3, AVERAGE('Sulphuric Acid freights'!$M$3:$M$513))</f>
        <v>23.573122529644269</v>
      </c>
      <c r="N149" s="78">
        <f t="shared" si="28"/>
        <v>48.699604743083007</v>
      </c>
      <c r="O149" s="78" cm="1">
        <f t="array" ref="O149">IF(SUMPRODUCT(('Sulphur freight'!$B$3:$B$1976=B159)*('Sulphur freight'!$D$3:$D$1976=D149)*('Sulphur freight'!$G$3:$G$1976))/SUMPRODUCT(('Sulphur freight'!$B$3:$B$1976=B159)*('Sulphur freight'!$D$3:$D$1976=D149)*1)=0, AVERAGE('Sulphur freight'!$G$3:$G$1976),SUMPRODUCT(('Sulphur freight'!$B$3:$B$1976=B159)*('Sulphur freight'!$D$3:$D$1976=D149)*('Sulphur freight'!$G$3:$G$1976))/SUMPRODUCT(('Sulphur freight'!$B$3:$B$1976=B159)*('Sulphur freight'!$D$3:$D$1976=D149)*1))</f>
        <v>26.5</v>
      </c>
      <c r="P149" s="78">
        <v>20</v>
      </c>
      <c r="R149" s="78" t="str">
        <f t="shared" si="29"/>
        <v xml:space="preserve"> </v>
      </c>
      <c r="S149" s="78">
        <f t="shared" si="30"/>
        <v>73.573122529644266</v>
      </c>
      <c r="T149" s="78" t="str">
        <f t="shared" si="25"/>
        <v/>
      </c>
      <c r="U149" s="78" t="str">
        <f t="shared" si="31"/>
        <v/>
      </c>
      <c r="V149" s="78">
        <f>IFERROR(I149+O149, "")</f>
        <v>214</v>
      </c>
      <c r="W149" s="78">
        <f t="shared" si="32"/>
        <v>237.625</v>
      </c>
      <c r="X149" s="78">
        <f t="shared" si="33"/>
        <v>88.62</v>
      </c>
      <c r="Y149" s="78">
        <f t="shared" si="34"/>
        <v>96.416250000000005</v>
      </c>
      <c r="AA149" s="88" t="str">
        <f t="shared" si="35"/>
        <v/>
      </c>
      <c r="AB149" s="77" t="str">
        <f t="shared" si="26"/>
        <v/>
      </c>
      <c r="AD149" s="88" t="str">
        <f t="shared" si="36"/>
        <v/>
      </c>
      <c r="AE149" s="77" t="str">
        <f t="shared" si="27"/>
        <v/>
      </c>
    </row>
    <row r="150" spans="2:31" x14ac:dyDescent="0.35">
      <c r="B150">
        <v>2011</v>
      </c>
      <c r="C150">
        <v>3</v>
      </c>
      <c r="D150">
        <v>7</v>
      </c>
      <c r="E150" s="78">
        <f>'CRU historical'!F127</f>
        <v>39</v>
      </c>
      <c r="F150" s="78">
        <f>'CRU historical'!I127</f>
        <v>50</v>
      </c>
      <c r="G150" s="78" t="str">
        <f>'CRU historical'!L127</f>
        <v xml:space="preserve"> </v>
      </c>
      <c r="H150" s="78" t="str">
        <f>'CRU historical'!O127</f>
        <v xml:space="preserve"> </v>
      </c>
      <c r="I150" s="78">
        <f>'CRU historical'!R127</f>
        <v>176.25</v>
      </c>
      <c r="J150" s="78">
        <f>AVERAGE('CRU historical'!U127, 'CRU historical'!X127, 'CRU historical'!AA127, 'CRU historical'!AD127)</f>
        <v>209.125</v>
      </c>
      <c r="L150" s="78" cm="1">
        <f t="array" ref="L150">IFERROR(SUMPRODUCT(('Sulphuric Acid freights'!$B$3:$B$513=B160)*('Sulphuric Acid freights'!$D$3:$D$513=D150)*('Sulphuric Acid freights'!$P$3:$P$513))/SUMPRODUCT(('Sulphuric Acid freights'!$B$3:$B$513=B160)*('Sulphuric Acid freights'!$D$3:$D$513=D150)*1), AVERAGE('Sulphuric Acid freights'!$P$3:$P$513))*2/3</f>
        <v>54.110671936758898</v>
      </c>
      <c r="M150" s="78" cm="1">
        <f t="array" ref="M150">IFERROR(SUMPRODUCT(('Sulphuric Acid freights'!$B$3:$B$513=B160)*('Sulphuric Acid freights'!$D$3:$D$513=D150)*('Sulphuric Acid freights'!$M$3:$M$513))/SUMPRODUCT(('Sulphuric Acid freights'!$B$3:$B$513=B160)*('Sulphuric Acid freights'!$D$3:$D$513=D150)*1)*2/3, AVERAGE('Sulphuric Acid freights'!$M$3:$M$513))</f>
        <v>23.573122529644269</v>
      </c>
      <c r="N150" s="78">
        <f t="shared" si="28"/>
        <v>48.699604743083007</v>
      </c>
      <c r="O150" s="78" cm="1">
        <f t="array" ref="O150">IF(SUMPRODUCT(('Sulphur freight'!$B$3:$B$1976=B160)*('Sulphur freight'!$D$3:$D$1976=D150)*('Sulphur freight'!$G$3:$G$1976))/SUMPRODUCT(('Sulphur freight'!$B$3:$B$1976=B160)*('Sulphur freight'!$D$3:$D$1976=D150)*1)=0, AVERAGE('Sulphur freight'!$G$3:$G$1976),SUMPRODUCT(('Sulphur freight'!$B$3:$B$1976=B160)*('Sulphur freight'!$D$3:$D$1976=D150)*('Sulphur freight'!$G$3:$G$1976))/SUMPRODUCT(('Sulphur freight'!$B$3:$B$1976=B160)*('Sulphur freight'!$D$3:$D$1976=D150)*1))</f>
        <v>26</v>
      </c>
      <c r="P150" s="78">
        <v>20</v>
      </c>
      <c r="R150" s="78" t="str">
        <f t="shared" si="29"/>
        <v xml:space="preserve"> </v>
      </c>
      <c r="S150" s="78">
        <f t="shared" si="30"/>
        <v>73.573122529644266</v>
      </c>
      <c r="T150" s="78">
        <f t="shared" si="25"/>
        <v>93.110671936758905</v>
      </c>
      <c r="U150" s="78" t="str">
        <f t="shared" si="31"/>
        <v/>
      </c>
      <c r="V150" s="78">
        <f>IFERROR(I150+O150, "")</f>
        <v>202.25</v>
      </c>
      <c r="W150" s="78">
        <f t="shared" si="32"/>
        <v>229.125</v>
      </c>
      <c r="X150" s="78">
        <f t="shared" si="33"/>
        <v>84.742500000000007</v>
      </c>
      <c r="Y150" s="78">
        <f t="shared" si="34"/>
        <v>93.611249999999998</v>
      </c>
      <c r="AA150" s="88" t="str">
        <f t="shared" si="35"/>
        <v/>
      </c>
      <c r="AB150" s="77" t="str">
        <f t="shared" si="26"/>
        <v/>
      </c>
      <c r="AD150" s="88" t="str">
        <f t="shared" si="36"/>
        <v/>
      </c>
      <c r="AE150" s="77" t="str">
        <f t="shared" si="27"/>
        <v/>
      </c>
    </row>
    <row r="151" spans="2:31" x14ac:dyDescent="0.35">
      <c r="B151">
        <v>2011</v>
      </c>
      <c r="C151">
        <v>3</v>
      </c>
      <c r="D151">
        <v>8</v>
      </c>
      <c r="E151" s="78">
        <f>'CRU historical'!F128</f>
        <v>43</v>
      </c>
      <c r="F151" s="78">
        <f>'CRU historical'!I128</f>
        <v>51.4</v>
      </c>
      <c r="G151" s="78" t="str">
        <f>'CRU historical'!L128</f>
        <v xml:space="preserve"> </v>
      </c>
      <c r="H151" s="78" t="str">
        <f>'CRU historical'!O128</f>
        <v xml:space="preserve"> </v>
      </c>
      <c r="I151" s="78">
        <f>'CRU historical'!R128</f>
        <v>177.6</v>
      </c>
      <c r="J151" s="78">
        <f>AVERAGE('CRU historical'!U128, 'CRU historical'!X128, 'CRU historical'!AA128, 'CRU historical'!AD128)</f>
        <v>191.5</v>
      </c>
      <c r="L151" s="78" cm="1">
        <f t="array" ref="L151">IFERROR(SUMPRODUCT(('Sulphuric Acid freights'!$B$3:$B$513=B161)*('Sulphuric Acid freights'!$D$3:$D$513=D151)*('Sulphuric Acid freights'!$P$3:$P$513))/SUMPRODUCT(('Sulphuric Acid freights'!$B$3:$B$513=B161)*('Sulphuric Acid freights'!$D$3:$D$513=D151)*1), AVERAGE('Sulphuric Acid freights'!$P$3:$P$513))*2/3</f>
        <v>54.110671936758898</v>
      </c>
      <c r="M151" s="78" cm="1">
        <f t="array" ref="M151">IFERROR(SUMPRODUCT(('Sulphuric Acid freights'!$B$3:$B$513=B161)*('Sulphuric Acid freights'!$D$3:$D$513=D151)*('Sulphuric Acid freights'!$M$3:$M$513))/SUMPRODUCT(('Sulphuric Acid freights'!$B$3:$B$513=B161)*('Sulphuric Acid freights'!$D$3:$D$513=D151)*1)*2/3, AVERAGE('Sulphuric Acid freights'!$M$3:$M$513))</f>
        <v>23.573122529644269</v>
      </c>
      <c r="N151" s="78">
        <f t="shared" si="28"/>
        <v>48.699604743083007</v>
      </c>
      <c r="O151" s="78" cm="1">
        <f t="array" ref="O151">IF(SUMPRODUCT(('Sulphur freight'!$B$3:$B$1976=B161)*('Sulphur freight'!$D$3:$D$1976=D151)*('Sulphur freight'!$G$3:$G$1976))/SUMPRODUCT(('Sulphur freight'!$B$3:$B$1976=B161)*('Sulphur freight'!$D$3:$D$1976=D151)*1)=0, AVERAGE('Sulphur freight'!$G$3:$G$1976),SUMPRODUCT(('Sulphur freight'!$B$3:$B$1976=B161)*('Sulphur freight'!$D$3:$D$1976=D151)*('Sulphur freight'!$G$3:$G$1976))/SUMPRODUCT(('Sulphur freight'!$B$3:$B$1976=B161)*('Sulphur freight'!$D$3:$D$1976=D151)*1))</f>
        <v>26.4</v>
      </c>
      <c r="P151" s="78">
        <v>20</v>
      </c>
      <c r="R151" s="78" t="str">
        <f t="shared" si="29"/>
        <v xml:space="preserve"> </v>
      </c>
      <c r="S151" s="78">
        <f t="shared" si="30"/>
        <v>74.973122529644272</v>
      </c>
      <c r="T151" s="78">
        <f t="shared" si="25"/>
        <v>97.110671936758905</v>
      </c>
      <c r="U151" s="78" t="str">
        <f t="shared" si="31"/>
        <v/>
      </c>
      <c r="V151" s="78">
        <f>IFERROR(I151+O151, "")</f>
        <v>204</v>
      </c>
      <c r="W151" s="78">
        <f t="shared" si="32"/>
        <v>211.5</v>
      </c>
      <c r="X151" s="78">
        <f t="shared" si="33"/>
        <v>85.320000000000007</v>
      </c>
      <c r="Y151" s="78">
        <f t="shared" si="34"/>
        <v>87.795000000000002</v>
      </c>
      <c r="AA151" s="88" t="str">
        <f t="shared" si="35"/>
        <v/>
      </c>
      <c r="AB151" s="77" t="str">
        <f t="shared" si="26"/>
        <v/>
      </c>
      <c r="AD151" s="88" t="str">
        <f t="shared" si="36"/>
        <v/>
      </c>
      <c r="AE151" s="77" t="str">
        <f t="shared" si="27"/>
        <v/>
      </c>
    </row>
    <row r="152" spans="2:31" x14ac:dyDescent="0.35">
      <c r="B152">
        <v>2011</v>
      </c>
      <c r="C152">
        <v>3</v>
      </c>
      <c r="D152">
        <v>9</v>
      </c>
      <c r="E152" s="78">
        <f>'CRU historical'!F129</f>
        <v>45</v>
      </c>
      <c r="F152" s="78">
        <f>'CRU historical'!I129</f>
        <v>53</v>
      </c>
      <c r="G152" s="78" t="str">
        <f>'CRU historical'!L129</f>
        <v xml:space="preserve"> </v>
      </c>
      <c r="H152" s="78" t="str">
        <f>'CRU historical'!O129</f>
        <v xml:space="preserve"> </v>
      </c>
      <c r="I152" s="78">
        <f>'CRU historical'!R129</f>
        <v>186.5</v>
      </c>
      <c r="J152" s="78">
        <f>AVERAGE('CRU historical'!U129, 'CRU historical'!X129, 'CRU historical'!AA129, 'CRU historical'!AD129)</f>
        <v>191.5</v>
      </c>
      <c r="L152" s="78" cm="1">
        <f t="array" ref="L152">IFERROR(SUMPRODUCT(('Sulphuric Acid freights'!$B$3:$B$513=B162)*('Sulphuric Acid freights'!$D$3:$D$513=D152)*('Sulphuric Acid freights'!$P$3:$P$513))/SUMPRODUCT(('Sulphuric Acid freights'!$B$3:$B$513=B162)*('Sulphuric Acid freights'!$D$3:$D$513=D152)*1), AVERAGE('Sulphuric Acid freights'!$P$3:$P$513))*2/3</f>
        <v>54.110671936758898</v>
      </c>
      <c r="M152" s="78" cm="1">
        <f t="array" ref="M152">IFERROR(SUMPRODUCT(('Sulphuric Acid freights'!$B$3:$B$513=B162)*('Sulphuric Acid freights'!$D$3:$D$513=D152)*('Sulphuric Acid freights'!$M$3:$M$513))/SUMPRODUCT(('Sulphuric Acid freights'!$B$3:$B$513=B162)*('Sulphuric Acid freights'!$D$3:$D$513=D152)*1)*2/3, AVERAGE('Sulphuric Acid freights'!$M$3:$M$513))</f>
        <v>23.573122529644269</v>
      </c>
      <c r="N152" s="78">
        <f t="shared" si="28"/>
        <v>48.699604743083007</v>
      </c>
      <c r="O152" s="78" cm="1">
        <f t="array" ref="O152">IF(SUMPRODUCT(('Sulphur freight'!$B$3:$B$1976=B162)*('Sulphur freight'!$D$3:$D$1976=D152)*('Sulphur freight'!$G$3:$G$1976))/SUMPRODUCT(('Sulphur freight'!$B$3:$B$1976=B162)*('Sulphur freight'!$D$3:$D$1976=D152)*1)=0, AVERAGE('Sulphur freight'!$G$3:$G$1976),SUMPRODUCT(('Sulphur freight'!$B$3:$B$1976=B162)*('Sulphur freight'!$D$3:$D$1976=D152)*('Sulphur freight'!$G$3:$G$1976))/SUMPRODUCT(('Sulphur freight'!$B$3:$B$1976=B162)*('Sulphur freight'!$D$3:$D$1976=D152)*1))</f>
        <v>26.25</v>
      </c>
      <c r="P152" s="78">
        <v>20</v>
      </c>
      <c r="R152" s="78" t="str">
        <f t="shared" si="29"/>
        <v xml:space="preserve"> </v>
      </c>
      <c r="S152" s="78">
        <f t="shared" si="30"/>
        <v>76.573122529644266</v>
      </c>
      <c r="T152" s="78">
        <f t="shared" si="25"/>
        <v>99.110671936758905</v>
      </c>
      <c r="U152" s="78" t="str">
        <f t="shared" si="31"/>
        <v/>
      </c>
      <c r="V152" s="78">
        <f>IFERROR(I152+O152, "")</f>
        <v>212.75</v>
      </c>
      <c r="W152" s="78">
        <f t="shared" si="32"/>
        <v>211.5</v>
      </c>
      <c r="X152" s="78">
        <f t="shared" si="33"/>
        <v>88.20750000000001</v>
      </c>
      <c r="Y152" s="78">
        <f t="shared" si="34"/>
        <v>87.795000000000002</v>
      </c>
      <c r="AA152" s="88" t="str">
        <f t="shared" si="35"/>
        <v/>
      </c>
      <c r="AB152" s="77" t="str">
        <f t="shared" si="26"/>
        <v/>
      </c>
      <c r="AD152" s="88" t="str">
        <f t="shared" si="36"/>
        <v/>
      </c>
      <c r="AE152" s="77" t="str">
        <f t="shared" si="27"/>
        <v/>
      </c>
    </row>
    <row r="153" spans="2:31" x14ac:dyDescent="0.35">
      <c r="B153">
        <v>2011</v>
      </c>
      <c r="C153">
        <v>4</v>
      </c>
      <c r="D153">
        <v>10</v>
      </c>
      <c r="E153" s="78">
        <f>'CRU historical'!F130</f>
        <v>38.25</v>
      </c>
      <c r="F153" s="78">
        <f>'CRU historical'!I130</f>
        <v>56.75</v>
      </c>
      <c r="G153" s="78" t="str">
        <f>'CRU historical'!L130</f>
        <v xml:space="preserve"> </v>
      </c>
      <c r="H153" s="78" t="str">
        <f>'CRU historical'!O130</f>
        <v xml:space="preserve"> </v>
      </c>
      <c r="I153" s="78">
        <f>'CRU historical'!R130</f>
        <v>170.75</v>
      </c>
      <c r="J153" s="78">
        <f>AVERAGE('CRU historical'!U130, 'CRU historical'!X130, 'CRU historical'!AA130, 'CRU historical'!AD130)</f>
        <v>191.5</v>
      </c>
      <c r="L153" s="78" cm="1">
        <f t="array" ref="L153">IFERROR(SUMPRODUCT(('Sulphuric Acid freights'!$B$3:$B$513=B163)*('Sulphuric Acid freights'!$D$3:$D$513=D153)*('Sulphuric Acid freights'!$P$3:$P$513))/SUMPRODUCT(('Sulphuric Acid freights'!$B$3:$B$513=B163)*('Sulphuric Acid freights'!$D$3:$D$513=D153)*1), AVERAGE('Sulphuric Acid freights'!$P$3:$P$513))*2/3</f>
        <v>54.110671936758898</v>
      </c>
      <c r="M153" s="78" cm="1">
        <f t="array" ref="M153">IFERROR(SUMPRODUCT(('Sulphuric Acid freights'!$B$3:$B$513=B163)*('Sulphuric Acid freights'!$D$3:$D$513=D153)*('Sulphuric Acid freights'!$M$3:$M$513))/SUMPRODUCT(('Sulphuric Acid freights'!$B$3:$B$513=B163)*('Sulphuric Acid freights'!$D$3:$D$513=D153)*1)*2/3, AVERAGE('Sulphuric Acid freights'!$M$3:$M$513))</f>
        <v>23.573122529644269</v>
      </c>
      <c r="N153" s="78">
        <f t="shared" si="28"/>
        <v>48.699604743083007</v>
      </c>
      <c r="O153" s="78" cm="1">
        <f t="array" ref="O153">IF(SUMPRODUCT(('Sulphur freight'!$B$3:$B$1976=B163)*('Sulphur freight'!$D$3:$D$1976=D153)*('Sulphur freight'!$G$3:$G$1976))/SUMPRODUCT(('Sulphur freight'!$B$3:$B$1976=B163)*('Sulphur freight'!$D$3:$D$1976=D153)*1)=0, AVERAGE('Sulphur freight'!$G$3:$G$1976),SUMPRODUCT(('Sulphur freight'!$B$3:$B$1976=B163)*('Sulphur freight'!$D$3:$D$1976=D153)*('Sulphur freight'!$G$3:$G$1976))/SUMPRODUCT(('Sulphur freight'!$B$3:$B$1976=B163)*('Sulphur freight'!$D$3:$D$1976=D153)*1))</f>
        <v>26</v>
      </c>
      <c r="P153" s="78">
        <v>20</v>
      </c>
      <c r="R153" s="78" t="str">
        <f t="shared" si="29"/>
        <v xml:space="preserve"> </v>
      </c>
      <c r="S153" s="78">
        <f t="shared" si="30"/>
        <v>80.323122529644266</v>
      </c>
      <c r="T153" s="78">
        <f t="shared" si="25"/>
        <v>92.360671936758905</v>
      </c>
      <c r="U153" s="78" t="str">
        <f t="shared" si="31"/>
        <v/>
      </c>
      <c r="V153" s="78">
        <f>IFERROR(I153+O153, "")</f>
        <v>196.75</v>
      </c>
      <c r="W153" s="78">
        <f t="shared" si="32"/>
        <v>211.5</v>
      </c>
      <c r="X153" s="78">
        <f t="shared" si="33"/>
        <v>82.927500000000009</v>
      </c>
      <c r="Y153" s="78">
        <f t="shared" si="34"/>
        <v>87.795000000000002</v>
      </c>
      <c r="AA153" s="88" t="str">
        <f t="shared" si="35"/>
        <v/>
      </c>
      <c r="AB153" s="77" t="str">
        <f t="shared" si="26"/>
        <v/>
      </c>
      <c r="AD153" s="88" t="str">
        <f t="shared" si="36"/>
        <v/>
      </c>
      <c r="AE153" s="77" t="str">
        <f t="shared" si="27"/>
        <v/>
      </c>
    </row>
    <row r="154" spans="2:31" x14ac:dyDescent="0.35">
      <c r="B154">
        <v>2012</v>
      </c>
      <c r="C154">
        <v>4</v>
      </c>
      <c r="D154">
        <v>11</v>
      </c>
      <c r="E154" s="78">
        <f>'CRU historical'!F131</f>
        <v>18</v>
      </c>
      <c r="F154" s="78">
        <f>'CRU historical'!I131</f>
        <v>53.4</v>
      </c>
      <c r="G154" s="78" t="str">
        <f>'CRU historical'!L131</f>
        <v xml:space="preserve"> </v>
      </c>
      <c r="H154" s="78" t="str">
        <f>'CRU historical'!O131</f>
        <v xml:space="preserve"> </v>
      </c>
      <c r="I154" s="78">
        <f>'CRU historical'!R131</f>
        <v>154.19999999999999</v>
      </c>
      <c r="J154" s="78">
        <f>AVERAGE('CRU historical'!U131, 'CRU historical'!X131, 'CRU historical'!AA131, 'CRU historical'!AD131)</f>
        <v>183.5</v>
      </c>
      <c r="L154" s="78" cm="1">
        <f t="array" ref="L154">IFERROR(SUMPRODUCT(('Sulphuric Acid freights'!$B$3:$B$513=B164)*('Sulphuric Acid freights'!$D$3:$D$513=D154)*('Sulphuric Acid freights'!$P$3:$P$513))/SUMPRODUCT(('Sulphuric Acid freights'!$B$3:$B$513=B164)*('Sulphuric Acid freights'!$D$3:$D$513=D154)*1), AVERAGE('Sulphuric Acid freights'!$P$3:$P$513))*2/3</f>
        <v>54.110671936758898</v>
      </c>
      <c r="M154" s="78" cm="1">
        <f t="array" ref="M154">IFERROR(SUMPRODUCT(('Sulphuric Acid freights'!$B$3:$B$513=B164)*('Sulphuric Acid freights'!$D$3:$D$513=D154)*('Sulphuric Acid freights'!$M$3:$M$513))/SUMPRODUCT(('Sulphuric Acid freights'!$B$3:$B$513=B164)*('Sulphuric Acid freights'!$D$3:$D$513=D154)*1)*2/3, AVERAGE('Sulphuric Acid freights'!$M$3:$M$513))</f>
        <v>23.573122529644269</v>
      </c>
      <c r="N154" s="78">
        <f t="shared" si="28"/>
        <v>48.699604743083007</v>
      </c>
      <c r="O154" s="78" cm="1">
        <f t="array" ref="O154">IF(SUMPRODUCT(('Sulphur freight'!$B$3:$B$1976=B164)*('Sulphur freight'!$D$3:$D$1976=D154)*('Sulphur freight'!$G$3:$G$1976))/SUMPRODUCT(('Sulphur freight'!$B$3:$B$1976=B164)*('Sulphur freight'!$D$3:$D$1976=D154)*1)=0, AVERAGE('Sulphur freight'!$G$3:$G$1976),SUMPRODUCT(('Sulphur freight'!$B$3:$B$1976=B164)*('Sulphur freight'!$D$3:$D$1976=D154)*('Sulphur freight'!$G$3:$G$1976))/SUMPRODUCT(('Sulphur freight'!$B$3:$B$1976=B164)*('Sulphur freight'!$D$3:$D$1976=D154)*1))</f>
        <v>25</v>
      </c>
      <c r="P154" s="78">
        <v>20</v>
      </c>
      <c r="R154" s="78" t="str">
        <f t="shared" si="29"/>
        <v xml:space="preserve"> </v>
      </c>
      <c r="S154" s="78">
        <f t="shared" si="30"/>
        <v>76.973122529644272</v>
      </c>
      <c r="T154" s="78">
        <f t="shared" si="25"/>
        <v>72.110671936758905</v>
      </c>
      <c r="U154" s="78" t="str">
        <f t="shared" si="31"/>
        <v/>
      </c>
      <c r="V154" s="78">
        <f>IFERROR(I154+O154, "")</f>
        <v>179.2</v>
      </c>
      <c r="W154" s="78">
        <f t="shared" si="32"/>
        <v>203.5</v>
      </c>
      <c r="X154" s="78">
        <f t="shared" si="33"/>
        <v>77.135999999999996</v>
      </c>
      <c r="Y154" s="78">
        <f t="shared" si="34"/>
        <v>85.155000000000001</v>
      </c>
      <c r="AA154" s="88" t="str">
        <f t="shared" si="35"/>
        <v/>
      </c>
      <c r="AB154" s="77" t="str">
        <f t="shared" si="26"/>
        <v/>
      </c>
      <c r="AD154" s="88" t="str">
        <f t="shared" si="36"/>
        <v/>
      </c>
      <c r="AE154" s="77" t="str">
        <f t="shared" si="27"/>
        <v/>
      </c>
    </row>
    <row r="155" spans="2:31" x14ac:dyDescent="0.35">
      <c r="B155">
        <v>2012</v>
      </c>
      <c r="C155">
        <v>4</v>
      </c>
      <c r="D155">
        <v>12</v>
      </c>
      <c r="E155" s="78">
        <f>'CRU historical'!F132</f>
        <v>10</v>
      </c>
      <c r="F155" s="78">
        <f>'CRU historical'!I132</f>
        <v>43</v>
      </c>
      <c r="G155" s="78" t="str">
        <f>'CRU historical'!L132</f>
        <v xml:space="preserve"> </v>
      </c>
      <c r="H155" s="78" t="str">
        <f>'CRU historical'!O132</f>
        <v xml:space="preserve"> </v>
      </c>
      <c r="I155" s="78">
        <f>'CRU historical'!R132</f>
        <v>146.5</v>
      </c>
      <c r="J155" s="78">
        <f>AVERAGE('CRU historical'!U132, 'CRU historical'!X132, 'CRU historical'!AA132, 'CRU historical'!AD132)</f>
        <v>172.5</v>
      </c>
      <c r="L155" s="78" cm="1">
        <f t="array" ref="L155">IFERROR(SUMPRODUCT(('Sulphuric Acid freights'!$B$3:$B$513=B165)*('Sulphuric Acid freights'!$D$3:$D$513=D155)*('Sulphuric Acid freights'!$P$3:$P$513))/SUMPRODUCT(('Sulphuric Acid freights'!$B$3:$B$513=B165)*('Sulphuric Acid freights'!$D$3:$D$513=D155)*1), AVERAGE('Sulphuric Acid freights'!$P$3:$P$513))*2/3</f>
        <v>54.110671936758898</v>
      </c>
      <c r="M155" s="78" cm="1">
        <f t="array" ref="M155">IFERROR(SUMPRODUCT(('Sulphuric Acid freights'!$B$3:$B$513=B165)*('Sulphuric Acid freights'!$D$3:$D$513=D155)*('Sulphuric Acid freights'!$M$3:$M$513))/SUMPRODUCT(('Sulphuric Acid freights'!$B$3:$B$513=B165)*('Sulphuric Acid freights'!$D$3:$D$513=D155)*1)*2/3, AVERAGE('Sulphuric Acid freights'!$M$3:$M$513))</f>
        <v>23.573122529644269</v>
      </c>
      <c r="N155" s="78">
        <f t="shared" si="28"/>
        <v>48.699604743083007</v>
      </c>
      <c r="O155" s="78" cm="1">
        <f t="array" ref="O155">IF(SUMPRODUCT(('Sulphur freight'!$B$3:$B$1976=B165)*('Sulphur freight'!$D$3:$D$1976=D155)*('Sulphur freight'!$G$3:$G$1976))/SUMPRODUCT(('Sulphur freight'!$B$3:$B$1976=B165)*('Sulphur freight'!$D$3:$D$1976=D155)*1)=0, AVERAGE('Sulphur freight'!$G$3:$G$1976),SUMPRODUCT(('Sulphur freight'!$B$3:$B$1976=B165)*('Sulphur freight'!$D$3:$D$1976=D155)*('Sulphur freight'!$G$3:$G$1976))/SUMPRODUCT(('Sulphur freight'!$B$3:$B$1976=B165)*('Sulphur freight'!$D$3:$D$1976=D155)*1))</f>
        <v>26</v>
      </c>
      <c r="P155" s="78">
        <v>20</v>
      </c>
      <c r="R155" s="78" t="str">
        <f t="shared" si="29"/>
        <v xml:space="preserve"> </v>
      </c>
      <c r="S155" s="78">
        <f t="shared" si="30"/>
        <v>66.573122529644266</v>
      </c>
      <c r="T155" s="78">
        <f t="shared" si="25"/>
        <v>64.110671936758905</v>
      </c>
      <c r="U155" s="78" t="str">
        <f t="shared" si="31"/>
        <v/>
      </c>
      <c r="V155" s="78">
        <f>IFERROR(I155+O155, "")</f>
        <v>172.5</v>
      </c>
      <c r="W155" s="78">
        <f t="shared" si="32"/>
        <v>192.5</v>
      </c>
      <c r="X155" s="78">
        <f t="shared" si="33"/>
        <v>74.925000000000011</v>
      </c>
      <c r="Y155" s="78">
        <f t="shared" si="34"/>
        <v>81.525000000000006</v>
      </c>
      <c r="AA155" s="88" t="str">
        <f t="shared" si="35"/>
        <v/>
      </c>
      <c r="AB155" s="77" t="str">
        <f t="shared" si="26"/>
        <v/>
      </c>
      <c r="AD155" s="88" t="str">
        <f t="shared" si="36"/>
        <v/>
      </c>
      <c r="AE155" s="77" t="str">
        <f t="shared" si="27"/>
        <v/>
      </c>
    </row>
    <row r="156" spans="2:31" x14ac:dyDescent="0.35">
      <c r="B156">
        <v>2012</v>
      </c>
      <c r="C156">
        <v>1</v>
      </c>
      <c r="D156">
        <v>1</v>
      </c>
      <c r="E156" s="78">
        <f>'CRU historical'!F133</f>
        <v>7.2</v>
      </c>
      <c r="F156" s="78">
        <f>'CRU historical'!I133</f>
        <v>26.2</v>
      </c>
      <c r="G156" s="78" t="str">
        <f>'CRU historical'!L133</f>
        <v xml:space="preserve"> </v>
      </c>
      <c r="H156" s="78" t="str">
        <f>'CRU historical'!O133</f>
        <v xml:space="preserve"> </v>
      </c>
      <c r="I156" s="78">
        <f>'CRU historical'!R133</f>
        <v>145.19999999999999</v>
      </c>
      <c r="J156" s="78">
        <f>AVERAGE('CRU historical'!U133, 'CRU historical'!X133, 'CRU historical'!AA133, 'CRU historical'!AD133)</f>
        <v>160.4</v>
      </c>
      <c r="L156" s="78" cm="1">
        <f t="array" ref="L156">IFERROR(SUMPRODUCT(('Sulphuric Acid freights'!$B$3:$B$513=B166)*('Sulphuric Acid freights'!$D$3:$D$513=D156)*('Sulphuric Acid freights'!$P$3:$P$513))/SUMPRODUCT(('Sulphuric Acid freights'!$B$3:$B$513=B166)*('Sulphuric Acid freights'!$D$3:$D$513=D156)*1), AVERAGE('Sulphuric Acid freights'!$P$3:$P$513))*2/3</f>
        <v>54.110671936758898</v>
      </c>
      <c r="M156" s="78" cm="1">
        <f t="array" ref="M156">IFERROR(SUMPRODUCT(('Sulphuric Acid freights'!$B$3:$B$513=B166)*('Sulphuric Acid freights'!$D$3:$D$513=D156)*('Sulphuric Acid freights'!$M$3:$M$513))/SUMPRODUCT(('Sulphuric Acid freights'!$B$3:$B$513=B166)*('Sulphuric Acid freights'!$D$3:$D$513=D156)*1)*2/3, AVERAGE('Sulphuric Acid freights'!$M$3:$M$513))</f>
        <v>23.573122529644269</v>
      </c>
      <c r="N156" s="78">
        <f t="shared" si="28"/>
        <v>48.699604743083007</v>
      </c>
      <c r="O156" s="78" cm="1">
        <f t="array" ref="O156">IF(SUMPRODUCT(('Sulphur freight'!$B$3:$B$1976=B166)*('Sulphur freight'!$D$3:$D$1976=D156)*('Sulphur freight'!$G$3:$G$1976))/SUMPRODUCT(('Sulphur freight'!$B$3:$B$1976=B166)*('Sulphur freight'!$D$3:$D$1976=D156)*1)=0, AVERAGE('Sulphur freight'!$G$3:$G$1976),SUMPRODUCT(('Sulphur freight'!$B$3:$B$1976=B166)*('Sulphur freight'!$D$3:$D$1976=D156)*('Sulphur freight'!$G$3:$G$1976))/SUMPRODUCT(('Sulphur freight'!$B$3:$B$1976=B166)*('Sulphur freight'!$D$3:$D$1976=D156)*1))</f>
        <v>27</v>
      </c>
      <c r="P156" s="78">
        <v>20</v>
      </c>
      <c r="R156" s="78" t="str">
        <f t="shared" si="29"/>
        <v xml:space="preserve"> </v>
      </c>
      <c r="S156" s="78">
        <f t="shared" si="30"/>
        <v>49.773122529644269</v>
      </c>
      <c r="T156" s="78">
        <f t="shared" ref="T156:T219" si="37">IFERROR( E156+L156, "")</f>
        <v>61.310671936758901</v>
      </c>
      <c r="U156" s="78" t="str">
        <f t="shared" si="31"/>
        <v/>
      </c>
      <c r="V156" s="78">
        <f>IFERROR(I156+O156, "")</f>
        <v>172.2</v>
      </c>
      <c r="W156" s="78">
        <f t="shared" si="32"/>
        <v>180.4</v>
      </c>
      <c r="X156" s="78">
        <f t="shared" si="33"/>
        <v>74.825999999999993</v>
      </c>
      <c r="Y156" s="78">
        <f t="shared" si="34"/>
        <v>77.532000000000011</v>
      </c>
      <c r="AA156" s="88" t="str">
        <f t="shared" si="35"/>
        <v/>
      </c>
      <c r="AB156" s="77" t="str">
        <f t="shared" ref="AB156:AB219" si="38">IF(AA156="", "", MAX(X156, Y156)-AA156)</f>
        <v/>
      </c>
      <c r="AD156" s="88" t="str">
        <f t="shared" si="36"/>
        <v/>
      </c>
      <c r="AE156" s="77" t="str">
        <f t="shared" ref="AE156:AE219" si="39">IF(AD156="", "", MAX(AA156, AB156)-AD156)</f>
        <v/>
      </c>
    </row>
    <row r="157" spans="2:31" x14ac:dyDescent="0.35">
      <c r="B157">
        <v>2012</v>
      </c>
      <c r="C157">
        <v>1</v>
      </c>
      <c r="D157">
        <v>2</v>
      </c>
      <c r="E157" s="78">
        <f>'CRU historical'!F134</f>
        <v>3</v>
      </c>
      <c r="F157" s="78">
        <f>'CRU historical'!I134</f>
        <v>13.75</v>
      </c>
      <c r="G157" s="78" t="str">
        <f>'CRU historical'!L134</f>
        <v xml:space="preserve"> </v>
      </c>
      <c r="H157" s="78" t="str">
        <f>'CRU historical'!O134</f>
        <v xml:space="preserve"> </v>
      </c>
      <c r="I157" s="78">
        <f>'CRU historical'!R134</f>
        <v>149</v>
      </c>
      <c r="J157" s="78">
        <f>AVERAGE('CRU historical'!U134, 'CRU historical'!X134, 'CRU historical'!AA134, 'CRU historical'!AD134)</f>
        <v>152.5</v>
      </c>
      <c r="L157" s="78" cm="1">
        <f t="array" ref="L157">IFERROR(SUMPRODUCT(('Sulphuric Acid freights'!$B$3:$B$513=B167)*('Sulphuric Acid freights'!$D$3:$D$513=D157)*('Sulphuric Acid freights'!$P$3:$P$513))/SUMPRODUCT(('Sulphuric Acid freights'!$B$3:$B$513=B167)*('Sulphuric Acid freights'!$D$3:$D$513=D157)*1), AVERAGE('Sulphuric Acid freights'!$P$3:$P$513))*2/3</f>
        <v>54.110671936758898</v>
      </c>
      <c r="M157" s="78" cm="1">
        <f t="array" ref="M157">IFERROR(SUMPRODUCT(('Sulphuric Acid freights'!$B$3:$B$513=B167)*('Sulphuric Acid freights'!$D$3:$D$513=D157)*('Sulphuric Acid freights'!$M$3:$M$513))/SUMPRODUCT(('Sulphuric Acid freights'!$B$3:$B$513=B167)*('Sulphuric Acid freights'!$D$3:$D$513=D157)*1)*2/3, AVERAGE('Sulphuric Acid freights'!$M$3:$M$513))</f>
        <v>23.573122529644269</v>
      </c>
      <c r="N157" s="78">
        <f t="shared" ref="N157:N220" si="40">IFERROR(L157*0.9, "")</f>
        <v>48.699604743083007</v>
      </c>
      <c r="O157" s="78" cm="1">
        <f t="array" ref="O157">IF(SUMPRODUCT(('Sulphur freight'!$B$3:$B$1976=B167)*('Sulphur freight'!$D$3:$D$1976=D157)*('Sulphur freight'!$G$3:$G$1976))/SUMPRODUCT(('Sulphur freight'!$B$3:$B$1976=B167)*('Sulphur freight'!$D$3:$D$1976=D157)*1)=0, AVERAGE('Sulphur freight'!$G$3:$G$1976),SUMPRODUCT(('Sulphur freight'!$B$3:$B$1976=B167)*('Sulphur freight'!$D$3:$D$1976=D157)*('Sulphur freight'!$G$3:$G$1976))/SUMPRODUCT(('Sulphur freight'!$B$3:$B$1976=B167)*('Sulphur freight'!$D$3:$D$1976=D157)*1))</f>
        <v>27.25</v>
      </c>
      <c r="P157" s="78">
        <v>20</v>
      </c>
      <c r="R157" s="78" t="str">
        <f t="shared" ref="R157:R220" si="41">H157</f>
        <v xml:space="preserve"> </v>
      </c>
      <c r="S157" s="78">
        <f t="shared" ref="S157:S220" si="42">IF(F157=0, "", F157+M157)</f>
        <v>37.323122529644266</v>
      </c>
      <c r="T157" s="78">
        <f t="shared" si="37"/>
        <v>57.110671936758898</v>
      </c>
      <c r="U157" s="78" t="str">
        <f t="shared" ref="U157:U220" si="43">IFERROR( G157+N157, "")</f>
        <v/>
      </c>
      <c r="V157" s="78">
        <f>IFERROR(I157+O157, "")</f>
        <v>176.25</v>
      </c>
      <c r="W157" s="78">
        <f t="shared" ref="W157:W220" si="44">J157+P157</f>
        <v>172.5</v>
      </c>
      <c r="X157" s="78">
        <f t="shared" ref="X157:X220" si="45">IFERROR((I157+O157)*0.33+18, "")</f>
        <v>76.162499999999994</v>
      </c>
      <c r="Y157" s="78">
        <f t="shared" ref="Y157:Y220" si="46">IF(J157=0,0,(J157+P157)*0.33+18)</f>
        <v>74.925000000000011</v>
      </c>
      <c r="AA157" s="88" t="str">
        <f t="shared" ref="AA157:AA220" si="47">IF(OR(S157="", T157="", U157=""), "", MAX(R157,S157)*40%+T157*30%+U157*30%)</f>
        <v/>
      </c>
      <c r="AB157" s="77" t="str">
        <f t="shared" si="38"/>
        <v/>
      </c>
      <c r="AD157" s="88" t="str">
        <f t="shared" ref="AD157:AD220" si="48">IFERROR(MIN((MAX(R157,S157)*70%+U157*30%), Y157), "")</f>
        <v/>
      </c>
      <c r="AE157" s="77" t="str">
        <f t="shared" si="39"/>
        <v/>
      </c>
    </row>
    <row r="158" spans="2:31" x14ac:dyDescent="0.35">
      <c r="B158">
        <v>2012</v>
      </c>
      <c r="C158">
        <v>1</v>
      </c>
      <c r="D158">
        <v>3</v>
      </c>
      <c r="E158" s="78">
        <f>'CRU historical'!F135</f>
        <v>3</v>
      </c>
      <c r="F158" s="78">
        <f>'CRU historical'!I135</f>
        <v>10</v>
      </c>
      <c r="G158" s="78" t="str">
        <f>'CRU historical'!L135</f>
        <v xml:space="preserve"> </v>
      </c>
      <c r="H158" s="78" t="str">
        <f>'CRU historical'!O135</f>
        <v xml:space="preserve"> </v>
      </c>
      <c r="I158" s="78">
        <f>'CRU historical'!R135</f>
        <v>150</v>
      </c>
      <c r="J158" s="78">
        <f>AVERAGE('CRU historical'!U135, 'CRU historical'!X135, 'CRU historical'!AA135, 'CRU historical'!AD135)</f>
        <v>152.5</v>
      </c>
      <c r="L158" s="78" cm="1">
        <f t="array" ref="L158">IFERROR(SUMPRODUCT(('Sulphuric Acid freights'!$B$3:$B$513=B168)*('Sulphuric Acid freights'!$D$3:$D$513=D158)*('Sulphuric Acid freights'!$P$3:$P$513))/SUMPRODUCT(('Sulphuric Acid freights'!$B$3:$B$513=B168)*('Sulphuric Acid freights'!$D$3:$D$513=D158)*1), AVERAGE('Sulphuric Acid freights'!$P$3:$P$513))*2/3</f>
        <v>54.110671936758898</v>
      </c>
      <c r="M158" s="78" cm="1">
        <f t="array" ref="M158">IFERROR(SUMPRODUCT(('Sulphuric Acid freights'!$B$3:$B$513=B168)*('Sulphuric Acid freights'!$D$3:$D$513=D158)*('Sulphuric Acid freights'!$M$3:$M$513))/SUMPRODUCT(('Sulphuric Acid freights'!$B$3:$B$513=B168)*('Sulphuric Acid freights'!$D$3:$D$513=D158)*1)*2/3, AVERAGE('Sulphuric Acid freights'!$M$3:$M$513))</f>
        <v>23.573122529644269</v>
      </c>
      <c r="N158" s="78">
        <f t="shared" si="40"/>
        <v>48.699604743083007</v>
      </c>
      <c r="O158" s="78" cm="1">
        <f t="array" ref="O158">IF(SUMPRODUCT(('Sulphur freight'!$B$3:$B$1976=B168)*('Sulphur freight'!$D$3:$D$1976=D158)*('Sulphur freight'!$G$3:$G$1976))/SUMPRODUCT(('Sulphur freight'!$B$3:$B$1976=B168)*('Sulphur freight'!$D$3:$D$1976=D158)*1)=0, AVERAGE('Sulphur freight'!$G$3:$G$1976),SUMPRODUCT(('Sulphur freight'!$B$3:$B$1976=B168)*('Sulphur freight'!$D$3:$D$1976=D158)*('Sulphur freight'!$G$3:$G$1976))/SUMPRODUCT(('Sulphur freight'!$B$3:$B$1976=B168)*('Sulphur freight'!$D$3:$D$1976=D158)*1))</f>
        <v>28</v>
      </c>
      <c r="P158" s="78">
        <v>20</v>
      </c>
      <c r="R158" s="78" t="str">
        <f t="shared" si="41"/>
        <v xml:space="preserve"> </v>
      </c>
      <c r="S158" s="78">
        <f t="shared" si="42"/>
        <v>33.573122529644266</v>
      </c>
      <c r="T158" s="78">
        <f t="shared" si="37"/>
        <v>57.110671936758898</v>
      </c>
      <c r="U158" s="78" t="str">
        <f t="shared" si="43"/>
        <v/>
      </c>
      <c r="V158" s="78">
        <f>IFERROR(I158+O158, "")</f>
        <v>178</v>
      </c>
      <c r="W158" s="78">
        <f t="shared" si="44"/>
        <v>172.5</v>
      </c>
      <c r="X158" s="78">
        <f t="shared" si="45"/>
        <v>76.740000000000009</v>
      </c>
      <c r="Y158" s="78">
        <f t="shared" si="46"/>
        <v>74.925000000000011</v>
      </c>
      <c r="AA158" s="88" t="str">
        <f t="shared" si="47"/>
        <v/>
      </c>
      <c r="AB158" s="77" t="str">
        <f t="shared" si="38"/>
        <v/>
      </c>
      <c r="AD158" s="88" t="str">
        <f t="shared" si="48"/>
        <v/>
      </c>
      <c r="AE158" s="77" t="str">
        <f t="shared" si="39"/>
        <v/>
      </c>
    </row>
    <row r="159" spans="2:31" x14ac:dyDescent="0.35">
      <c r="B159">
        <v>2012</v>
      </c>
      <c r="C159">
        <v>2</v>
      </c>
      <c r="D159">
        <v>4</v>
      </c>
      <c r="E159" s="78">
        <f>'CRU historical'!F136</f>
        <v>3</v>
      </c>
      <c r="F159" s="78">
        <f>'CRU historical'!I136</f>
        <v>10</v>
      </c>
      <c r="G159" s="78" t="str">
        <f>'CRU historical'!L136</f>
        <v xml:space="preserve"> </v>
      </c>
      <c r="H159" s="78" t="str">
        <f>'CRU historical'!O136</f>
        <v xml:space="preserve"> </v>
      </c>
      <c r="I159" s="78">
        <f>'CRU historical'!R136</f>
        <v>151</v>
      </c>
      <c r="J159" s="78">
        <f>AVERAGE('CRU historical'!U136, 'CRU historical'!X136, 'CRU historical'!AA136, 'CRU historical'!AD136)</f>
        <v>152.5</v>
      </c>
      <c r="L159" s="78" cm="1">
        <f t="array" ref="L159">IFERROR(SUMPRODUCT(('Sulphuric Acid freights'!$B$3:$B$513=B169)*('Sulphuric Acid freights'!$D$3:$D$513=D159)*('Sulphuric Acid freights'!$P$3:$P$513))/SUMPRODUCT(('Sulphuric Acid freights'!$B$3:$B$513=B169)*('Sulphuric Acid freights'!$D$3:$D$513=D159)*1), AVERAGE('Sulphuric Acid freights'!$P$3:$P$513))*2/3</f>
        <v>54.110671936758898</v>
      </c>
      <c r="M159" s="78" cm="1">
        <f t="array" ref="M159">IFERROR(SUMPRODUCT(('Sulphuric Acid freights'!$B$3:$B$513=B169)*('Sulphuric Acid freights'!$D$3:$D$513=D159)*('Sulphuric Acid freights'!$M$3:$M$513))/SUMPRODUCT(('Sulphuric Acid freights'!$B$3:$B$513=B169)*('Sulphuric Acid freights'!$D$3:$D$513=D159)*1)*2/3, AVERAGE('Sulphuric Acid freights'!$M$3:$M$513))</f>
        <v>23.573122529644269</v>
      </c>
      <c r="N159" s="78">
        <f t="shared" si="40"/>
        <v>48.699604743083007</v>
      </c>
      <c r="O159" s="78" cm="1">
        <f t="array" ref="O159">IF(SUMPRODUCT(('Sulphur freight'!$B$3:$B$1976=B169)*('Sulphur freight'!$D$3:$D$1976=D159)*('Sulphur freight'!$G$3:$G$1976))/SUMPRODUCT(('Sulphur freight'!$B$3:$B$1976=B169)*('Sulphur freight'!$D$3:$D$1976=D159)*1)=0, AVERAGE('Sulphur freight'!$G$3:$G$1976),SUMPRODUCT(('Sulphur freight'!$B$3:$B$1976=B169)*('Sulphur freight'!$D$3:$D$1976=D159)*('Sulphur freight'!$G$3:$G$1976))/SUMPRODUCT(('Sulphur freight'!$B$3:$B$1976=B169)*('Sulphur freight'!$D$3:$D$1976=D159)*1))</f>
        <v>28.25</v>
      </c>
      <c r="P159" s="78">
        <v>20</v>
      </c>
      <c r="R159" s="78" t="str">
        <f t="shared" si="41"/>
        <v xml:space="preserve"> </v>
      </c>
      <c r="S159" s="78">
        <f t="shared" si="42"/>
        <v>33.573122529644266</v>
      </c>
      <c r="T159" s="78">
        <f t="shared" si="37"/>
        <v>57.110671936758898</v>
      </c>
      <c r="U159" s="78" t="str">
        <f t="shared" si="43"/>
        <v/>
      </c>
      <c r="V159" s="78">
        <f>IFERROR(I159+O159, "")</f>
        <v>179.25</v>
      </c>
      <c r="W159" s="78">
        <f t="shared" si="44"/>
        <v>172.5</v>
      </c>
      <c r="X159" s="78">
        <f t="shared" si="45"/>
        <v>77.152500000000003</v>
      </c>
      <c r="Y159" s="78">
        <f t="shared" si="46"/>
        <v>74.925000000000011</v>
      </c>
      <c r="AA159" s="88" t="str">
        <f t="shared" si="47"/>
        <v/>
      </c>
      <c r="AB159" s="77" t="str">
        <f t="shared" si="38"/>
        <v/>
      </c>
      <c r="AD159" s="88" t="str">
        <f t="shared" si="48"/>
        <v/>
      </c>
      <c r="AE159" s="77" t="str">
        <f t="shared" si="39"/>
        <v/>
      </c>
    </row>
    <row r="160" spans="2:31" x14ac:dyDescent="0.35">
      <c r="B160">
        <v>2012</v>
      </c>
      <c r="C160">
        <v>2</v>
      </c>
      <c r="D160">
        <v>5</v>
      </c>
      <c r="E160" s="78">
        <f>'CRU historical'!F137</f>
        <v>8.6</v>
      </c>
      <c r="F160" s="78">
        <f>'CRU historical'!I137</f>
        <v>10</v>
      </c>
      <c r="G160" s="78" t="str">
        <f>'CRU historical'!L137</f>
        <v xml:space="preserve"> </v>
      </c>
      <c r="H160" s="78" t="str">
        <f>'CRU historical'!O137</f>
        <v xml:space="preserve"> </v>
      </c>
      <c r="I160" s="78">
        <f>'CRU historical'!R137</f>
        <v>140.6</v>
      </c>
      <c r="J160" s="78">
        <f>AVERAGE('CRU historical'!U137, 'CRU historical'!X137, 'CRU historical'!AA137, 'CRU historical'!AD137)</f>
        <v>149.5</v>
      </c>
      <c r="L160" s="78" cm="1">
        <f t="array" ref="L160">IFERROR(SUMPRODUCT(('Sulphuric Acid freights'!$B$3:$B$513=B170)*('Sulphuric Acid freights'!$D$3:$D$513=D160)*('Sulphuric Acid freights'!$P$3:$P$513))/SUMPRODUCT(('Sulphuric Acid freights'!$B$3:$B$513=B170)*('Sulphuric Acid freights'!$D$3:$D$513=D160)*1), AVERAGE('Sulphuric Acid freights'!$P$3:$P$513))*2/3</f>
        <v>54.110671936758898</v>
      </c>
      <c r="M160" s="78" cm="1">
        <f t="array" ref="M160">IFERROR(SUMPRODUCT(('Sulphuric Acid freights'!$B$3:$B$513=B170)*('Sulphuric Acid freights'!$D$3:$D$513=D160)*('Sulphuric Acid freights'!$M$3:$M$513))/SUMPRODUCT(('Sulphuric Acid freights'!$B$3:$B$513=B170)*('Sulphuric Acid freights'!$D$3:$D$513=D160)*1)*2/3, AVERAGE('Sulphuric Acid freights'!$M$3:$M$513))</f>
        <v>23.573122529644269</v>
      </c>
      <c r="N160" s="78">
        <f t="shared" si="40"/>
        <v>48.699604743083007</v>
      </c>
      <c r="O160" s="78" cm="1">
        <f t="array" ref="O160">IF(SUMPRODUCT(('Sulphur freight'!$B$3:$B$1976=B170)*('Sulphur freight'!$D$3:$D$1976=D160)*('Sulphur freight'!$G$3:$G$1976))/SUMPRODUCT(('Sulphur freight'!$B$3:$B$1976=B170)*('Sulphur freight'!$D$3:$D$1976=D160)*1)=0, AVERAGE('Sulphur freight'!$G$3:$G$1976),SUMPRODUCT(('Sulphur freight'!$B$3:$B$1976=B170)*('Sulphur freight'!$D$3:$D$1976=D160)*('Sulphur freight'!$G$3:$G$1976))/SUMPRODUCT(('Sulphur freight'!$B$3:$B$1976=B170)*('Sulphur freight'!$D$3:$D$1976=D160)*1))</f>
        <v>27.4</v>
      </c>
      <c r="P160" s="78">
        <v>20</v>
      </c>
      <c r="R160" s="78" t="str">
        <f t="shared" si="41"/>
        <v xml:space="preserve"> </v>
      </c>
      <c r="S160" s="78">
        <f t="shared" si="42"/>
        <v>33.573122529644266</v>
      </c>
      <c r="T160" s="78">
        <f t="shared" si="37"/>
        <v>62.710671936758899</v>
      </c>
      <c r="U160" s="78" t="str">
        <f t="shared" si="43"/>
        <v/>
      </c>
      <c r="V160" s="78">
        <f>IFERROR(I160+O160, "")</f>
        <v>168</v>
      </c>
      <c r="W160" s="78">
        <f t="shared" si="44"/>
        <v>169.5</v>
      </c>
      <c r="X160" s="78">
        <f t="shared" si="45"/>
        <v>73.44</v>
      </c>
      <c r="Y160" s="78">
        <f t="shared" si="46"/>
        <v>73.935000000000002</v>
      </c>
      <c r="AA160" s="88" t="str">
        <f t="shared" si="47"/>
        <v/>
      </c>
      <c r="AB160" s="77" t="str">
        <f t="shared" si="38"/>
        <v/>
      </c>
      <c r="AD160" s="88" t="str">
        <f t="shared" si="48"/>
        <v/>
      </c>
      <c r="AE160" s="77" t="str">
        <f t="shared" si="39"/>
        <v/>
      </c>
    </row>
    <row r="161" spans="2:31" x14ac:dyDescent="0.35">
      <c r="B161">
        <v>2012</v>
      </c>
      <c r="C161">
        <v>2</v>
      </c>
      <c r="D161">
        <v>6</v>
      </c>
      <c r="E161" s="78">
        <f>'CRU historical'!F138</f>
        <v>3</v>
      </c>
      <c r="F161" s="78">
        <f>'CRU historical'!I138</f>
        <v>13.5</v>
      </c>
      <c r="G161" s="78" t="str">
        <f>'CRU historical'!L138</f>
        <v xml:space="preserve"> </v>
      </c>
      <c r="H161" s="78" t="str">
        <f>'CRU historical'!O138</f>
        <v xml:space="preserve"> </v>
      </c>
      <c r="I161" s="78">
        <f>'CRU historical'!R138</f>
        <v>112.25</v>
      </c>
      <c r="J161" s="78">
        <f>AVERAGE('CRU historical'!U138, 'CRU historical'!X138, 'CRU historical'!AA138, 'CRU historical'!AD138)</f>
        <v>145</v>
      </c>
      <c r="L161" s="78" cm="1">
        <f t="array" ref="L161">IFERROR(SUMPRODUCT(('Sulphuric Acid freights'!$B$3:$B$513=B171)*('Sulphuric Acid freights'!$D$3:$D$513=D161)*('Sulphuric Acid freights'!$P$3:$P$513))/SUMPRODUCT(('Sulphuric Acid freights'!$B$3:$B$513=B171)*('Sulphuric Acid freights'!$D$3:$D$513=D161)*1), AVERAGE('Sulphuric Acid freights'!$P$3:$P$513))*2/3</f>
        <v>54.110671936758898</v>
      </c>
      <c r="M161" s="78" cm="1">
        <f t="array" ref="M161">IFERROR(SUMPRODUCT(('Sulphuric Acid freights'!$B$3:$B$513=B171)*('Sulphuric Acid freights'!$D$3:$D$513=D161)*('Sulphuric Acid freights'!$M$3:$M$513))/SUMPRODUCT(('Sulphuric Acid freights'!$B$3:$B$513=B171)*('Sulphuric Acid freights'!$D$3:$D$513=D161)*1)*2/3, AVERAGE('Sulphuric Acid freights'!$M$3:$M$513))</f>
        <v>23.573122529644269</v>
      </c>
      <c r="N161" s="78">
        <f t="shared" si="40"/>
        <v>48.699604743083007</v>
      </c>
      <c r="O161" s="78" cm="1">
        <f t="array" ref="O161">IF(SUMPRODUCT(('Sulphur freight'!$B$3:$B$1976=B171)*('Sulphur freight'!$D$3:$D$1976=D161)*('Sulphur freight'!$G$3:$G$1976))/SUMPRODUCT(('Sulphur freight'!$B$3:$B$1976=B171)*('Sulphur freight'!$D$3:$D$1976=D161)*1)=0, AVERAGE('Sulphur freight'!$G$3:$G$1976),SUMPRODUCT(('Sulphur freight'!$B$3:$B$1976=B171)*('Sulphur freight'!$D$3:$D$1976=D161)*('Sulphur freight'!$G$3:$G$1976))/SUMPRODUCT(('Sulphur freight'!$B$3:$B$1976=B171)*('Sulphur freight'!$D$3:$D$1976=D161)*1))</f>
        <v>26.5</v>
      </c>
      <c r="P161" s="78">
        <v>20</v>
      </c>
      <c r="R161" s="78" t="str">
        <f t="shared" si="41"/>
        <v xml:space="preserve"> </v>
      </c>
      <c r="S161" s="78">
        <f t="shared" si="42"/>
        <v>37.073122529644266</v>
      </c>
      <c r="T161" s="78">
        <f t="shared" si="37"/>
        <v>57.110671936758898</v>
      </c>
      <c r="U161" s="78" t="str">
        <f t="shared" si="43"/>
        <v/>
      </c>
      <c r="V161" s="78">
        <f>IFERROR(I161+O161, "")</f>
        <v>138.75</v>
      </c>
      <c r="W161" s="78">
        <f t="shared" si="44"/>
        <v>165</v>
      </c>
      <c r="X161" s="78">
        <f t="shared" si="45"/>
        <v>63.787500000000001</v>
      </c>
      <c r="Y161" s="78">
        <f t="shared" si="46"/>
        <v>72.45</v>
      </c>
      <c r="AA161" s="88" t="str">
        <f t="shared" si="47"/>
        <v/>
      </c>
      <c r="AB161" s="77" t="str">
        <f t="shared" si="38"/>
        <v/>
      </c>
      <c r="AD161" s="88" t="str">
        <f t="shared" si="48"/>
        <v/>
      </c>
      <c r="AE161" s="77" t="str">
        <f t="shared" si="39"/>
        <v/>
      </c>
    </row>
    <row r="162" spans="2:31" x14ac:dyDescent="0.35">
      <c r="B162">
        <v>2012</v>
      </c>
      <c r="C162">
        <v>3</v>
      </c>
      <c r="D162">
        <v>7</v>
      </c>
      <c r="E162" s="78">
        <f>'CRU historical'!F139</f>
        <v>3</v>
      </c>
      <c r="F162" s="78">
        <f>'CRU historical'!I139</f>
        <v>18</v>
      </c>
      <c r="G162" s="78" t="str">
        <f>'CRU historical'!L139</f>
        <v xml:space="preserve"> </v>
      </c>
      <c r="H162" s="78" t="str">
        <f>'CRU historical'!O139</f>
        <v xml:space="preserve"> </v>
      </c>
      <c r="I162" s="78">
        <f>'CRU historical'!R139</f>
        <v>67.5</v>
      </c>
      <c r="J162" s="78">
        <f>AVERAGE('CRU historical'!U139, 'CRU historical'!X139, 'CRU historical'!AA139, 'CRU historical'!AD139)</f>
        <v>123.375</v>
      </c>
      <c r="L162" s="78" cm="1">
        <f t="array" ref="L162">IFERROR(SUMPRODUCT(('Sulphuric Acid freights'!$B$3:$B$513=B172)*('Sulphuric Acid freights'!$D$3:$D$513=D162)*('Sulphuric Acid freights'!$P$3:$P$513))/SUMPRODUCT(('Sulphuric Acid freights'!$B$3:$B$513=B172)*('Sulphuric Acid freights'!$D$3:$D$513=D162)*1), AVERAGE('Sulphuric Acid freights'!$P$3:$P$513))*2/3</f>
        <v>54.110671936758898</v>
      </c>
      <c r="M162" s="78" cm="1">
        <f t="array" ref="M162">IFERROR(SUMPRODUCT(('Sulphuric Acid freights'!$B$3:$B$513=B172)*('Sulphuric Acid freights'!$D$3:$D$513=D162)*('Sulphuric Acid freights'!$M$3:$M$513))/SUMPRODUCT(('Sulphuric Acid freights'!$B$3:$B$513=B172)*('Sulphuric Acid freights'!$D$3:$D$513=D162)*1)*2/3, AVERAGE('Sulphuric Acid freights'!$M$3:$M$513))</f>
        <v>23.573122529644269</v>
      </c>
      <c r="N162" s="78">
        <f t="shared" si="40"/>
        <v>48.699604743083007</v>
      </c>
      <c r="O162" s="78" cm="1">
        <f t="array" ref="O162">IF(SUMPRODUCT(('Sulphur freight'!$B$3:$B$1976=B172)*('Sulphur freight'!$D$3:$D$1976=D162)*('Sulphur freight'!$G$3:$G$1976))/SUMPRODUCT(('Sulphur freight'!$B$3:$B$1976=B172)*('Sulphur freight'!$D$3:$D$1976=D162)*1)=0, AVERAGE('Sulphur freight'!$G$3:$G$1976),SUMPRODUCT(('Sulphur freight'!$B$3:$B$1976=B172)*('Sulphur freight'!$D$3:$D$1976=D162)*('Sulphur freight'!$G$3:$G$1976))/SUMPRODUCT(('Sulphur freight'!$B$3:$B$1976=B172)*('Sulphur freight'!$D$3:$D$1976=D162)*1))</f>
        <v>26.5</v>
      </c>
      <c r="P162" s="78">
        <v>20</v>
      </c>
      <c r="R162" s="78" t="str">
        <f t="shared" si="41"/>
        <v xml:space="preserve"> </v>
      </c>
      <c r="S162" s="78">
        <f t="shared" si="42"/>
        <v>41.573122529644266</v>
      </c>
      <c r="T162" s="78">
        <f t="shared" si="37"/>
        <v>57.110671936758898</v>
      </c>
      <c r="U162" s="78" t="str">
        <f t="shared" si="43"/>
        <v/>
      </c>
      <c r="V162" s="78">
        <f>IFERROR(I162+O162, "")</f>
        <v>94</v>
      </c>
      <c r="W162" s="78">
        <f t="shared" si="44"/>
        <v>143.375</v>
      </c>
      <c r="X162" s="78">
        <f t="shared" si="45"/>
        <v>49.02</v>
      </c>
      <c r="Y162" s="78">
        <f t="shared" si="46"/>
        <v>65.313749999999999</v>
      </c>
      <c r="AA162" s="88" t="str">
        <f t="shared" si="47"/>
        <v/>
      </c>
      <c r="AB162" s="77" t="str">
        <f t="shared" si="38"/>
        <v/>
      </c>
      <c r="AD162" s="88" t="str">
        <f t="shared" si="48"/>
        <v/>
      </c>
      <c r="AE162" s="77" t="str">
        <f t="shared" si="39"/>
        <v/>
      </c>
    </row>
    <row r="163" spans="2:31" x14ac:dyDescent="0.35">
      <c r="B163">
        <v>2012</v>
      </c>
      <c r="C163">
        <v>3</v>
      </c>
      <c r="D163">
        <v>8</v>
      </c>
      <c r="E163" s="78">
        <f>'CRU historical'!F140</f>
        <v>3</v>
      </c>
      <c r="F163" s="78">
        <f>'CRU historical'!I140</f>
        <v>18</v>
      </c>
      <c r="G163" s="78" t="str">
        <f>'CRU historical'!L140</f>
        <v xml:space="preserve"> </v>
      </c>
      <c r="H163" s="78" t="str">
        <f>'CRU historical'!O140</f>
        <v xml:space="preserve"> </v>
      </c>
      <c r="I163" s="78">
        <f>'CRU historical'!R140</f>
        <v>64</v>
      </c>
      <c r="J163" s="78">
        <f>AVERAGE('CRU historical'!U140, 'CRU historical'!X140, 'CRU historical'!AA140, 'CRU historical'!AD140)</f>
        <v>95.5</v>
      </c>
      <c r="L163" s="78" cm="1">
        <f t="array" ref="L163">IFERROR(SUMPRODUCT(('Sulphuric Acid freights'!$B$3:$B$513=B173)*('Sulphuric Acid freights'!$D$3:$D$513=D163)*('Sulphuric Acid freights'!$P$3:$P$513))/SUMPRODUCT(('Sulphuric Acid freights'!$B$3:$B$513=B173)*('Sulphuric Acid freights'!$D$3:$D$513=D163)*1), AVERAGE('Sulphuric Acid freights'!$P$3:$P$513))*2/3</f>
        <v>54.110671936758898</v>
      </c>
      <c r="M163" s="78" cm="1">
        <f t="array" ref="M163">IFERROR(SUMPRODUCT(('Sulphuric Acid freights'!$B$3:$B$513=B173)*('Sulphuric Acid freights'!$D$3:$D$513=D163)*('Sulphuric Acid freights'!$M$3:$M$513))/SUMPRODUCT(('Sulphuric Acid freights'!$B$3:$B$513=B173)*('Sulphuric Acid freights'!$D$3:$D$513=D163)*1)*2/3, AVERAGE('Sulphuric Acid freights'!$M$3:$M$513))</f>
        <v>23.573122529644269</v>
      </c>
      <c r="N163" s="78">
        <f t="shared" si="40"/>
        <v>48.699604743083007</v>
      </c>
      <c r="O163" s="78" cm="1">
        <f t="array" ref="O163">IF(SUMPRODUCT(('Sulphur freight'!$B$3:$B$1976=B173)*('Sulphur freight'!$D$3:$D$1976=D163)*('Sulphur freight'!$G$3:$G$1976))/SUMPRODUCT(('Sulphur freight'!$B$3:$B$1976=B173)*('Sulphur freight'!$D$3:$D$1976=D163)*1)=0, AVERAGE('Sulphur freight'!$G$3:$G$1976),SUMPRODUCT(('Sulphur freight'!$B$3:$B$1976=B173)*('Sulphur freight'!$D$3:$D$1976=D163)*('Sulphur freight'!$G$3:$G$1976))/SUMPRODUCT(('Sulphur freight'!$B$3:$B$1976=B173)*('Sulphur freight'!$D$3:$D$1976=D163)*1))</f>
        <v>26</v>
      </c>
      <c r="P163" s="78">
        <v>20</v>
      </c>
      <c r="R163" s="78" t="str">
        <f t="shared" si="41"/>
        <v xml:space="preserve"> </v>
      </c>
      <c r="S163" s="78">
        <f t="shared" si="42"/>
        <v>41.573122529644266</v>
      </c>
      <c r="T163" s="78">
        <f t="shared" si="37"/>
        <v>57.110671936758898</v>
      </c>
      <c r="U163" s="78" t="str">
        <f t="shared" si="43"/>
        <v/>
      </c>
      <c r="V163" s="78">
        <f>IFERROR(I163+O163, "")</f>
        <v>90</v>
      </c>
      <c r="W163" s="78">
        <f t="shared" si="44"/>
        <v>115.5</v>
      </c>
      <c r="X163" s="78">
        <f t="shared" si="45"/>
        <v>47.7</v>
      </c>
      <c r="Y163" s="78">
        <f t="shared" si="46"/>
        <v>56.115000000000002</v>
      </c>
      <c r="AA163" s="88" t="str">
        <f t="shared" si="47"/>
        <v/>
      </c>
      <c r="AB163" s="77" t="str">
        <f t="shared" si="38"/>
        <v/>
      </c>
      <c r="AD163" s="88" t="str">
        <f t="shared" si="48"/>
        <v/>
      </c>
      <c r="AE163" s="77" t="str">
        <f t="shared" si="39"/>
        <v/>
      </c>
    </row>
    <row r="164" spans="2:31" x14ac:dyDescent="0.35">
      <c r="B164">
        <v>2012</v>
      </c>
      <c r="C164">
        <v>3</v>
      </c>
      <c r="D164">
        <v>9</v>
      </c>
      <c r="E164" s="78">
        <f>'CRU historical'!F141</f>
        <v>3</v>
      </c>
      <c r="F164" s="78">
        <f>'CRU historical'!I141</f>
        <v>18</v>
      </c>
      <c r="G164" s="78" t="str">
        <f>'CRU historical'!L141</f>
        <v xml:space="preserve"> </v>
      </c>
      <c r="H164" s="78" t="str">
        <f>'CRU historical'!O141</f>
        <v xml:space="preserve"> </v>
      </c>
      <c r="I164" s="78">
        <f>'CRU historical'!R141</f>
        <v>68</v>
      </c>
      <c r="J164" s="78">
        <f>AVERAGE('CRU historical'!U141, 'CRU historical'!X141, 'CRU historical'!AA141, 'CRU historical'!AD141)</f>
        <v>95.5</v>
      </c>
      <c r="L164" s="78" cm="1">
        <f t="array" ref="L164">IFERROR(SUMPRODUCT(('Sulphuric Acid freights'!$B$3:$B$513=B174)*('Sulphuric Acid freights'!$D$3:$D$513=D164)*('Sulphuric Acid freights'!$P$3:$P$513))/SUMPRODUCT(('Sulphuric Acid freights'!$B$3:$B$513=B174)*('Sulphuric Acid freights'!$D$3:$D$513=D164)*1), AVERAGE('Sulphuric Acid freights'!$P$3:$P$513))*2/3</f>
        <v>54.110671936758898</v>
      </c>
      <c r="M164" s="78" cm="1">
        <f t="array" ref="M164">IFERROR(SUMPRODUCT(('Sulphuric Acid freights'!$B$3:$B$513=B174)*('Sulphuric Acid freights'!$D$3:$D$513=D164)*('Sulphuric Acid freights'!$M$3:$M$513))/SUMPRODUCT(('Sulphuric Acid freights'!$B$3:$B$513=B174)*('Sulphuric Acid freights'!$D$3:$D$513=D164)*1)*2/3, AVERAGE('Sulphuric Acid freights'!$M$3:$M$513))</f>
        <v>23.573122529644269</v>
      </c>
      <c r="N164" s="78">
        <f t="shared" si="40"/>
        <v>48.699604743083007</v>
      </c>
      <c r="O164" s="78" cm="1">
        <f t="array" ref="O164">IF(SUMPRODUCT(('Sulphur freight'!$B$3:$B$1976=B174)*('Sulphur freight'!$D$3:$D$1976=D164)*('Sulphur freight'!$G$3:$G$1976))/SUMPRODUCT(('Sulphur freight'!$B$3:$B$1976=B174)*('Sulphur freight'!$D$3:$D$1976=D164)*1)=0, AVERAGE('Sulphur freight'!$G$3:$G$1976),SUMPRODUCT(('Sulphur freight'!$B$3:$B$1976=B174)*('Sulphur freight'!$D$3:$D$1976=D164)*('Sulphur freight'!$G$3:$G$1976))/SUMPRODUCT(('Sulphur freight'!$B$3:$B$1976=B174)*('Sulphur freight'!$D$3:$D$1976=D164)*1))</f>
        <v>27</v>
      </c>
      <c r="P164" s="78">
        <v>20</v>
      </c>
      <c r="R164" s="78" t="str">
        <f t="shared" si="41"/>
        <v xml:space="preserve"> </v>
      </c>
      <c r="S164" s="78">
        <f t="shared" si="42"/>
        <v>41.573122529644266</v>
      </c>
      <c r="T164" s="78">
        <f t="shared" si="37"/>
        <v>57.110671936758898</v>
      </c>
      <c r="U164" s="78" t="str">
        <f t="shared" si="43"/>
        <v/>
      </c>
      <c r="V164" s="78">
        <f>IFERROR(I164+O164, "")</f>
        <v>95</v>
      </c>
      <c r="W164" s="78">
        <f t="shared" si="44"/>
        <v>115.5</v>
      </c>
      <c r="X164" s="78">
        <f t="shared" si="45"/>
        <v>49.35</v>
      </c>
      <c r="Y164" s="78">
        <f t="shared" si="46"/>
        <v>56.115000000000002</v>
      </c>
      <c r="AA164" s="88" t="str">
        <f t="shared" si="47"/>
        <v/>
      </c>
      <c r="AB164" s="77" t="str">
        <f t="shared" si="38"/>
        <v/>
      </c>
      <c r="AD164" s="88" t="str">
        <f t="shared" si="48"/>
        <v/>
      </c>
      <c r="AE164" s="77" t="str">
        <f t="shared" si="39"/>
        <v/>
      </c>
    </row>
    <row r="165" spans="2:31" x14ac:dyDescent="0.35">
      <c r="B165">
        <v>2012</v>
      </c>
      <c r="C165">
        <v>4</v>
      </c>
      <c r="D165">
        <v>10</v>
      </c>
      <c r="E165" s="78">
        <f>'CRU historical'!F142</f>
        <v>3</v>
      </c>
      <c r="F165" s="78">
        <f>'CRU historical'!I142</f>
        <v>7.6</v>
      </c>
      <c r="G165" s="78" t="str">
        <f>'CRU historical'!L142</f>
        <v xml:space="preserve"> </v>
      </c>
      <c r="H165" s="78" t="str">
        <f>'CRU historical'!O142</f>
        <v xml:space="preserve"> </v>
      </c>
      <c r="I165" s="78">
        <f>'CRU historical'!R142</f>
        <v>66.599999999999994</v>
      </c>
      <c r="J165" s="78">
        <f>AVERAGE('CRU historical'!U142, 'CRU historical'!X142, 'CRU historical'!AA142, 'CRU historical'!AD142)</f>
        <v>92.6</v>
      </c>
      <c r="L165" s="78" cm="1">
        <f t="array" ref="L165">IFERROR(SUMPRODUCT(('Sulphuric Acid freights'!$B$3:$B$513=B175)*('Sulphuric Acid freights'!$D$3:$D$513=D165)*('Sulphuric Acid freights'!$P$3:$P$513))/SUMPRODUCT(('Sulphuric Acid freights'!$B$3:$B$513=B175)*('Sulphuric Acid freights'!$D$3:$D$513=D165)*1), AVERAGE('Sulphuric Acid freights'!$P$3:$P$513))*2/3</f>
        <v>54.110671936758898</v>
      </c>
      <c r="M165" s="78" cm="1">
        <f t="array" ref="M165">IFERROR(SUMPRODUCT(('Sulphuric Acid freights'!$B$3:$B$513=B175)*('Sulphuric Acid freights'!$D$3:$D$513=D165)*('Sulphuric Acid freights'!$M$3:$M$513))/SUMPRODUCT(('Sulphuric Acid freights'!$B$3:$B$513=B175)*('Sulphuric Acid freights'!$D$3:$D$513=D165)*1)*2/3, AVERAGE('Sulphuric Acid freights'!$M$3:$M$513))</f>
        <v>23.573122529644269</v>
      </c>
      <c r="N165" s="78">
        <f t="shared" si="40"/>
        <v>48.699604743083007</v>
      </c>
      <c r="O165" s="78" cm="1">
        <f t="array" ref="O165">IF(SUMPRODUCT(('Sulphur freight'!$B$3:$B$1976=B175)*('Sulphur freight'!$D$3:$D$1976=D165)*('Sulphur freight'!$G$3:$G$1976))/SUMPRODUCT(('Sulphur freight'!$B$3:$B$1976=B175)*('Sulphur freight'!$D$3:$D$1976=D165)*1)=0, AVERAGE('Sulphur freight'!$G$3:$G$1976),SUMPRODUCT(('Sulphur freight'!$B$3:$B$1976=B175)*('Sulphur freight'!$D$3:$D$1976=D165)*('Sulphur freight'!$G$3:$G$1976))/SUMPRODUCT(('Sulphur freight'!$B$3:$B$1976=B175)*('Sulphur freight'!$D$3:$D$1976=D165)*1))</f>
        <v>27.6</v>
      </c>
      <c r="P165" s="78">
        <v>20</v>
      </c>
      <c r="R165" s="78" t="str">
        <f t="shared" si="41"/>
        <v xml:space="preserve"> </v>
      </c>
      <c r="S165" s="78">
        <f t="shared" si="42"/>
        <v>31.173122529644267</v>
      </c>
      <c r="T165" s="78">
        <f t="shared" si="37"/>
        <v>57.110671936758898</v>
      </c>
      <c r="U165" s="78" t="str">
        <f t="shared" si="43"/>
        <v/>
      </c>
      <c r="V165" s="78">
        <f>IFERROR(I165+O165, "")</f>
        <v>94.199999999999989</v>
      </c>
      <c r="W165" s="78">
        <f t="shared" si="44"/>
        <v>112.6</v>
      </c>
      <c r="X165" s="78">
        <f t="shared" si="45"/>
        <v>49.085999999999999</v>
      </c>
      <c r="Y165" s="78">
        <f t="shared" si="46"/>
        <v>55.158000000000001</v>
      </c>
      <c r="AA165" s="88" t="str">
        <f t="shared" si="47"/>
        <v/>
      </c>
      <c r="AB165" s="77" t="str">
        <f t="shared" si="38"/>
        <v/>
      </c>
      <c r="AD165" s="88" t="str">
        <f t="shared" si="48"/>
        <v/>
      </c>
      <c r="AE165" s="77" t="str">
        <f t="shared" si="39"/>
        <v/>
      </c>
    </row>
    <row r="166" spans="2:31" x14ac:dyDescent="0.35">
      <c r="B166">
        <v>2013</v>
      </c>
      <c r="C166">
        <v>4</v>
      </c>
      <c r="D166">
        <v>11</v>
      </c>
      <c r="E166" s="78">
        <f>'CRU historical'!F143</f>
        <v>3</v>
      </c>
      <c r="F166" s="78">
        <f>'CRU historical'!I143</f>
        <v>3.75</v>
      </c>
      <c r="G166" s="78" t="str">
        <f>'CRU historical'!L143</f>
        <v xml:space="preserve"> </v>
      </c>
      <c r="H166" s="78" t="str">
        <f>'CRU historical'!O143</f>
        <v xml:space="preserve"> </v>
      </c>
      <c r="I166" s="78">
        <f>'CRU historical'!R143</f>
        <v>90.25</v>
      </c>
      <c r="J166" s="78">
        <f>AVERAGE('CRU historical'!U143, 'CRU historical'!X143, 'CRU historical'!AA143, 'CRU historical'!AD143)</f>
        <v>81</v>
      </c>
      <c r="L166" s="78" cm="1">
        <f t="array" ref="L166">IFERROR(SUMPRODUCT(('Sulphuric Acid freights'!$B$3:$B$513=B176)*('Sulphuric Acid freights'!$D$3:$D$513=D166)*('Sulphuric Acid freights'!$P$3:$P$513))/SUMPRODUCT(('Sulphuric Acid freights'!$B$3:$B$513=B176)*('Sulphuric Acid freights'!$D$3:$D$513=D166)*1), AVERAGE('Sulphuric Acid freights'!$P$3:$P$513))*2/3</f>
        <v>54.110671936758898</v>
      </c>
      <c r="M166" s="78" cm="1">
        <f t="array" ref="M166">IFERROR(SUMPRODUCT(('Sulphuric Acid freights'!$B$3:$B$513=B176)*('Sulphuric Acid freights'!$D$3:$D$513=D166)*('Sulphuric Acid freights'!$M$3:$M$513))/SUMPRODUCT(('Sulphuric Acid freights'!$B$3:$B$513=B176)*('Sulphuric Acid freights'!$D$3:$D$513=D166)*1)*2/3, AVERAGE('Sulphuric Acid freights'!$M$3:$M$513))</f>
        <v>23.573122529644269</v>
      </c>
      <c r="N166" s="78">
        <f t="shared" si="40"/>
        <v>48.699604743083007</v>
      </c>
      <c r="O166" s="78" cm="1">
        <f t="array" ref="O166">IF(SUMPRODUCT(('Sulphur freight'!$B$3:$B$1976=B176)*('Sulphur freight'!$D$3:$D$1976=D166)*('Sulphur freight'!$G$3:$G$1976))/SUMPRODUCT(('Sulphur freight'!$B$3:$B$1976=B176)*('Sulphur freight'!$D$3:$D$1976=D166)*1)=0, AVERAGE('Sulphur freight'!$G$3:$G$1976),SUMPRODUCT(('Sulphur freight'!$B$3:$B$1976=B176)*('Sulphur freight'!$D$3:$D$1976=D166)*('Sulphur freight'!$G$3:$G$1976))/SUMPRODUCT(('Sulphur freight'!$B$3:$B$1976=B176)*('Sulphur freight'!$D$3:$D$1976=D166)*1))</f>
        <v>29.25</v>
      </c>
      <c r="P166" s="78">
        <v>20</v>
      </c>
      <c r="R166" s="78" t="str">
        <f t="shared" si="41"/>
        <v xml:space="preserve"> </v>
      </c>
      <c r="S166" s="78">
        <f t="shared" si="42"/>
        <v>27.323122529644269</v>
      </c>
      <c r="T166" s="78">
        <f t="shared" si="37"/>
        <v>57.110671936758898</v>
      </c>
      <c r="U166" s="78" t="str">
        <f t="shared" si="43"/>
        <v/>
      </c>
      <c r="V166" s="78">
        <f>IFERROR(I166+O166, "")</f>
        <v>119.5</v>
      </c>
      <c r="W166" s="78">
        <f t="shared" si="44"/>
        <v>101</v>
      </c>
      <c r="X166" s="78">
        <f t="shared" si="45"/>
        <v>57.435000000000002</v>
      </c>
      <c r="Y166" s="78">
        <f t="shared" si="46"/>
        <v>51.33</v>
      </c>
      <c r="AA166" s="88" t="str">
        <f t="shared" si="47"/>
        <v/>
      </c>
      <c r="AB166" s="77" t="str">
        <f t="shared" si="38"/>
        <v/>
      </c>
      <c r="AD166" s="88" t="str">
        <f t="shared" si="48"/>
        <v/>
      </c>
      <c r="AE166" s="77" t="str">
        <f t="shared" si="39"/>
        <v/>
      </c>
    </row>
    <row r="167" spans="2:31" x14ac:dyDescent="0.35">
      <c r="B167">
        <v>2013</v>
      </c>
      <c r="C167">
        <v>4</v>
      </c>
      <c r="D167">
        <v>12</v>
      </c>
      <c r="E167" s="78">
        <f>'CRU historical'!F144</f>
        <v>3</v>
      </c>
      <c r="F167" s="78">
        <f>'CRU historical'!I144</f>
        <v>-3</v>
      </c>
      <c r="G167" s="78" t="str">
        <f>'CRU historical'!L144</f>
        <v xml:space="preserve"> </v>
      </c>
      <c r="H167" s="78" t="str">
        <f>'CRU historical'!O144</f>
        <v xml:space="preserve"> </v>
      </c>
      <c r="I167" s="78">
        <f>'CRU historical'!R144</f>
        <v>118.25</v>
      </c>
      <c r="J167" s="78">
        <f>AVERAGE('CRU historical'!U144, 'CRU historical'!X144, 'CRU historical'!AA144, 'CRU historical'!AD144)</f>
        <v>93</v>
      </c>
      <c r="L167" s="78" cm="1">
        <f t="array" ref="L167">IFERROR(SUMPRODUCT(('Sulphuric Acid freights'!$B$3:$B$513=B177)*('Sulphuric Acid freights'!$D$3:$D$513=D167)*('Sulphuric Acid freights'!$P$3:$P$513))/SUMPRODUCT(('Sulphuric Acid freights'!$B$3:$B$513=B177)*('Sulphuric Acid freights'!$D$3:$D$513=D167)*1), AVERAGE('Sulphuric Acid freights'!$P$3:$P$513))*2/3</f>
        <v>54.110671936758898</v>
      </c>
      <c r="M167" s="78" cm="1">
        <f t="array" ref="M167">IFERROR(SUMPRODUCT(('Sulphuric Acid freights'!$B$3:$B$513=B177)*('Sulphuric Acid freights'!$D$3:$D$513=D167)*('Sulphuric Acid freights'!$M$3:$M$513))/SUMPRODUCT(('Sulphuric Acid freights'!$B$3:$B$513=B177)*('Sulphuric Acid freights'!$D$3:$D$513=D167)*1)*2/3, AVERAGE('Sulphuric Acid freights'!$M$3:$M$513))</f>
        <v>23.573122529644269</v>
      </c>
      <c r="N167" s="78">
        <f t="shared" si="40"/>
        <v>48.699604743083007</v>
      </c>
      <c r="O167" s="78" cm="1">
        <f t="array" ref="O167">IF(SUMPRODUCT(('Sulphur freight'!$B$3:$B$1976=B177)*('Sulphur freight'!$D$3:$D$1976=D167)*('Sulphur freight'!$G$3:$G$1976))/SUMPRODUCT(('Sulphur freight'!$B$3:$B$1976=B177)*('Sulphur freight'!$D$3:$D$1976=D167)*1)=0, AVERAGE('Sulphur freight'!$G$3:$G$1976),SUMPRODUCT(('Sulphur freight'!$B$3:$B$1976=B177)*('Sulphur freight'!$D$3:$D$1976=D167)*('Sulphur freight'!$G$3:$G$1976))/SUMPRODUCT(('Sulphur freight'!$B$3:$B$1976=B177)*('Sulphur freight'!$D$3:$D$1976=D167)*1))</f>
        <v>30.75</v>
      </c>
      <c r="P167" s="78">
        <v>20</v>
      </c>
      <c r="R167" s="78" t="str">
        <f t="shared" si="41"/>
        <v xml:space="preserve"> </v>
      </c>
      <c r="S167" s="78">
        <f t="shared" si="42"/>
        <v>20.573122529644269</v>
      </c>
      <c r="T167" s="78">
        <f t="shared" si="37"/>
        <v>57.110671936758898</v>
      </c>
      <c r="U167" s="78" t="str">
        <f t="shared" si="43"/>
        <v/>
      </c>
      <c r="V167" s="78">
        <f>IFERROR(I167+O167, "")</f>
        <v>149</v>
      </c>
      <c r="W167" s="78">
        <f t="shared" si="44"/>
        <v>113</v>
      </c>
      <c r="X167" s="78">
        <f t="shared" si="45"/>
        <v>67.17</v>
      </c>
      <c r="Y167" s="78">
        <f t="shared" si="46"/>
        <v>55.29</v>
      </c>
      <c r="AA167" s="88" t="str">
        <f t="shared" si="47"/>
        <v/>
      </c>
      <c r="AB167" s="77" t="str">
        <f t="shared" si="38"/>
        <v/>
      </c>
      <c r="AD167" s="88" t="str">
        <f t="shared" si="48"/>
        <v/>
      </c>
      <c r="AE167" s="77" t="str">
        <f t="shared" si="39"/>
        <v/>
      </c>
    </row>
    <row r="168" spans="2:31" x14ac:dyDescent="0.35">
      <c r="B168">
        <v>2013</v>
      </c>
      <c r="C168">
        <v>1</v>
      </c>
      <c r="D168">
        <v>1</v>
      </c>
      <c r="E168" s="78">
        <f>'CRU historical'!F145</f>
        <v>3</v>
      </c>
      <c r="F168" s="78">
        <f>'CRU historical'!I145</f>
        <v>-3</v>
      </c>
      <c r="G168" s="78" t="str">
        <f>'CRU historical'!L145</f>
        <v xml:space="preserve"> </v>
      </c>
      <c r="H168" s="78" t="str">
        <f>'CRU historical'!O145</f>
        <v xml:space="preserve"> </v>
      </c>
      <c r="I168" s="78">
        <f>'CRU historical'!R145</f>
        <v>144.19999999999999</v>
      </c>
      <c r="J168" s="78">
        <f>AVERAGE('CRU historical'!U145, 'CRU historical'!X145, 'CRU historical'!AA145, 'CRU historical'!AD145)</f>
        <v>97</v>
      </c>
      <c r="L168" s="78" cm="1">
        <f t="array" ref="L168">IFERROR(SUMPRODUCT(('Sulphuric Acid freights'!$B$3:$B$513=B178)*('Sulphuric Acid freights'!$D$3:$D$513=D168)*('Sulphuric Acid freights'!$P$3:$P$513))/SUMPRODUCT(('Sulphuric Acid freights'!$B$3:$B$513=B178)*('Sulphuric Acid freights'!$D$3:$D$513=D168)*1), AVERAGE('Sulphuric Acid freights'!$P$3:$P$513))*2/3</f>
        <v>54.110671936758898</v>
      </c>
      <c r="M168" s="78" cm="1">
        <f t="array" ref="M168">IFERROR(SUMPRODUCT(('Sulphuric Acid freights'!$B$3:$B$513=B178)*('Sulphuric Acid freights'!$D$3:$D$513=D168)*('Sulphuric Acid freights'!$M$3:$M$513))/SUMPRODUCT(('Sulphuric Acid freights'!$B$3:$B$513=B178)*('Sulphuric Acid freights'!$D$3:$D$513=D168)*1)*2/3, AVERAGE('Sulphuric Acid freights'!$M$3:$M$513))</f>
        <v>23.573122529644269</v>
      </c>
      <c r="N168" s="78">
        <f t="shared" si="40"/>
        <v>48.699604743083007</v>
      </c>
      <c r="O168" s="78" cm="1">
        <f t="array" ref="O168">IF(SUMPRODUCT(('Sulphur freight'!$B$3:$B$1976=B178)*('Sulphur freight'!$D$3:$D$1976=D168)*('Sulphur freight'!$G$3:$G$1976))/SUMPRODUCT(('Sulphur freight'!$B$3:$B$1976=B178)*('Sulphur freight'!$D$3:$D$1976=D168)*1)=0, AVERAGE('Sulphur freight'!$G$3:$G$1976),SUMPRODUCT(('Sulphur freight'!$B$3:$B$1976=B178)*('Sulphur freight'!$D$3:$D$1976=D168)*('Sulphur freight'!$G$3:$G$1976))/SUMPRODUCT(('Sulphur freight'!$B$3:$B$1976=B178)*('Sulphur freight'!$D$3:$D$1976=D168)*1))</f>
        <v>30</v>
      </c>
      <c r="P168" s="78">
        <v>20</v>
      </c>
      <c r="R168" s="78" t="str">
        <f t="shared" si="41"/>
        <v xml:space="preserve"> </v>
      </c>
      <c r="S168" s="78">
        <f t="shared" si="42"/>
        <v>20.573122529644269</v>
      </c>
      <c r="T168" s="78">
        <f t="shared" si="37"/>
        <v>57.110671936758898</v>
      </c>
      <c r="U168" s="78" t="str">
        <f t="shared" si="43"/>
        <v/>
      </c>
      <c r="V168" s="78">
        <f>IFERROR(I168+O168, "")</f>
        <v>174.2</v>
      </c>
      <c r="W168" s="78">
        <f t="shared" si="44"/>
        <v>117</v>
      </c>
      <c r="X168" s="78">
        <f t="shared" si="45"/>
        <v>75.48599999999999</v>
      </c>
      <c r="Y168" s="78">
        <f t="shared" si="46"/>
        <v>56.61</v>
      </c>
      <c r="AA168" s="88" t="str">
        <f t="shared" si="47"/>
        <v/>
      </c>
      <c r="AB168" s="77" t="str">
        <f t="shared" si="38"/>
        <v/>
      </c>
      <c r="AD168" s="88" t="str">
        <f t="shared" si="48"/>
        <v/>
      </c>
      <c r="AE168" s="77" t="str">
        <f t="shared" si="39"/>
        <v/>
      </c>
    </row>
    <row r="169" spans="2:31" x14ac:dyDescent="0.35">
      <c r="B169">
        <v>2013</v>
      </c>
      <c r="C169">
        <v>1</v>
      </c>
      <c r="D169">
        <v>2</v>
      </c>
      <c r="E169" s="78">
        <f>'CRU historical'!F146</f>
        <v>6.75</v>
      </c>
      <c r="F169" s="78">
        <f>'CRU historical'!I146</f>
        <v>-1.5</v>
      </c>
      <c r="G169" s="78" t="str">
        <f>'CRU historical'!L146</f>
        <v xml:space="preserve"> </v>
      </c>
      <c r="H169" s="78" t="str">
        <f>'CRU historical'!O146</f>
        <v xml:space="preserve"> </v>
      </c>
      <c r="I169" s="78">
        <f>'CRU historical'!R146</f>
        <v>186</v>
      </c>
      <c r="J169" s="78">
        <f>AVERAGE('CRU historical'!U146, 'CRU historical'!X146, 'CRU historical'!AA146, 'CRU historical'!AD146)</f>
        <v>97</v>
      </c>
      <c r="L169" s="78" cm="1">
        <f t="array" ref="L169">IFERROR(SUMPRODUCT(('Sulphuric Acid freights'!$B$3:$B$513=B179)*('Sulphuric Acid freights'!$D$3:$D$513=D169)*('Sulphuric Acid freights'!$P$3:$P$513))/SUMPRODUCT(('Sulphuric Acid freights'!$B$3:$B$513=B179)*('Sulphuric Acid freights'!$D$3:$D$513=D169)*1), AVERAGE('Sulphuric Acid freights'!$P$3:$P$513))*2/3</f>
        <v>54.110671936758898</v>
      </c>
      <c r="M169" s="78" cm="1">
        <f t="array" ref="M169">IFERROR(SUMPRODUCT(('Sulphuric Acid freights'!$B$3:$B$513=B179)*('Sulphuric Acid freights'!$D$3:$D$513=D169)*('Sulphuric Acid freights'!$M$3:$M$513))/SUMPRODUCT(('Sulphuric Acid freights'!$B$3:$B$513=B179)*('Sulphuric Acid freights'!$D$3:$D$513=D169)*1)*2/3, AVERAGE('Sulphuric Acid freights'!$M$3:$M$513))</f>
        <v>23.573122529644269</v>
      </c>
      <c r="N169" s="78">
        <f t="shared" si="40"/>
        <v>48.699604743083007</v>
      </c>
      <c r="O169" s="78" cm="1">
        <f t="array" ref="O169">IF(SUMPRODUCT(('Sulphur freight'!$B$3:$B$1976=B179)*('Sulphur freight'!$D$3:$D$1976=D169)*('Sulphur freight'!$G$3:$G$1976))/SUMPRODUCT(('Sulphur freight'!$B$3:$B$1976=B179)*('Sulphur freight'!$D$3:$D$1976=D169)*1)=0, AVERAGE('Sulphur freight'!$G$3:$G$1976),SUMPRODUCT(('Sulphur freight'!$B$3:$B$1976=B179)*('Sulphur freight'!$D$3:$D$1976=D169)*('Sulphur freight'!$G$3:$G$1976))/SUMPRODUCT(('Sulphur freight'!$B$3:$B$1976=B179)*('Sulphur freight'!$D$3:$D$1976=D169)*1))</f>
        <v>30.5</v>
      </c>
      <c r="P169" s="78">
        <v>20</v>
      </c>
      <c r="R169" s="78" t="str">
        <f t="shared" si="41"/>
        <v xml:space="preserve"> </v>
      </c>
      <c r="S169" s="78">
        <f t="shared" si="42"/>
        <v>22.073122529644269</v>
      </c>
      <c r="T169" s="78">
        <f t="shared" si="37"/>
        <v>60.860671936758898</v>
      </c>
      <c r="U169" s="78" t="str">
        <f t="shared" si="43"/>
        <v/>
      </c>
      <c r="V169" s="78">
        <f>IFERROR(I169+O169, "")</f>
        <v>216.5</v>
      </c>
      <c r="W169" s="78">
        <f t="shared" si="44"/>
        <v>117</v>
      </c>
      <c r="X169" s="78">
        <f t="shared" si="45"/>
        <v>89.445000000000007</v>
      </c>
      <c r="Y169" s="78">
        <f t="shared" si="46"/>
        <v>56.61</v>
      </c>
      <c r="AA169" s="88" t="str">
        <f t="shared" si="47"/>
        <v/>
      </c>
      <c r="AB169" s="77" t="str">
        <f t="shared" si="38"/>
        <v/>
      </c>
      <c r="AD169" s="88" t="str">
        <f t="shared" si="48"/>
        <v/>
      </c>
      <c r="AE169" s="77" t="str">
        <f t="shared" si="39"/>
        <v/>
      </c>
    </row>
    <row r="170" spans="2:31" x14ac:dyDescent="0.35">
      <c r="B170">
        <v>2013</v>
      </c>
      <c r="C170">
        <v>1</v>
      </c>
      <c r="D170">
        <v>3</v>
      </c>
      <c r="E170" s="78">
        <f>'CRU historical'!F147</f>
        <v>8</v>
      </c>
      <c r="F170" s="78">
        <f>'CRU historical'!I147</f>
        <v>4.25</v>
      </c>
      <c r="G170" s="78" t="str">
        <f>'CRU historical'!L147</f>
        <v xml:space="preserve"> </v>
      </c>
      <c r="H170" s="78" t="str">
        <f>'CRU historical'!O147</f>
        <v xml:space="preserve"> </v>
      </c>
      <c r="I170" s="78">
        <f>'CRU historical'!R147</f>
        <v>183.5</v>
      </c>
      <c r="J170" s="78">
        <f>AVERAGE('CRU historical'!U147, 'CRU historical'!X147, 'CRU historical'!AA147, 'CRU historical'!AD147)</f>
        <v>110.5</v>
      </c>
      <c r="L170" s="78" cm="1">
        <f t="array" ref="L170">IFERROR(SUMPRODUCT(('Sulphuric Acid freights'!$B$3:$B$513=B180)*('Sulphuric Acid freights'!$D$3:$D$513=D170)*('Sulphuric Acid freights'!$P$3:$P$513))/SUMPRODUCT(('Sulphuric Acid freights'!$B$3:$B$513=B180)*('Sulphuric Acid freights'!$D$3:$D$513=D170)*1), AVERAGE('Sulphuric Acid freights'!$P$3:$P$513))*2/3</f>
        <v>54.110671936758898</v>
      </c>
      <c r="M170" s="78" cm="1">
        <f t="array" ref="M170">IFERROR(SUMPRODUCT(('Sulphuric Acid freights'!$B$3:$B$513=B180)*('Sulphuric Acid freights'!$D$3:$D$513=D170)*('Sulphuric Acid freights'!$M$3:$M$513))/SUMPRODUCT(('Sulphuric Acid freights'!$B$3:$B$513=B180)*('Sulphuric Acid freights'!$D$3:$D$513=D170)*1)*2/3, AVERAGE('Sulphuric Acid freights'!$M$3:$M$513))</f>
        <v>23.573122529644269</v>
      </c>
      <c r="N170" s="78">
        <f t="shared" si="40"/>
        <v>48.699604743083007</v>
      </c>
      <c r="O170" s="78" cm="1">
        <f t="array" ref="O170">IF(SUMPRODUCT(('Sulphur freight'!$B$3:$B$1976=B180)*('Sulphur freight'!$D$3:$D$1976=D170)*('Sulphur freight'!$G$3:$G$1976))/SUMPRODUCT(('Sulphur freight'!$B$3:$B$1976=B180)*('Sulphur freight'!$D$3:$D$1976=D170)*1)=0, AVERAGE('Sulphur freight'!$G$3:$G$1976),SUMPRODUCT(('Sulphur freight'!$B$3:$B$1976=B180)*('Sulphur freight'!$D$3:$D$1976=D170)*('Sulphur freight'!$G$3:$G$1976))/SUMPRODUCT(('Sulphur freight'!$B$3:$B$1976=B180)*('Sulphur freight'!$D$3:$D$1976=D170)*1))</f>
        <v>31.5</v>
      </c>
      <c r="P170" s="78">
        <v>20</v>
      </c>
      <c r="R170" s="78" t="str">
        <f t="shared" si="41"/>
        <v xml:space="preserve"> </v>
      </c>
      <c r="S170" s="78">
        <f t="shared" si="42"/>
        <v>27.823122529644269</v>
      </c>
      <c r="T170" s="78">
        <f t="shared" si="37"/>
        <v>62.110671936758898</v>
      </c>
      <c r="U170" s="78" t="str">
        <f t="shared" si="43"/>
        <v/>
      </c>
      <c r="V170" s="78">
        <f>IFERROR(I170+O170, "")</f>
        <v>215</v>
      </c>
      <c r="W170" s="78">
        <f t="shared" si="44"/>
        <v>130.5</v>
      </c>
      <c r="X170" s="78">
        <f t="shared" si="45"/>
        <v>88.95</v>
      </c>
      <c r="Y170" s="78">
        <f t="shared" si="46"/>
        <v>61.065000000000005</v>
      </c>
      <c r="AA170" s="88" t="str">
        <f t="shared" si="47"/>
        <v/>
      </c>
      <c r="AB170" s="77" t="str">
        <f t="shared" si="38"/>
        <v/>
      </c>
      <c r="AD170" s="88" t="str">
        <f t="shared" si="48"/>
        <v/>
      </c>
      <c r="AE170" s="77" t="str">
        <f t="shared" si="39"/>
        <v/>
      </c>
    </row>
    <row r="171" spans="2:31" x14ac:dyDescent="0.35">
      <c r="B171">
        <v>2013</v>
      </c>
      <c r="C171">
        <v>2</v>
      </c>
      <c r="D171">
        <v>4</v>
      </c>
      <c r="E171" s="78">
        <f>'CRU historical'!F148</f>
        <v>8</v>
      </c>
      <c r="F171" s="78">
        <f>'CRU historical'!I148</f>
        <v>8</v>
      </c>
      <c r="G171" s="78" t="str">
        <f>'CRU historical'!L148</f>
        <v xml:space="preserve"> </v>
      </c>
      <c r="H171" s="78" t="str">
        <f>'CRU historical'!O148</f>
        <v xml:space="preserve"> </v>
      </c>
      <c r="I171" s="78">
        <f>'CRU historical'!R148</f>
        <v>139.5</v>
      </c>
      <c r="J171" s="78">
        <f>AVERAGE('CRU historical'!U148, 'CRU historical'!X148, 'CRU historical'!AA148, 'CRU historical'!AD148)</f>
        <v>133</v>
      </c>
      <c r="L171" s="78" cm="1">
        <f t="array" ref="L171">IFERROR(SUMPRODUCT(('Sulphuric Acid freights'!$B$3:$B$513=B181)*('Sulphuric Acid freights'!$D$3:$D$513=D171)*('Sulphuric Acid freights'!$P$3:$P$513))/SUMPRODUCT(('Sulphuric Acid freights'!$B$3:$B$513=B181)*('Sulphuric Acid freights'!$D$3:$D$513=D171)*1), AVERAGE('Sulphuric Acid freights'!$P$3:$P$513))*2/3</f>
        <v>54.110671936758898</v>
      </c>
      <c r="M171" s="78" cm="1">
        <f t="array" ref="M171">IFERROR(SUMPRODUCT(('Sulphuric Acid freights'!$B$3:$B$513=B181)*('Sulphuric Acid freights'!$D$3:$D$513=D171)*('Sulphuric Acid freights'!$M$3:$M$513))/SUMPRODUCT(('Sulphuric Acid freights'!$B$3:$B$513=B181)*('Sulphuric Acid freights'!$D$3:$D$513=D171)*1)*2/3, AVERAGE('Sulphuric Acid freights'!$M$3:$M$513))</f>
        <v>23.573122529644269</v>
      </c>
      <c r="N171" s="78">
        <f t="shared" si="40"/>
        <v>48.699604743083007</v>
      </c>
      <c r="O171" s="78" cm="1">
        <f t="array" ref="O171">IF(SUMPRODUCT(('Sulphur freight'!$B$3:$B$1976=B181)*('Sulphur freight'!$D$3:$D$1976=D171)*('Sulphur freight'!$G$3:$G$1976))/SUMPRODUCT(('Sulphur freight'!$B$3:$B$1976=B181)*('Sulphur freight'!$D$3:$D$1976=D171)*1)=0, AVERAGE('Sulphur freight'!$G$3:$G$1976),SUMPRODUCT(('Sulphur freight'!$B$3:$B$1976=B181)*('Sulphur freight'!$D$3:$D$1976=D171)*('Sulphur freight'!$G$3:$G$1976))/SUMPRODUCT(('Sulphur freight'!$B$3:$B$1976=B181)*('Sulphur freight'!$D$3:$D$1976=D171)*1))</f>
        <v>30.25</v>
      </c>
      <c r="P171" s="78">
        <v>20</v>
      </c>
      <c r="R171" s="78" t="str">
        <f t="shared" si="41"/>
        <v xml:space="preserve"> </v>
      </c>
      <c r="S171" s="78">
        <f t="shared" si="42"/>
        <v>31.573122529644269</v>
      </c>
      <c r="T171" s="78">
        <f t="shared" si="37"/>
        <v>62.110671936758898</v>
      </c>
      <c r="U171" s="78" t="str">
        <f t="shared" si="43"/>
        <v/>
      </c>
      <c r="V171" s="78">
        <f>IFERROR(I171+O171, "")</f>
        <v>169.75</v>
      </c>
      <c r="W171" s="78">
        <f t="shared" si="44"/>
        <v>153</v>
      </c>
      <c r="X171" s="78">
        <f t="shared" si="45"/>
        <v>74.017500000000013</v>
      </c>
      <c r="Y171" s="78">
        <f t="shared" si="46"/>
        <v>68.490000000000009</v>
      </c>
      <c r="AA171" s="88" t="str">
        <f t="shared" si="47"/>
        <v/>
      </c>
      <c r="AB171" s="77" t="str">
        <f t="shared" si="38"/>
        <v/>
      </c>
      <c r="AD171" s="88" t="str">
        <f t="shared" si="48"/>
        <v/>
      </c>
      <c r="AE171" s="77" t="str">
        <f t="shared" si="39"/>
        <v/>
      </c>
    </row>
    <row r="172" spans="2:31" x14ac:dyDescent="0.35">
      <c r="B172">
        <v>2013</v>
      </c>
      <c r="C172">
        <v>2</v>
      </c>
      <c r="D172">
        <v>5</v>
      </c>
      <c r="E172" s="78">
        <f>'CRU historical'!F149</f>
        <v>8</v>
      </c>
      <c r="F172" s="78">
        <f>'CRU historical'!I149</f>
        <v>8</v>
      </c>
      <c r="G172" s="78" t="str">
        <f>'CRU historical'!L149</f>
        <v xml:space="preserve"> </v>
      </c>
      <c r="H172" s="78" t="str">
        <f>'CRU historical'!O149</f>
        <v xml:space="preserve"> </v>
      </c>
      <c r="I172" s="78">
        <f>'CRU historical'!R149</f>
        <v>134.4</v>
      </c>
      <c r="J172" s="78">
        <f>AVERAGE('CRU historical'!U149, 'CRU historical'!X149, 'CRU historical'!AA149, 'CRU historical'!AD149)</f>
        <v>129.4</v>
      </c>
      <c r="L172" s="78" cm="1">
        <f t="array" ref="L172">IFERROR(SUMPRODUCT(('Sulphuric Acid freights'!$B$3:$B$513=B182)*('Sulphuric Acid freights'!$D$3:$D$513=D172)*('Sulphuric Acid freights'!$P$3:$P$513))/SUMPRODUCT(('Sulphuric Acid freights'!$B$3:$B$513=B182)*('Sulphuric Acid freights'!$D$3:$D$513=D172)*1), AVERAGE('Sulphuric Acid freights'!$P$3:$P$513))*2/3</f>
        <v>54.110671936758898</v>
      </c>
      <c r="M172" s="78" cm="1">
        <f t="array" ref="M172">IFERROR(SUMPRODUCT(('Sulphuric Acid freights'!$B$3:$B$513=B182)*('Sulphuric Acid freights'!$D$3:$D$513=D172)*('Sulphuric Acid freights'!$M$3:$M$513))/SUMPRODUCT(('Sulphuric Acid freights'!$B$3:$B$513=B182)*('Sulphuric Acid freights'!$D$3:$D$513=D172)*1)*2/3, AVERAGE('Sulphuric Acid freights'!$M$3:$M$513))</f>
        <v>23.573122529644269</v>
      </c>
      <c r="N172" s="78">
        <f t="shared" si="40"/>
        <v>48.699604743083007</v>
      </c>
      <c r="O172" s="78" cm="1">
        <f t="array" ref="O172">IF(SUMPRODUCT(('Sulphur freight'!$B$3:$B$1976=B182)*('Sulphur freight'!$D$3:$D$1976=D172)*('Sulphur freight'!$G$3:$G$1976))/SUMPRODUCT(('Sulphur freight'!$B$3:$B$1976=B182)*('Sulphur freight'!$D$3:$D$1976=D172)*1)=0, AVERAGE('Sulphur freight'!$G$3:$G$1976),SUMPRODUCT(('Sulphur freight'!$B$3:$B$1976=B182)*('Sulphur freight'!$D$3:$D$1976=D172)*('Sulphur freight'!$G$3:$G$1976))/SUMPRODUCT(('Sulphur freight'!$B$3:$B$1976=B182)*('Sulphur freight'!$D$3:$D$1976=D172)*1))</f>
        <v>30</v>
      </c>
      <c r="P172" s="78">
        <v>20</v>
      </c>
      <c r="R172" s="78" t="str">
        <f t="shared" si="41"/>
        <v xml:space="preserve"> </v>
      </c>
      <c r="S172" s="78">
        <f t="shared" si="42"/>
        <v>31.573122529644269</v>
      </c>
      <c r="T172" s="78">
        <f t="shared" si="37"/>
        <v>62.110671936758898</v>
      </c>
      <c r="U172" s="78" t="str">
        <f t="shared" si="43"/>
        <v/>
      </c>
      <c r="V172" s="78">
        <f>IFERROR(I172+O172, "")</f>
        <v>164.4</v>
      </c>
      <c r="W172" s="78">
        <f t="shared" si="44"/>
        <v>149.4</v>
      </c>
      <c r="X172" s="78">
        <f t="shared" si="45"/>
        <v>72.25200000000001</v>
      </c>
      <c r="Y172" s="78">
        <f t="shared" si="46"/>
        <v>67.302000000000007</v>
      </c>
      <c r="AA172" s="88" t="str">
        <f t="shared" si="47"/>
        <v/>
      </c>
      <c r="AB172" s="77" t="str">
        <f t="shared" si="38"/>
        <v/>
      </c>
      <c r="AD172" s="88" t="str">
        <f t="shared" si="48"/>
        <v/>
      </c>
      <c r="AE172" s="77" t="str">
        <f t="shared" si="39"/>
        <v/>
      </c>
    </row>
    <row r="173" spans="2:31" x14ac:dyDescent="0.35">
      <c r="B173">
        <v>2013</v>
      </c>
      <c r="C173">
        <v>2</v>
      </c>
      <c r="D173">
        <v>6</v>
      </c>
      <c r="E173" s="78">
        <f>'CRU historical'!F150</f>
        <v>8</v>
      </c>
      <c r="F173" s="78">
        <f>'CRU historical'!I150</f>
        <v>11.75</v>
      </c>
      <c r="G173" s="78" t="str">
        <f>'CRU historical'!L150</f>
        <v xml:space="preserve"> </v>
      </c>
      <c r="H173" s="78" t="str">
        <f>'CRU historical'!O150</f>
        <v xml:space="preserve"> </v>
      </c>
      <c r="I173" s="78">
        <f>'CRU historical'!R150</f>
        <v>154</v>
      </c>
      <c r="J173" s="78">
        <f>AVERAGE('CRU historical'!U150, 'CRU historical'!X150, 'CRU historical'!AA150, 'CRU historical'!AD150)</f>
        <v>133</v>
      </c>
      <c r="L173" s="78" cm="1">
        <f t="array" ref="L173">IFERROR(SUMPRODUCT(('Sulphuric Acid freights'!$B$3:$B$513=B183)*('Sulphuric Acid freights'!$D$3:$D$513=D173)*('Sulphuric Acid freights'!$P$3:$P$513))/SUMPRODUCT(('Sulphuric Acid freights'!$B$3:$B$513=B183)*('Sulphuric Acid freights'!$D$3:$D$513=D173)*1), AVERAGE('Sulphuric Acid freights'!$P$3:$P$513))*2/3</f>
        <v>54.110671936758898</v>
      </c>
      <c r="M173" s="78" cm="1">
        <f t="array" ref="M173">IFERROR(SUMPRODUCT(('Sulphuric Acid freights'!$B$3:$B$513=B183)*('Sulphuric Acid freights'!$D$3:$D$513=D173)*('Sulphuric Acid freights'!$M$3:$M$513))/SUMPRODUCT(('Sulphuric Acid freights'!$B$3:$B$513=B183)*('Sulphuric Acid freights'!$D$3:$D$513=D173)*1)*2/3, AVERAGE('Sulphuric Acid freights'!$M$3:$M$513))</f>
        <v>23.573122529644269</v>
      </c>
      <c r="N173" s="78">
        <f t="shared" si="40"/>
        <v>48.699604743083007</v>
      </c>
      <c r="O173" s="78" cm="1">
        <f t="array" ref="O173">IF(SUMPRODUCT(('Sulphur freight'!$B$3:$B$1976=B183)*('Sulphur freight'!$D$3:$D$1976=D173)*('Sulphur freight'!$G$3:$G$1976))/SUMPRODUCT(('Sulphur freight'!$B$3:$B$1976=B183)*('Sulphur freight'!$D$3:$D$1976=D173)*1)=0, AVERAGE('Sulphur freight'!$G$3:$G$1976),SUMPRODUCT(('Sulphur freight'!$B$3:$B$1976=B183)*('Sulphur freight'!$D$3:$D$1976=D173)*('Sulphur freight'!$G$3:$G$1976))/SUMPRODUCT(('Sulphur freight'!$B$3:$B$1976=B183)*('Sulphur freight'!$D$3:$D$1976=D173)*1))</f>
        <v>30.25</v>
      </c>
      <c r="P173" s="78">
        <v>20</v>
      </c>
      <c r="R173" s="78" t="str">
        <f t="shared" si="41"/>
        <v xml:space="preserve"> </v>
      </c>
      <c r="S173" s="78">
        <f t="shared" si="42"/>
        <v>35.323122529644266</v>
      </c>
      <c r="T173" s="78">
        <f t="shared" si="37"/>
        <v>62.110671936758898</v>
      </c>
      <c r="U173" s="78" t="str">
        <f t="shared" si="43"/>
        <v/>
      </c>
      <c r="V173" s="78">
        <f>IFERROR(I173+O173, "")</f>
        <v>184.25</v>
      </c>
      <c r="W173" s="78">
        <f t="shared" si="44"/>
        <v>153</v>
      </c>
      <c r="X173" s="78">
        <f t="shared" si="45"/>
        <v>78.802500000000009</v>
      </c>
      <c r="Y173" s="78">
        <f t="shared" si="46"/>
        <v>68.490000000000009</v>
      </c>
      <c r="AA173" s="88" t="str">
        <f t="shared" si="47"/>
        <v/>
      </c>
      <c r="AB173" s="77" t="str">
        <f t="shared" si="38"/>
        <v/>
      </c>
      <c r="AD173" s="88" t="str">
        <f t="shared" si="48"/>
        <v/>
      </c>
      <c r="AE173" s="77" t="str">
        <f t="shared" si="39"/>
        <v/>
      </c>
    </row>
    <row r="174" spans="2:31" x14ac:dyDescent="0.35">
      <c r="B174">
        <v>2013</v>
      </c>
      <c r="C174">
        <v>3</v>
      </c>
      <c r="D174">
        <v>7</v>
      </c>
      <c r="E174" s="78">
        <f>'CRU historical'!F151</f>
        <v>8</v>
      </c>
      <c r="F174" s="78">
        <f>'CRU historical'!I151</f>
        <v>13</v>
      </c>
      <c r="G174" s="78" t="str">
        <f>'CRU historical'!L151</f>
        <v xml:space="preserve"> </v>
      </c>
      <c r="H174" s="78" t="str">
        <f>'CRU historical'!O151</f>
        <v xml:space="preserve"> </v>
      </c>
      <c r="I174" s="78">
        <f>'CRU historical'!R151</f>
        <v>164.6</v>
      </c>
      <c r="J174" s="78">
        <f>AVERAGE('CRU historical'!U151, 'CRU historical'!X151, 'CRU historical'!AA151, 'CRU historical'!AD151)</f>
        <v>133</v>
      </c>
      <c r="L174" s="78" cm="1">
        <f t="array" ref="L174">IFERROR(SUMPRODUCT(('Sulphuric Acid freights'!$B$3:$B$513=B184)*('Sulphuric Acid freights'!$D$3:$D$513=D174)*('Sulphuric Acid freights'!$P$3:$P$513))/SUMPRODUCT(('Sulphuric Acid freights'!$B$3:$B$513=B184)*('Sulphuric Acid freights'!$D$3:$D$513=D174)*1), AVERAGE('Sulphuric Acid freights'!$P$3:$P$513))*2/3</f>
        <v>54.110671936758898</v>
      </c>
      <c r="M174" s="78" cm="1">
        <f t="array" ref="M174">IFERROR(SUMPRODUCT(('Sulphuric Acid freights'!$B$3:$B$513=B184)*('Sulphuric Acid freights'!$D$3:$D$513=D174)*('Sulphuric Acid freights'!$M$3:$M$513))/SUMPRODUCT(('Sulphuric Acid freights'!$B$3:$B$513=B184)*('Sulphuric Acid freights'!$D$3:$D$513=D174)*1)*2/3, AVERAGE('Sulphuric Acid freights'!$M$3:$M$513))</f>
        <v>23.573122529644269</v>
      </c>
      <c r="N174" s="78">
        <f t="shared" si="40"/>
        <v>48.699604743083007</v>
      </c>
      <c r="O174" s="78" cm="1">
        <f t="array" ref="O174">IF(SUMPRODUCT(('Sulphur freight'!$B$3:$B$1976=B184)*('Sulphur freight'!$D$3:$D$1976=D174)*('Sulphur freight'!$G$3:$G$1976))/SUMPRODUCT(('Sulphur freight'!$B$3:$B$1976=B184)*('Sulphur freight'!$D$3:$D$1976=D174)*1)=0, AVERAGE('Sulphur freight'!$G$3:$G$1976),SUMPRODUCT(('Sulphur freight'!$B$3:$B$1976=B184)*('Sulphur freight'!$D$3:$D$1976=D174)*('Sulphur freight'!$G$3:$G$1976))/SUMPRODUCT(('Sulphur freight'!$B$3:$B$1976=B184)*('Sulphur freight'!$D$3:$D$1976=D174)*1))</f>
        <v>27.8</v>
      </c>
      <c r="P174" s="78">
        <v>20</v>
      </c>
      <c r="R174" s="78" t="str">
        <f t="shared" si="41"/>
        <v xml:space="preserve"> </v>
      </c>
      <c r="S174" s="78">
        <f t="shared" si="42"/>
        <v>36.573122529644266</v>
      </c>
      <c r="T174" s="78">
        <f t="shared" si="37"/>
        <v>62.110671936758898</v>
      </c>
      <c r="U174" s="78" t="str">
        <f t="shared" si="43"/>
        <v/>
      </c>
      <c r="V174" s="78">
        <f>IFERROR(I174+O174, "")</f>
        <v>192.4</v>
      </c>
      <c r="W174" s="78">
        <f t="shared" si="44"/>
        <v>153</v>
      </c>
      <c r="X174" s="78">
        <f t="shared" si="45"/>
        <v>81.492000000000004</v>
      </c>
      <c r="Y174" s="78">
        <f t="shared" si="46"/>
        <v>68.490000000000009</v>
      </c>
      <c r="AA174" s="88" t="str">
        <f t="shared" si="47"/>
        <v/>
      </c>
      <c r="AB174" s="77" t="str">
        <f t="shared" si="38"/>
        <v/>
      </c>
      <c r="AD174" s="88" t="str">
        <f t="shared" si="48"/>
        <v/>
      </c>
      <c r="AE174" s="77" t="str">
        <f t="shared" si="39"/>
        <v/>
      </c>
    </row>
    <row r="175" spans="2:31" x14ac:dyDescent="0.35">
      <c r="B175">
        <v>2013</v>
      </c>
      <c r="C175">
        <v>3</v>
      </c>
      <c r="D175">
        <v>8</v>
      </c>
      <c r="E175" s="78">
        <f>'CRU historical'!F152</f>
        <v>8</v>
      </c>
      <c r="F175" s="78">
        <f>'CRU historical'!I152</f>
        <v>13</v>
      </c>
      <c r="G175" s="78" t="str">
        <f>'CRU historical'!L152</f>
        <v xml:space="preserve"> </v>
      </c>
      <c r="H175" s="78" t="str">
        <f>'CRU historical'!O152</f>
        <v xml:space="preserve"> </v>
      </c>
      <c r="I175" s="78">
        <f>'CRU historical'!R152</f>
        <v>164</v>
      </c>
      <c r="J175" s="78">
        <f>AVERAGE('CRU historical'!U152, 'CRU historical'!X152, 'CRU historical'!AA152, 'CRU historical'!AD152)</f>
        <v>133</v>
      </c>
      <c r="L175" s="78" cm="1">
        <f t="array" ref="L175">IFERROR(SUMPRODUCT(('Sulphuric Acid freights'!$B$3:$B$513=B185)*('Sulphuric Acid freights'!$D$3:$D$513=D175)*('Sulphuric Acid freights'!$P$3:$P$513))/SUMPRODUCT(('Sulphuric Acid freights'!$B$3:$B$513=B185)*('Sulphuric Acid freights'!$D$3:$D$513=D175)*1), AVERAGE('Sulphuric Acid freights'!$P$3:$P$513))*2/3</f>
        <v>54.110671936758898</v>
      </c>
      <c r="M175" s="78" cm="1">
        <f t="array" ref="M175">IFERROR(SUMPRODUCT(('Sulphuric Acid freights'!$B$3:$B$513=B185)*('Sulphuric Acid freights'!$D$3:$D$513=D175)*('Sulphuric Acid freights'!$M$3:$M$513))/SUMPRODUCT(('Sulphuric Acid freights'!$B$3:$B$513=B185)*('Sulphuric Acid freights'!$D$3:$D$513=D175)*1)*2/3, AVERAGE('Sulphuric Acid freights'!$M$3:$M$513))</f>
        <v>23.573122529644269</v>
      </c>
      <c r="N175" s="78">
        <f t="shared" si="40"/>
        <v>48.699604743083007</v>
      </c>
      <c r="O175" s="78" cm="1">
        <f t="array" ref="O175">IF(SUMPRODUCT(('Sulphur freight'!$B$3:$B$1976=B185)*('Sulphur freight'!$D$3:$D$1976=D175)*('Sulphur freight'!$G$3:$G$1976))/SUMPRODUCT(('Sulphur freight'!$B$3:$B$1976=B185)*('Sulphur freight'!$D$3:$D$1976=D175)*1)=0, AVERAGE('Sulphur freight'!$G$3:$G$1976),SUMPRODUCT(('Sulphur freight'!$B$3:$B$1976=B185)*('Sulphur freight'!$D$3:$D$1976=D175)*('Sulphur freight'!$G$3:$G$1976))/SUMPRODUCT(('Sulphur freight'!$B$3:$B$1976=B185)*('Sulphur freight'!$D$3:$D$1976=D175)*1))</f>
        <v>27.25</v>
      </c>
      <c r="P175" s="78">
        <v>20</v>
      </c>
      <c r="R175" s="78" t="str">
        <f t="shared" si="41"/>
        <v xml:space="preserve"> </v>
      </c>
      <c r="S175" s="78">
        <f t="shared" si="42"/>
        <v>36.573122529644266</v>
      </c>
      <c r="T175" s="78">
        <f t="shared" si="37"/>
        <v>62.110671936758898</v>
      </c>
      <c r="U175" s="78" t="str">
        <f t="shared" si="43"/>
        <v/>
      </c>
      <c r="V175" s="78">
        <f>IFERROR(I175+O175, "")</f>
        <v>191.25</v>
      </c>
      <c r="W175" s="78">
        <f t="shared" si="44"/>
        <v>153</v>
      </c>
      <c r="X175" s="78">
        <f t="shared" si="45"/>
        <v>81.112500000000011</v>
      </c>
      <c r="Y175" s="78">
        <f t="shared" si="46"/>
        <v>68.490000000000009</v>
      </c>
      <c r="AA175" s="88" t="str">
        <f t="shared" si="47"/>
        <v/>
      </c>
      <c r="AB175" s="77" t="str">
        <f t="shared" si="38"/>
        <v/>
      </c>
      <c r="AD175" s="88" t="str">
        <f t="shared" si="48"/>
        <v/>
      </c>
      <c r="AE175" s="77" t="str">
        <f t="shared" si="39"/>
        <v/>
      </c>
    </row>
    <row r="176" spans="2:31" x14ac:dyDescent="0.35">
      <c r="B176">
        <v>2013</v>
      </c>
      <c r="C176">
        <v>3</v>
      </c>
      <c r="D176">
        <v>9</v>
      </c>
      <c r="E176" s="78">
        <f>'CRU historical'!F153</f>
        <v>11.5</v>
      </c>
      <c r="F176" s="78">
        <f>'CRU historical'!I153</f>
        <v>21.75</v>
      </c>
      <c r="G176" s="78" t="str">
        <f>'CRU historical'!L153</f>
        <v xml:space="preserve"> </v>
      </c>
      <c r="H176" s="78" t="str">
        <f>'CRU historical'!O153</f>
        <v xml:space="preserve"> </v>
      </c>
      <c r="I176" s="78">
        <f>'CRU historical'!R153</f>
        <v>154</v>
      </c>
      <c r="J176" s="78">
        <f>AVERAGE('CRU historical'!U153, 'CRU historical'!X153, 'CRU historical'!AA153, 'CRU historical'!AD153)</f>
        <v>133</v>
      </c>
      <c r="L176" s="78" cm="1">
        <f t="array" ref="L176">IFERROR(SUMPRODUCT(('Sulphuric Acid freights'!$B$3:$B$513=B186)*('Sulphuric Acid freights'!$D$3:$D$513=D176)*('Sulphuric Acid freights'!$P$3:$P$513))/SUMPRODUCT(('Sulphuric Acid freights'!$B$3:$B$513=B186)*('Sulphuric Acid freights'!$D$3:$D$513=D176)*1), AVERAGE('Sulphuric Acid freights'!$P$3:$P$513))*2/3</f>
        <v>54.110671936758898</v>
      </c>
      <c r="M176" s="78" cm="1">
        <f t="array" ref="M176">IFERROR(SUMPRODUCT(('Sulphuric Acid freights'!$B$3:$B$513=B186)*('Sulphuric Acid freights'!$D$3:$D$513=D176)*('Sulphuric Acid freights'!$M$3:$M$513))/SUMPRODUCT(('Sulphuric Acid freights'!$B$3:$B$513=B186)*('Sulphuric Acid freights'!$D$3:$D$513=D176)*1)*2/3, AVERAGE('Sulphuric Acid freights'!$M$3:$M$513))</f>
        <v>23.573122529644269</v>
      </c>
      <c r="N176" s="78">
        <f t="shared" si="40"/>
        <v>48.699604743083007</v>
      </c>
      <c r="O176" s="78" cm="1">
        <f t="array" ref="O176">IF(SUMPRODUCT(('Sulphur freight'!$B$3:$B$1976=B186)*('Sulphur freight'!$D$3:$D$1976=D176)*('Sulphur freight'!$G$3:$G$1976))/SUMPRODUCT(('Sulphur freight'!$B$3:$B$1976=B186)*('Sulphur freight'!$D$3:$D$1976=D176)*1)=0, AVERAGE('Sulphur freight'!$G$3:$G$1976),SUMPRODUCT(('Sulphur freight'!$B$3:$B$1976=B186)*('Sulphur freight'!$D$3:$D$1976=D176)*('Sulphur freight'!$G$3:$G$1976))/SUMPRODUCT(('Sulphur freight'!$B$3:$B$1976=B186)*('Sulphur freight'!$D$3:$D$1976=D176)*1))</f>
        <v>27</v>
      </c>
      <c r="P176" s="78">
        <v>20</v>
      </c>
      <c r="R176" s="78" t="str">
        <f t="shared" si="41"/>
        <v xml:space="preserve"> </v>
      </c>
      <c r="S176" s="78">
        <f t="shared" si="42"/>
        <v>45.323122529644266</v>
      </c>
      <c r="T176" s="78">
        <f t="shared" si="37"/>
        <v>65.610671936758905</v>
      </c>
      <c r="U176" s="78" t="str">
        <f t="shared" si="43"/>
        <v/>
      </c>
      <c r="V176" s="78">
        <f>IFERROR(I176+O176, "")</f>
        <v>181</v>
      </c>
      <c r="W176" s="78">
        <f t="shared" si="44"/>
        <v>153</v>
      </c>
      <c r="X176" s="78">
        <f t="shared" si="45"/>
        <v>77.73</v>
      </c>
      <c r="Y176" s="78">
        <f t="shared" si="46"/>
        <v>68.490000000000009</v>
      </c>
      <c r="AA176" s="88" t="str">
        <f t="shared" si="47"/>
        <v/>
      </c>
      <c r="AB176" s="77" t="str">
        <f t="shared" si="38"/>
        <v/>
      </c>
      <c r="AD176" s="88" t="str">
        <f t="shared" si="48"/>
        <v/>
      </c>
      <c r="AE176" s="77" t="str">
        <f t="shared" si="39"/>
        <v/>
      </c>
    </row>
    <row r="177" spans="2:31" x14ac:dyDescent="0.35">
      <c r="B177">
        <v>2013</v>
      </c>
      <c r="C177">
        <v>4</v>
      </c>
      <c r="D177">
        <v>10</v>
      </c>
      <c r="E177" s="78">
        <f>'CRU historical'!F154</f>
        <v>13</v>
      </c>
      <c r="F177" s="78">
        <f>'CRU historical'!I154</f>
        <v>27</v>
      </c>
      <c r="G177" s="78" t="str">
        <f>'CRU historical'!L154</f>
        <v xml:space="preserve"> </v>
      </c>
      <c r="H177" s="78" t="str">
        <f>'CRU historical'!O154</f>
        <v xml:space="preserve"> </v>
      </c>
      <c r="I177" s="78">
        <f>'CRU historical'!R154</f>
        <v>142.6</v>
      </c>
      <c r="J177" s="78">
        <f>AVERAGE('CRU historical'!U154, 'CRU historical'!X154, 'CRU historical'!AA154, 'CRU historical'!AD154)</f>
        <v>133</v>
      </c>
      <c r="L177" s="78" cm="1">
        <f t="array" ref="L177">IFERROR(SUMPRODUCT(('Sulphuric Acid freights'!$B$3:$B$513=B187)*('Sulphuric Acid freights'!$D$3:$D$513=D177)*('Sulphuric Acid freights'!$P$3:$P$513))/SUMPRODUCT(('Sulphuric Acid freights'!$B$3:$B$513=B187)*('Sulphuric Acid freights'!$D$3:$D$513=D177)*1), AVERAGE('Sulphuric Acid freights'!$P$3:$P$513))*2/3</f>
        <v>54.110671936758898</v>
      </c>
      <c r="M177" s="78" cm="1">
        <f t="array" ref="M177">IFERROR(SUMPRODUCT(('Sulphuric Acid freights'!$B$3:$B$513=B187)*('Sulphuric Acid freights'!$D$3:$D$513=D177)*('Sulphuric Acid freights'!$M$3:$M$513))/SUMPRODUCT(('Sulphuric Acid freights'!$B$3:$B$513=B187)*('Sulphuric Acid freights'!$D$3:$D$513=D177)*1)*2/3, AVERAGE('Sulphuric Acid freights'!$M$3:$M$513))</f>
        <v>23.573122529644269</v>
      </c>
      <c r="N177" s="78">
        <f t="shared" si="40"/>
        <v>48.699604743083007</v>
      </c>
      <c r="O177" s="78" cm="1">
        <f t="array" ref="O177">IF(SUMPRODUCT(('Sulphur freight'!$B$3:$B$1976=B187)*('Sulphur freight'!$D$3:$D$1976=D177)*('Sulphur freight'!$G$3:$G$1976))/SUMPRODUCT(('Sulphur freight'!$B$3:$B$1976=B187)*('Sulphur freight'!$D$3:$D$1976=D177)*1)=0, AVERAGE('Sulphur freight'!$G$3:$G$1976),SUMPRODUCT(('Sulphur freight'!$B$3:$B$1976=B187)*('Sulphur freight'!$D$3:$D$1976=D177)*('Sulphur freight'!$G$3:$G$1976))/SUMPRODUCT(('Sulphur freight'!$B$3:$B$1976=B187)*('Sulphur freight'!$D$3:$D$1976=D177)*1))</f>
        <v>24.4</v>
      </c>
      <c r="P177" s="78">
        <v>20</v>
      </c>
      <c r="R177" s="78" t="str">
        <f t="shared" si="41"/>
        <v xml:space="preserve"> </v>
      </c>
      <c r="S177" s="78">
        <f t="shared" si="42"/>
        <v>50.573122529644266</v>
      </c>
      <c r="T177" s="78">
        <f t="shared" si="37"/>
        <v>67.110671936758905</v>
      </c>
      <c r="U177" s="78" t="str">
        <f t="shared" si="43"/>
        <v/>
      </c>
      <c r="V177" s="78">
        <f>IFERROR(I177+O177, "")</f>
        <v>167</v>
      </c>
      <c r="W177" s="78">
        <f t="shared" si="44"/>
        <v>153</v>
      </c>
      <c r="X177" s="78">
        <f t="shared" si="45"/>
        <v>73.11</v>
      </c>
      <c r="Y177" s="78">
        <f t="shared" si="46"/>
        <v>68.490000000000009</v>
      </c>
      <c r="AA177" s="88" t="str">
        <f t="shared" si="47"/>
        <v/>
      </c>
      <c r="AB177" s="77" t="str">
        <f t="shared" si="38"/>
        <v/>
      </c>
      <c r="AD177" s="88" t="str">
        <f t="shared" si="48"/>
        <v/>
      </c>
      <c r="AE177" s="77" t="str">
        <f t="shared" si="39"/>
        <v/>
      </c>
    </row>
    <row r="178" spans="2:31" x14ac:dyDescent="0.35">
      <c r="B178">
        <v>2014</v>
      </c>
      <c r="C178">
        <v>4</v>
      </c>
      <c r="D178">
        <v>11</v>
      </c>
      <c r="E178" s="78">
        <f>'CRU historical'!F155</f>
        <v>15</v>
      </c>
      <c r="F178" s="78">
        <f>'CRU historical'!I155</f>
        <v>33</v>
      </c>
      <c r="G178" s="78" t="str">
        <f>'CRU historical'!L155</f>
        <v xml:space="preserve"> </v>
      </c>
      <c r="H178" s="78" t="str">
        <f>'CRU historical'!O155</f>
        <v xml:space="preserve"> </v>
      </c>
      <c r="I178" s="78">
        <f>'CRU historical'!R155</f>
        <v>129.5</v>
      </c>
      <c r="J178" s="78">
        <f>AVERAGE('CRU historical'!U155, 'CRU historical'!X155, 'CRU historical'!AA155, 'CRU historical'!AD155)</f>
        <v>133</v>
      </c>
      <c r="L178" s="78" cm="1">
        <f t="array" ref="L178">IFERROR(SUMPRODUCT(('Sulphuric Acid freights'!$B$3:$B$513=B188)*('Sulphuric Acid freights'!$D$3:$D$513=D178)*('Sulphuric Acid freights'!$P$3:$P$513))/SUMPRODUCT(('Sulphuric Acid freights'!$B$3:$B$513=B188)*('Sulphuric Acid freights'!$D$3:$D$513=D178)*1), AVERAGE('Sulphuric Acid freights'!$P$3:$P$513))*2/3</f>
        <v>54.110671936758898</v>
      </c>
      <c r="M178" s="78" cm="1">
        <f t="array" ref="M178">IFERROR(SUMPRODUCT(('Sulphuric Acid freights'!$B$3:$B$513=B188)*('Sulphuric Acid freights'!$D$3:$D$513=D178)*('Sulphuric Acid freights'!$M$3:$M$513))/SUMPRODUCT(('Sulphuric Acid freights'!$B$3:$B$513=B188)*('Sulphuric Acid freights'!$D$3:$D$513=D178)*1)*2/3, AVERAGE('Sulphuric Acid freights'!$M$3:$M$513))</f>
        <v>23.573122529644269</v>
      </c>
      <c r="N178" s="78">
        <f t="shared" si="40"/>
        <v>48.699604743083007</v>
      </c>
      <c r="O178" s="78" cm="1">
        <f t="array" ref="O178">IF(SUMPRODUCT(('Sulphur freight'!$B$3:$B$1976=B188)*('Sulphur freight'!$D$3:$D$1976=D178)*('Sulphur freight'!$G$3:$G$1976))/SUMPRODUCT(('Sulphur freight'!$B$3:$B$1976=B188)*('Sulphur freight'!$D$3:$D$1976=D178)*1)=0, AVERAGE('Sulphur freight'!$G$3:$G$1976),SUMPRODUCT(('Sulphur freight'!$B$3:$B$1976=B188)*('Sulphur freight'!$D$3:$D$1976=D178)*('Sulphur freight'!$G$3:$G$1976))/SUMPRODUCT(('Sulphur freight'!$B$3:$B$1976=B188)*('Sulphur freight'!$D$3:$D$1976=D178)*1))</f>
        <v>24.5</v>
      </c>
      <c r="P178" s="78">
        <v>20</v>
      </c>
      <c r="R178" s="78" t="str">
        <f t="shared" si="41"/>
        <v xml:space="preserve"> </v>
      </c>
      <c r="S178" s="78">
        <f t="shared" si="42"/>
        <v>56.573122529644266</v>
      </c>
      <c r="T178" s="78">
        <f t="shared" si="37"/>
        <v>69.110671936758905</v>
      </c>
      <c r="U178" s="78" t="str">
        <f t="shared" si="43"/>
        <v/>
      </c>
      <c r="V178" s="78">
        <f>IFERROR(I178+O178, "")</f>
        <v>154</v>
      </c>
      <c r="W178" s="78">
        <f t="shared" si="44"/>
        <v>153</v>
      </c>
      <c r="X178" s="78">
        <f t="shared" si="45"/>
        <v>68.819999999999993</v>
      </c>
      <c r="Y178" s="78">
        <f t="shared" si="46"/>
        <v>68.490000000000009</v>
      </c>
      <c r="AA178" s="88" t="str">
        <f t="shared" si="47"/>
        <v/>
      </c>
      <c r="AB178" s="77" t="str">
        <f t="shared" si="38"/>
        <v/>
      </c>
      <c r="AD178" s="88" t="str">
        <f t="shared" si="48"/>
        <v/>
      </c>
      <c r="AE178" s="77" t="str">
        <f t="shared" si="39"/>
        <v/>
      </c>
    </row>
    <row r="179" spans="2:31" x14ac:dyDescent="0.35">
      <c r="B179">
        <v>2014</v>
      </c>
      <c r="C179">
        <v>4</v>
      </c>
      <c r="D179">
        <v>12</v>
      </c>
      <c r="E179" s="78">
        <f>'CRU historical'!F156</f>
        <v>12.5</v>
      </c>
      <c r="F179" s="78">
        <f>'CRU historical'!I156</f>
        <v>33</v>
      </c>
      <c r="G179" s="78" t="str">
        <f>'CRU historical'!L156</f>
        <v xml:space="preserve"> </v>
      </c>
      <c r="H179" s="78" t="str">
        <f>'CRU historical'!O156</f>
        <v xml:space="preserve"> </v>
      </c>
      <c r="I179" s="78">
        <f>'CRU historical'!R156</f>
        <v>151</v>
      </c>
      <c r="J179" s="78">
        <f>AVERAGE('CRU historical'!U156, 'CRU historical'!X156, 'CRU historical'!AA156, 'CRU historical'!AD156)</f>
        <v>133</v>
      </c>
      <c r="L179" s="78" cm="1">
        <f t="array" ref="L179">IFERROR(SUMPRODUCT(('Sulphuric Acid freights'!$B$3:$B$513=B189)*('Sulphuric Acid freights'!$D$3:$D$513=D179)*('Sulphuric Acid freights'!$P$3:$P$513))/SUMPRODUCT(('Sulphuric Acid freights'!$B$3:$B$513=B189)*('Sulphuric Acid freights'!$D$3:$D$513=D179)*1), AVERAGE('Sulphuric Acid freights'!$P$3:$P$513))*2/3</f>
        <v>54.110671936758898</v>
      </c>
      <c r="M179" s="78" cm="1">
        <f t="array" ref="M179">IFERROR(SUMPRODUCT(('Sulphuric Acid freights'!$B$3:$B$513=B189)*('Sulphuric Acid freights'!$D$3:$D$513=D179)*('Sulphuric Acid freights'!$M$3:$M$513))/SUMPRODUCT(('Sulphuric Acid freights'!$B$3:$B$513=B189)*('Sulphuric Acid freights'!$D$3:$D$513=D179)*1)*2/3, AVERAGE('Sulphuric Acid freights'!$M$3:$M$513))</f>
        <v>23.573122529644269</v>
      </c>
      <c r="N179" s="78">
        <f t="shared" si="40"/>
        <v>48.699604743083007</v>
      </c>
      <c r="O179" s="78" cm="1">
        <f t="array" ref="O179">IF(SUMPRODUCT(('Sulphur freight'!$B$3:$B$1976=B189)*('Sulphur freight'!$D$3:$D$1976=D179)*('Sulphur freight'!$G$3:$G$1976))/SUMPRODUCT(('Sulphur freight'!$B$3:$B$1976=B189)*('Sulphur freight'!$D$3:$D$1976=D179)*1)=0, AVERAGE('Sulphur freight'!$G$3:$G$1976),SUMPRODUCT(('Sulphur freight'!$B$3:$B$1976=B189)*('Sulphur freight'!$D$3:$D$1976=D179)*('Sulphur freight'!$G$3:$G$1976))/SUMPRODUCT(('Sulphur freight'!$B$3:$B$1976=B189)*('Sulphur freight'!$D$3:$D$1976=D179)*1))</f>
        <v>19</v>
      </c>
      <c r="P179" s="78">
        <v>20</v>
      </c>
      <c r="R179" s="78" t="str">
        <f t="shared" si="41"/>
        <v xml:space="preserve"> </v>
      </c>
      <c r="S179" s="78">
        <f t="shared" si="42"/>
        <v>56.573122529644266</v>
      </c>
      <c r="T179" s="78">
        <f t="shared" si="37"/>
        <v>66.610671936758905</v>
      </c>
      <c r="U179" s="78" t="str">
        <f t="shared" si="43"/>
        <v/>
      </c>
      <c r="V179" s="78">
        <f>IFERROR(I179+O179, "")</f>
        <v>170</v>
      </c>
      <c r="W179" s="78">
        <f t="shared" si="44"/>
        <v>153</v>
      </c>
      <c r="X179" s="78">
        <f t="shared" si="45"/>
        <v>74.099999999999994</v>
      </c>
      <c r="Y179" s="78">
        <f t="shared" si="46"/>
        <v>68.490000000000009</v>
      </c>
      <c r="AA179" s="88" t="str">
        <f t="shared" si="47"/>
        <v/>
      </c>
      <c r="AB179" s="77" t="str">
        <f t="shared" si="38"/>
        <v/>
      </c>
      <c r="AD179" s="88" t="str">
        <f t="shared" si="48"/>
        <v/>
      </c>
      <c r="AE179" s="77" t="str">
        <f t="shared" si="39"/>
        <v/>
      </c>
    </row>
    <row r="180" spans="2:31" x14ac:dyDescent="0.35">
      <c r="B180">
        <v>2014</v>
      </c>
      <c r="C180">
        <v>1</v>
      </c>
      <c r="D180">
        <v>1</v>
      </c>
      <c r="E180" s="78">
        <f>'CRU historical'!F157</f>
        <v>10.6</v>
      </c>
      <c r="F180" s="78">
        <f>'CRU historical'!I157</f>
        <v>32.6</v>
      </c>
      <c r="G180" s="78" t="str">
        <f>'CRU historical'!L157</f>
        <v xml:space="preserve"> </v>
      </c>
      <c r="H180" s="78" t="str">
        <f>'CRU historical'!O157</f>
        <v xml:space="preserve"> </v>
      </c>
      <c r="I180" s="78">
        <f>'CRU historical'!R157</f>
        <v>169.8</v>
      </c>
      <c r="J180" s="78">
        <f>AVERAGE('CRU historical'!U157, 'CRU historical'!X157, 'CRU historical'!AA157, 'CRU historical'!AD157)</f>
        <v>133</v>
      </c>
      <c r="L180" s="78" cm="1">
        <f t="array" ref="L180">IFERROR(SUMPRODUCT(('Sulphuric Acid freights'!$B$3:$B$513=B190)*('Sulphuric Acid freights'!$D$3:$D$513=D180)*('Sulphuric Acid freights'!$P$3:$P$513))/SUMPRODUCT(('Sulphuric Acid freights'!$B$3:$B$513=B190)*('Sulphuric Acid freights'!$D$3:$D$513=D180)*1), AVERAGE('Sulphuric Acid freights'!$P$3:$P$513))*2/3</f>
        <v>54.110671936758898</v>
      </c>
      <c r="M180" s="78" cm="1">
        <f t="array" ref="M180">IFERROR(SUMPRODUCT(('Sulphuric Acid freights'!$B$3:$B$513=B190)*('Sulphuric Acid freights'!$D$3:$D$513=D180)*('Sulphuric Acid freights'!$M$3:$M$513))/SUMPRODUCT(('Sulphuric Acid freights'!$B$3:$B$513=B190)*('Sulphuric Acid freights'!$D$3:$D$513=D180)*1)*2/3, AVERAGE('Sulphuric Acid freights'!$M$3:$M$513))</f>
        <v>23.573122529644269</v>
      </c>
      <c r="N180" s="78">
        <f t="shared" si="40"/>
        <v>48.699604743083007</v>
      </c>
      <c r="O180" s="78" cm="1">
        <f t="array" ref="O180">IF(SUMPRODUCT(('Sulphur freight'!$B$3:$B$1976=B190)*('Sulphur freight'!$D$3:$D$1976=D180)*('Sulphur freight'!$G$3:$G$1976))/SUMPRODUCT(('Sulphur freight'!$B$3:$B$1976=B190)*('Sulphur freight'!$D$3:$D$1976=D180)*1)=0, AVERAGE('Sulphur freight'!$G$3:$G$1976),SUMPRODUCT(('Sulphur freight'!$B$3:$B$1976=B190)*('Sulphur freight'!$D$3:$D$1976=D180)*('Sulphur freight'!$G$3:$G$1976))/SUMPRODUCT(('Sulphur freight'!$B$3:$B$1976=B190)*('Sulphur freight'!$D$3:$D$1976=D180)*1))</f>
        <v>22</v>
      </c>
      <c r="P180" s="78">
        <v>20</v>
      </c>
      <c r="R180" s="78" t="str">
        <f t="shared" si="41"/>
        <v xml:space="preserve"> </v>
      </c>
      <c r="S180" s="78">
        <f t="shared" si="42"/>
        <v>56.173122529644274</v>
      </c>
      <c r="T180" s="78">
        <f t="shared" si="37"/>
        <v>64.710671936758899</v>
      </c>
      <c r="U180" s="78" t="str">
        <f t="shared" si="43"/>
        <v/>
      </c>
      <c r="V180" s="78">
        <f>IFERROR(I180+O180, "")</f>
        <v>191.8</v>
      </c>
      <c r="W180" s="78">
        <f t="shared" si="44"/>
        <v>153</v>
      </c>
      <c r="X180" s="78">
        <f t="shared" si="45"/>
        <v>81.294000000000011</v>
      </c>
      <c r="Y180" s="78">
        <f t="shared" si="46"/>
        <v>68.490000000000009</v>
      </c>
      <c r="AA180" s="88" t="str">
        <f t="shared" si="47"/>
        <v/>
      </c>
      <c r="AB180" s="77" t="str">
        <f t="shared" si="38"/>
        <v/>
      </c>
      <c r="AD180" s="88" t="str">
        <f t="shared" si="48"/>
        <v/>
      </c>
      <c r="AE180" s="77" t="str">
        <f t="shared" si="39"/>
        <v/>
      </c>
    </row>
    <row r="181" spans="2:31" x14ac:dyDescent="0.35">
      <c r="B181">
        <v>2014</v>
      </c>
      <c r="C181">
        <v>1</v>
      </c>
      <c r="D181">
        <v>2</v>
      </c>
      <c r="E181" s="78">
        <f>'CRU historical'!F158</f>
        <v>16.25</v>
      </c>
      <c r="F181" s="78">
        <f>'CRU historical'!I158</f>
        <v>31</v>
      </c>
      <c r="G181" s="78" t="str">
        <f>'CRU historical'!L158</f>
        <v xml:space="preserve"> </v>
      </c>
      <c r="H181" s="78" t="str">
        <f>'CRU historical'!O158</f>
        <v xml:space="preserve"> </v>
      </c>
      <c r="I181" s="78">
        <f>'CRU historical'!R158</f>
        <v>176.5</v>
      </c>
      <c r="J181" s="78">
        <f>AVERAGE('CRU historical'!U158, 'CRU historical'!X158, 'CRU historical'!AA158, 'CRU historical'!AD158)</f>
        <v>148</v>
      </c>
      <c r="L181" s="78" cm="1">
        <f t="array" ref="L181">IFERROR(SUMPRODUCT(('Sulphuric Acid freights'!$B$3:$B$513=B191)*('Sulphuric Acid freights'!$D$3:$D$513=D181)*('Sulphuric Acid freights'!$P$3:$P$513))/SUMPRODUCT(('Sulphuric Acid freights'!$B$3:$B$513=B191)*('Sulphuric Acid freights'!$D$3:$D$513=D181)*1), AVERAGE('Sulphuric Acid freights'!$P$3:$P$513))*2/3</f>
        <v>54.110671936758898</v>
      </c>
      <c r="M181" s="78" cm="1">
        <f t="array" ref="M181">IFERROR(SUMPRODUCT(('Sulphuric Acid freights'!$B$3:$B$513=B191)*('Sulphuric Acid freights'!$D$3:$D$513=D181)*('Sulphuric Acid freights'!$M$3:$M$513))/SUMPRODUCT(('Sulphuric Acid freights'!$B$3:$B$513=B191)*('Sulphuric Acid freights'!$D$3:$D$513=D181)*1)*2/3, AVERAGE('Sulphuric Acid freights'!$M$3:$M$513))</f>
        <v>23.573122529644269</v>
      </c>
      <c r="N181" s="78">
        <f t="shared" si="40"/>
        <v>48.699604743083007</v>
      </c>
      <c r="O181" s="78" cm="1">
        <f t="array" ref="O181">IF(SUMPRODUCT(('Sulphur freight'!$B$3:$B$1976=B191)*('Sulphur freight'!$D$3:$D$1976=D181)*('Sulphur freight'!$G$3:$G$1976))/SUMPRODUCT(('Sulphur freight'!$B$3:$B$1976=B191)*('Sulphur freight'!$D$3:$D$1976=D181)*1)=0, AVERAGE('Sulphur freight'!$G$3:$G$1976),SUMPRODUCT(('Sulphur freight'!$B$3:$B$1976=B191)*('Sulphur freight'!$D$3:$D$1976=D181)*('Sulphur freight'!$G$3:$G$1976))/SUMPRODUCT(('Sulphur freight'!$B$3:$B$1976=B191)*('Sulphur freight'!$D$3:$D$1976=D181)*1))</f>
        <v>22.25</v>
      </c>
      <c r="P181" s="78">
        <v>20</v>
      </c>
      <c r="R181" s="78" t="str">
        <f t="shared" si="41"/>
        <v xml:space="preserve"> </v>
      </c>
      <c r="S181" s="78">
        <f t="shared" si="42"/>
        <v>54.573122529644266</v>
      </c>
      <c r="T181" s="78">
        <f t="shared" si="37"/>
        <v>70.360671936758905</v>
      </c>
      <c r="U181" s="78" t="str">
        <f t="shared" si="43"/>
        <v/>
      </c>
      <c r="V181" s="78">
        <f>IFERROR(I181+O181, "")</f>
        <v>198.75</v>
      </c>
      <c r="W181" s="78">
        <f t="shared" si="44"/>
        <v>168</v>
      </c>
      <c r="X181" s="78">
        <f t="shared" si="45"/>
        <v>83.587500000000006</v>
      </c>
      <c r="Y181" s="78">
        <f t="shared" si="46"/>
        <v>73.44</v>
      </c>
      <c r="AA181" s="88" t="str">
        <f t="shared" si="47"/>
        <v/>
      </c>
      <c r="AB181" s="77" t="str">
        <f t="shared" si="38"/>
        <v/>
      </c>
      <c r="AD181" s="88" t="str">
        <f t="shared" si="48"/>
        <v/>
      </c>
      <c r="AE181" s="77" t="str">
        <f t="shared" si="39"/>
        <v/>
      </c>
    </row>
    <row r="182" spans="2:31" x14ac:dyDescent="0.35">
      <c r="B182">
        <v>2014</v>
      </c>
      <c r="C182">
        <v>1</v>
      </c>
      <c r="D182">
        <v>3</v>
      </c>
      <c r="E182" s="78">
        <f>'CRU historical'!F159</f>
        <v>19</v>
      </c>
      <c r="F182" s="78">
        <f>'CRU historical'!I159</f>
        <v>31</v>
      </c>
      <c r="G182" s="78" t="str">
        <f>'CRU historical'!L159</f>
        <v xml:space="preserve"> </v>
      </c>
      <c r="H182" s="78" t="str">
        <f>'CRU historical'!O159</f>
        <v xml:space="preserve"> </v>
      </c>
      <c r="I182" s="78">
        <f>'CRU historical'!R159</f>
        <v>168.25</v>
      </c>
      <c r="J182" s="78">
        <f>AVERAGE('CRU historical'!U159, 'CRU historical'!X159, 'CRU historical'!AA159, 'CRU historical'!AD159)</f>
        <v>148</v>
      </c>
      <c r="L182" s="78" cm="1">
        <f t="array" ref="L182">IFERROR(SUMPRODUCT(('Sulphuric Acid freights'!$B$3:$B$513=B192)*('Sulphuric Acid freights'!$D$3:$D$513=D182)*('Sulphuric Acid freights'!$P$3:$P$513))/SUMPRODUCT(('Sulphuric Acid freights'!$B$3:$B$513=B192)*('Sulphuric Acid freights'!$D$3:$D$513=D182)*1), AVERAGE('Sulphuric Acid freights'!$P$3:$P$513))*2/3</f>
        <v>54.110671936758898</v>
      </c>
      <c r="M182" s="78" cm="1">
        <f t="array" ref="M182">IFERROR(SUMPRODUCT(('Sulphuric Acid freights'!$B$3:$B$513=B192)*('Sulphuric Acid freights'!$D$3:$D$513=D182)*('Sulphuric Acid freights'!$M$3:$M$513))/SUMPRODUCT(('Sulphuric Acid freights'!$B$3:$B$513=B192)*('Sulphuric Acid freights'!$D$3:$D$513=D182)*1)*2/3, AVERAGE('Sulphuric Acid freights'!$M$3:$M$513))</f>
        <v>23.573122529644269</v>
      </c>
      <c r="N182" s="78">
        <f t="shared" si="40"/>
        <v>48.699604743083007</v>
      </c>
      <c r="O182" s="78" cm="1">
        <f t="array" ref="O182">IF(SUMPRODUCT(('Sulphur freight'!$B$3:$B$1976=B192)*('Sulphur freight'!$D$3:$D$1976=D182)*('Sulphur freight'!$G$3:$G$1976))/SUMPRODUCT(('Sulphur freight'!$B$3:$B$1976=B192)*('Sulphur freight'!$D$3:$D$1976=D182)*1)=0, AVERAGE('Sulphur freight'!$G$3:$G$1976),SUMPRODUCT(('Sulphur freight'!$B$3:$B$1976=B192)*('Sulphur freight'!$D$3:$D$1976=D182)*('Sulphur freight'!$G$3:$G$1976))/SUMPRODUCT(('Sulphur freight'!$B$3:$B$1976=B192)*('Sulphur freight'!$D$3:$D$1976=D182)*1))</f>
        <v>22</v>
      </c>
      <c r="P182" s="78">
        <v>20</v>
      </c>
      <c r="R182" s="78" t="str">
        <f t="shared" si="41"/>
        <v xml:space="preserve"> </v>
      </c>
      <c r="S182" s="78">
        <f t="shared" si="42"/>
        <v>54.573122529644266</v>
      </c>
      <c r="T182" s="78">
        <f t="shared" si="37"/>
        <v>73.110671936758905</v>
      </c>
      <c r="U182" s="78" t="str">
        <f t="shared" si="43"/>
        <v/>
      </c>
      <c r="V182" s="78">
        <f>IFERROR(I182+O182, "")</f>
        <v>190.25</v>
      </c>
      <c r="W182" s="78">
        <f t="shared" si="44"/>
        <v>168</v>
      </c>
      <c r="X182" s="78">
        <f t="shared" si="45"/>
        <v>80.782499999999999</v>
      </c>
      <c r="Y182" s="78">
        <f t="shared" si="46"/>
        <v>73.44</v>
      </c>
      <c r="AA182" s="88" t="str">
        <f t="shared" si="47"/>
        <v/>
      </c>
      <c r="AB182" s="77" t="str">
        <f t="shared" si="38"/>
        <v/>
      </c>
      <c r="AD182" s="88" t="str">
        <f t="shared" si="48"/>
        <v/>
      </c>
      <c r="AE182" s="77" t="str">
        <f t="shared" si="39"/>
        <v/>
      </c>
    </row>
    <row r="183" spans="2:31" x14ac:dyDescent="0.35">
      <c r="B183">
        <v>2014</v>
      </c>
      <c r="C183">
        <v>2</v>
      </c>
      <c r="D183">
        <v>4</v>
      </c>
      <c r="E183" s="78">
        <f>'CRU historical'!F160</f>
        <v>20</v>
      </c>
      <c r="F183" s="78">
        <f>'CRU historical'!I160</f>
        <v>31</v>
      </c>
      <c r="G183" s="78" t="str">
        <f>'CRU historical'!L160</f>
        <v xml:space="preserve"> </v>
      </c>
      <c r="H183" s="78" t="str">
        <f>'CRU historical'!O160</f>
        <v xml:space="preserve"> </v>
      </c>
      <c r="I183" s="78">
        <f>'CRU historical'!R160</f>
        <v>149.4</v>
      </c>
      <c r="J183" s="78">
        <f>AVERAGE('CRU historical'!U160, 'CRU historical'!X160, 'CRU historical'!AA160, 'CRU historical'!AD160)</f>
        <v>148</v>
      </c>
      <c r="L183" s="78" cm="1">
        <f t="array" ref="L183">IFERROR(SUMPRODUCT(('Sulphuric Acid freights'!$B$3:$B$513=B193)*('Sulphuric Acid freights'!$D$3:$D$513=D183)*('Sulphuric Acid freights'!$P$3:$P$513))/SUMPRODUCT(('Sulphuric Acid freights'!$B$3:$B$513=B193)*('Sulphuric Acid freights'!$D$3:$D$513=D183)*1), AVERAGE('Sulphuric Acid freights'!$P$3:$P$513))*2/3</f>
        <v>54.110671936758898</v>
      </c>
      <c r="M183" s="78" cm="1">
        <f t="array" ref="M183">IFERROR(SUMPRODUCT(('Sulphuric Acid freights'!$B$3:$B$513=B193)*('Sulphuric Acid freights'!$D$3:$D$513=D183)*('Sulphuric Acid freights'!$M$3:$M$513))/SUMPRODUCT(('Sulphuric Acid freights'!$B$3:$B$513=B193)*('Sulphuric Acid freights'!$D$3:$D$513=D183)*1)*2/3, AVERAGE('Sulphuric Acid freights'!$M$3:$M$513))</f>
        <v>23.573122529644269</v>
      </c>
      <c r="N183" s="78">
        <f t="shared" si="40"/>
        <v>48.699604743083007</v>
      </c>
      <c r="O183" s="78" cm="1">
        <f t="array" ref="O183">IF(SUMPRODUCT(('Sulphur freight'!$B$3:$B$1976=B193)*('Sulphur freight'!$D$3:$D$1976=D183)*('Sulphur freight'!$G$3:$G$1976))/SUMPRODUCT(('Sulphur freight'!$B$3:$B$1976=B193)*('Sulphur freight'!$D$3:$D$1976=D183)*1)=0, AVERAGE('Sulphur freight'!$G$3:$G$1976),SUMPRODUCT(('Sulphur freight'!$B$3:$B$1976=B193)*('Sulphur freight'!$D$3:$D$1976=D183)*('Sulphur freight'!$G$3:$G$1976))/SUMPRODUCT(('Sulphur freight'!$B$3:$B$1976=B193)*('Sulphur freight'!$D$3:$D$1976=D183)*1))</f>
        <v>22.2</v>
      </c>
      <c r="P183" s="78">
        <v>20</v>
      </c>
      <c r="R183" s="78" t="str">
        <f t="shared" si="41"/>
        <v xml:space="preserve"> </v>
      </c>
      <c r="S183" s="78">
        <f t="shared" si="42"/>
        <v>54.573122529644266</v>
      </c>
      <c r="T183" s="78">
        <f t="shared" si="37"/>
        <v>74.110671936758905</v>
      </c>
      <c r="U183" s="78" t="str">
        <f t="shared" si="43"/>
        <v/>
      </c>
      <c r="V183" s="78">
        <f>IFERROR(I183+O183, "")</f>
        <v>171.6</v>
      </c>
      <c r="W183" s="78">
        <f t="shared" si="44"/>
        <v>168</v>
      </c>
      <c r="X183" s="78">
        <f t="shared" si="45"/>
        <v>74.628</v>
      </c>
      <c r="Y183" s="78">
        <f t="shared" si="46"/>
        <v>73.44</v>
      </c>
      <c r="AA183" s="88" t="str">
        <f t="shared" si="47"/>
        <v/>
      </c>
      <c r="AB183" s="77" t="str">
        <f t="shared" si="38"/>
        <v/>
      </c>
      <c r="AD183" s="88" t="str">
        <f t="shared" si="48"/>
        <v/>
      </c>
      <c r="AE183" s="77" t="str">
        <f t="shared" si="39"/>
        <v/>
      </c>
    </row>
    <row r="184" spans="2:31" x14ac:dyDescent="0.35">
      <c r="B184">
        <v>2014</v>
      </c>
      <c r="C184">
        <v>2</v>
      </c>
      <c r="D184">
        <v>5</v>
      </c>
      <c r="E184" s="78">
        <f>'CRU historical'!F161</f>
        <v>20.25</v>
      </c>
      <c r="F184" s="78">
        <f>'CRU historical'!I161</f>
        <v>31</v>
      </c>
      <c r="G184" s="78" t="str">
        <f>'CRU historical'!L161</f>
        <v xml:space="preserve"> </v>
      </c>
      <c r="H184" s="78" t="str">
        <f>'CRU historical'!O161</f>
        <v xml:space="preserve"> </v>
      </c>
      <c r="I184" s="78">
        <f>'CRU historical'!R161</f>
        <v>140.75</v>
      </c>
      <c r="J184" s="78">
        <f>AVERAGE('CRU historical'!U161, 'CRU historical'!X161, 'CRU historical'!AA161, 'CRU historical'!AD161)</f>
        <v>148</v>
      </c>
      <c r="L184" s="78" cm="1">
        <f t="array" ref="L184">IFERROR(SUMPRODUCT(('Sulphuric Acid freights'!$B$3:$B$513=B194)*('Sulphuric Acid freights'!$D$3:$D$513=D184)*('Sulphuric Acid freights'!$P$3:$P$513))/SUMPRODUCT(('Sulphuric Acid freights'!$B$3:$B$513=B194)*('Sulphuric Acid freights'!$D$3:$D$513=D184)*1), AVERAGE('Sulphuric Acid freights'!$P$3:$P$513))*2/3</f>
        <v>54.110671936758898</v>
      </c>
      <c r="M184" s="78" cm="1">
        <f t="array" ref="M184">IFERROR(SUMPRODUCT(('Sulphuric Acid freights'!$B$3:$B$513=B194)*('Sulphuric Acid freights'!$D$3:$D$513=D184)*('Sulphuric Acid freights'!$M$3:$M$513))/SUMPRODUCT(('Sulphuric Acid freights'!$B$3:$B$513=B194)*('Sulphuric Acid freights'!$D$3:$D$513=D184)*1)*2/3, AVERAGE('Sulphuric Acid freights'!$M$3:$M$513))</f>
        <v>23.573122529644269</v>
      </c>
      <c r="N184" s="78">
        <f t="shared" si="40"/>
        <v>48.699604743083007</v>
      </c>
      <c r="O184" s="78" cm="1">
        <f t="array" ref="O184">IF(SUMPRODUCT(('Sulphur freight'!$B$3:$B$1976=B194)*('Sulphur freight'!$D$3:$D$1976=D184)*('Sulphur freight'!$G$3:$G$1976))/SUMPRODUCT(('Sulphur freight'!$B$3:$B$1976=B194)*('Sulphur freight'!$D$3:$D$1976=D184)*1)=0, AVERAGE('Sulphur freight'!$G$3:$G$1976),SUMPRODUCT(('Sulphur freight'!$B$3:$B$1976=B194)*('Sulphur freight'!$D$3:$D$1976=D184)*('Sulphur freight'!$G$3:$G$1976))/SUMPRODUCT(('Sulphur freight'!$B$3:$B$1976=B194)*('Sulphur freight'!$D$3:$D$1976=D184)*1))</f>
        <v>23</v>
      </c>
      <c r="P184" s="78">
        <v>20</v>
      </c>
      <c r="R184" s="78" t="str">
        <f t="shared" si="41"/>
        <v xml:space="preserve"> </v>
      </c>
      <c r="S184" s="78">
        <f t="shared" si="42"/>
        <v>54.573122529644266</v>
      </c>
      <c r="T184" s="78">
        <f t="shared" si="37"/>
        <v>74.360671936758905</v>
      </c>
      <c r="U184" s="78" t="str">
        <f t="shared" si="43"/>
        <v/>
      </c>
      <c r="V184" s="78">
        <f>IFERROR(I184+O184, "")</f>
        <v>163.75</v>
      </c>
      <c r="W184" s="78">
        <f t="shared" si="44"/>
        <v>168</v>
      </c>
      <c r="X184" s="78">
        <f t="shared" si="45"/>
        <v>72.037499999999994</v>
      </c>
      <c r="Y184" s="78">
        <f t="shared" si="46"/>
        <v>73.44</v>
      </c>
      <c r="AA184" s="88" t="str">
        <f t="shared" si="47"/>
        <v/>
      </c>
      <c r="AB184" s="77" t="str">
        <f t="shared" si="38"/>
        <v/>
      </c>
      <c r="AD184" s="88" t="str">
        <f t="shared" si="48"/>
        <v/>
      </c>
      <c r="AE184" s="77" t="str">
        <f t="shared" si="39"/>
        <v/>
      </c>
    </row>
    <row r="185" spans="2:31" x14ac:dyDescent="0.35">
      <c r="B185">
        <v>2014</v>
      </c>
      <c r="C185">
        <v>2</v>
      </c>
      <c r="D185">
        <v>6</v>
      </c>
      <c r="E185" s="78">
        <f>'CRU historical'!F162</f>
        <v>25</v>
      </c>
      <c r="F185" s="78">
        <f>'CRU historical'!I162</f>
        <v>31</v>
      </c>
      <c r="G185" s="78" t="str">
        <f>'CRU historical'!L162</f>
        <v xml:space="preserve"> </v>
      </c>
      <c r="H185" s="78" t="str">
        <f>'CRU historical'!O162</f>
        <v xml:space="preserve"> </v>
      </c>
      <c r="I185" s="78">
        <f>'CRU historical'!R162</f>
        <v>143</v>
      </c>
      <c r="J185" s="78">
        <f>AVERAGE('CRU historical'!U162, 'CRU historical'!X162, 'CRU historical'!AA162, 'CRU historical'!AD162)</f>
        <v>141</v>
      </c>
      <c r="L185" s="78" cm="1">
        <f t="array" ref="L185">IFERROR(SUMPRODUCT(('Sulphuric Acid freights'!$B$3:$B$513=B195)*('Sulphuric Acid freights'!$D$3:$D$513=D185)*('Sulphuric Acid freights'!$P$3:$P$513))/SUMPRODUCT(('Sulphuric Acid freights'!$B$3:$B$513=B195)*('Sulphuric Acid freights'!$D$3:$D$513=D185)*1), AVERAGE('Sulphuric Acid freights'!$P$3:$P$513))*2/3</f>
        <v>54.110671936758898</v>
      </c>
      <c r="M185" s="78" cm="1">
        <f t="array" ref="M185">IFERROR(SUMPRODUCT(('Sulphuric Acid freights'!$B$3:$B$513=B195)*('Sulphuric Acid freights'!$D$3:$D$513=D185)*('Sulphuric Acid freights'!$M$3:$M$513))/SUMPRODUCT(('Sulphuric Acid freights'!$B$3:$B$513=B195)*('Sulphuric Acid freights'!$D$3:$D$513=D185)*1)*2/3, AVERAGE('Sulphuric Acid freights'!$M$3:$M$513))</f>
        <v>23.573122529644269</v>
      </c>
      <c r="N185" s="78">
        <f t="shared" si="40"/>
        <v>48.699604743083007</v>
      </c>
      <c r="O185" s="78" cm="1">
        <f t="array" ref="O185">IF(SUMPRODUCT(('Sulphur freight'!$B$3:$B$1976=B195)*('Sulphur freight'!$D$3:$D$1976=D185)*('Sulphur freight'!$G$3:$G$1976))/SUMPRODUCT(('Sulphur freight'!$B$3:$B$1976=B195)*('Sulphur freight'!$D$3:$D$1976=D185)*1)=0, AVERAGE('Sulphur freight'!$G$3:$G$1976),SUMPRODUCT(('Sulphur freight'!$B$3:$B$1976=B195)*('Sulphur freight'!$D$3:$D$1976=D185)*('Sulphur freight'!$G$3:$G$1976))/SUMPRODUCT(('Sulphur freight'!$B$3:$B$1976=B195)*('Sulphur freight'!$D$3:$D$1976=D185)*1))</f>
        <v>23.5</v>
      </c>
      <c r="P185" s="78">
        <v>20</v>
      </c>
      <c r="R185" s="78" t="str">
        <f t="shared" si="41"/>
        <v xml:space="preserve"> </v>
      </c>
      <c r="S185" s="78">
        <f t="shared" si="42"/>
        <v>54.573122529644266</v>
      </c>
      <c r="T185" s="78">
        <f t="shared" si="37"/>
        <v>79.110671936758905</v>
      </c>
      <c r="U185" s="78" t="str">
        <f t="shared" si="43"/>
        <v/>
      </c>
      <c r="V185" s="78">
        <f>IFERROR(I185+O185, "")</f>
        <v>166.5</v>
      </c>
      <c r="W185" s="78">
        <f t="shared" si="44"/>
        <v>161</v>
      </c>
      <c r="X185" s="78">
        <f t="shared" si="45"/>
        <v>72.944999999999993</v>
      </c>
      <c r="Y185" s="78">
        <f t="shared" si="46"/>
        <v>71.13</v>
      </c>
      <c r="AA185" s="88" t="str">
        <f t="shared" si="47"/>
        <v/>
      </c>
      <c r="AB185" s="77" t="str">
        <f t="shared" si="38"/>
        <v/>
      </c>
      <c r="AD185" s="88" t="str">
        <f t="shared" si="48"/>
        <v/>
      </c>
      <c r="AE185" s="77" t="str">
        <f t="shared" si="39"/>
        <v/>
      </c>
    </row>
    <row r="186" spans="2:31" x14ac:dyDescent="0.35">
      <c r="B186">
        <v>2014</v>
      </c>
      <c r="C186">
        <v>3</v>
      </c>
      <c r="D186">
        <v>7</v>
      </c>
      <c r="E186" s="78">
        <f>'CRU historical'!F163</f>
        <v>20</v>
      </c>
      <c r="F186" s="78">
        <f>'CRU historical'!I163</f>
        <v>30.2</v>
      </c>
      <c r="G186" s="78" t="str">
        <f>'CRU historical'!L163</f>
        <v xml:space="preserve"> </v>
      </c>
      <c r="H186" s="78" t="str">
        <f>'CRU historical'!O163</f>
        <v xml:space="preserve"> </v>
      </c>
      <c r="I186" s="78">
        <f>'CRU historical'!R163</f>
        <v>150.4</v>
      </c>
      <c r="J186" s="78">
        <f>AVERAGE('CRU historical'!U163, 'CRU historical'!X163, 'CRU historical'!AA163, 'CRU historical'!AD163)</f>
        <v>141</v>
      </c>
      <c r="L186" s="78" cm="1">
        <f t="array" ref="L186">IFERROR(SUMPRODUCT(('Sulphuric Acid freights'!$B$3:$B$513=B196)*('Sulphuric Acid freights'!$D$3:$D$513=D186)*('Sulphuric Acid freights'!$P$3:$P$513))/SUMPRODUCT(('Sulphuric Acid freights'!$B$3:$B$513=B196)*('Sulphuric Acid freights'!$D$3:$D$513=D186)*1), AVERAGE('Sulphuric Acid freights'!$P$3:$P$513))*2/3</f>
        <v>54.110671936758898</v>
      </c>
      <c r="M186" s="78" cm="1">
        <f t="array" ref="M186">IFERROR(SUMPRODUCT(('Sulphuric Acid freights'!$B$3:$B$513=B196)*('Sulphuric Acid freights'!$D$3:$D$513=D186)*('Sulphuric Acid freights'!$M$3:$M$513))/SUMPRODUCT(('Sulphuric Acid freights'!$B$3:$B$513=B196)*('Sulphuric Acid freights'!$D$3:$D$513=D186)*1)*2/3, AVERAGE('Sulphuric Acid freights'!$M$3:$M$513))</f>
        <v>23.573122529644269</v>
      </c>
      <c r="N186" s="78">
        <f t="shared" si="40"/>
        <v>48.699604743083007</v>
      </c>
      <c r="O186" s="78" cm="1">
        <f t="array" ref="O186">IF(SUMPRODUCT(('Sulphur freight'!$B$3:$B$1976=B196)*('Sulphur freight'!$D$3:$D$1976=D186)*('Sulphur freight'!$G$3:$G$1976))/SUMPRODUCT(('Sulphur freight'!$B$3:$B$1976=B196)*('Sulphur freight'!$D$3:$D$1976=D186)*1)=0, AVERAGE('Sulphur freight'!$G$3:$G$1976),SUMPRODUCT(('Sulphur freight'!$B$3:$B$1976=B196)*('Sulphur freight'!$D$3:$D$1976=D186)*('Sulphur freight'!$G$3:$G$1976))/SUMPRODUCT(('Sulphur freight'!$B$3:$B$1976=B196)*('Sulphur freight'!$D$3:$D$1976=D186)*1))</f>
        <v>23.4</v>
      </c>
      <c r="P186" s="78">
        <v>20</v>
      </c>
      <c r="R186" s="78" t="str">
        <f t="shared" si="41"/>
        <v xml:space="preserve"> </v>
      </c>
      <c r="S186" s="78">
        <f t="shared" si="42"/>
        <v>53.773122529644269</v>
      </c>
      <c r="T186" s="78">
        <f t="shared" si="37"/>
        <v>74.110671936758905</v>
      </c>
      <c r="U186" s="78" t="str">
        <f t="shared" si="43"/>
        <v/>
      </c>
      <c r="V186" s="78">
        <f>IFERROR(I186+O186, "")</f>
        <v>173.8</v>
      </c>
      <c r="W186" s="78">
        <f t="shared" si="44"/>
        <v>161</v>
      </c>
      <c r="X186" s="78">
        <f t="shared" si="45"/>
        <v>75.354000000000013</v>
      </c>
      <c r="Y186" s="78">
        <f t="shared" si="46"/>
        <v>71.13</v>
      </c>
      <c r="AA186" s="88" t="str">
        <f t="shared" si="47"/>
        <v/>
      </c>
      <c r="AB186" s="77" t="str">
        <f t="shared" si="38"/>
        <v/>
      </c>
      <c r="AD186" s="88" t="str">
        <f t="shared" si="48"/>
        <v/>
      </c>
      <c r="AE186" s="77" t="str">
        <f t="shared" si="39"/>
        <v/>
      </c>
    </row>
    <row r="187" spans="2:31" x14ac:dyDescent="0.35">
      <c r="B187">
        <v>2014</v>
      </c>
      <c r="C187">
        <v>3</v>
      </c>
      <c r="D187">
        <v>8</v>
      </c>
      <c r="E187" s="78">
        <f>'CRU historical'!F164</f>
        <v>15</v>
      </c>
      <c r="F187" s="78">
        <f>'CRU historical'!I164</f>
        <v>27</v>
      </c>
      <c r="G187" s="78" t="str">
        <f>'CRU historical'!L164</f>
        <v xml:space="preserve"> </v>
      </c>
      <c r="H187" s="78" t="str">
        <f>'CRU historical'!O164</f>
        <v xml:space="preserve"> </v>
      </c>
      <c r="I187" s="78">
        <f>'CRU historical'!R164</f>
        <v>153</v>
      </c>
      <c r="J187" s="78">
        <f>AVERAGE('CRU historical'!U164, 'CRU historical'!X164, 'CRU historical'!AA164, 'CRU historical'!AD164)</f>
        <v>140.5</v>
      </c>
      <c r="L187" s="78" cm="1">
        <f t="array" ref="L187">IFERROR(SUMPRODUCT(('Sulphuric Acid freights'!$B$3:$B$513=B197)*('Sulphuric Acid freights'!$D$3:$D$513=D187)*('Sulphuric Acid freights'!$P$3:$P$513))/SUMPRODUCT(('Sulphuric Acid freights'!$B$3:$B$513=B197)*('Sulphuric Acid freights'!$D$3:$D$513=D187)*1), AVERAGE('Sulphuric Acid freights'!$P$3:$P$513))*2/3</f>
        <v>54.110671936758898</v>
      </c>
      <c r="M187" s="78" cm="1">
        <f t="array" ref="M187">IFERROR(SUMPRODUCT(('Sulphuric Acid freights'!$B$3:$B$513=B197)*('Sulphuric Acid freights'!$D$3:$D$513=D187)*('Sulphuric Acid freights'!$M$3:$M$513))/SUMPRODUCT(('Sulphuric Acid freights'!$B$3:$B$513=B197)*('Sulphuric Acid freights'!$D$3:$D$513=D187)*1)*2/3, AVERAGE('Sulphuric Acid freights'!$M$3:$M$513))</f>
        <v>23.573122529644269</v>
      </c>
      <c r="N187" s="78">
        <f t="shared" si="40"/>
        <v>48.699604743083007</v>
      </c>
      <c r="O187" s="78" cm="1">
        <f t="array" ref="O187">IF(SUMPRODUCT(('Sulphur freight'!$B$3:$B$1976=B197)*('Sulphur freight'!$D$3:$D$1976=D187)*('Sulphur freight'!$G$3:$G$1976))/SUMPRODUCT(('Sulphur freight'!$B$3:$B$1976=B197)*('Sulphur freight'!$D$3:$D$1976=D187)*1)=0, AVERAGE('Sulphur freight'!$G$3:$G$1976),SUMPRODUCT(('Sulphur freight'!$B$3:$B$1976=B197)*('Sulphur freight'!$D$3:$D$1976=D187)*('Sulphur freight'!$G$3:$G$1976))/SUMPRODUCT(('Sulphur freight'!$B$3:$B$1976=B197)*('Sulphur freight'!$D$3:$D$1976=D187)*1))</f>
        <v>21.25</v>
      </c>
      <c r="P187" s="78">
        <v>20</v>
      </c>
      <c r="R187" s="78" t="str">
        <f t="shared" si="41"/>
        <v xml:space="preserve"> </v>
      </c>
      <c r="S187" s="78">
        <f t="shared" si="42"/>
        <v>50.573122529644266</v>
      </c>
      <c r="T187" s="78">
        <f t="shared" si="37"/>
        <v>69.110671936758905</v>
      </c>
      <c r="U187" s="78" t="str">
        <f t="shared" si="43"/>
        <v/>
      </c>
      <c r="V187" s="78">
        <f>IFERROR(I187+O187, "")</f>
        <v>174.25</v>
      </c>
      <c r="W187" s="78">
        <f t="shared" si="44"/>
        <v>160.5</v>
      </c>
      <c r="X187" s="78">
        <f t="shared" si="45"/>
        <v>75.502499999999998</v>
      </c>
      <c r="Y187" s="78">
        <f t="shared" si="46"/>
        <v>70.965000000000003</v>
      </c>
      <c r="AA187" s="88" t="str">
        <f t="shared" si="47"/>
        <v/>
      </c>
      <c r="AB187" s="77" t="str">
        <f t="shared" si="38"/>
        <v/>
      </c>
      <c r="AD187" s="88" t="str">
        <f t="shared" si="48"/>
        <v/>
      </c>
      <c r="AE187" s="77" t="str">
        <f t="shared" si="39"/>
        <v/>
      </c>
    </row>
    <row r="188" spans="2:31" x14ac:dyDescent="0.35">
      <c r="B188">
        <v>2014</v>
      </c>
      <c r="C188">
        <v>3</v>
      </c>
      <c r="D188">
        <v>9</v>
      </c>
      <c r="E188" s="78">
        <f>'CRU historical'!F165</f>
        <v>18</v>
      </c>
      <c r="F188" s="78">
        <f>'CRU historical'!I165</f>
        <v>18.25</v>
      </c>
      <c r="G188" s="78" t="str">
        <f>'CRU historical'!L165</f>
        <v xml:space="preserve"> </v>
      </c>
      <c r="H188" s="78" t="str">
        <f>'CRU historical'!O165</f>
        <v xml:space="preserve"> </v>
      </c>
      <c r="I188" s="78">
        <f>'CRU historical'!R165</f>
        <v>133.5</v>
      </c>
      <c r="J188" s="78">
        <f>AVERAGE('CRU historical'!U165, 'CRU historical'!X165, 'CRU historical'!AA165, 'CRU historical'!AD165)</f>
        <v>140.5</v>
      </c>
      <c r="L188" s="78" cm="1">
        <f t="array" ref="L188">IFERROR(SUMPRODUCT(('Sulphuric Acid freights'!$B$3:$B$513=B198)*('Sulphuric Acid freights'!$D$3:$D$513=D188)*('Sulphuric Acid freights'!$P$3:$P$513))/SUMPRODUCT(('Sulphuric Acid freights'!$B$3:$B$513=B198)*('Sulphuric Acid freights'!$D$3:$D$513=D188)*1), AVERAGE('Sulphuric Acid freights'!$P$3:$P$513))*2/3</f>
        <v>54.110671936758898</v>
      </c>
      <c r="M188" s="78" cm="1">
        <f t="array" ref="M188">IFERROR(SUMPRODUCT(('Sulphuric Acid freights'!$B$3:$B$513=B198)*('Sulphuric Acid freights'!$D$3:$D$513=D188)*('Sulphuric Acid freights'!$M$3:$M$513))/SUMPRODUCT(('Sulphuric Acid freights'!$B$3:$B$513=B198)*('Sulphuric Acid freights'!$D$3:$D$513=D188)*1)*2/3, AVERAGE('Sulphuric Acid freights'!$M$3:$M$513))</f>
        <v>23.573122529644269</v>
      </c>
      <c r="N188" s="78">
        <f t="shared" si="40"/>
        <v>48.699604743083007</v>
      </c>
      <c r="O188" s="78" cm="1">
        <f t="array" ref="O188">IF(SUMPRODUCT(('Sulphur freight'!$B$3:$B$1976=B198)*('Sulphur freight'!$D$3:$D$1976=D188)*('Sulphur freight'!$G$3:$G$1976))/SUMPRODUCT(('Sulphur freight'!$B$3:$B$1976=B198)*('Sulphur freight'!$D$3:$D$1976=D188)*1)=0, AVERAGE('Sulphur freight'!$G$3:$G$1976),SUMPRODUCT(('Sulphur freight'!$B$3:$B$1976=B198)*('Sulphur freight'!$D$3:$D$1976=D188)*('Sulphur freight'!$G$3:$G$1976))/SUMPRODUCT(('Sulphur freight'!$B$3:$B$1976=B198)*('Sulphur freight'!$D$3:$D$1976=D188)*1))</f>
        <v>21</v>
      </c>
      <c r="P188" s="78">
        <v>20</v>
      </c>
      <c r="R188" s="78" t="str">
        <f t="shared" si="41"/>
        <v xml:space="preserve"> </v>
      </c>
      <c r="S188" s="78">
        <f t="shared" si="42"/>
        <v>41.823122529644266</v>
      </c>
      <c r="T188" s="78">
        <f t="shared" si="37"/>
        <v>72.110671936758905</v>
      </c>
      <c r="U188" s="78" t="str">
        <f t="shared" si="43"/>
        <v/>
      </c>
      <c r="V188" s="78">
        <f>IFERROR(I188+O188, "")</f>
        <v>154.5</v>
      </c>
      <c r="W188" s="78">
        <f t="shared" si="44"/>
        <v>160.5</v>
      </c>
      <c r="X188" s="78">
        <f t="shared" si="45"/>
        <v>68.984999999999999</v>
      </c>
      <c r="Y188" s="78">
        <f t="shared" si="46"/>
        <v>70.965000000000003</v>
      </c>
      <c r="AA188" s="88" t="str">
        <f t="shared" si="47"/>
        <v/>
      </c>
      <c r="AB188" s="77" t="str">
        <f t="shared" si="38"/>
        <v/>
      </c>
      <c r="AD188" s="88" t="str">
        <f t="shared" si="48"/>
        <v/>
      </c>
      <c r="AE188" s="77" t="str">
        <f t="shared" si="39"/>
        <v/>
      </c>
    </row>
    <row r="189" spans="2:31" x14ac:dyDescent="0.35">
      <c r="B189">
        <v>2014</v>
      </c>
      <c r="C189">
        <v>4</v>
      </c>
      <c r="D189">
        <v>10</v>
      </c>
      <c r="E189" s="78">
        <f>'CRU historical'!F166</f>
        <v>15.4</v>
      </c>
      <c r="F189" s="78">
        <f>'CRU historical'!I166</f>
        <v>7.8</v>
      </c>
      <c r="G189" s="78" t="str">
        <f>'CRU historical'!L166</f>
        <v xml:space="preserve"> </v>
      </c>
      <c r="H189" s="78" t="str">
        <f>'CRU historical'!O166</f>
        <v xml:space="preserve"> </v>
      </c>
      <c r="I189" s="78">
        <f>'CRU historical'!R166</f>
        <v>113.8</v>
      </c>
      <c r="J189" s="78">
        <f>AVERAGE('CRU historical'!U166, 'CRU historical'!X166, 'CRU historical'!AA166, 'CRU historical'!AD166)</f>
        <v>140.5</v>
      </c>
      <c r="L189" s="78" cm="1">
        <f t="array" ref="L189">IFERROR(SUMPRODUCT(('Sulphuric Acid freights'!$B$3:$B$513=B199)*('Sulphuric Acid freights'!$D$3:$D$513=D189)*('Sulphuric Acid freights'!$P$3:$P$513))/SUMPRODUCT(('Sulphuric Acid freights'!$B$3:$B$513=B199)*('Sulphuric Acid freights'!$D$3:$D$513=D189)*1), AVERAGE('Sulphuric Acid freights'!$P$3:$P$513))*2/3</f>
        <v>54.110671936758898</v>
      </c>
      <c r="M189" s="78" cm="1">
        <f t="array" ref="M189">IFERROR(SUMPRODUCT(('Sulphuric Acid freights'!$B$3:$B$513=B199)*('Sulphuric Acid freights'!$D$3:$D$513=D189)*('Sulphuric Acid freights'!$M$3:$M$513))/SUMPRODUCT(('Sulphuric Acid freights'!$B$3:$B$513=B199)*('Sulphuric Acid freights'!$D$3:$D$513=D189)*1)*2/3, AVERAGE('Sulphuric Acid freights'!$M$3:$M$513))</f>
        <v>23.573122529644269</v>
      </c>
      <c r="N189" s="78">
        <f t="shared" si="40"/>
        <v>48.699604743083007</v>
      </c>
      <c r="O189" s="78" cm="1">
        <f t="array" ref="O189">IF(SUMPRODUCT(('Sulphur freight'!$B$3:$B$1976=B199)*('Sulphur freight'!$D$3:$D$1976=D189)*('Sulphur freight'!$G$3:$G$1976))/SUMPRODUCT(('Sulphur freight'!$B$3:$B$1976=B199)*('Sulphur freight'!$D$3:$D$1976=D189)*1)=0, AVERAGE('Sulphur freight'!$G$3:$G$1976),SUMPRODUCT(('Sulphur freight'!$B$3:$B$1976=B199)*('Sulphur freight'!$D$3:$D$1976=D189)*('Sulphur freight'!$G$3:$G$1976))/SUMPRODUCT(('Sulphur freight'!$B$3:$B$1976=B199)*('Sulphur freight'!$D$3:$D$1976=D189)*1))</f>
        <v>21.4</v>
      </c>
      <c r="P189" s="78">
        <v>20</v>
      </c>
      <c r="R189" s="78" t="str">
        <f t="shared" si="41"/>
        <v xml:space="preserve"> </v>
      </c>
      <c r="S189" s="78">
        <f t="shared" si="42"/>
        <v>31.37312252964427</v>
      </c>
      <c r="T189" s="78">
        <f t="shared" si="37"/>
        <v>69.510671936758897</v>
      </c>
      <c r="U189" s="78" t="str">
        <f t="shared" si="43"/>
        <v/>
      </c>
      <c r="V189" s="78">
        <f>IFERROR(I189+O189, "")</f>
        <v>135.19999999999999</v>
      </c>
      <c r="W189" s="78">
        <f t="shared" si="44"/>
        <v>160.5</v>
      </c>
      <c r="X189" s="78">
        <f t="shared" si="45"/>
        <v>62.616</v>
      </c>
      <c r="Y189" s="78">
        <f t="shared" si="46"/>
        <v>70.965000000000003</v>
      </c>
      <c r="AA189" s="88" t="str">
        <f t="shared" si="47"/>
        <v/>
      </c>
      <c r="AB189" s="77" t="str">
        <f t="shared" si="38"/>
        <v/>
      </c>
      <c r="AD189" s="88" t="str">
        <f t="shared" si="48"/>
        <v/>
      </c>
      <c r="AE189" s="77" t="str">
        <f t="shared" si="39"/>
        <v/>
      </c>
    </row>
    <row r="190" spans="2:31" x14ac:dyDescent="0.35">
      <c r="B190">
        <v>2015</v>
      </c>
      <c r="C190">
        <v>4</v>
      </c>
      <c r="D190">
        <v>11</v>
      </c>
      <c r="E190" s="78">
        <f>'CRU historical'!F167</f>
        <v>8.75</v>
      </c>
      <c r="F190" s="78">
        <f>'CRU historical'!I167</f>
        <v>5</v>
      </c>
      <c r="G190" s="78" t="str">
        <f>'CRU historical'!L167</f>
        <v xml:space="preserve"> </v>
      </c>
      <c r="H190" s="78" t="str">
        <f>'CRU historical'!O167</f>
        <v xml:space="preserve"> </v>
      </c>
      <c r="I190" s="78">
        <f>'CRU historical'!R167</f>
        <v>126.5</v>
      </c>
      <c r="J190" s="78">
        <f>AVERAGE('CRU historical'!U167, 'CRU historical'!X167, 'CRU historical'!AA167, 'CRU historical'!AD167)</f>
        <v>124.25</v>
      </c>
      <c r="L190" s="78" cm="1">
        <f t="array" ref="L190">IFERROR(SUMPRODUCT(('Sulphuric Acid freights'!$B$3:$B$513=B200)*('Sulphuric Acid freights'!$D$3:$D$513=D190)*('Sulphuric Acid freights'!$P$3:$P$513))/SUMPRODUCT(('Sulphuric Acid freights'!$B$3:$B$513=B200)*('Sulphuric Acid freights'!$D$3:$D$513=D190)*1), AVERAGE('Sulphuric Acid freights'!$P$3:$P$513))*2/3</f>
        <v>54.110671936758898</v>
      </c>
      <c r="M190" s="78" cm="1">
        <f t="array" ref="M190">IFERROR(SUMPRODUCT(('Sulphuric Acid freights'!$B$3:$B$513=B200)*('Sulphuric Acid freights'!$D$3:$D$513=D190)*('Sulphuric Acid freights'!$M$3:$M$513))/SUMPRODUCT(('Sulphuric Acid freights'!$B$3:$B$513=B200)*('Sulphuric Acid freights'!$D$3:$D$513=D190)*1)*2/3, AVERAGE('Sulphuric Acid freights'!$M$3:$M$513))</f>
        <v>23.573122529644269</v>
      </c>
      <c r="N190" s="78">
        <f t="shared" si="40"/>
        <v>48.699604743083007</v>
      </c>
      <c r="O190" s="78" cm="1">
        <f t="array" ref="O190">IF(SUMPRODUCT(('Sulphur freight'!$B$3:$B$1976=B200)*('Sulphur freight'!$D$3:$D$1976=D190)*('Sulphur freight'!$G$3:$G$1976))/SUMPRODUCT(('Sulphur freight'!$B$3:$B$1976=B200)*('Sulphur freight'!$D$3:$D$1976=D190)*1)=0, AVERAGE('Sulphur freight'!$G$3:$G$1976),SUMPRODUCT(('Sulphur freight'!$B$3:$B$1976=B200)*('Sulphur freight'!$D$3:$D$1976=D190)*('Sulphur freight'!$G$3:$G$1976))/SUMPRODUCT(('Sulphur freight'!$B$3:$B$1976=B200)*('Sulphur freight'!$D$3:$D$1976=D190)*1))</f>
        <v>18.75</v>
      </c>
      <c r="P190" s="78">
        <v>20</v>
      </c>
      <c r="R190" s="78" t="str">
        <f t="shared" si="41"/>
        <v xml:space="preserve"> </v>
      </c>
      <c r="S190" s="78">
        <f t="shared" si="42"/>
        <v>28.573122529644269</v>
      </c>
      <c r="T190" s="78">
        <f t="shared" si="37"/>
        <v>62.860671936758898</v>
      </c>
      <c r="U190" s="78" t="str">
        <f t="shared" si="43"/>
        <v/>
      </c>
      <c r="V190" s="78">
        <f>IFERROR(I190+O190, "")</f>
        <v>145.25</v>
      </c>
      <c r="W190" s="78">
        <f t="shared" si="44"/>
        <v>144.25</v>
      </c>
      <c r="X190" s="78">
        <f t="shared" si="45"/>
        <v>65.932500000000005</v>
      </c>
      <c r="Y190" s="78">
        <f t="shared" si="46"/>
        <v>65.602499999999992</v>
      </c>
      <c r="AA190" s="88" t="str">
        <f t="shared" si="47"/>
        <v/>
      </c>
      <c r="AB190" s="77" t="str">
        <f t="shared" si="38"/>
        <v/>
      </c>
      <c r="AD190" s="88" t="str">
        <f t="shared" si="48"/>
        <v/>
      </c>
      <c r="AE190" s="77" t="str">
        <f t="shared" si="39"/>
        <v/>
      </c>
    </row>
    <row r="191" spans="2:31" x14ac:dyDescent="0.35">
      <c r="B191">
        <v>2015</v>
      </c>
      <c r="C191">
        <v>4</v>
      </c>
      <c r="D191">
        <v>12</v>
      </c>
      <c r="E191" s="78">
        <f>'CRU historical'!F168</f>
        <v>5</v>
      </c>
      <c r="F191" s="78">
        <f>'CRU historical'!I168</f>
        <v>5</v>
      </c>
      <c r="G191" s="78" t="str">
        <f>'CRU historical'!L168</f>
        <v xml:space="preserve"> </v>
      </c>
      <c r="H191" s="78" t="str">
        <f>'CRU historical'!O168</f>
        <v xml:space="preserve"> </v>
      </c>
      <c r="I191" s="78">
        <f>'CRU historical'!R168</f>
        <v>132</v>
      </c>
      <c r="J191" s="78">
        <f>AVERAGE('CRU historical'!U168, 'CRU historical'!X168, 'CRU historical'!AA168, 'CRU historical'!AD168)</f>
        <v>108</v>
      </c>
      <c r="L191" s="78" cm="1">
        <f t="array" ref="L191">IFERROR(SUMPRODUCT(('Sulphuric Acid freights'!$B$3:$B$513=B201)*('Sulphuric Acid freights'!$D$3:$D$513=D191)*('Sulphuric Acid freights'!$P$3:$P$513))/SUMPRODUCT(('Sulphuric Acid freights'!$B$3:$B$513=B201)*('Sulphuric Acid freights'!$D$3:$D$513=D191)*1), AVERAGE('Sulphuric Acid freights'!$P$3:$P$513))*2/3</f>
        <v>54.110671936758898</v>
      </c>
      <c r="M191" s="78" cm="1">
        <f t="array" ref="M191">IFERROR(SUMPRODUCT(('Sulphuric Acid freights'!$B$3:$B$513=B201)*('Sulphuric Acid freights'!$D$3:$D$513=D191)*('Sulphuric Acid freights'!$M$3:$M$513))/SUMPRODUCT(('Sulphuric Acid freights'!$B$3:$B$513=B201)*('Sulphuric Acid freights'!$D$3:$D$513=D191)*1)*2/3, AVERAGE('Sulphuric Acid freights'!$M$3:$M$513))</f>
        <v>23.573122529644269</v>
      </c>
      <c r="N191" s="78">
        <f t="shared" si="40"/>
        <v>48.699604743083007</v>
      </c>
      <c r="O191" s="78" cm="1">
        <f t="array" ref="O191">IF(SUMPRODUCT(('Sulphur freight'!$B$3:$B$1976=B201)*('Sulphur freight'!$D$3:$D$1976=D191)*('Sulphur freight'!$G$3:$G$1976))/SUMPRODUCT(('Sulphur freight'!$B$3:$B$1976=B201)*('Sulphur freight'!$D$3:$D$1976=D191)*1)=0, AVERAGE('Sulphur freight'!$G$3:$G$1976),SUMPRODUCT(('Sulphur freight'!$B$3:$B$1976=B201)*('Sulphur freight'!$D$3:$D$1976=D191)*('Sulphur freight'!$G$3:$G$1976))/SUMPRODUCT(('Sulphur freight'!$B$3:$B$1976=B201)*('Sulphur freight'!$D$3:$D$1976=D191)*1))</f>
        <v>13.2</v>
      </c>
      <c r="P191" s="78">
        <v>20</v>
      </c>
      <c r="R191" s="78" t="str">
        <f t="shared" si="41"/>
        <v xml:space="preserve"> </v>
      </c>
      <c r="S191" s="78">
        <f t="shared" si="42"/>
        <v>28.573122529644269</v>
      </c>
      <c r="T191" s="78">
        <f t="shared" si="37"/>
        <v>59.110671936758898</v>
      </c>
      <c r="U191" s="78" t="str">
        <f t="shared" si="43"/>
        <v/>
      </c>
      <c r="V191" s="78">
        <f>IFERROR(I191+O191, "")</f>
        <v>145.19999999999999</v>
      </c>
      <c r="W191" s="78">
        <f t="shared" si="44"/>
        <v>128</v>
      </c>
      <c r="X191" s="78">
        <f t="shared" si="45"/>
        <v>65.915999999999997</v>
      </c>
      <c r="Y191" s="78">
        <f t="shared" si="46"/>
        <v>60.24</v>
      </c>
      <c r="AA191" s="88" t="str">
        <f t="shared" si="47"/>
        <v/>
      </c>
      <c r="AB191" s="77" t="str">
        <f t="shared" si="38"/>
        <v/>
      </c>
      <c r="AD191" s="88" t="str">
        <f t="shared" si="48"/>
        <v/>
      </c>
      <c r="AE191" s="77" t="str">
        <f t="shared" si="39"/>
        <v/>
      </c>
    </row>
    <row r="192" spans="2:31" x14ac:dyDescent="0.35">
      <c r="B192">
        <v>2015</v>
      </c>
      <c r="C192">
        <v>1</v>
      </c>
      <c r="D192">
        <v>1</v>
      </c>
      <c r="E192" s="78">
        <f>'CRU historical'!F169</f>
        <v>5</v>
      </c>
      <c r="F192" s="78">
        <f>'CRU historical'!I169</f>
        <v>5</v>
      </c>
      <c r="G192" s="78" t="str">
        <f>'CRU historical'!L169</f>
        <v xml:space="preserve"> </v>
      </c>
      <c r="H192" s="78" t="str">
        <f>'CRU historical'!O169</f>
        <v xml:space="preserve"> </v>
      </c>
      <c r="I192" s="78">
        <f>'CRU historical'!R169</f>
        <v>118.75</v>
      </c>
      <c r="J192" s="78">
        <f>AVERAGE('CRU historical'!U169, 'CRU historical'!X169, 'CRU historical'!AA169, 'CRU historical'!AD169)</f>
        <v>108</v>
      </c>
      <c r="L192" s="78" cm="1">
        <f t="array" ref="L192">IFERROR(SUMPRODUCT(('Sulphuric Acid freights'!$B$3:$B$513=B202)*('Sulphuric Acid freights'!$D$3:$D$513=D192)*('Sulphuric Acid freights'!$P$3:$P$513))/SUMPRODUCT(('Sulphuric Acid freights'!$B$3:$B$513=B202)*('Sulphuric Acid freights'!$D$3:$D$513=D192)*1), AVERAGE('Sulphuric Acid freights'!$P$3:$P$513))*2/3</f>
        <v>54.110671936758898</v>
      </c>
      <c r="M192" s="78" cm="1">
        <f t="array" ref="M192">IFERROR(SUMPRODUCT(('Sulphuric Acid freights'!$B$3:$B$513=B202)*('Sulphuric Acid freights'!$D$3:$D$513=D192)*('Sulphuric Acid freights'!$M$3:$M$513))/SUMPRODUCT(('Sulphuric Acid freights'!$B$3:$B$513=B202)*('Sulphuric Acid freights'!$D$3:$D$513=D192)*1)*2/3, AVERAGE('Sulphuric Acid freights'!$M$3:$M$513))</f>
        <v>23.573122529644269</v>
      </c>
      <c r="N192" s="78">
        <f t="shared" si="40"/>
        <v>48.699604743083007</v>
      </c>
      <c r="O192" s="78" cm="1">
        <f t="array" ref="O192">IF(SUMPRODUCT(('Sulphur freight'!$B$3:$B$1976=B202)*('Sulphur freight'!$D$3:$D$1976=D192)*('Sulphur freight'!$G$3:$G$1976))/SUMPRODUCT(('Sulphur freight'!$B$3:$B$1976=B202)*('Sulphur freight'!$D$3:$D$1976=D192)*1)=0, AVERAGE('Sulphur freight'!$G$3:$G$1976),SUMPRODUCT(('Sulphur freight'!$B$3:$B$1976=B202)*('Sulphur freight'!$D$3:$D$1976=D192)*('Sulphur freight'!$G$3:$G$1976))/SUMPRODUCT(('Sulphur freight'!$B$3:$B$1976=B202)*('Sulphur freight'!$D$3:$D$1976=D192)*1))</f>
        <v>13</v>
      </c>
      <c r="P192" s="78">
        <v>20</v>
      </c>
      <c r="R192" s="78" t="str">
        <f t="shared" si="41"/>
        <v xml:space="preserve"> </v>
      </c>
      <c r="S192" s="78">
        <f t="shared" si="42"/>
        <v>28.573122529644269</v>
      </c>
      <c r="T192" s="78">
        <f t="shared" si="37"/>
        <v>59.110671936758898</v>
      </c>
      <c r="U192" s="78" t="str">
        <f t="shared" si="43"/>
        <v/>
      </c>
      <c r="V192" s="78">
        <f>IFERROR(I192+O192, "")</f>
        <v>131.75</v>
      </c>
      <c r="W192" s="78">
        <f t="shared" si="44"/>
        <v>128</v>
      </c>
      <c r="X192" s="78">
        <f t="shared" si="45"/>
        <v>61.477499999999999</v>
      </c>
      <c r="Y192" s="78">
        <f t="shared" si="46"/>
        <v>60.24</v>
      </c>
      <c r="AA192" s="88" t="str">
        <f t="shared" si="47"/>
        <v/>
      </c>
      <c r="AB192" s="77" t="str">
        <f t="shared" si="38"/>
        <v/>
      </c>
      <c r="AD192" s="88" t="str">
        <f t="shared" si="48"/>
        <v/>
      </c>
      <c r="AE192" s="77" t="str">
        <f t="shared" si="39"/>
        <v/>
      </c>
    </row>
    <row r="193" spans="2:31" x14ac:dyDescent="0.35">
      <c r="B193">
        <v>2015</v>
      </c>
      <c r="C193">
        <v>1</v>
      </c>
      <c r="D193">
        <v>2</v>
      </c>
      <c r="E193" s="78">
        <f>'CRU historical'!F170</f>
        <v>2.5</v>
      </c>
      <c r="F193" s="78">
        <f>'CRU historical'!I170</f>
        <v>5</v>
      </c>
      <c r="G193" s="78" t="str">
        <f>'CRU historical'!L170</f>
        <v xml:space="preserve"> </v>
      </c>
      <c r="H193" s="78" t="str">
        <f>'CRU historical'!O170</f>
        <v xml:space="preserve"> </v>
      </c>
      <c r="I193" s="78">
        <f>'CRU historical'!R170</f>
        <v>96</v>
      </c>
      <c r="J193" s="78">
        <f>AVERAGE('CRU historical'!U170, 'CRU historical'!X170, 'CRU historical'!AA170, 'CRU historical'!AD170)</f>
        <v>105.75</v>
      </c>
      <c r="L193" s="78" cm="1">
        <f t="array" ref="L193">IFERROR(SUMPRODUCT(('Sulphuric Acid freights'!$B$3:$B$513=B203)*('Sulphuric Acid freights'!$D$3:$D$513=D193)*('Sulphuric Acid freights'!$P$3:$P$513))/SUMPRODUCT(('Sulphuric Acid freights'!$B$3:$B$513=B203)*('Sulphuric Acid freights'!$D$3:$D$513=D193)*1), AVERAGE('Sulphuric Acid freights'!$P$3:$P$513))*2/3</f>
        <v>54.110671936758898</v>
      </c>
      <c r="M193" s="78" cm="1">
        <f t="array" ref="M193">IFERROR(SUMPRODUCT(('Sulphuric Acid freights'!$B$3:$B$513=B203)*('Sulphuric Acid freights'!$D$3:$D$513=D193)*('Sulphuric Acid freights'!$M$3:$M$513))/SUMPRODUCT(('Sulphuric Acid freights'!$B$3:$B$513=B203)*('Sulphuric Acid freights'!$D$3:$D$513=D193)*1)*2/3, AVERAGE('Sulphuric Acid freights'!$M$3:$M$513))</f>
        <v>23.573122529644269</v>
      </c>
      <c r="N193" s="78">
        <f t="shared" si="40"/>
        <v>48.699604743083007</v>
      </c>
      <c r="O193" s="78" cm="1">
        <f t="array" ref="O193">IF(SUMPRODUCT(('Sulphur freight'!$B$3:$B$1976=B203)*('Sulphur freight'!$D$3:$D$1976=D193)*('Sulphur freight'!$G$3:$G$1976))/SUMPRODUCT(('Sulphur freight'!$B$3:$B$1976=B203)*('Sulphur freight'!$D$3:$D$1976=D193)*1)=0, AVERAGE('Sulphur freight'!$G$3:$G$1976),SUMPRODUCT(('Sulphur freight'!$B$3:$B$1976=B203)*('Sulphur freight'!$D$3:$D$1976=D193)*('Sulphur freight'!$G$3:$G$1976))/SUMPRODUCT(('Sulphur freight'!$B$3:$B$1976=B203)*('Sulphur freight'!$D$3:$D$1976=D193)*1))</f>
        <v>12.25</v>
      </c>
      <c r="P193" s="78">
        <v>20</v>
      </c>
      <c r="R193" s="78" t="str">
        <f t="shared" si="41"/>
        <v xml:space="preserve"> </v>
      </c>
      <c r="S193" s="78">
        <f t="shared" si="42"/>
        <v>28.573122529644269</v>
      </c>
      <c r="T193" s="78">
        <f t="shared" si="37"/>
        <v>56.610671936758898</v>
      </c>
      <c r="U193" s="78" t="str">
        <f t="shared" si="43"/>
        <v/>
      </c>
      <c r="V193" s="78">
        <f>IFERROR(I193+O193, "")</f>
        <v>108.25</v>
      </c>
      <c r="W193" s="78">
        <f t="shared" si="44"/>
        <v>125.75</v>
      </c>
      <c r="X193" s="78">
        <f t="shared" si="45"/>
        <v>53.722500000000004</v>
      </c>
      <c r="Y193" s="78">
        <f t="shared" si="46"/>
        <v>59.497500000000002</v>
      </c>
      <c r="AA193" s="88" t="str">
        <f t="shared" si="47"/>
        <v/>
      </c>
      <c r="AB193" s="77" t="str">
        <f t="shared" si="38"/>
        <v/>
      </c>
      <c r="AD193" s="88" t="str">
        <f t="shared" si="48"/>
        <v/>
      </c>
      <c r="AE193" s="77" t="str">
        <f t="shared" si="39"/>
        <v/>
      </c>
    </row>
    <row r="194" spans="2:31" x14ac:dyDescent="0.35">
      <c r="B194">
        <v>2015</v>
      </c>
      <c r="C194">
        <v>1</v>
      </c>
      <c r="D194">
        <v>3</v>
      </c>
      <c r="E194" s="78">
        <f>'CRU historical'!F171</f>
        <v>-3.6</v>
      </c>
      <c r="F194" s="78">
        <f>'CRU historical'!I171</f>
        <v>2.2000000000000002</v>
      </c>
      <c r="G194" s="78" t="str">
        <f>'CRU historical'!L171</f>
        <v xml:space="preserve"> </v>
      </c>
      <c r="H194" s="78" t="str">
        <f>'CRU historical'!O171</f>
        <v xml:space="preserve"> </v>
      </c>
      <c r="I194" s="78">
        <f>'CRU historical'!R171</f>
        <v>85</v>
      </c>
      <c r="J194" s="78">
        <f>AVERAGE('CRU historical'!U171, 'CRU historical'!X171, 'CRU historical'!AA171, 'CRU historical'!AD171)</f>
        <v>105</v>
      </c>
      <c r="L194" s="78" cm="1">
        <f t="array" ref="L194">IFERROR(SUMPRODUCT(('Sulphuric Acid freights'!$B$3:$B$513=B204)*('Sulphuric Acid freights'!$D$3:$D$513=D194)*('Sulphuric Acid freights'!$P$3:$P$513))/SUMPRODUCT(('Sulphuric Acid freights'!$B$3:$B$513=B204)*('Sulphuric Acid freights'!$D$3:$D$513=D194)*1), AVERAGE('Sulphuric Acid freights'!$P$3:$P$513))*2/3</f>
        <v>36</v>
      </c>
      <c r="M194" s="78" cm="1">
        <f t="array" ref="M194">IFERROR(SUMPRODUCT(('Sulphuric Acid freights'!$B$3:$B$513=B204)*('Sulphuric Acid freights'!$D$3:$D$513=D194)*('Sulphuric Acid freights'!$M$3:$M$513))/SUMPRODUCT(('Sulphuric Acid freights'!$B$3:$B$513=B204)*('Sulphuric Acid freights'!$D$3:$D$513=D194)*1)*2/3, AVERAGE('Sulphuric Acid freights'!$M$3:$M$513))</f>
        <v>16</v>
      </c>
      <c r="N194" s="78">
        <f t="shared" si="40"/>
        <v>32.4</v>
      </c>
      <c r="O194" s="78" cm="1">
        <f t="array" ref="O194">IF(SUMPRODUCT(('Sulphur freight'!$B$3:$B$1976=B204)*('Sulphur freight'!$D$3:$D$1976=D194)*('Sulphur freight'!$G$3:$G$1976))/SUMPRODUCT(('Sulphur freight'!$B$3:$B$1976=B204)*('Sulphur freight'!$D$3:$D$1976=D194)*1)=0, AVERAGE('Sulphur freight'!$G$3:$G$1976),SUMPRODUCT(('Sulphur freight'!$B$3:$B$1976=B204)*('Sulphur freight'!$D$3:$D$1976=D194)*('Sulphur freight'!$G$3:$G$1976))/SUMPRODUCT(('Sulphur freight'!$B$3:$B$1976=B204)*('Sulphur freight'!$D$3:$D$1976=D194)*1))</f>
        <v>15.2</v>
      </c>
      <c r="P194" s="78">
        <v>20</v>
      </c>
      <c r="R194" s="78" t="str">
        <f t="shared" si="41"/>
        <v xml:space="preserve"> </v>
      </c>
      <c r="S194" s="78">
        <f t="shared" si="42"/>
        <v>18.2</v>
      </c>
      <c r="T194" s="78">
        <f t="shared" si="37"/>
        <v>32.4</v>
      </c>
      <c r="U194" s="78" t="str">
        <f t="shared" si="43"/>
        <v/>
      </c>
      <c r="V194" s="78">
        <f>IFERROR(I194+O194, "")</f>
        <v>100.2</v>
      </c>
      <c r="W194" s="78">
        <f t="shared" si="44"/>
        <v>125</v>
      </c>
      <c r="X194" s="78">
        <f t="shared" si="45"/>
        <v>51.066000000000003</v>
      </c>
      <c r="Y194" s="78">
        <f t="shared" si="46"/>
        <v>59.25</v>
      </c>
      <c r="AA194" s="88" t="str">
        <f t="shared" si="47"/>
        <v/>
      </c>
      <c r="AB194" s="77" t="str">
        <f t="shared" si="38"/>
        <v/>
      </c>
      <c r="AD194" s="88" t="str">
        <f t="shared" si="48"/>
        <v/>
      </c>
      <c r="AE194" s="77" t="str">
        <f t="shared" si="39"/>
        <v/>
      </c>
    </row>
    <row r="195" spans="2:31" x14ac:dyDescent="0.35">
      <c r="B195">
        <v>2015</v>
      </c>
      <c r="C195">
        <v>2</v>
      </c>
      <c r="D195">
        <v>4</v>
      </c>
      <c r="E195" s="78">
        <f>'CRU historical'!F172</f>
        <v>-5</v>
      </c>
      <c r="F195" s="78">
        <f>'CRU historical'!I172</f>
        <v>5</v>
      </c>
      <c r="G195" s="78" t="str">
        <f>'CRU historical'!L172</f>
        <v xml:space="preserve"> </v>
      </c>
      <c r="H195" s="78" t="str">
        <f>'CRU historical'!O172</f>
        <v xml:space="preserve"> </v>
      </c>
      <c r="I195" s="78">
        <f>'CRU historical'!R172</f>
        <v>83</v>
      </c>
      <c r="J195" s="78">
        <f>AVERAGE('CRU historical'!U172, 'CRU historical'!X172, 'CRU historical'!AA172, 'CRU historical'!AD172)</f>
        <v>90</v>
      </c>
      <c r="L195" s="78" cm="1">
        <f t="array" ref="L195">IFERROR(SUMPRODUCT(('Sulphuric Acid freights'!$B$3:$B$513=B205)*('Sulphuric Acid freights'!$D$3:$D$513=D195)*('Sulphuric Acid freights'!$P$3:$P$513))/SUMPRODUCT(('Sulphuric Acid freights'!$B$3:$B$513=B205)*('Sulphuric Acid freights'!$D$3:$D$513=D195)*1), AVERAGE('Sulphuric Acid freights'!$P$3:$P$513))*2/3</f>
        <v>36</v>
      </c>
      <c r="M195" s="78" cm="1">
        <f t="array" ref="M195">IFERROR(SUMPRODUCT(('Sulphuric Acid freights'!$B$3:$B$513=B205)*('Sulphuric Acid freights'!$D$3:$D$513=D195)*('Sulphuric Acid freights'!$M$3:$M$513))/SUMPRODUCT(('Sulphuric Acid freights'!$B$3:$B$513=B205)*('Sulphuric Acid freights'!$D$3:$D$513=D195)*1)*2/3, AVERAGE('Sulphuric Acid freights'!$M$3:$M$513))</f>
        <v>16</v>
      </c>
      <c r="N195" s="78">
        <f t="shared" si="40"/>
        <v>32.4</v>
      </c>
      <c r="O195" s="78" cm="1">
        <f t="array" ref="O195">IF(SUMPRODUCT(('Sulphur freight'!$B$3:$B$1976=B205)*('Sulphur freight'!$D$3:$D$1976=D195)*('Sulphur freight'!$G$3:$G$1976))/SUMPRODUCT(('Sulphur freight'!$B$3:$B$1976=B205)*('Sulphur freight'!$D$3:$D$1976=D195)*1)=0, AVERAGE('Sulphur freight'!$G$3:$G$1976),SUMPRODUCT(('Sulphur freight'!$B$3:$B$1976=B205)*('Sulphur freight'!$D$3:$D$1976=D195)*('Sulphur freight'!$G$3:$G$1976))/SUMPRODUCT(('Sulphur freight'!$B$3:$B$1976=B205)*('Sulphur freight'!$D$3:$D$1976=D195)*1))</f>
        <v>15.25</v>
      </c>
      <c r="P195" s="78">
        <v>20</v>
      </c>
      <c r="R195" s="78" t="str">
        <f t="shared" si="41"/>
        <v xml:space="preserve"> </v>
      </c>
      <c r="S195" s="78">
        <f t="shared" si="42"/>
        <v>21</v>
      </c>
      <c r="T195" s="78">
        <f t="shared" si="37"/>
        <v>31</v>
      </c>
      <c r="U195" s="78" t="str">
        <f t="shared" si="43"/>
        <v/>
      </c>
      <c r="V195" s="78">
        <f>IFERROR(I195+O195, "")</f>
        <v>98.25</v>
      </c>
      <c r="W195" s="78">
        <f t="shared" si="44"/>
        <v>110</v>
      </c>
      <c r="X195" s="78">
        <f t="shared" si="45"/>
        <v>50.422499999999999</v>
      </c>
      <c r="Y195" s="78">
        <f t="shared" si="46"/>
        <v>54.300000000000004</v>
      </c>
      <c r="AA195" s="88" t="str">
        <f t="shared" si="47"/>
        <v/>
      </c>
      <c r="AB195" s="77" t="str">
        <f t="shared" si="38"/>
        <v/>
      </c>
      <c r="AD195" s="88" t="str">
        <f t="shared" si="48"/>
        <v/>
      </c>
      <c r="AE195" s="77" t="str">
        <f t="shared" si="39"/>
        <v/>
      </c>
    </row>
    <row r="196" spans="2:31" x14ac:dyDescent="0.35">
      <c r="B196">
        <v>2015</v>
      </c>
      <c r="C196">
        <v>2</v>
      </c>
      <c r="D196">
        <v>5</v>
      </c>
      <c r="E196" s="78">
        <f>'CRU historical'!F173</f>
        <v>-5</v>
      </c>
      <c r="F196" s="78">
        <f>'CRU historical'!I173</f>
        <v>5</v>
      </c>
      <c r="G196" s="78" t="str">
        <f>'CRU historical'!L173</f>
        <v xml:space="preserve"> </v>
      </c>
      <c r="H196" s="78" t="str">
        <f>'CRU historical'!O173</f>
        <v xml:space="preserve"> </v>
      </c>
      <c r="I196" s="78">
        <f>'CRU historical'!R173</f>
        <v>83</v>
      </c>
      <c r="J196" s="78">
        <f>AVERAGE('CRU historical'!U173, 'CRU historical'!X173, 'CRU historical'!AA173, 'CRU historical'!AD173)</f>
        <v>75</v>
      </c>
      <c r="L196" s="78" cm="1">
        <f t="array" ref="L196">IFERROR(SUMPRODUCT(('Sulphuric Acid freights'!$B$3:$B$513=B206)*('Sulphuric Acid freights'!$D$3:$D$513=D196)*('Sulphuric Acid freights'!$P$3:$P$513))/SUMPRODUCT(('Sulphuric Acid freights'!$B$3:$B$513=B206)*('Sulphuric Acid freights'!$D$3:$D$513=D196)*1), AVERAGE('Sulphuric Acid freights'!$P$3:$P$513))*2/3</f>
        <v>36</v>
      </c>
      <c r="M196" s="78" cm="1">
        <f t="array" ref="M196">IFERROR(SUMPRODUCT(('Sulphuric Acid freights'!$B$3:$B$513=B206)*('Sulphuric Acid freights'!$D$3:$D$513=D196)*('Sulphuric Acid freights'!$M$3:$M$513))/SUMPRODUCT(('Sulphuric Acid freights'!$B$3:$B$513=B206)*('Sulphuric Acid freights'!$D$3:$D$513=D196)*1)*2/3, AVERAGE('Sulphuric Acid freights'!$M$3:$M$513))</f>
        <v>16</v>
      </c>
      <c r="N196" s="78">
        <f t="shared" si="40"/>
        <v>32.4</v>
      </c>
      <c r="O196" s="78" cm="1">
        <f t="array" ref="O196">IF(SUMPRODUCT(('Sulphur freight'!$B$3:$B$1976=B206)*('Sulphur freight'!$D$3:$D$1976=D196)*('Sulphur freight'!$G$3:$G$1976))/SUMPRODUCT(('Sulphur freight'!$B$3:$B$1976=B206)*('Sulphur freight'!$D$3:$D$1976=D196)*1)=0, AVERAGE('Sulphur freight'!$G$3:$G$1976),SUMPRODUCT(('Sulphur freight'!$B$3:$B$1976=B206)*('Sulphur freight'!$D$3:$D$1976=D196)*('Sulphur freight'!$G$3:$G$1976))/SUMPRODUCT(('Sulphur freight'!$B$3:$B$1976=B206)*('Sulphur freight'!$D$3:$D$1976=D196)*1))</f>
        <v>16.5</v>
      </c>
      <c r="P196" s="78">
        <v>20</v>
      </c>
      <c r="R196" s="78" t="str">
        <f t="shared" si="41"/>
        <v xml:space="preserve"> </v>
      </c>
      <c r="S196" s="78">
        <f t="shared" si="42"/>
        <v>21</v>
      </c>
      <c r="T196" s="78">
        <f t="shared" si="37"/>
        <v>31</v>
      </c>
      <c r="U196" s="78" t="str">
        <f t="shared" si="43"/>
        <v/>
      </c>
      <c r="V196" s="78">
        <f>IFERROR(I196+O196, "")</f>
        <v>99.5</v>
      </c>
      <c r="W196" s="78">
        <f t="shared" si="44"/>
        <v>95</v>
      </c>
      <c r="X196" s="78">
        <f t="shared" si="45"/>
        <v>50.835000000000001</v>
      </c>
      <c r="Y196" s="78">
        <f t="shared" si="46"/>
        <v>49.35</v>
      </c>
      <c r="AA196" s="88" t="str">
        <f t="shared" si="47"/>
        <v/>
      </c>
      <c r="AB196" s="77" t="str">
        <f t="shared" si="38"/>
        <v/>
      </c>
      <c r="AD196" s="88" t="str">
        <f t="shared" si="48"/>
        <v/>
      </c>
      <c r="AE196" s="77" t="str">
        <f t="shared" si="39"/>
        <v/>
      </c>
    </row>
    <row r="197" spans="2:31" x14ac:dyDescent="0.35">
      <c r="B197">
        <v>2015</v>
      </c>
      <c r="C197">
        <v>2</v>
      </c>
      <c r="D197">
        <v>6</v>
      </c>
      <c r="E197" s="78">
        <f>'CRU historical'!F174</f>
        <v>-5</v>
      </c>
      <c r="F197" s="78">
        <f>'CRU historical'!I174</f>
        <v>5</v>
      </c>
      <c r="G197" s="78" t="str">
        <f>'CRU historical'!L174</f>
        <v xml:space="preserve"> </v>
      </c>
      <c r="H197" s="78" t="str">
        <f>'CRU historical'!O174</f>
        <v xml:space="preserve"> </v>
      </c>
      <c r="I197" s="78">
        <f>'CRU historical'!R174</f>
        <v>81.8</v>
      </c>
      <c r="J197" s="78">
        <f>AVERAGE('CRU historical'!U174, 'CRU historical'!X174, 'CRU historical'!AA174, 'CRU historical'!AD174)</f>
        <v>75</v>
      </c>
      <c r="L197" s="78" cm="1">
        <f t="array" ref="L197">IFERROR(SUMPRODUCT(('Sulphuric Acid freights'!$B$3:$B$513=B207)*('Sulphuric Acid freights'!$D$3:$D$513=D197)*('Sulphuric Acid freights'!$P$3:$P$513))/SUMPRODUCT(('Sulphuric Acid freights'!$B$3:$B$513=B207)*('Sulphuric Acid freights'!$D$3:$D$513=D197)*1), AVERAGE('Sulphuric Acid freights'!$P$3:$P$513))*2/3</f>
        <v>36</v>
      </c>
      <c r="M197" s="78" cm="1">
        <f t="array" ref="M197">IFERROR(SUMPRODUCT(('Sulphuric Acid freights'!$B$3:$B$513=B207)*('Sulphuric Acid freights'!$D$3:$D$513=D197)*('Sulphuric Acid freights'!$M$3:$M$513))/SUMPRODUCT(('Sulphuric Acid freights'!$B$3:$B$513=B207)*('Sulphuric Acid freights'!$D$3:$D$513=D197)*1)*2/3, AVERAGE('Sulphuric Acid freights'!$M$3:$M$513))</f>
        <v>16</v>
      </c>
      <c r="N197" s="78">
        <f t="shared" si="40"/>
        <v>32.4</v>
      </c>
      <c r="O197" s="78" cm="1">
        <f t="array" ref="O197">IF(SUMPRODUCT(('Sulphur freight'!$B$3:$B$1976=B207)*('Sulphur freight'!$D$3:$D$1976=D197)*('Sulphur freight'!$G$3:$G$1976))/SUMPRODUCT(('Sulphur freight'!$B$3:$B$1976=B207)*('Sulphur freight'!$D$3:$D$1976=D197)*1)=0, AVERAGE('Sulphur freight'!$G$3:$G$1976),SUMPRODUCT(('Sulphur freight'!$B$3:$B$1976=B207)*('Sulphur freight'!$D$3:$D$1976=D197)*('Sulphur freight'!$G$3:$G$1976))/SUMPRODUCT(('Sulphur freight'!$B$3:$B$1976=B207)*('Sulphur freight'!$D$3:$D$1976=D197)*1))</f>
        <v>15</v>
      </c>
      <c r="P197" s="78">
        <v>20</v>
      </c>
      <c r="R197" s="78" t="str">
        <f t="shared" si="41"/>
        <v xml:space="preserve"> </v>
      </c>
      <c r="S197" s="78">
        <f t="shared" si="42"/>
        <v>21</v>
      </c>
      <c r="T197" s="78">
        <f t="shared" si="37"/>
        <v>31</v>
      </c>
      <c r="U197" s="78" t="str">
        <f t="shared" si="43"/>
        <v/>
      </c>
      <c r="V197" s="78">
        <f>IFERROR(I197+O197, "")</f>
        <v>96.8</v>
      </c>
      <c r="W197" s="78">
        <f t="shared" si="44"/>
        <v>95</v>
      </c>
      <c r="X197" s="78">
        <f t="shared" si="45"/>
        <v>49.944000000000003</v>
      </c>
      <c r="Y197" s="78">
        <f t="shared" si="46"/>
        <v>49.35</v>
      </c>
      <c r="AA197" s="88" t="str">
        <f t="shared" si="47"/>
        <v/>
      </c>
      <c r="AB197" s="77" t="str">
        <f t="shared" si="38"/>
        <v/>
      </c>
      <c r="AD197" s="88" t="str">
        <f t="shared" si="48"/>
        <v/>
      </c>
      <c r="AE197" s="77" t="str">
        <f t="shared" si="39"/>
        <v/>
      </c>
    </row>
    <row r="198" spans="2:31" x14ac:dyDescent="0.35">
      <c r="B198">
        <v>2015</v>
      </c>
      <c r="C198">
        <v>3</v>
      </c>
      <c r="D198">
        <v>7</v>
      </c>
      <c r="E198" s="78">
        <f>'CRU historical'!F175</f>
        <v>-3</v>
      </c>
      <c r="F198" s="78">
        <f>'CRU historical'!I175</f>
        <v>8.75</v>
      </c>
      <c r="G198" s="78" t="str">
        <f>'CRU historical'!L175</f>
        <v xml:space="preserve"> </v>
      </c>
      <c r="H198" s="78" t="str">
        <f>'CRU historical'!O175</f>
        <v xml:space="preserve"> </v>
      </c>
      <c r="I198" s="78">
        <f>'CRU historical'!R175</f>
        <v>74.5</v>
      </c>
      <c r="J198" s="78">
        <f>AVERAGE('CRU historical'!U175, 'CRU historical'!X175, 'CRU historical'!AA175, 'CRU historical'!AD175)</f>
        <v>75</v>
      </c>
      <c r="L198" s="78" cm="1">
        <f t="array" ref="L198">IFERROR(SUMPRODUCT(('Sulphuric Acid freights'!$B$3:$B$513=B208)*('Sulphuric Acid freights'!$D$3:$D$513=D198)*('Sulphuric Acid freights'!$P$3:$P$513))/SUMPRODUCT(('Sulphuric Acid freights'!$B$3:$B$513=B208)*('Sulphuric Acid freights'!$D$3:$D$513=D198)*1), AVERAGE('Sulphuric Acid freights'!$P$3:$P$513))*2/3</f>
        <v>36</v>
      </c>
      <c r="M198" s="78" cm="1">
        <f t="array" ref="M198">IFERROR(SUMPRODUCT(('Sulphuric Acid freights'!$B$3:$B$513=B208)*('Sulphuric Acid freights'!$D$3:$D$513=D198)*('Sulphuric Acid freights'!$M$3:$M$513))/SUMPRODUCT(('Sulphuric Acid freights'!$B$3:$B$513=B208)*('Sulphuric Acid freights'!$D$3:$D$513=D198)*1)*2/3, AVERAGE('Sulphuric Acid freights'!$M$3:$M$513))</f>
        <v>16</v>
      </c>
      <c r="N198" s="78">
        <f t="shared" si="40"/>
        <v>32.4</v>
      </c>
      <c r="O198" s="78" cm="1">
        <f t="array" ref="O198">IF(SUMPRODUCT(('Sulphur freight'!$B$3:$B$1976=B208)*('Sulphur freight'!$D$3:$D$1976=D198)*('Sulphur freight'!$G$3:$G$1976))/SUMPRODUCT(('Sulphur freight'!$B$3:$B$1976=B208)*('Sulphur freight'!$D$3:$D$1976=D198)*1)=0, AVERAGE('Sulphur freight'!$G$3:$G$1976),SUMPRODUCT(('Sulphur freight'!$B$3:$B$1976=B208)*('Sulphur freight'!$D$3:$D$1976=D198)*('Sulphur freight'!$G$3:$G$1976))/SUMPRODUCT(('Sulphur freight'!$B$3:$B$1976=B208)*('Sulphur freight'!$D$3:$D$1976=D198)*1))</f>
        <v>15</v>
      </c>
      <c r="P198" s="78">
        <v>20</v>
      </c>
      <c r="R198" s="78" t="str">
        <f t="shared" si="41"/>
        <v xml:space="preserve"> </v>
      </c>
      <c r="S198" s="78">
        <f t="shared" si="42"/>
        <v>24.75</v>
      </c>
      <c r="T198" s="78">
        <f t="shared" si="37"/>
        <v>33</v>
      </c>
      <c r="U198" s="78" t="str">
        <f t="shared" si="43"/>
        <v/>
      </c>
      <c r="V198" s="78">
        <f>IFERROR(I198+O198, "")</f>
        <v>89.5</v>
      </c>
      <c r="W198" s="78">
        <f t="shared" si="44"/>
        <v>95</v>
      </c>
      <c r="X198" s="78">
        <f t="shared" si="45"/>
        <v>47.534999999999997</v>
      </c>
      <c r="Y198" s="78">
        <f t="shared" si="46"/>
        <v>49.35</v>
      </c>
      <c r="AA198" s="88" t="str">
        <f t="shared" si="47"/>
        <v/>
      </c>
      <c r="AB198" s="77" t="str">
        <f t="shared" si="38"/>
        <v/>
      </c>
      <c r="AD198" s="88" t="str">
        <f t="shared" si="48"/>
        <v/>
      </c>
      <c r="AE198" s="77" t="str">
        <f t="shared" si="39"/>
        <v/>
      </c>
    </row>
    <row r="199" spans="2:31" x14ac:dyDescent="0.35">
      <c r="B199">
        <v>2015</v>
      </c>
      <c r="C199">
        <v>3</v>
      </c>
      <c r="D199">
        <v>8</v>
      </c>
      <c r="E199" s="78">
        <f>'CRU historical'!F176</f>
        <v>0</v>
      </c>
      <c r="F199" s="78">
        <f>'CRU historical'!I176</f>
        <v>12.5</v>
      </c>
      <c r="G199" s="78" t="str">
        <f>'CRU historical'!L176</f>
        <v xml:space="preserve"> </v>
      </c>
      <c r="H199" s="78" t="str">
        <f>'CRU historical'!O176</f>
        <v xml:space="preserve"> </v>
      </c>
      <c r="I199" s="78">
        <f>'CRU historical'!R176</f>
        <v>69.25</v>
      </c>
      <c r="J199" s="78">
        <f>AVERAGE('CRU historical'!U176, 'CRU historical'!X176, 'CRU historical'!AA176, 'CRU historical'!AD176)</f>
        <v>73.5</v>
      </c>
      <c r="L199" s="78" cm="1">
        <f t="array" ref="L199">IFERROR(SUMPRODUCT(('Sulphuric Acid freights'!$B$3:$B$513=B209)*('Sulphuric Acid freights'!$D$3:$D$513=D199)*('Sulphuric Acid freights'!$P$3:$P$513))/SUMPRODUCT(('Sulphuric Acid freights'!$B$3:$B$513=B209)*('Sulphuric Acid freights'!$D$3:$D$513=D199)*1), AVERAGE('Sulphuric Acid freights'!$P$3:$P$513))*2/3</f>
        <v>32</v>
      </c>
      <c r="M199" s="78" cm="1">
        <f t="array" ref="M199">IFERROR(SUMPRODUCT(('Sulphuric Acid freights'!$B$3:$B$513=B209)*('Sulphuric Acid freights'!$D$3:$D$513=D199)*('Sulphuric Acid freights'!$M$3:$M$513))/SUMPRODUCT(('Sulphuric Acid freights'!$B$3:$B$513=B209)*('Sulphuric Acid freights'!$D$3:$D$513=D199)*1)*2/3, AVERAGE('Sulphuric Acid freights'!$M$3:$M$513))</f>
        <v>14.666666666666666</v>
      </c>
      <c r="N199" s="78">
        <f t="shared" si="40"/>
        <v>28.8</v>
      </c>
      <c r="O199" s="78" cm="1">
        <f t="array" ref="O199">IF(SUMPRODUCT(('Sulphur freight'!$B$3:$B$1976=B209)*('Sulphur freight'!$D$3:$D$1976=D199)*('Sulphur freight'!$G$3:$G$1976))/SUMPRODUCT(('Sulphur freight'!$B$3:$B$1976=B209)*('Sulphur freight'!$D$3:$D$1976=D199)*1)=0, AVERAGE('Sulphur freight'!$G$3:$G$1976),SUMPRODUCT(('Sulphur freight'!$B$3:$B$1976=B209)*('Sulphur freight'!$D$3:$D$1976=D199)*('Sulphur freight'!$G$3:$G$1976))/SUMPRODUCT(('Sulphur freight'!$B$3:$B$1976=B209)*('Sulphur freight'!$D$3:$D$1976=D199)*1))</f>
        <v>14.25</v>
      </c>
      <c r="P199" s="78">
        <v>20</v>
      </c>
      <c r="R199" s="78" t="str">
        <f t="shared" si="41"/>
        <v xml:space="preserve"> </v>
      </c>
      <c r="S199" s="78">
        <f t="shared" si="42"/>
        <v>27.166666666666664</v>
      </c>
      <c r="T199" s="78">
        <f t="shared" si="37"/>
        <v>32</v>
      </c>
      <c r="U199" s="78" t="str">
        <f t="shared" si="43"/>
        <v/>
      </c>
      <c r="V199" s="78">
        <f>IFERROR(I199+O199, "")</f>
        <v>83.5</v>
      </c>
      <c r="W199" s="78">
        <f t="shared" si="44"/>
        <v>93.5</v>
      </c>
      <c r="X199" s="78">
        <f t="shared" si="45"/>
        <v>45.555</v>
      </c>
      <c r="Y199" s="78">
        <f t="shared" si="46"/>
        <v>48.855000000000004</v>
      </c>
      <c r="AA199" s="88" t="str">
        <f t="shared" si="47"/>
        <v/>
      </c>
      <c r="AB199" s="77" t="str">
        <f t="shared" si="38"/>
        <v/>
      </c>
      <c r="AD199" s="88" t="str">
        <f t="shared" si="48"/>
        <v/>
      </c>
      <c r="AE199" s="77" t="str">
        <f t="shared" si="39"/>
        <v/>
      </c>
    </row>
    <row r="200" spans="2:31" x14ac:dyDescent="0.35">
      <c r="B200">
        <v>2015</v>
      </c>
      <c r="C200">
        <v>3</v>
      </c>
      <c r="D200">
        <v>9</v>
      </c>
      <c r="E200" s="78">
        <f>'CRU historical'!F177</f>
        <v>1.2</v>
      </c>
      <c r="F200" s="78">
        <f>'CRU historical'!I177</f>
        <v>14</v>
      </c>
      <c r="G200" s="78" t="str">
        <f>'CRU historical'!L177</f>
        <v xml:space="preserve"> </v>
      </c>
      <c r="H200" s="78" t="str">
        <f>'CRU historical'!O177</f>
        <v xml:space="preserve"> </v>
      </c>
      <c r="I200" s="78">
        <f>'CRU historical'!R177</f>
        <v>77</v>
      </c>
      <c r="J200" s="78">
        <f>AVERAGE('CRU historical'!U177, 'CRU historical'!X177, 'CRU historical'!AA177, 'CRU historical'!AD177)</f>
        <v>73</v>
      </c>
      <c r="L200" s="78" cm="1">
        <f t="array" ref="L200">IFERROR(SUMPRODUCT(('Sulphuric Acid freights'!$B$3:$B$513=B210)*('Sulphuric Acid freights'!$D$3:$D$513=D200)*('Sulphuric Acid freights'!$P$3:$P$513))/SUMPRODUCT(('Sulphuric Acid freights'!$B$3:$B$513=B210)*('Sulphuric Acid freights'!$D$3:$D$513=D200)*1), AVERAGE('Sulphuric Acid freights'!$P$3:$P$513))*2/3</f>
        <v>32</v>
      </c>
      <c r="M200" s="78" cm="1">
        <f t="array" ref="M200">IFERROR(SUMPRODUCT(('Sulphuric Acid freights'!$B$3:$B$513=B210)*('Sulphuric Acid freights'!$D$3:$D$513=D200)*('Sulphuric Acid freights'!$M$3:$M$513))/SUMPRODUCT(('Sulphuric Acid freights'!$B$3:$B$513=B210)*('Sulphuric Acid freights'!$D$3:$D$513=D200)*1)*2/3, AVERAGE('Sulphuric Acid freights'!$M$3:$M$513))</f>
        <v>14.666666666666666</v>
      </c>
      <c r="N200" s="78">
        <f t="shared" si="40"/>
        <v>28.8</v>
      </c>
      <c r="O200" s="78" cm="1">
        <f t="array" ref="O200">IF(SUMPRODUCT(('Sulphur freight'!$B$3:$B$1976=B210)*('Sulphur freight'!$D$3:$D$1976=D200)*('Sulphur freight'!$G$3:$G$1976))/SUMPRODUCT(('Sulphur freight'!$B$3:$B$1976=B210)*('Sulphur freight'!$D$3:$D$1976=D200)*1)=0, AVERAGE('Sulphur freight'!$G$3:$G$1976),SUMPRODUCT(('Sulphur freight'!$B$3:$B$1976=B210)*('Sulphur freight'!$D$3:$D$1976=D200)*('Sulphur freight'!$G$3:$G$1976))/SUMPRODUCT(('Sulphur freight'!$B$3:$B$1976=B210)*('Sulphur freight'!$D$3:$D$1976=D200)*1))</f>
        <v>16</v>
      </c>
      <c r="P200" s="78">
        <v>20</v>
      </c>
      <c r="R200" s="78" t="str">
        <f t="shared" si="41"/>
        <v xml:space="preserve"> </v>
      </c>
      <c r="S200" s="78">
        <f t="shared" si="42"/>
        <v>28.666666666666664</v>
      </c>
      <c r="T200" s="78">
        <f t="shared" si="37"/>
        <v>33.200000000000003</v>
      </c>
      <c r="U200" s="78" t="str">
        <f t="shared" si="43"/>
        <v/>
      </c>
      <c r="V200" s="78">
        <f>IFERROR(I200+O200, "")</f>
        <v>93</v>
      </c>
      <c r="W200" s="78">
        <f t="shared" si="44"/>
        <v>93</v>
      </c>
      <c r="X200" s="78">
        <f t="shared" si="45"/>
        <v>48.69</v>
      </c>
      <c r="Y200" s="78">
        <f t="shared" si="46"/>
        <v>48.69</v>
      </c>
      <c r="AA200" s="88" t="str">
        <f t="shared" si="47"/>
        <v/>
      </c>
      <c r="AB200" s="77" t="str">
        <f t="shared" si="38"/>
        <v/>
      </c>
      <c r="AD200" s="88" t="str">
        <f t="shared" si="48"/>
        <v/>
      </c>
      <c r="AE200" s="77" t="str">
        <f t="shared" si="39"/>
        <v/>
      </c>
    </row>
    <row r="201" spans="2:31" x14ac:dyDescent="0.35">
      <c r="B201">
        <v>2015</v>
      </c>
      <c r="C201">
        <v>4</v>
      </c>
      <c r="D201">
        <v>10</v>
      </c>
      <c r="E201" s="78">
        <f>'CRU historical'!F178</f>
        <v>1.5</v>
      </c>
      <c r="F201" s="78">
        <f>'CRU historical'!I178</f>
        <v>9.5</v>
      </c>
      <c r="G201" s="78" t="str">
        <f>'CRU historical'!L178</f>
        <v xml:space="preserve"> </v>
      </c>
      <c r="H201" s="78" t="str">
        <f>'CRU historical'!O178</f>
        <v xml:space="preserve"> </v>
      </c>
      <c r="I201" s="78">
        <f>'CRU historical'!R178</f>
        <v>78.5</v>
      </c>
      <c r="J201" s="78">
        <f>AVERAGE('CRU historical'!U178, 'CRU historical'!X178, 'CRU historical'!AA178, 'CRU historical'!AD178)</f>
        <v>73</v>
      </c>
      <c r="L201" s="78" cm="1">
        <f t="array" ref="L201">IFERROR(SUMPRODUCT(('Sulphuric Acid freights'!$B$3:$B$513=B211)*('Sulphuric Acid freights'!$D$3:$D$513=D201)*('Sulphuric Acid freights'!$P$3:$P$513))/SUMPRODUCT(('Sulphuric Acid freights'!$B$3:$B$513=B211)*('Sulphuric Acid freights'!$D$3:$D$513=D201)*1), AVERAGE('Sulphuric Acid freights'!$P$3:$P$513))*2/3</f>
        <v>32</v>
      </c>
      <c r="M201" s="78" cm="1">
        <f t="array" ref="M201">IFERROR(SUMPRODUCT(('Sulphuric Acid freights'!$B$3:$B$513=B211)*('Sulphuric Acid freights'!$D$3:$D$513=D201)*('Sulphuric Acid freights'!$M$3:$M$513))/SUMPRODUCT(('Sulphuric Acid freights'!$B$3:$B$513=B211)*('Sulphuric Acid freights'!$D$3:$D$513=D201)*1)*2/3, AVERAGE('Sulphuric Acid freights'!$M$3:$M$513))</f>
        <v>13.333333333333334</v>
      </c>
      <c r="N201" s="78">
        <f t="shared" si="40"/>
        <v>28.8</v>
      </c>
      <c r="O201" s="78" cm="1">
        <f t="array" ref="O201">IF(SUMPRODUCT(('Sulphur freight'!$B$3:$B$1976=B211)*('Sulphur freight'!$D$3:$D$1976=D201)*('Sulphur freight'!$G$3:$G$1976))/SUMPRODUCT(('Sulphur freight'!$B$3:$B$1976=B211)*('Sulphur freight'!$D$3:$D$1976=D201)*1)=0, AVERAGE('Sulphur freight'!$G$3:$G$1976),SUMPRODUCT(('Sulphur freight'!$B$3:$B$1976=B211)*('Sulphur freight'!$D$3:$D$1976=D201)*('Sulphur freight'!$G$3:$G$1976))/SUMPRODUCT(('Sulphur freight'!$B$3:$B$1976=B211)*('Sulphur freight'!$D$3:$D$1976=D201)*1))</f>
        <v>16.5</v>
      </c>
      <c r="P201" s="78">
        <v>20</v>
      </c>
      <c r="R201" s="78" t="str">
        <f t="shared" si="41"/>
        <v xml:space="preserve"> </v>
      </c>
      <c r="S201" s="78">
        <f t="shared" si="42"/>
        <v>22.833333333333336</v>
      </c>
      <c r="T201" s="78">
        <f t="shared" si="37"/>
        <v>33.5</v>
      </c>
      <c r="U201" s="78" t="str">
        <f t="shared" si="43"/>
        <v/>
      </c>
      <c r="V201" s="78">
        <f>IFERROR(I201+O201, "")</f>
        <v>95</v>
      </c>
      <c r="W201" s="78">
        <f t="shared" si="44"/>
        <v>93</v>
      </c>
      <c r="X201" s="78">
        <f t="shared" si="45"/>
        <v>49.35</v>
      </c>
      <c r="Y201" s="78">
        <f t="shared" si="46"/>
        <v>48.69</v>
      </c>
      <c r="AA201" s="88" t="str">
        <f t="shared" si="47"/>
        <v/>
      </c>
      <c r="AB201" s="77" t="str">
        <f t="shared" si="38"/>
        <v/>
      </c>
      <c r="AD201" s="88" t="str">
        <f t="shared" si="48"/>
        <v/>
      </c>
      <c r="AE201" s="77" t="str">
        <f t="shared" si="39"/>
        <v/>
      </c>
    </row>
    <row r="202" spans="2:31" x14ac:dyDescent="0.35">
      <c r="B202">
        <v>2016</v>
      </c>
      <c r="C202">
        <v>4</v>
      </c>
      <c r="D202">
        <v>11</v>
      </c>
      <c r="E202" s="78">
        <f>'CRU historical'!F179</f>
        <v>0</v>
      </c>
      <c r="F202" s="78">
        <f>'CRU historical'!I179</f>
        <v>9.5</v>
      </c>
      <c r="G202" s="78" t="str">
        <f>'CRU historical'!L179</f>
        <v xml:space="preserve"> </v>
      </c>
      <c r="H202" s="78" t="str">
        <f>'CRU historical'!O179</f>
        <v xml:space="preserve"> </v>
      </c>
      <c r="I202" s="78">
        <f>'CRU historical'!R179</f>
        <v>84.75</v>
      </c>
      <c r="J202" s="78">
        <f>AVERAGE('CRU historical'!U179, 'CRU historical'!X179, 'CRU historical'!AA179, 'CRU historical'!AD179)</f>
        <v>73</v>
      </c>
      <c r="L202" s="78" cm="1">
        <f t="array" ref="L202">IFERROR(SUMPRODUCT(('Sulphuric Acid freights'!$B$3:$B$513=B212)*('Sulphuric Acid freights'!$D$3:$D$513=D202)*('Sulphuric Acid freights'!$P$3:$P$513))/SUMPRODUCT(('Sulphuric Acid freights'!$B$3:$B$513=B212)*('Sulphuric Acid freights'!$D$3:$D$513=D202)*1), AVERAGE('Sulphuric Acid freights'!$P$3:$P$513))*2/3</f>
        <v>32</v>
      </c>
      <c r="M202" s="78" cm="1">
        <f t="array" ref="M202">IFERROR(SUMPRODUCT(('Sulphuric Acid freights'!$B$3:$B$513=B212)*('Sulphuric Acid freights'!$D$3:$D$513=D202)*('Sulphuric Acid freights'!$M$3:$M$513))/SUMPRODUCT(('Sulphuric Acid freights'!$B$3:$B$513=B212)*('Sulphuric Acid freights'!$D$3:$D$513=D202)*1)*2/3, AVERAGE('Sulphuric Acid freights'!$M$3:$M$513))</f>
        <v>13.333333333333334</v>
      </c>
      <c r="N202" s="78">
        <f t="shared" si="40"/>
        <v>28.8</v>
      </c>
      <c r="O202" s="78" cm="1">
        <f t="array" ref="O202">IF(SUMPRODUCT(('Sulphur freight'!$B$3:$B$1976=B212)*('Sulphur freight'!$D$3:$D$1976=D202)*('Sulphur freight'!$G$3:$G$1976))/SUMPRODUCT(('Sulphur freight'!$B$3:$B$1976=B212)*('Sulphur freight'!$D$3:$D$1976=D202)*1)=0, AVERAGE('Sulphur freight'!$G$3:$G$1976),SUMPRODUCT(('Sulphur freight'!$B$3:$B$1976=B212)*('Sulphur freight'!$D$3:$D$1976=D202)*('Sulphur freight'!$G$3:$G$1976))/SUMPRODUCT(('Sulphur freight'!$B$3:$B$1976=B212)*('Sulphur freight'!$D$3:$D$1976=D202)*1))</f>
        <v>17.5</v>
      </c>
      <c r="P202" s="78">
        <v>20</v>
      </c>
      <c r="R202" s="78" t="str">
        <f t="shared" si="41"/>
        <v xml:space="preserve"> </v>
      </c>
      <c r="S202" s="78">
        <f t="shared" si="42"/>
        <v>22.833333333333336</v>
      </c>
      <c r="T202" s="78">
        <f t="shared" si="37"/>
        <v>32</v>
      </c>
      <c r="U202" s="78" t="str">
        <f t="shared" si="43"/>
        <v/>
      </c>
      <c r="V202" s="78">
        <f>IFERROR(I202+O202, "")</f>
        <v>102.25</v>
      </c>
      <c r="W202" s="78">
        <f t="shared" si="44"/>
        <v>93</v>
      </c>
      <c r="X202" s="78">
        <f t="shared" si="45"/>
        <v>51.7425</v>
      </c>
      <c r="Y202" s="78">
        <f t="shared" si="46"/>
        <v>48.69</v>
      </c>
      <c r="AA202" s="88" t="str">
        <f t="shared" si="47"/>
        <v/>
      </c>
      <c r="AB202" s="77" t="str">
        <f t="shared" si="38"/>
        <v/>
      </c>
      <c r="AD202" s="88" t="str">
        <f t="shared" si="48"/>
        <v/>
      </c>
      <c r="AE202" s="77" t="str">
        <f t="shared" si="39"/>
        <v/>
      </c>
    </row>
    <row r="203" spans="2:31" x14ac:dyDescent="0.35">
      <c r="B203">
        <v>2016</v>
      </c>
      <c r="C203">
        <v>4</v>
      </c>
      <c r="D203">
        <v>12</v>
      </c>
      <c r="E203" s="78">
        <f>'CRU historical'!F180</f>
        <v>-1.8</v>
      </c>
      <c r="F203" s="78">
        <f>'CRU historical'!I180</f>
        <v>7.6</v>
      </c>
      <c r="G203" s="78" t="str">
        <f>'CRU historical'!L180</f>
        <v xml:space="preserve"> </v>
      </c>
      <c r="H203" s="78" t="str">
        <f>'CRU historical'!O180</f>
        <v xml:space="preserve"> </v>
      </c>
      <c r="I203" s="78">
        <f>'CRU historical'!R180</f>
        <v>91</v>
      </c>
      <c r="J203" s="78">
        <f>AVERAGE('CRU historical'!U180, 'CRU historical'!X180, 'CRU historical'!AA180, 'CRU historical'!AD180)</f>
        <v>73</v>
      </c>
      <c r="L203" s="78" cm="1">
        <f t="array" ref="L203">IFERROR(SUMPRODUCT(('Sulphuric Acid freights'!$B$3:$B$513=B213)*('Sulphuric Acid freights'!$D$3:$D$513=D203)*('Sulphuric Acid freights'!$P$3:$P$513))/SUMPRODUCT(('Sulphuric Acid freights'!$B$3:$B$513=B213)*('Sulphuric Acid freights'!$D$3:$D$513=D203)*1), AVERAGE('Sulphuric Acid freights'!$P$3:$P$513))*2/3</f>
        <v>32</v>
      </c>
      <c r="M203" s="78" cm="1">
        <f t="array" ref="M203">IFERROR(SUMPRODUCT(('Sulphuric Acid freights'!$B$3:$B$513=B213)*('Sulphuric Acid freights'!$D$3:$D$513=D203)*('Sulphuric Acid freights'!$M$3:$M$513))/SUMPRODUCT(('Sulphuric Acid freights'!$B$3:$B$513=B213)*('Sulphuric Acid freights'!$D$3:$D$513=D203)*1)*2/3, AVERAGE('Sulphuric Acid freights'!$M$3:$M$513))</f>
        <v>13.333333333333334</v>
      </c>
      <c r="N203" s="78">
        <f t="shared" si="40"/>
        <v>28.8</v>
      </c>
      <c r="O203" s="78" cm="1">
        <f t="array" ref="O203">IF(SUMPRODUCT(('Sulphur freight'!$B$3:$B$1976=B213)*('Sulphur freight'!$D$3:$D$1976=D203)*('Sulphur freight'!$G$3:$G$1976))/SUMPRODUCT(('Sulphur freight'!$B$3:$B$1976=B213)*('Sulphur freight'!$D$3:$D$1976=D203)*1)=0, AVERAGE('Sulphur freight'!$G$3:$G$1976),SUMPRODUCT(('Sulphur freight'!$B$3:$B$1976=B213)*('Sulphur freight'!$D$3:$D$1976=D203)*('Sulphur freight'!$G$3:$G$1976))/SUMPRODUCT(('Sulphur freight'!$B$3:$B$1976=B213)*('Sulphur freight'!$D$3:$D$1976=D203)*1))</f>
        <v>18.8</v>
      </c>
      <c r="P203" s="78">
        <v>20</v>
      </c>
      <c r="R203" s="78" t="str">
        <f t="shared" si="41"/>
        <v xml:space="preserve"> </v>
      </c>
      <c r="S203" s="78">
        <f t="shared" si="42"/>
        <v>20.933333333333334</v>
      </c>
      <c r="T203" s="78">
        <f t="shared" si="37"/>
        <v>30.2</v>
      </c>
      <c r="U203" s="78" t="str">
        <f t="shared" si="43"/>
        <v/>
      </c>
      <c r="V203" s="78">
        <f>IFERROR(I203+O203, "")</f>
        <v>109.8</v>
      </c>
      <c r="W203" s="78">
        <f t="shared" si="44"/>
        <v>93</v>
      </c>
      <c r="X203" s="78">
        <f t="shared" si="45"/>
        <v>54.234000000000002</v>
      </c>
      <c r="Y203" s="78">
        <f t="shared" si="46"/>
        <v>48.69</v>
      </c>
      <c r="AA203" s="88" t="str">
        <f t="shared" si="47"/>
        <v/>
      </c>
      <c r="AB203" s="77" t="str">
        <f t="shared" si="38"/>
        <v/>
      </c>
      <c r="AD203" s="88" t="str">
        <f t="shared" si="48"/>
        <v/>
      </c>
      <c r="AE203" s="77" t="str">
        <f t="shared" si="39"/>
        <v/>
      </c>
    </row>
    <row r="204" spans="2:31" x14ac:dyDescent="0.35">
      <c r="B204">
        <v>2016</v>
      </c>
      <c r="C204">
        <v>1</v>
      </c>
      <c r="D204">
        <v>1</v>
      </c>
      <c r="E204" s="78">
        <f>'CRU historical'!F181</f>
        <v>-3</v>
      </c>
      <c r="F204" s="78">
        <f>'CRU historical'!I181</f>
        <v>7</v>
      </c>
      <c r="G204" s="78" t="str">
        <f>'CRU historical'!L181</f>
        <v xml:space="preserve"> </v>
      </c>
      <c r="H204" s="78" t="str">
        <f>'CRU historical'!O181</f>
        <v xml:space="preserve"> </v>
      </c>
      <c r="I204" s="78">
        <f>'CRU historical'!R181</f>
        <v>89.5</v>
      </c>
      <c r="J204" s="78">
        <f>AVERAGE('CRU historical'!U181, 'CRU historical'!X181, 'CRU historical'!AA181, 'CRU historical'!AD181)</f>
        <v>76.25</v>
      </c>
      <c r="L204" s="78" cm="1">
        <f t="array" ref="L204">IFERROR(SUMPRODUCT(('Sulphuric Acid freights'!$B$3:$B$513=B214)*('Sulphuric Acid freights'!$D$3:$D$513=D204)*('Sulphuric Acid freights'!$P$3:$P$513))/SUMPRODUCT(('Sulphuric Acid freights'!$B$3:$B$513=B214)*('Sulphuric Acid freights'!$D$3:$D$513=D204)*1), AVERAGE('Sulphuric Acid freights'!$P$3:$P$513))*2/3</f>
        <v>32</v>
      </c>
      <c r="M204" s="78" cm="1">
        <f t="array" ref="M204">IFERROR(SUMPRODUCT(('Sulphuric Acid freights'!$B$3:$B$513=B214)*('Sulphuric Acid freights'!$D$3:$D$513=D204)*('Sulphuric Acid freights'!$M$3:$M$513))/SUMPRODUCT(('Sulphuric Acid freights'!$B$3:$B$513=B214)*('Sulphuric Acid freights'!$D$3:$D$513=D204)*1)*2/3, AVERAGE('Sulphuric Acid freights'!$M$3:$M$513))</f>
        <v>13.333333333333334</v>
      </c>
      <c r="N204" s="78">
        <f t="shared" si="40"/>
        <v>28.8</v>
      </c>
      <c r="O204" s="78" cm="1">
        <f t="array" ref="O204">IF(SUMPRODUCT(('Sulphur freight'!$B$3:$B$1976=B214)*('Sulphur freight'!$D$3:$D$1976=D204)*('Sulphur freight'!$G$3:$G$1976))/SUMPRODUCT(('Sulphur freight'!$B$3:$B$1976=B214)*('Sulphur freight'!$D$3:$D$1976=D204)*1)=0, AVERAGE('Sulphur freight'!$G$3:$G$1976),SUMPRODUCT(('Sulphur freight'!$B$3:$B$1976=B214)*('Sulphur freight'!$D$3:$D$1976=D204)*('Sulphur freight'!$G$3:$G$1976))/SUMPRODUCT(('Sulphur freight'!$B$3:$B$1976=B214)*('Sulphur freight'!$D$3:$D$1976=D204)*1))</f>
        <v>20</v>
      </c>
      <c r="P204" s="78">
        <v>20</v>
      </c>
      <c r="R204" s="78" t="str">
        <f t="shared" si="41"/>
        <v xml:space="preserve"> </v>
      </c>
      <c r="S204" s="78">
        <f t="shared" si="42"/>
        <v>20.333333333333336</v>
      </c>
      <c r="T204" s="78">
        <f t="shared" si="37"/>
        <v>29</v>
      </c>
      <c r="U204" s="78" t="str">
        <f t="shared" si="43"/>
        <v/>
      </c>
      <c r="V204" s="78">
        <f>IFERROR(I204+O204, "")</f>
        <v>109.5</v>
      </c>
      <c r="W204" s="78">
        <f t="shared" si="44"/>
        <v>96.25</v>
      </c>
      <c r="X204" s="78">
        <f t="shared" si="45"/>
        <v>54.135000000000005</v>
      </c>
      <c r="Y204" s="78">
        <f t="shared" si="46"/>
        <v>49.762500000000003</v>
      </c>
      <c r="AA204" s="88" t="str">
        <f t="shared" si="47"/>
        <v/>
      </c>
      <c r="AB204" s="77" t="str">
        <f t="shared" si="38"/>
        <v/>
      </c>
      <c r="AD204" s="88" t="str">
        <f t="shared" si="48"/>
        <v/>
      </c>
      <c r="AE204" s="77" t="str">
        <f t="shared" si="39"/>
        <v/>
      </c>
    </row>
    <row r="205" spans="2:31" x14ac:dyDescent="0.35">
      <c r="B205">
        <v>2016</v>
      </c>
      <c r="C205">
        <v>1</v>
      </c>
      <c r="D205">
        <v>2</v>
      </c>
      <c r="E205" s="78">
        <f>'CRU historical'!F182</f>
        <v>-3</v>
      </c>
      <c r="F205" s="78">
        <f>'CRU historical'!I182</f>
        <v>9.5</v>
      </c>
      <c r="G205" s="78" t="str">
        <f>'CRU historical'!L182</f>
        <v xml:space="preserve"> </v>
      </c>
      <c r="H205" s="78" t="str">
        <f>'CRU historical'!O182</f>
        <v xml:space="preserve"> </v>
      </c>
      <c r="I205" s="78">
        <f>'CRU historical'!R182</f>
        <v>88</v>
      </c>
      <c r="J205" s="78">
        <f>AVERAGE('CRU historical'!U182, 'CRU historical'!X182, 'CRU historical'!AA182, 'CRU historical'!AD182)</f>
        <v>78</v>
      </c>
      <c r="L205" s="78" cm="1">
        <f t="array" ref="L205">IFERROR(SUMPRODUCT(('Sulphuric Acid freights'!$B$3:$B$513=B215)*('Sulphuric Acid freights'!$D$3:$D$513=D205)*('Sulphuric Acid freights'!$P$3:$P$513))/SUMPRODUCT(('Sulphuric Acid freights'!$B$3:$B$513=B215)*('Sulphuric Acid freights'!$D$3:$D$513=D205)*1), AVERAGE('Sulphuric Acid freights'!$P$3:$P$513))*2/3</f>
        <v>32</v>
      </c>
      <c r="M205" s="78" cm="1">
        <f t="array" ref="M205">IFERROR(SUMPRODUCT(('Sulphuric Acid freights'!$B$3:$B$513=B215)*('Sulphuric Acid freights'!$D$3:$D$513=D205)*('Sulphuric Acid freights'!$M$3:$M$513))/SUMPRODUCT(('Sulphuric Acid freights'!$B$3:$B$513=B215)*('Sulphuric Acid freights'!$D$3:$D$513=D205)*1)*2/3, AVERAGE('Sulphuric Acid freights'!$M$3:$M$513))</f>
        <v>13.333333333333334</v>
      </c>
      <c r="N205" s="78">
        <f t="shared" si="40"/>
        <v>28.8</v>
      </c>
      <c r="O205" s="78" cm="1">
        <f t="array" ref="O205">IF(SUMPRODUCT(('Sulphur freight'!$B$3:$B$1976=B215)*('Sulphur freight'!$D$3:$D$1976=D205)*('Sulphur freight'!$G$3:$G$1976))/SUMPRODUCT(('Sulphur freight'!$B$3:$B$1976=B215)*('Sulphur freight'!$D$3:$D$1976=D205)*1)=0, AVERAGE('Sulphur freight'!$G$3:$G$1976),SUMPRODUCT(('Sulphur freight'!$B$3:$B$1976=B215)*('Sulphur freight'!$D$3:$D$1976=D205)*('Sulphur freight'!$G$3:$G$1976))/SUMPRODUCT(('Sulphur freight'!$B$3:$B$1976=B215)*('Sulphur freight'!$D$3:$D$1976=D205)*1))</f>
        <v>19.25</v>
      </c>
      <c r="P205" s="78">
        <v>20</v>
      </c>
      <c r="R205" s="78" t="str">
        <f t="shared" si="41"/>
        <v xml:space="preserve"> </v>
      </c>
      <c r="S205" s="78">
        <f t="shared" si="42"/>
        <v>22.833333333333336</v>
      </c>
      <c r="T205" s="78">
        <f t="shared" si="37"/>
        <v>29</v>
      </c>
      <c r="U205" s="78" t="str">
        <f t="shared" si="43"/>
        <v/>
      </c>
      <c r="V205" s="78">
        <f>IFERROR(I205+O205, "")</f>
        <v>107.25</v>
      </c>
      <c r="W205" s="78">
        <f t="shared" si="44"/>
        <v>98</v>
      </c>
      <c r="X205" s="78">
        <f t="shared" si="45"/>
        <v>53.392499999999998</v>
      </c>
      <c r="Y205" s="78">
        <f t="shared" si="46"/>
        <v>50.34</v>
      </c>
      <c r="AA205" s="88" t="str">
        <f t="shared" si="47"/>
        <v/>
      </c>
      <c r="AB205" s="77" t="str">
        <f t="shared" si="38"/>
        <v/>
      </c>
      <c r="AD205" s="88" t="str">
        <f t="shared" si="48"/>
        <v/>
      </c>
      <c r="AE205" s="77" t="str">
        <f t="shared" si="39"/>
        <v/>
      </c>
    </row>
    <row r="206" spans="2:31" x14ac:dyDescent="0.35">
      <c r="B206">
        <v>2016</v>
      </c>
      <c r="C206">
        <v>1</v>
      </c>
      <c r="D206">
        <v>3</v>
      </c>
      <c r="E206" s="78">
        <f>'CRU historical'!F183</f>
        <v>-0.6</v>
      </c>
      <c r="F206" s="78">
        <f>'CRU historical'!I183</f>
        <v>10</v>
      </c>
      <c r="G206" s="78" t="str">
        <f>'CRU historical'!L183</f>
        <v xml:space="preserve"> </v>
      </c>
      <c r="H206" s="78" t="str">
        <f>'CRU historical'!O183</f>
        <v xml:space="preserve"> </v>
      </c>
      <c r="I206" s="78">
        <f>'CRU historical'!R183</f>
        <v>87.4</v>
      </c>
      <c r="J206" s="78">
        <f>AVERAGE('CRU historical'!U183, 'CRU historical'!X183, 'CRU historical'!AA183, 'CRU historical'!AD183)</f>
        <v>78</v>
      </c>
      <c r="L206" s="78" cm="1">
        <f t="array" ref="L206">IFERROR(SUMPRODUCT(('Sulphuric Acid freights'!$B$3:$B$513=B216)*('Sulphuric Acid freights'!$D$3:$D$513=D206)*('Sulphuric Acid freights'!$P$3:$P$513))/SUMPRODUCT(('Sulphuric Acid freights'!$B$3:$B$513=B216)*('Sulphuric Acid freights'!$D$3:$D$513=D206)*1), AVERAGE('Sulphuric Acid freights'!$P$3:$P$513))*2/3</f>
        <v>32</v>
      </c>
      <c r="M206" s="78" cm="1">
        <f t="array" ref="M206">IFERROR(SUMPRODUCT(('Sulphuric Acid freights'!$B$3:$B$513=B216)*('Sulphuric Acid freights'!$D$3:$D$513=D206)*('Sulphuric Acid freights'!$M$3:$M$513))/SUMPRODUCT(('Sulphuric Acid freights'!$B$3:$B$513=B216)*('Sulphuric Acid freights'!$D$3:$D$513=D206)*1)*2/3, AVERAGE('Sulphuric Acid freights'!$M$3:$M$513))</f>
        <v>13.333333333333334</v>
      </c>
      <c r="N206" s="78">
        <f t="shared" si="40"/>
        <v>28.8</v>
      </c>
      <c r="O206" s="78" cm="1">
        <f t="array" ref="O206">IF(SUMPRODUCT(('Sulphur freight'!$B$3:$B$1976=B216)*('Sulphur freight'!$D$3:$D$1976=D206)*('Sulphur freight'!$G$3:$G$1976))/SUMPRODUCT(('Sulphur freight'!$B$3:$B$1976=B216)*('Sulphur freight'!$D$3:$D$1976=D206)*1)=0, AVERAGE('Sulphur freight'!$G$3:$G$1976),SUMPRODUCT(('Sulphur freight'!$B$3:$B$1976=B216)*('Sulphur freight'!$D$3:$D$1976=D206)*('Sulphur freight'!$G$3:$G$1976))/SUMPRODUCT(('Sulphur freight'!$B$3:$B$1976=B216)*('Sulphur freight'!$D$3:$D$1976=D206)*1))</f>
        <v>20.2</v>
      </c>
      <c r="P206" s="78">
        <v>20</v>
      </c>
      <c r="R206" s="78" t="str">
        <f t="shared" si="41"/>
        <v xml:space="preserve"> </v>
      </c>
      <c r="S206" s="78">
        <f t="shared" si="42"/>
        <v>23.333333333333336</v>
      </c>
      <c r="T206" s="78">
        <f t="shared" si="37"/>
        <v>31.4</v>
      </c>
      <c r="U206" s="78" t="str">
        <f t="shared" si="43"/>
        <v/>
      </c>
      <c r="V206" s="78">
        <f>IFERROR(I206+O206, "")</f>
        <v>107.60000000000001</v>
      </c>
      <c r="W206" s="78">
        <f t="shared" si="44"/>
        <v>98</v>
      </c>
      <c r="X206" s="78">
        <f t="shared" si="45"/>
        <v>53.508000000000003</v>
      </c>
      <c r="Y206" s="78">
        <f t="shared" si="46"/>
        <v>50.34</v>
      </c>
      <c r="AA206" s="88" t="str">
        <f t="shared" si="47"/>
        <v/>
      </c>
      <c r="AB206" s="77" t="str">
        <f t="shared" si="38"/>
        <v/>
      </c>
      <c r="AD206" s="88" t="str">
        <f t="shared" si="48"/>
        <v/>
      </c>
      <c r="AE206" s="77" t="str">
        <f t="shared" si="39"/>
        <v/>
      </c>
    </row>
    <row r="207" spans="2:31" x14ac:dyDescent="0.35">
      <c r="B207">
        <v>2016</v>
      </c>
      <c r="C207">
        <v>2</v>
      </c>
      <c r="D207">
        <v>4</v>
      </c>
      <c r="E207" s="78">
        <f>'CRU historical'!F184</f>
        <v>7.25</v>
      </c>
      <c r="F207" s="78">
        <f>'CRU historical'!I184</f>
        <v>13.75</v>
      </c>
      <c r="G207" s="78" t="str">
        <f>'CRU historical'!L184</f>
        <v xml:space="preserve"> </v>
      </c>
      <c r="H207" s="78" t="str">
        <f>'CRU historical'!O184</f>
        <v xml:space="preserve"> </v>
      </c>
      <c r="I207" s="78">
        <f>'CRU historical'!R184</f>
        <v>80.5</v>
      </c>
      <c r="J207" s="78">
        <f>AVERAGE('CRU historical'!U184, 'CRU historical'!X184, 'CRU historical'!AA184, 'CRU historical'!AD184)</f>
        <v>78</v>
      </c>
      <c r="L207" s="78" cm="1">
        <f t="array" ref="L207">IFERROR(SUMPRODUCT(('Sulphuric Acid freights'!$B$3:$B$513=B217)*('Sulphuric Acid freights'!$D$3:$D$513=D207)*('Sulphuric Acid freights'!$P$3:$P$513))/SUMPRODUCT(('Sulphuric Acid freights'!$B$3:$B$513=B217)*('Sulphuric Acid freights'!$D$3:$D$513=D207)*1), AVERAGE('Sulphuric Acid freights'!$P$3:$P$513))*2/3</f>
        <v>32</v>
      </c>
      <c r="M207" s="78" cm="1">
        <f t="array" ref="M207">IFERROR(SUMPRODUCT(('Sulphuric Acid freights'!$B$3:$B$513=B217)*('Sulphuric Acid freights'!$D$3:$D$513=D207)*('Sulphuric Acid freights'!$M$3:$M$513))/SUMPRODUCT(('Sulphuric Acid freights'!$B$3:$B$513=B217)*('Sulphuric Acid freights'!$D$3:$D$513=D207)*1)*2/3, AVERAGE('Sulphuric Acid freights'!$M$3:$M$513))</f>
        <v>13.333333333333334</v>
      </c>
      <c r="N207" s="78">
        <f t="shared" si="40"/>
        <v>28.8</v>
      </c>
      <c r="O207" s="78" cm="1">
        <f t="array" ref="O207">IF(SUMPRODUCT(('Sulphur freight'!$B$3:$B$1976=B217)*('Sulphur freight'!$D$3:$D$1976=D207)*('Sulphur freight'!$G$3:$G$1976))/SUMPRODUCT(('Sulphur freight'!$B$3:$B$1976=B217)*('Sulphur freight'!$D$3:$D$1976=D207)*1)=0, AVERAGE('Sulphur freight'!$G$3:$G$1976),SUMPRODUCT(('Sulphur freight'!$B$3:$B$1976=B217)*('Sulphur freight'!$D$3:$D$1976=D207)*('Sulphur freight'!$G$3:$G$1976))/SUMPRODUCT(('Sulphur freight'!$B$3:$B$1976=B217)*('Sulphur freight'!$D$3:$D$1976=D207)*1))</f>
        <v>20.75</v>
      </c>
      <c r="P207" s="78">
        <v>20</v>
      </c>
      <c r="R207" s="78" t="str">
        <f t="shared" si="41"/>
        <v xml:space="preserve"> </v>
      </c>
      <c r="S207" s="78">
        <f t="shared" si="42"/>
        <v>27.083333333333336</v>
      </c>
      <c r="T207" s="78">
        <f t="shared" si="37"/>
        <v>39.25</v>
      </c>
      <c r="U207" s="78" t="str">
        <f t="shared" si="43"/>
        <v/>
      </c>
      <c r="V207" s="78">
        <f>IFERROR(I207+O207, "")</f>
        <v>101.25</v>
      </c>
      <c r="W207" s="78">
        <f t="shared" si="44"/>
        <v>98</v>
      </c>
      <c r="X207" s="78">
        <f t="shared" si="45"/>
        <v>51.412500000000001</v>
      </c>
      <c r="Y207" s="78">
        <f t="shared" si="46"/>
        <v>50.34</v>
      </c>
      <c r="AA207" s="88" t="str">
        <f t="shared" si="47"/>
        <v/>
      </c>
      <c r="AB207" s="77" t="str">
        <f t="shared" si="38"/>
        <v/>
      </c>
      <c r="AD207" s="88" t="str">
        <f t="shared" si="48"/>
        <v/>
      </c>
      <c r="AE207" s="77" t="str">
        <f t="shared" si="39"/>
        <v/>
      </c>
    </row>
    <row r="208" spans="2:31" x14ac:dyDescent="0.35">
      <c r="B208">
        <v>2016</v>
      </c>
      <c r="C208">
        <v>2</v>
      </c>
      <c r="D208">
        <v>5</v>
      </c>
      <c r="E208" s="78">
        <f>'CRU historical'!F185</f>
        <v>11.75</v>
      </c>
      <c r="F208" s="78">
        <f>'CRU historical'!I185</f>
        <v>17.5</v>
      </c>
      <c r="G208" s="78" t="str">
        <f>'CRU historical'!L185</f>
        <v xml:space="preserve"> </v>
      </c>
      <c r="H208" s="78" t="str">
        <f>'CRU historical'!O185</f>
        <v xml:space="preserve"> </v>
      </c>
      <c r="I208" s="78">
        <f>'CRU historical'!R185</f>
        <v>75.5</v>
      </c>
      <c r="J208" s="78">
        <f>AVERAGE('CRU historical'!U185, 'CRU historical'!X185, 'CRU historical'!AA185, 'CRU historical'!AD185)</f>
        <v>78</v>
      </c>
      <c r="L208" s="78" cm="1">
        <f t="array" ref="L208">IFERROR(SUMPRODUCT(('Sulphuric Acid freights'!$B$3:$B$513=B218)*('Sulphuric Acid freights'!$D$3:$D$513=D208)*('Sulphuric Acid freights'!$P$3:$P$513))/SUMPRODUCT(('Sulphuric Acid freights'!$B$3:$B$513=B218)*('Sulphuric Acid freights'!$D$3:$D$513=D208)*1), AVERAGE('Sulphuric Acid freights'!$P$3:$P$513))*2/3</f>
        <v>32</v>
      </c>
      <c r="M208" s="78" cm="1">
        <f t="array" ref="M208">IFERROR(SUMPRODUCT(('Sulphuric Acid freights'!$B$3:$B$513=B218)*('Sulphuric Acid freights'!$D$3:$D$513=D208)*('Sulphuric Acid freights'!$M$3:$M$513))/SUMPRODUCT(('Sulphuric Acid freights'!$B$3:$B$513=B218)*('Sulphuric Acid freights'!$D$3:$D$513=D208)*1)*2/3, AVERAGE('Sulphuric Acid freights'!$M$3:$M$513))</f>
        <v>13.333333333333334</v>
      </c>
      <c r="N208" s="78">
        <f t="shared" si="40"/>
        <v>28.8</v>
      </c>
      <c r="O208" s="78" cm="1">
        <f t="array" ref="O208">IF(SUMPRODUCT(('Sulphur freight'!$B$3:$B$1976=B218)*('Sulphur freight'!$D$3:$D$1976=D208)*('Sulphur freight'!$G$3:$G$1976))/SUMPRODUCT(('Sulphur freight'!$B$3:$B$1976=B218)*('Sulphur freight'!$D$3:$D$1976=D208)*1)=0, AVERAGE('Sulphur freight'!$G$3:$G$1976),SUMPRODUCT(('Sulphur freight'!$B$3:$B$1976=B218)*('Sulphur freight'!$D$3:$D$1976=D208)*('Sulphur freight'!$G$3:$G$1976))/SUMPRODUCT(('Sulphur freight'!$B$3:$B$1976=B218)*('Sulphur freight'!$D$3:$D$1976=D208)*1))</f>
        <v>20.75</v>
      </c>
      <c r="P208" s="78">
        <v>20</v>
      </c>
      <c r="R208" s="78" t="str">
        <f t="shared" si="41"/>
        <v xml:space="preserve"> </v>
      </c>
      <c r="S208" s="78">
        <f t="shared" si="42"/>
        <v>30.833333333333336</v>
      </c>
      <c r="T208" s="78">
        <f t="shared" si="37"/>
        <v>43.75</v>
      </c>
      <c r="U208" s="78" t="str">
        <f t="shared" si="43"/>
        <v/>
      </c>
      <c r="V208" s="78">
        <f>IFERROR(I208+O208, "")</f>
        <v>96.25</v>
      </c>
      <c r="W208" s="78">
        <f t="shared" si="44"/>
        <v>98</v>
      </c>
      <c r="X208" s="78">
        <f t="shared" si="45"/>
        <v>49.762500000000003</v>
      </c>
      <c r="Y208" s="78">
        <f t="shared" si="46"/>
        <v>50.34</v>
      </c>
      <c r="AA208" s="88" t="str">
        <f t="shared" si="47"/>
        <v/>
      </c>
      <c r="AB208" s="77" t="str">
        <f t="shared" si="38"/>
        <v/>
      </c>
      <c r="AD208" s="88" t="str">
        <f t="shared" si="48"/>
        <v/>
      </c>
      <c r="AE208" s="77" t="str">
        <f t="shared" si="39"/>
        <v/>
      </c>
    </row>
    <row r="209" spans="2:31" x14ac:dyDescent="0.35">
      <c r="B209">
        <v>2016</v>
      </c>
      <c r="C209">
        <v>2</v>
      </c>
      <c r="D209">
        <v>6</v>
      </c>
      <c r="E209" s="78">
        <f>'CRU historical'!F186</f>
        <v>13</v>
      </c>
      <c r="F209" s="78">
        <f>'CRU historical'!I186</f>
        <v>20</v>
      </c>
      <c r="G209" s="78" t="str">
        <f>'CRU historical'!L186</f>
        <v xml:space="preserve"> </v>
      </c>
      <c r="H209" s="78" t="str">
        <f>'CRU historical'!O186</f>
        <v xml:space="preserve"> </v>
      </c>
      <c r="I209" s="78">
        <f>'CRU historical'!R186</f>
        <v>80</v>
      </c>
      <c r="J209" s="78">
        <f>AVERAGE('CRU historical'!U186, 'CRU historical'!X186, 'CRU historical'!AA186, 'CRU historical'!AD186)</f>
        <v>78</v>
      </c>
      <c r="L209" s="78" cm="1">
        <f t="array" ref="L209">IFERROR(SUMPRODUCT(('Sulphuric Acid freights'!$B$3:$B$513=B219)*('Sulphuric Acid freights'!$D$3:$D$513=D209)*('Sulphuric Acid freights'!$P$3:$P$513))/SUMPRODUCT(('Sulphuric Acid freights'!$B$3:$B$513=B219)*('Sulphuric Acid freights'!$D$3:$D$513=D209)*1), AVERAGE('Sulphuric Acid freights'!$P$3:$P$513))*2/3</f>
        <v>32</v>
      </c>
      <c r="M209" s="78" cm="1">
        <f t="array" ref="M209">IFERROR(SUMPRODUCT(('Sulphuric Acid freights'!$B$3:$B$513=B219)*('Sulphuric Acid freights'!$D$3:$D$513=D209)*('Sulphuric Acid freights'!$M$3:$M$513))/SUMPRODUCT(('Sulphuric Acid freights'!$B$3:$B$513=B219)*('Sulphuric Acid freights'!$D$3:$D$513=D209)*1)*2/3, AVERAGE('Sulphuric Acid freights'!$M$3:$M$513))</f>
        <v>13.333333333333334</v>
      </c>
      <c r="N209" s="78">
        <f t="shared" si="40"/>
        <v>28.8</v>
      </c>
      <c r="O209" s="78" cm="1">
        <f t="array" ref="O209">IF(SUMPRODUCT(('Sulphur freight'!$B$3:$B$1976=B219)*('Sulphur freight'!$D$3:$D$1976=D209)*('Sulphur freight'!$G$3:$G$1976))/SUMPRODUCT(('Sulphur freight'!$B$3:$B$1976=B219)*('Sulphur freight'!$D$3:$D$1976=D209)*1)=0, AVERAGE('Sulphur freight'!$G$3:$G$1976),SUMPRODUCT(('Sulphur freight'!$B$3:$B$1976=B219)*('Sulphur freight'!$D$3:$D$1976=D209)*('Sulphur freight'!$G$3:$G$1976))/SUMPRODUCT(('Sulphur freight'!$B$3:$B$1976=B219)*('Sulphur freight'!$D$3:$D$1976=D209)*1))</f>
        <v>20</v>
      </c>
      <c r="P209" s="78">
        <v>20</v>
      </c>
      <c r="R209" s="78" t="str">
        <f t="shared" si="41"/>
        <v xml:space="preserve"> </v>
      </c>
      <c r="S209" s="78">
        <f t="shared" si="42"/>
        <v>33.333333333333336</v>
      </c>
      <c r="T209" s="78">
        <f t="shared" si="37"/>
        <v>45</v>
      </c>
      <c r="U209" s="78" t="str">
        <f t="shared" si="43"/>
        <v/>
      </c>
      <c r="V209" s="78">
        <f>IFERROR(I209+O209, "")</f>
        <v>100</v>
      </c>
      <c r="W209" s="78">
        <f t="shared" si="44"/>
        <v>98</v>
      </c>
      <c r="X209" s="78">
        <f t="shared" si="45"/>
        <v>51</v>
      </c>
      <c r="Y209" s="78">
        <f t="shared" si="46"/>
        <v>50.34</v>
      </c>
      <c r="AA209" s="88" t="str">
        <f t="shared" si="47"/>
        <v/>
      </c>
      <c r="AB209" s="77" t="str">
        <f t="shared" si="38"/>
        <v/>
      </c>
      <c r="AD209" s="88" t="str">
        <f t="shared" si="48"/>
        <v/>
      </c>
      <c r="AE209" s="77" t="str">
        <f t="shared" si="39"/>
        <v/>
      </c>
    </row>
    <row r="210" spans="2:31" x14ac:dyDescent="0.35">
      <c r="B210">
        <v>2016</v>
      </c>
      <c r="C210">
        <v>3</v>
      </c>
      <c r="D210">
        <v>7</v>
      </c>
      <c r="E210" s="78">
        <f>'CRU historical'!F187</f>
        <v>13.5</v>
      </c>
      <c r="F210" s="78">
        <f>'CRU historical'!I187</f>
        <v>20</v>
      </c>
      <c r="G210" s="78" t="str">
        <f>'CRU historical'!L187</f>
        <v xml:space="preserve"> </v>
      </c>
      <c r="H210" s="78" t="str">
        <f>'CRU historical'!O187</f>
        <v xml:space="preserve"> </v>
      </c>
      <c r="I210" s="78">
        <f>'CRU historical'!R187</f>
        <v>88.25</v>
      </c>
      <c r="J210" s="78">
        <f>AVERAGE('CRU historical'!U187, 'CRU historical'!X187, 'CRU historical'!AA187, 'CRU historical'!AD187)</f>
        <v>78</v>
      </c>
      <c r="L210" s="78" cm="1">
        <f t="array" ref="L210">IFERROR(SUMPRODUCT(('Sulphuric Acid freights'!$B$3:$B$513=B220)*('Sulphuric Acid freights'!$D$3:$D$513=D210)*('Sulphuric Acid freights'!$P$3:$P$513))/SUMPRODUCT(('Sulphuric Acid freights'!$B$3:$B$513=B220)*('Sulphuric Acid freights'!$D$3:$D$513=D210)*1), AVERAGE('Sulphuric Acid freights'!$P$3:$P$513))*2/3</f>
        <v>32</v>
      </c>
      <c r="M210" s="78" cm="1">
        <f t="array" ref="M210">IFERROR(SUMPRODUCT(('Sulphuric Acid freights'!$B$3:$B$513=B220)*('Sulphuric Acid freights'!$D$3:$D$513=D210)*('Sulphuric Acid freights'!$M$3:$M$513))/SUMPRODUCT(('Sulphuric Acid freights'!$B$3:$B$513=B220)*('Sulphuric Acid freights'!$D$3:$D$513=D210)*1)*2/3, AVERAGE('Sulphuric Acid freights'!$M$3:$M$513))</f>
        <v>13.333333333333334</v>
      </c>
      <c r="N210" s="78">
        <f t="shared" si="40"/>
        <v>28.8</v>
      </c>
      <c r="O210" s="78" cm="1">
        <f t="array" ref="O210">IF(SUMPRODUCT(('Sulphur freight'!$B$3:$B$1976=B220)*('Sulphur freight'!$D$3:$D$1976=D210)*('Sulphur freight'!$G$3:$G$1976))/SUMPRODUCT(('Sulphur freight'!$B$3:$B$1976=B220)*('Sulphur freight'!$D$3:$D$1976=D210)*1)=0, AVERAGE('Sulphur freight'!$G$3:$G$1976),SUMPRODUCT(('Sulphur freight'!$B$3:$B$1976=B220)*('Sulphur freight'!$D$3:$D$1976=D210)*('Sulphur freight'!$G$3:$G$1976))/SUMPRODUCT(('Sulphur freight'!$B$3:$B$1976=B220)*('Sulphur freight'!$D$3:$D$1976=D210)*1))</f>
        <v>20</v>
      </c>
      <c r="P210" s="78">
        <v>20</v>
      </c>
      <c r="R210" s="78" t="str">
        <f t="shared" si="41"/>
        <v xml:space="preserve"> </v>
      </c>
      <c r="S210" s="78">
        <f t="shared" si="42"/>
        <v>33.333333333333336</v>
      </c>
      <c r="T210" s="78">
        <f t="shared" si="37"/>
        <v>45.5</v>
      </c>
      <c r="U210" s="78" t="str">
        <f t="shared" si="43"/>
        <v/>
      </c>
      <c r="V210" s="78">
        <f>IFERROR(I210+O210, "")</f>
        <v>108.25</v>
      </c>
      <c r="W210" s="78">
        <f t="shared" si="44"/>
        <v>98</v>
      </c>
      <c r="X210" s="78">
        <f t="shared" si="45"/>
        <v>53.722500000000004</v>
      </c>
      <c r="Y210" s="78">
        <f t="shared" si="46"/>
        <v>50.34</v>
      </c>
      <c r="AA210" s="88" t="str">
        <f t="shared" si="47"/>
        <v/>
      </c>
      <c r="AB210" s="77" t="str">
        <f t="shared" si="38"/>
        <v/>
      </c>
      <c r="AD210" s="88" t="str">
        <f t="shared" si="48"/>
        <v/>
      </c>
      <c r="AE210" s="77" t="str">
        <f t="shared" si="39"/>
        <v/>
      </c>
    </row>
    <row r="211" spans="2:31" x14ac:dyDescent="0.35">
      <c r="B211">
        <v>2016</v>
      </c>
      <c r="C211">
        <v>3</v>
      </c>
      <c r="D211">
        <v>8</v>
      </c>
      <c r="E211" s="78">
        <f>'CRU historical'!F188</f>
        <v>15</v>
      </c>
      <c r="F211" s="78">
        <f>'CRU historical'!I188</f>
        <v>22.4</v>
      </c>
      <c r="G211" s="78" t="str">
        <f>'CRU historical'!L188</f>
        <v xml:space="preserve"> </v>
      </c>
      <c r="H211" s="78" t="str">
        <f>'CRU historical'!O188</f>
        <v xml:space="preserve"> </v>
      </c>
      <c r="I211" s="78">
        <f>'CRU historical'!R188</f>
        <v>103.8</v>
      </c>
      <c r="J211" s="78">
        <f>AVERAGE('CRU historical'!U188, 'CRU historical'!X188, 'CRU historical'!AA188, 'CRU historical'!AD188)</f>
        <v>85</v>
      </c>
      <c r="L211" s="78" cm="1">
        <f t="array" ref="L211">IFERROR(SUMPRODUCT(('Sulphuric Acid freights'!$B$3:$B$513=B221)*('Sulphuric Acid freights'!$D$3:$D$513=D211)*('Sulphuric Acid freights'!$P$3:$P$513))/SUMPRODUCT(('Sulphuric Acid freights'!$B$3:$B$513=B221)*('Sulphuric Acid freights'!$D$3:$D$513=D211)*1), AVERAGE('Sulphuric Acid freights'!$P$3:$P$513))*2/3</f>
        <v>32</v>
      </c>
      <c r="M211" s="78" cm="1">
        <f t="array" ref="M211">IFERROR(SUMPRODUCT(('Sulphuric Acid freights'!$B$3:$B$513=B221)*('Sulphuric Acid freights'!$D$3:$D$513=D211)*('Sulphuric Acid freights'!$M$3:$M$513))/SUMPRODUCT(('Sulphuric Acid freights'!$B$3:$B$513=B221)*('Sulphuric Acid freights'!$D$3:$D$513=D211)*1)*2/3, AVERAGE('Sulphuric Acid freights'!$M$3:$M$513))</f>
        <v>13.333333333333334</v>
      </c>
      <c r="N211" s="78">
        <f t="shared" si="40"/>
        <v>28.8</v>
      </c>
      <c r="O211" s="78" cm="1">
        <f t="array" ref="O211">IF(SUMPRODUCT(('Sulphur freight'!$B$3:$B$1976=B221)*('Sulphur freight'!$D$3:$D$1976=D211)*('Sulphur freight'!$G$3:$G$1976))/SUMPRODUCT(('Sulphur freight'!$B$3:$B$1976=B221)*('Sulphur freight'!$D$3:$D$1976=D211)*1)=0, AVERAGE('Sulphur freight'!$G$3:$G$1976),SUMPRODUCT(('Sulphur freight'!$B$3:$B$1976=B221)*('Sulphur freight'!$D$3:$D$1976=D211)*('Sulphur freight'!$G$3:$G$1976))/SUMPRODUCT(('Sulphur freight'!$B$3:$B$1976=B221)*('Sulphur freight'!$D$3:$D$1976=D211)*1))</f>
        <v>20</v>
      </c>
      <c r="P211" s="78">
        <v>20</v>
      </c>
      <c r="R211" s="78" t="str">
        <f t="shared" si="41"/>
        <v xml:space="preserve"> </v>
      </c>
      <c r="S211" s="78">
        <f t="shared" si="42"/>
        <v>35.733333333333334</v>
      </c>
      <c r="T211" s="78">
        <f t="shared" si="37"/>
        <v>47</v>
      </c>
      <c r="U211" s="78" t="str">
        <f t="shared" si="43"/>
        <v/>
      </c>
      <c r="V211" s="78">
        <f>IFERROR(I211+O211, "")</f>
        <v>123.8</v>
      </c>
      <c r="W211" s="78">
        <f t="shared" si="44"/>
        <v>105</v>
      </c>
      <c r="X211" s="78">
        <f t="shared" si="45"/>
        <v>58.853999999999999</v>
      </c>
      <c r="Y211" s="78">
        <f t="shared" si="46"/>
        <v>52.65</v>
      </c>
      <c r="AA211" s="88" t="str">
        <f t="shared" si="47"/>
        <v/>
      </c>
      <c r="AB211" s="77" t="str">
        <f t="shared" si="38"/>
        <v/>
      </c>
      <c r="AD211" s="88" t="str">
        <f t="shared" si="48"/>
        <v/>
      </c>
      <c r="AE211" s="77" t="str">
        <f t="shared" si="39"/>
        <v/>
      </c>
    </row>
    <row r="212" spans="2:31" x14ac:dyDescent="0.35">
      <c r="B212">
        <v>2016</v>
      </c>
      <c r="C212">
        <v>3</v>
      </c>
      <c r="D212">
        <v>9</v>
      </c>
      <c r="E212" s="78">
        <f>'CRU historical'!F189</f>
        <v>15</v>
      </c>
      <c r="F212" s="78">
        <f>'CRU historical'!I189</f>
        <v>25</v>
      </c>
      <c r="G212" s="78" t="str">
        <f>'CRU historical'!L189</f>
        <v xml:space="preserve"> </v>
      </c>
      <c r="H212" s="78" t="str">
        <f>'CRU historical'!O189</f>
        <v xml:space="preserve"> </v>
      </c>
      <c r="I212" s="78">
        <f>'CRU historical'!R189</f>
        <v>109.5</v>
      </c>
      <c r="J212" s="78">
        <f>AVERAGE('CRU historical'!U189, 'CRU historical'!X189, 'CRU historical'!AA189, 'CRU historical'!AD189)</f>
        <v>85</v>
      </c>
      <c r="L212" s="78" cm="1">
        <f t="array" ref="L212">IFERROR(SUMPRODUCT(('Sulphuric Acid freights'!$B$3:$B$513=B222)*('Sulphuric Acid freights'!$D$3:$D$513=D212)*('Sulphuric Acid freights'!$P$3:$P$513))/SUMPRODUCT(('Sulphuric Acid freights'!$B$3:$B$513=B222)*('Sulphuric Acid freights'!$D$3:$D$513=D212)*1), AVERAGE('Sulphuric Acid freights'!$P$3:$P$513))*2/3</f>
        <v>32</v>
      </c>
      <c r="M212" s="78" cm="1">
        <f t="array" ref="M212">IFERROR(SUMPRODUCT(('Sulphuric Acid freights'!$B$3:$B$513=B222)*('Sulphuric Acid freights'!$D$3:$D$513=D212)*('Sulphuric Acid freights'!$M$3:$M$513))/SUMPRODUCT(('Sulphuric Acid freights'!$B$3:$B$513=B222)*('Sulphuric Acid freights'!$D$3:$D$513=D212)*1)*2/3, AVERAGE('Sulphuric Acid freights'!$M$3:$M$513))</f>
        <v>13.333333333333334</v>
      </c>
      <c r="N212" s="78">
        <f t="shared" si="40"/>
        <v>28.8</v>
      </c>
      <c r="O212" s="78" cm="1">
        <f t="array" ref="O212">IF(SUMPRODUCT(('Sulphur freight'!$B$3:$B$1976=B222)*('Sulphur freight'!$D$3:$D$1976=D212)*('Sulphur freight'!$G$3:$G$1976))/SUMPRODUCT(('Sulphur freight'!$B$3:$B$1976=B222)*('Sulphur freight'!$D$3:$D$1976=D212)*1)=0, AVERAGE('Sulphur freight'!$G$3:$G$1976),SUMPRODUCT(('Sulphur freight'!$B$3:$B$1976=B222)*('Sulphur freight'!$D$3:$D$1976=D212)*('Sulphur freight'!$G$3:$G$1976))/SUMPRODUCT(('Sulphur freight'!$B$3:$B$1976=B222)*('Sulphur freight'!$D$3:$D$1976=D212)*1))</f>
        <v>21.5</v>
      </c>
      <c r="P212" s="78">
        <v>20</v>
      </c>
      <c r="R212" s="78" t="str">
        <f t="shared" si="41"/>
        <v xml:space="preserve"> </v>
      </c>
      <c r="S212" s="78">
        <f t="shared" si="42"/>
        <v>38.333333333333336</v>
      </c>
      <c r="T212" s="78">
        <f t="shared" si="37"/>
        <v>47</v>
      </c>
      <c r="U212" s="78" t="str">
        <f t="shared" si="43"/>
        <v/>
      </c>
      <c r="V212" s="78">
        <f>IFERROR(I212+O212, "")</f>
        <v>131</v>
      </c>
      <c r="W212" s="78">
        <f t="shared" si="44"/>
        <v>105</v>
      </c>
      <c r="X212" s="78">
        <f t="shared" si="45"/>
        <v>61.230000000000004</v>
      </c>
      <c r="Y212" s="78">
        <f t="shared" si="46"/>
        <v>52.65</v>
      </c>
      <c r="AA212" s="88" t="str">
        <f t="shared" si="47"/>
        <v/>
      </c>
      <c r="AB212" s="77" t="str">
        <f t="shared" si="38"/>
        <v/>
      </c>
      <c r="AD212" s="88" t="str">
        <f t="shared" si="48"/>
        <v/>
      </c>
      <c r="AE212" s="77" t="str">
        <f t="shared" si="39"/>
        <v/>
      </c>
    </row>
    <row r="213" spans="2:31" x14ac:dyDescent="0.35">
      <c r="B213">
        <v>2016</v>
      </c>
      <c r="C213">
        <v>4</v>
      </c>
      <c r="D213">
        <v>10</v>
      </c>
      <c r="E213" s="78">
        <f>'CRU historical'!F190</f>
        <v>14.5</v>
      </c>
      <c r="F213" s="78">
        <f>'CRU historical'!I190</f>
        <v>25</v>
      </c>
      <c r="G213" s="78" t="str">
        <f>'CRU historical'!L190</f>
        <v xml:space="preserve"> </v>
      </c>
      <c r="H213" s="78" t="str">
        <f>'CRU historical'!O190</f>
        <v xml:space="preserve"> </v>
      </c>
      <c r="I213" s="78">
        <f>'CRU historical'!R190</f>
        <v>137.25</v>
      </c>
      <c r="J213" s="78">
        <f>AVERAGE('CRU historical'!U190, 'CRU historical'!X190, 'CRU historical'!AA190, 'CRU historical'!AD190)</f>
        <v>91</v>
      </c>
      <c r="L213" s="78" cm="1">
        <f t="array" ref="L213">IFERROR(SUMPRODUCT(('Sulphuric Acid freights'!$B$3:$B$513=B223)*('Sulphuric Acid freights'!$D$3:$D$513=D213)*('Sulphuric Acid freights'!$P$3:$P$513))/SUMPRODUCT(('Sulphuric Acid freights'!$B$3:$B$513=B223)*('Sulphuric Acid freights'!$D$3:$D$513=D213)*1), AVERAGE('Sulphuric Acid freights'!$P$3:$P$513))*2/3</f>
        <v>32</v>
      </c>
      <c r="M213" s="78" cm="1">
        <f t="array" ref="M213">IFERROR(SUMPRODUCT(('Sulphuric Acid freights'!$B$3:$B$513=B223)*('Sulphuric Acid freights'!$D$3:$D$513=D213)*('Sulphuric Acid freights'!$M$3:$M$513))/SUMPRODUCT(('Sulphuric Acid freights'!$B$3:$B$513=B223)*('Sulphuric Acid freights'!$D$3:$D$513=D213)*1)*2/3, AVERAGE('Sulphuric Acid freights'!$M$3:$M$513))</f>
        <v>13.333333333333334</v>
      </c>
      <c r="N213" s="78">
        <f t="shared" si="40"/>
        <v>28.8</v>
      </c>
      <c r="O213" s="78" cm="1">
        <f t="array" ref="O213">IF(SUMPRODUCT(('Sulphur freight'!$B$3:$B$1976=B223)*('Sulphur freight'!$D$3:$D$1976=D213)*('Sulphur freight'!$G$3:$G$1976))/SUMPRODUCT(('Sulphur freight'!$B$3:$B$1976=B223)*('Sulphur freight'!$D$3:$D$1976=D213)*1)=0, AVERAGE('Sulphur freight'!$G$3:$G$1976),SUMPRODUCT(('Sulphur freight'!$B$3:$B$1976=B223)*('Sulphur freight'!$D$3:$D$1976=D213)*('Sulphur freight'!$G$3:$G$1976))/SUMPRODUCT(('Sulphur freight'!$B$3:$B$1976=B223)*('Sulphur freight'!$D$3:$D$1976=D213)*1))</f>
        <v>22.75</v>
      </c>
      <c r="P213" s="78">
        <v>20</v>
      </c>
      <c r="R213" s="78" t="str">
        <f t="shared" si="41"/>
        <v xml:space="preserve"> </v>
      </c>
      <c r="S213" s="78">
        <f t="shared" si="42"/>
        <v>38.333333333333336</v>
      </c>
      <c r="T213" s="78">
        <f t="shared" si="37"/>
        <v>46.5</v>
      </c>
      <c r="U213" s="78" t="str">
        <f t="shared" si="43"/>
        <v/>
      </c>
      <c r="V213" s="78">
        <f>IFERROR(I213+O213, "")</f>
        <v>160</v>
      </c>
      <c r="W213" s="78">
        <f t="shared" si="44"/>
        <v>111</v>
      </c>
      <c r="X213" s="78">
        <f t="shared" si="45"/>
        <v>70.800000000000011</v>
      </c>
      <c r="Y213" s="78">
        <f t="shared" si="46"/>
        <v>54.63</v>
      </c>
      <c r="AA213" s="88" t="str">
        <f t="shared" si="47"/>
        <v/>
      </c>
      <c r="AB213" s="77" t="str">
        <f t="shared" si="38"/>
        <v/>
      </c>
      <c r="AD213" s="88" t="str">
        <f t="shared" si="48"/>
        <v/>
      </c>
      <c r="AE213" s="77" t="str">
        <f t="shared" si="39"/>
        <v/>
      </c>
    </row>
    <row r="214" spans="2:31" x14ac:dyDescent="0.35">
      <c r="B214">
        <v>2017</v>
      </c>
      <c r="C214">
        <v>4</v>
      </c>
      <c r="D214">
        <v>11</v>
      </c>
      <c r="E214" s="78">
        <f>'CRU historical'!F191</f>
        <v>11.8</v>
      </c>
      <c r="F214" s="78">
        <f>'CRU historical'!I191</f>
        <v>25</v>
      </c>
      <c r="G214" s="78" t="str">
        <f>'CRU historical'!L191</f>
        <v xml:space="preserve"> </v>
      </c>
      <c r="H214" s="78" t="str">
        <f>'CRU historical'!O191</f>
        <v xml:space="preserve"> </v>
      </c>
      <c r="I214" s="78">
        <f>'CRU historical'!R191</f>
        <v>191.8</v>
      </c>
      <c r="J214" s="78">
        <f>AVERAGE('CRU historical'!U191, 'CRU historical'!X191, 'CRU historical'!AA191, 'CRU historical'!AD191)</f>
        <v>109</v>
      </c>
      <c r="L214" s="78" cm="1">
        <f t="array" ref="L214">IFERROR(SUMPRODUCT(('Sulphuric Acid freights'!$B$3:$B$513=B224)*('Sulphuric Acid freights'!$D$3:$D$513=D214)*('Sulphuric Acid freights'!$P$3:$P$513))/SUMPRODUCT(('Sulphuric Acid freights'!$B$3:$B$513=B224)*('Sulphuric Acid freights'!$D$3:$D$513=D214)*1), AVERAGE('Sulphuric Acid freights'!$P$3:$P$513))*2/3</f>
        <v>32</v>
      </c>
      <c r="M214" s="78" cm="1">
        <f t="array" ref="M214">IFERROR(SUMPRODUCT(('Sulphuric Acid freights'!$B$3:$B$513=B224)*('Sulphuric Acid freights'!$D$3:$D$513=D214)*('Sulphuric Acid freights'!$M$3:$M$513))/SUMPRODUCT(('Sulphuric Acid freights'!$B$3:$B$513=B224)*('Sulphuric Acid freights'!$D$3:$D$513=D214)*1)*2/3, AVERAGE('Sulphuric Acid freights'!$M$3:$M$513))</f>
        <v>13.333333333333334</v>
      </c>
      <c r="N214" s="78">
        <f t="shared" si="40"/>
        <v>28.8</v>
      </c>
      <c r="O214" s="78" cm="1">
        <f t="array" ref="O214">IF(SUMPRODUCT(('Sulphur freight'!$B$3:$B$1976=B224)*('Sulphur freight'!$D$3:$D$1976=D214)*('Sulphur freight'!$G$3:$G$1976))/SUMPRODUCT(('Sulphur freight'!$B$3:$B$1976=B224)*('Sulphur freight'!$D$3:$D$1976=D214)*1)=0, AVERAGE('Sulphur freight'!$G$3:$G$1976),SUMPRODUCT(('Sulphur freight'!$B$3:$B$1976=B224)*('Sulphur freight'!$D$3:$D$1976=D214)*('Sulphur freight'!$G$3:$G$1976))/SUMPRODUCT(('Sulphur freight'!$B$3:$B$1976=B224)*('Sulphur freight'!$D$3:$D$1976=D214)*1))</f>
        <v>22.4</v>
      </c>
      <c r="P214" s="78">
        <v>20</v>
      </c>
      <c r="R214" s="78" t="str">
        <f t="shared" si="41"/>
        <v xml:space="preserve"> </v>
      </c>
      <c r="S214" s="78">
        <f t="shared" si="42"/>
        <v>38.333333333333336</v>
      </c>
      <c r="T214" s="78">
        <f t="shared" si="37"/>
        <v>43.8</v>
      </c>
      <c r="U214" s="78" t="str">
        <f t="shared" si="43"/>
        <v/>
      </c>
      <c r="V214" s="78">
        <f>IFERROR(I214+O214, "")</f>
        <v>214.20000000000002</v>
      </c>
      <c r="W214" s="78">
        <f t="shared" si="44"/>
        <v>129</v>
      </c>
      <c r="X214" s="78">
        <f t="shared" si="45"/>
        <v>88.686000000000007</v>
      </c>
      <c r="Y214" s="78">
        <f t="shared" si="46"/>
        <v>60.57</v>
      </c>
      <c r="AA214" s="88" t="str">
        <f t="shared" si="47"/>
        <v/>
      </c>
      <c r="AB214" s="77" t="str">
        <f t="shared" si="38"/>
        <v/>
      </c>
      <c r="AD214" s="88" t="str">
        <f t="shared" si="48"/>
        <v/>
      </c>
      <c r="AE214" s="77" t="str">
        <f t="shared" si="39"/>
        <v/>
      </c>
    </row>
    <row r="215" spans="2:31" x14ac:dyDescent="0.35">
      <c r="B215">
        <v>2017</v>
      </c>
      <c r="C215">
        <v>4</v>
      </c>
      <c r="D215">
        <v>12</v>
      </c>
      <c r="E215" s="78">
        <f>'CRU historical'!F192</f>
        <v>14.333333333333334</v>
      </c>
      <c r="F215" s="78">
        <f>'CRU historical'!I192</f>
        <v>25</v>
      </c>
      <c r="G215" s="78" t="str">
        <f>'CRU historical'!L192</f>
        <v xml:space="preserve"> </v>
      </c>
      <c r="H215" s="78" t="str">
        <f>'CRU historical'!O192</f>
        <v xml:space="preserve"> </v>
      </c>
      <c r="I215" s="78">
        <f>'CRU historical'!R192</f>
        <v>163.33333333333334</v>
      </c>
      <c r="J215" s="78">
        <f>AVERAGE('CRU historical'!U192, 'CRU historical'!X192, 'CRU historical'!AA192, 'CRU historical'!AD192)</f>
        <v>109</v>
      </c>
      <c r="L215" s="78" cm="1">
        <f t="array" ref="L215">IFERROR(SUMPRODUCT(('Sulphuric Acid freights'!$B$3:$B$513=B225)*('Sulphuric Acid freights'!$D$3:$D$513=D215)*('Sulphuric Acid freights'!$P$3:$P$513))/SUMPRODUCT(('Sulphuric Acid freights'!$B$3:$B$513=B225)*('Sulphuric Acid freights'!$D$3:$D$513=D215)*1), AVERAGE('Sulphuric Acid freights'!$P$3:$P$513))*2/3</f>
        <v>32</v>
      </c>
      <c r="M215" s="78" cm="1">
        <f t="array" ref="M215">IFERROR(SUMPRODUCT(('Sulphuric Acid freights'!$B$3:$B$513=B225)*('Sulphuric Acid freights'!$D$3:$D$513=D215)*('Sulphuric Acid freights'!$M$3:$M$513))/SUMPRODUCT(('Sulphuric Acid freights'!$B$3:$B$513=B225)*('Sulphuric Acid freights'!$D$3:$D$513=D215)*1)*2/3, AVERAGE('Sulphuric Acid freights'!$M$3:$M$513))</f>
        <v>13.333333333333334</v>
      </c>
      <c r="N215" s="78">
        <f t="shared" si="40"/>
        <v>28.8</v>
      </c>
      <c r="O215" s="78" cm="1">
        <f t="array" ref="O215">IF(SUMPRODUCT(('Sulphur freight'!$B$3:$B$1976=B225)*('Sulphur freight'!$D$3:$D$1976=D215)*('Sulphur freight'!$G$3:$G$1976))/SUMPRODUCT(('Sulphur freight'!$B$3:$B$1976=B225)*('Sulphur freight'!$D$3:$D$1976=D215)*1)=0, AVERAGE('Sulphur freight'!$G$3:$G$1976),SUMPRODUCT(('Sulphur freight'!$B$3:$B$1976=B225)*('Sulphur freight'!$D$3:$D$1976=D215)*('Sulphur freight'!$G$3:$G$1976))/SUMPRODUCT(('Sulphur freight'!$B$3:$B$1976=B225)*('Sulphur freight'!$D$3:$D$1976=D215)*1))</f>
        <v>22.5</v>
      </c>
      <c r="P215" s="78">
        <v>20</v>
      </c>
      <c r="R215" s="78" t="str">
        <f t="shared" si="41"/>
        <v xml:space="preserve"> </v>
      </c>
      <c r="S215" s="78">
        <f t="shared" si="42"/>
        <v>38.333333333333336</v>
      </c>
      <c r="T215" s="78">
        <f t="shared" si="37"/>
        <v>46.333333333333336</v>
      </c>
      <c r="U215" s="78" t="str">
        <f t="shared" si="43"/>
        <v/>
      </c>
      <c r="V215" s="78">
        <f>IFERROR(I215+O215, "")</f>
        <v>185.83333333333334</v>
      </c>
      <c r="W215" s="78">
        <f t="shared" si="44"/>
        <v>129</v>
      </c>
      <c r="X215" s="78">
        <f t="shared" si="45"/>
        <v>79.325000000000003</v>
      </c>
      <c r="Y215" s="78">
        <f t="shared" si="46"/>
        <v>60.57</v>
      </c>
      <c r="AA215" s="88" t="str">
        <f t="shared" si="47"/>
        <v/>
      </c>
      <c r="AB215" s="77" t="str">
        <f t="shared" si="38"/>
        <v/>
      </c>
      <c r="AD215" s="88" t="str">
        <f t="shared" si="48"/>
        <v/>
      </c>
      <c r="AE215" s="77" t="str">
        <f t="shared" si="39"/>
        <v/>
      </c>
    </row>
    <row r="216" spans="2:31" x14ac:dyDescent="0.35">
      <c r="B216">
        <v>2017</v>
      </c>
      <c r="C216">
        <v>1</v>
      </c>
      <c r="D216">
        <v>1</v>
      </c>
      <c r="E216" s="78">
        <f>'CRU historical'!F193</f>
        <v>17.25</v>
      </c>
      <c r="F216" s="78">
        <f>'CRU historical'!I193</f>
        <v>32</v>
      </c>
      <c r="G216" s="78" t="str">
        <f>'CRU historical'!L193</f>
        <v xml:space="preserve"> </v>
      </c>
      <c r="H216" s="78" t="str">
        <f>'CRU historical'!O193</f>
        <v xml:space="preserve"> </v>
      </c>
      <c r="I216" s="78">
        <f>'CRU historical'!R193</f>
        <v>133</v>
      </c>
      <c r="J216" s="78">
        <f>AVERAGE('CRU historical'!U193, 'CRU historical'!X193, 'CRU historical'!AA193, 'CRU historical'!AD193)</f>
        <v>116.25</v>
      </c>
      <c r="L216" s="78" cm="1">
        <f t="array" ref="L216">IFERROR(SUMPRODUCT(('Sulphuric Acid freights'!$B$3:$B$513=B226)*('Sulphuric Acid freights'!$D$3:$D$513=D216)*('Sulphuric Acid freights'!$P$3:$P$513))/SUMPRODUCT(('Sulphuric Acid freights'!$B$3:$B$513=B226)*('Sulphuric Acid freights'!$D$3:$D$513=D216)*1), AVERAGE('Sulphuric Acid freights'!$P$3:$P$513))*2/3</f>
        <v>32</v>
      </c>
      <c r="M216" s="78" cm="1">
        <f t="array" ref="M216">IFERROR(SUMPRODUCT(('Sulphuric Acid freights'!$B$3:$B$513=B226)*('Sulphuric Acid freights'!$D$3:$D$513=D216)*('Sulphuric Acid freights'!$M$3:$M$513))/SUMPRODUCT(('Sulphuric Acid freights'!$B$3:$B$513=B226)*('Sulphuric Acid freights'!$D$3:$D$513=D216)*1)*2/3, AVERAGE('Sulphuric Acid freights'!$M$3:$M$513))</f>
        <v>13.333333333333334</v>
      </c>
      <c r="N216" s="78">
        <f t="shared" si="40"/>
        <v>28.8</v>
      </c>
      <c r="O216" s="78" cm="1">
        <f t="array" ref="O216">IF(SUMPRODUCT(('Sulphur freight'!$B$3:$B$1976=B226)*('Sulphur freight'!$D$3:$D$1976=D216)*('Sulphur freight'!$G$3:$G$1976))/SUMPRODUCT(('Sulphur freight'!$B$3:$B$1976=B226)*('Sulphur freight'!$D$3:$D$1976=D216)*1)=0, AVERAGE('Sulphur freight'!$G$3:$G$1976),SUMPRODUCT(('Sulphur freight'!$B$3:$B$1976=B226)*('Sulphur freight'!$D$3:$D$1976=D216)*('Sulphur freight'!$G$3:$G$1976))/SUMPRODUCT(('Sulphur freight'!$B$3:$B$1976=B226)*('Sulphur freight'!$D$3:$D$1976=D216)*1))</f>
        <v>22.75</v>
      </c>
      <c r="P216" s="78">
        <v>20</v>
      </c>
      <c r="R216" s="78" t="str">
        <f t="shared" si="41"/>
        <v xml:space="preserve"> </v>
      </c>
      <c r="S216" s="78">
        <f t="shared" si="42"/>
        <v>45.333333333333336</v>
      </c>
      <c r="T216" s="78">
        <f t="shared" si="37"/>
        <v>49.25</v>
      </c>
      <c r="U216" s="78" t="str">
        <f t="shared" si="43"/>
        <v/>
      </c>
      <c r="V216" s="78">
        <f>IFERROR(I216+O216, "")</f>
        <v>155.75</v>
      </c>
      <c r="W216" s="78">
        <f t="shared" si="44"/>
        <v>136.25</v>
      </c>
      <c r="X216" s="78">
        <f t="shared" si="45"/>
        <v>69.397500000000008</v>
      </c>
      <c r="Y216" s="78">
        <f t="shared" si="46"/>
        <v>62.962499999999999</v>
      </c>
      <c r="AA216" s="88" t="str">
        <f t="shared" si="47"/>
        <v/>
      </c>
      <c r="AB216" s="77" t="str">
        <f t="shared" si="38"/>
        <v/>
      </c>
      <c r="AD216" s="88" t="str">
        <f t="shared" si="48"/>
        <v/>
      </c>
      <c r="AE216" s="77" t="str">
        <f t="shared" si="39"/>
        <v/>
      </c>
    </row>
    <row r="217" spans="2:31" x14ac:dyDescent="0.35">
      <c r="B217">
        <v>2017</v>
      </c>
      <c r="C217">
        <v>1</v>
      </c>
      <c r="D217">
        <v>2</v>
      </c>
      <c r="E217" s="78">
        <f>'CRU historical'!F194</f>
        <v>18.5</v>
      </c>
      <c r="F217" s="78">
        <f>'CRU historical'!I194</f>
        <v>35.75</v>
      </c>
      <c r="G217" s="78" t="str">
        <f>'CRU historical'!L194</f>
        <v xml:space="preserve"> </v>
      </c>
      <c r="H217" s="78" t="str">
        <f>'CRU historical'!O194</f>
        <v xml:space="preserve"> </v>
      </c>
      <c r="I217" s="78">
        <f>'CRU historical'!R194</f>
        <v>121.5</v>
      </c>
      <c r="J217" s="78">
        <f>AVERAGE('CRU historical'!U194, 'CRU historical'!X194, 'CRU historical'!AA194, 'CRU historical'!AD194)</f>
        <v>138</v>
      </c>
      <c r="L217" s="78" cm="1">
        <f t="array" ref="L217">IFERROR(SUMPRODUCT(('Sulphuric Acid freights'!$B$3:$B$513=B227)*('Sulphuric Acid freights'!$D$3:$D$513=D217)*('Sulphuric Acid freights'!$P$3:$P$513))/SUMPRODUCT(('Sulphuric Acid freights'!$B$3:$B$513=B227)*('Sulphuric Acid freights'!$D$3:$D$513=D217)*1), AVERAGE('Sulphuric Acid freights'!$P$3:$P$513))*2/3</f>
        <v>32</v>
      </c>
      <c r="M217" s="78" cm="1">
        <f t="array" ref="M217">IFERROR(SUMPRODUCT(('Sulphuric Acid freights'!$B$3:$B$513=B227)*('Sulphuric Acid freights'!$D$3:$D$513=D217)*('Sulphuric Acid freights'!$M$3:$M$513))/SUMPRODUCT(('Sulphuric Acid freights'!$B$3:$B$513=B227)*('Sulphuric Acid freights'!$D$3:$D$513=D217)*1)*2/3, AVERAGE('Sulphuric Acid freights'!$M$3:$M$513))</f>
        <v>13.333333333333334</v>
      </c>
      <c r="N217" s="78">
        <f t="shared" si="40"/>
        <v>28.8</v>
      </c>
      <c r="O217" s="78" cm="1">
        <f t="array" ref="O217">IF(SUMPRODUCT(('Sulphur freight'!$B$3:$B$1976=B227)*('Sulphur freight'!$D$3:$D$1976=D217)*('Sulphur freight'!$G$3:$G$1976))/SUMPRODUCT(('Sulphur freight'!$B$3:$B$1976=B227)*('Sulphur freight'!$D$3:$D$1976=D217)*1)=0, AVERAGE('Sulphur freight'!$G$3:$G$1976),SUMPRODUCT(('Sulphur freight'!$B$3:$B$1976=B227)*('Sulphur freight'!$D$3:$D$1976=D217)*('Sulphur freight'!$G$3:$G$1976))/SUMPRODUCT(('Sulphur freight'!$B$3:$B$1976=B227)*('Sulphur freight'!$D$3:$D$1976=D217)*1))</f>
        <v>22.25</v>
      </c>
      <c r="P217" s="78">
        <v>20</v>
      </c>
      <c r="R217" s="78" t="str">
        <f t="shared" si="41"/>
        <v xml:space="preserve"> </v>
      </c>
      <c r="S217" s="78">
        <f t="shared" si="42"/>
        <v>49.083333333333336</v>
      </c>
      <c r="T217" s="78">
        <f t="shared" si="37"/>
        <v>50.5</v>
      </c>
      <c r="U217" s="78" t="str">
        <f t="shared" si="43"/>
        <v/>
      </c>
      <c r="V217" s="78">
        <f>IFERROR(I217+O217, "")</f>
        <v>143.75</v>
      </c>
      <c r="W217" s="78">
        <f t="shared" si="44"/>
        <v>158</v>
      </c>
      <c r="X217" s="78">
        <f t="shared" si="45"/>
        <v>65.4375</v>
      </c>
      <c r="Y217" s="78">
        <f t="shared" si="46"/>
        <v>70.14</v>
      </c>
      <c r="AA217" s="88" t="str">
        <f t="shared" si="47"/>
        <v/>
      </c>
      <c r="AB217" s="77" t="str">
        <f t="shared" si="38"/>
        <v/>
      </c>
      <c r="AD217" s="88" t="str">
        <f t="shared" si="48"/>
        <v/>
      </c>
      <c r="AE217" s="77" t="str">
        <f t="shared" si="39"/>
        <v/>
      </c>
    </row>
    <row r="218" spans="2:31" x14ac:dyDescent="0.35">
      <c r="B218">
        <v>2017</v>
      </c>
      <c r="C218">
        <v>1</v>
      </c>
      <c r="D218">
        <v>3</v>
      </c>
      <c r="E218" s="78">
        <f>'CRU historical'!F195</f>
        <v>20</v>
      </c>
      <c r="F218" s="78">
        <f>'CRU historical'!I195</f>
        <v>46</v>
      </c>
      <c r="G218" s="78" t="str">
        <f>'CRU historical'!L195</f>
        <v xml:space="preserve"> </v>
      </c>
      <c r="H218" s="78" t="str">
        <f>'CRU historical'!O195</f>
        <v xml:space="preserve"> </v>
      </c>
      <c r="I218" s="78">
        <f>'CRU historical'!R195</f>
        <v>125</v>
      </c>
      <c r="J218" s="78">
        <f>AVERAGE('CRU historical'!U195, 'CRU historical'!X195, 'CRU historical'!AA195, 'CRU historical'!AD195)</f>
        <v>138</v>
      </c>
      <c r="L218" s="78" cm="1">
        <f t="array" ref="L218">IFERROR(SUMPRODUCT(('Sulphuric Acid freights'!$B$3:$B$513=B228)*('Sulphuric Acid freights'!$D$3:$D$513=D218)*('Sulphuric Acid freights'!$P$3:$P$513))/SUMPRODUCT(('Sulphuric Acid freights'!$B$3:$B$513=B228)*('Sulphuric Acid freights'!$D$3:$D$513=D218)*1), AVERAGE('Sulphuric Acid freights'!$P$3:$P$513))*2/3</f>
        <v>32</v>
      </c>
      <c r="M218" s="78" cm="1">
        <f t="array" ref="M218">IFERROR(SUMPRODUCT(('Sulphuric Acid freights'!$B$3:$B$513=B228)*('Sulphuric Acid freights'!$D$3:$D$513=D218)*('Sulphuric Acid freights'!$M$3:$M$513))/SUMPRODUCT(('Sulphuric Acid freights'!$B$3:$B$513=B228)*('Sulphuric Acid freights'!$D$3:$D$513=D218)*1)*2/3, AVERAGE('Sulphuric Acid freights'!$M$3:$M$513))</f>
        <v>13.333333333333334</v>
      </c>
      <c r="N218" s="78">
        <f t="shared" si="40"/>
        <v>28.8</v>
      </c>
      <c r="O218" s="78" cm="1">
        <f t="array" ref="O218">IF(SUMPRODUCT(('Sulphur freight'!$B$3:$B$1976=B228)*('Sulphur freight'!$D$3:$D$1976=D218)*('Sulphur freight'!$G$3:$G$1976))/SUMPRODUCT(('Sulphur freight'!$B$3:$B$1976=B228)*('Sulphur freight'!$D$3:$D$1976=D218)*1)=0, AVERAGE('Sulphur freight'!$G$3:$G$1976),SUMPRODUCT(('Sulphur freight'!$B$3:$B$1976=B228)*('Sulphur freight'!$D$3:$D$1976=D218)*('Sulphur freight'!$G$3:$G$1976))/SUMPRODUCT(('Sulphur freight'!$B$3:$B$1976=B228)*('Sulphur freight'!$D$3:$D$1976=D218)*1))</f>
        <v>23.4</v>
      </c>
      <c r="P218" s="78">
        <v>20</v>
      </c>
      <c r="R218" s="78" t="str">
        <f t="shared" si="41"/>
        <v xml:space="preserve"> </v>
      </c>
      <c r="S218" s="78">
        <f t="shared" si="42"/>
        <v>59.333333333333336</v>
      </c>
      <c r="T218" s="78">
        <f t="shared" si="37"/>
        <v>52</v>
      </c>
      <c r="U218" s="78" t="str">
        <f t="shared" si="43"/>
        <v/>
      </c>
      <c r="V218" s="78">
        <f>IFERROR(I218+O218, "")</f>
        <v>148.4</v>
      </c>
      <c r="W218" s="78">
        <f t="shared" si="44"/>
        <v>158</v>
      </c>
      <c r="X218" s="78">
        <f t="shared" si="45"/>
        <v>66.972000000000008</v>
      </c>
      <c r="Y218" s="78">
        <f t="shared" si="46"/>
        <v>70.14</v>
      </c>
      <c r="AA218" s="88" t="str">
        <f t="shared" si="47"/>
        <v/>
      </c>
      <c r="AB218" s="77" t="str">
        <f t="shared" si="38"/>
        <v/>
      </c>
      <c r="AD218" s="88" t="str">
        <f t="shared" si="48"/>
        <v/>
      </c>
      <c r="AE218" s="77" t="str">
        <f t="shared" si="39"/>
        <v/>
      </c>
    </row>
    <row r="219" spans="2:31" x14ac:dyDescent="0.35">
      <c r="B219">
        <v>2017</v>
      </c>
      <c r="C219">
        <v>2</v>
      </c>
      <c r="D219">
        <v>4</v>
      </c>
      <c r="E219" s="78">
        <f>'CRU historical'!F196</f>
        <v>20</v>
      </c>
      <c r="F219" s="78">
        <f>'CRU historical'!I196</f>
        <v>52.5</v>
      </c>
      <c r="G219" s="78" t="str">
        <f>'CRU historical'!L196</f>
        <v xml:space="preserve"> </v>
      </c>
      <c r="H219" s="78" t="str">
        <f>'CRU historical'!O196</f>
        <v xml:space="preserve"> </v>
      </c>
      <c r="I219" s="78">
        <f>'CRU historical'!R196</f>
        <v>115</v>
      </c>
      <c r="J219" s="78">
        <f>AVERAGE('CRU historical'!U196, 'CRU historical'!X196, 'CRU historical'!AA196, 'CRU historical'!AD196)</f>
        <v>133.75</v>
      </c>
      <c r="L219" s="78" cm="1">
        <f t="array" ref="L219">IFERROR(SUMPRODUCT(('Sulphuric Acid freights'!$B$3:$B$513=B229)*('Sulphuric Acid freights'!$D$3:$D$513=D219)*('Sulphuric Acid freights'!$P$3:$P$513))/SUMPRODUCT(('Sulphuric Acid freights'!$B$3:$B$513=B229)*('Sulphuric Acid freights'!$D$3:$D$513=D219)*1), AVERAGE('Sulphuric Acid freights'!$P$3:$P$513))*2/3</f>
        <v>32</v>
      </c>
      <c r="M219" s="78" cm="1">
        <f t="array" ref="M219">IFERROR(SUMPRODUCT(('Sulphuric Acid freights'!$B$3:$B$513=B229)*('Sulphuric Acid freights'!$D$3:$D$513=D219)*('Sulphuric Acid freights'!$M$3:$M$513))/SUMPRODUCT(('Sulphuric Acid freights'!$B$3:$B$513=B229)*('Sulphuric Acid freights'!$D$3:$D$513=D219)*1)*2/3, AVERAGE('Sulphuric Acid freights'!$M$3:$M$513))</f>
        <v>13.333333333333334</v>
      </c>
      <c r="N219" s="78">
        <f t="shared" si="40"/>
        <v>28.8</v>
      </c>
      <c r="O219" s="78" cm="1">
        <f t="array" ref="O219">IF(SUMPRODUCT(('Sulphur freight'!$B$3:$B$1976=B229)*('Sulphur freight'!$D$3:$D$1976=D219)*('Sulphur freight'!$G$3:$G$1976))/SUMPRODUCT(('Sulphur freight'!$B$3:$B$1976=B229)*('Sulphur freight'!$D$3:$D$1976=D219)*1)=0, AVERAGE('Sulphur freight'!$G$3:$G$1976),SUMPRODUCT(('Sulphur freight'!$B$3:$B$1976=B229)*('Sulphur freight'!$D$3:$D$1976=D219)*('Sulphur freight'!$G$3:$G$1976))/SUMPRODUCT(('Sulphur freight'!$B$3:$B$1976=B229)*('Sulphur freight'!$D$3:$D$1976=D219)*1))</f>
        <v>22</v>
      </c>
      <c r="P219" s="78">
        <v>20</v>
      </c>
      <c r="R219" s="78" t="str">
        <f t="shared" si="41"/>
        <v xml:space="preserve"> </v>
      </c>
      <c r="S219" s="78">
        <f t="shared" si="42"/>
        <v>65.833333333333329</v>
      </c>
      <c r="T219" s="78">
        <f t="shared" si="37"/>
        <v>52</v>
      </c>
      <c r="U219" s="78" t="str">
        <f t="shared" si="43"/>
        <v/>
      </c>
      <c r="V219" s="78">
        <f>IFERROR(I219+O219, "")</f>
        <v>137</v>
      </c>
      <c r="W219" s="78">
        <f t="shared" si="44"/>
        <v>153.75</v>
      </c>
      <c r="X219" s="78">
        <f t="shared" si="45"/>
        <v>63.21</v>
      </c>
      <c r="Y219" s="78">
        <f t="shared" si="46"/>
        <v>68.737500000000011</v>
      </c>
      <c r="AA219" s="88" t="str">
        <f t="shared" si="47"/>
        <v/>
      </c>
      <c r="AB219" s="77" t="str">
        <f t="shared" si="38"/>
        <v/>
      </c>
      <c r="AD219" s="88" t="str">
        <f t="shared" si="48"/>
        <v/>
      </c>
      <c r="AE219" s="77" t="str">
        <f t="shared" si="39"/>
        <v/>
      </c>
    </row>
    <row r="220" spans="2:31" x14ac:dyDescent="0.35">
      <c r="B220">
        <v>2017</v>
      </c>
      <c r="C220">
        <v>2</v>
      </c>
      <c r="D220">
        <v>5</v>
      </c>
      <c r="E220" s="78">
        <f>'CRU historical'!F197</f>
        <v>25.6</v>
      </c>
      <c r="F220" s="78">
        <f>'CRU historical'!I197</f>
        <v>56</v>
      </c>
      <c r="G220" s="78" t="str">
        <f>'CRU historical'!L197</f>
        <v xml:space="preserve"> </v>
      </c>
      <c r="H220" s="78" t="str">
        <f>'CRU historical'!O197</f>
        <v xml:space="preserve"> </v>
      </c>
      <c r="I220" s="78">
        <f>'CRU historical'!R197</f>
        <v>126.6</v>
      </c>
      <c r="J220" s="78">
        <f>AVERAGE('CRU historical'!U197, 'CRU historical'!X197, 'CRU historical'!AA197, 'CRU historical'!AD197)</f>
        <v>121</v>
      </c>
      <c r="L220" s="78" cm="1">
        <f t="array" ref="L220">IFERROR(SUMPRODUCT(('Sulphuric Acid freights'!$B$3:$B$513=B230)*('Sulphuric Acid freights'!$D$3:$D$513=D220)*('Sulphuric Acid freights'!$P$3:$P$513))/SUMPRODUCT(('Sulphuric Acid freights'!$B$3:$B$513=B230)*('Sulphuric Acid freights'!$D$3:$D$513=D220)*1), AVERAGE('Sulphuric Acid freights'!$P$3:$P$513))*2/3</f>
        <v>32</v>
      </c>
      <c r="M220" s="78" cm="1">
        <f t="array" ref="M220">IFERROR(SUMPRODUCT(('Sulphuric Acid freights'!$B$3:$B$513=B230)*('Sulphuric Acid freights'!$D$3:$D$513=D220)*('Sulphuric Acid freights'!$M$3:$M$513))/SUMPRODUCT(('Sulphuric Acid freights'!$B$3:$B$513=B230)*('Sulphuric Acid freights'!$D$3:$D$513=D220)*1)*2/3, AVERAGE('Sulphuric Acid freights'!$M$3:$M$513))</f>
        <v>13.333333333333334</v>
      </c>
      <c r="N220" s="78">
        <f t="shared" si="40"/>
        <v>28.8</v>
      </c>
      <c r="O220" s="78" cm="1">
        <f t="array" ref="O220">IF(SUMPRODUCT(('Sulphur freight'!$B$3:$B$1976=B230)*('Sulphur freight'!$D$3:$D$1976=D220)*('Sulphur freight'!$G$3:$G$1976))/SUMPRODUCT(('Sulphur freight'!$B$3:$B$1976=B230)*('Sulphur freight'!$D$3:$D$1976=D220)*1)=0, AVERAGE('Sulphur freight'!$G$3:$G$1976),SUMPRODUCT(('Sulphur freight'!$B$3:$B$1976=B230)*('Sulphur freight'!$D$3:$D$1976=D220)*('Sulphur freight'!$G$3:$G$1976))/SUMPRODUCT(('Sulphur freight'!$B$3:$B$1976=B230)*('Sulphur freight'!$D$3:$D$1976=D220)*1))</f>
        <v>21.6</v>
      </c>
      <c r="P220" s="78">
        <v>20</v>
      </c>
      <c r="R220" s="78" t="str">
        <f t="shared" si="41"/>
        <v xml:space="preserve"> </v>
      </c>
      <c r="S220" s="78">
        <f t="shared" si="42"/>
        <v>69.333333333333329</v>
      </c>
      <c r="T220" s="78">
        <f t="shared" ref="T220:T283" si="49">IFERROR( E220+L220, "")</f>
        <v>57.6</v>
      </c>
      <c r="U220" s="78" t="str">
        <f t="shared" si="43"/>
        <v/>
      </c>
      <c r="V220" s="78">
        <f>IFERROR(I220+O220, "")</f>
        <v>148.19999999999999</v>
      </c>
      <c r="W220" s="78">
        <f t="shared" si="44"/>
        <v>141</v>
      </c>
      <c r="X220" s="78">
        <f t="shared" si="45"/>
        <v>66.906000000000006</v>
      </c>
      <c r="Y220" s="78">
        <f t="shared" si="46"/>
        <v>64.53</v>
      </c>
      <c r="AA220" s="88" t="str">
        <f t="shared" si="47"/>
        <v/>
      </c>
      <c r="AB220" s="77" t="str">
        <f t="shared" ref="AB220:AB283" si="50">IF(AA220="", "", MAX(X220, Y220)-AA220)</f>
        <v/>
      </c>
      <c r="AD220" s="88" t="str">
        <f t="shared" si="48"/>
        <v/>
      </c>
      <c r="AE220" s="77" t="str">
        <f t="shared" ref="AE220:AE254" si="51">IF(AD220="", "", MAX(AA220, AB220)-AD220)</f>
        <v/>
      </c>
    </row>
    <row r="221" spans="2:31" x14ac:dyDescent="0.35">
      <c r="B221">
        <v>2017</v>
      </c>
      <c r="C221">
        <v>2</v>
      </c>
      <c r="D221">
        <v>6</v>
      </c>
      <c r="E221" s="78">
        <f>'CRU historical'!F198</f>
        <v>31.5</v>
      </c>
      <c r="F221" s="78">
        <f>'CRU historical'!I198</f>
        <v>60</v>
      </c>
      <c r="G221" s="78" t="str">
        <f>'CRU historical'!L198</f>
        <v xml:space="preserve"> </v>
      </c>
      <c r="H221" s="78" t="str">
        <f>'CRU historical'!O198</f>
        <v xml:space="preserve"> </v>
      </c>
      <c r="I221" s="78">
        <f>'CRU historical'!R198</f>
        <v>133</v>
      </c>
      <c r="J221" s="78">
        <f>AVERAGE('CRU historical'!U198, 'CRU historical'!X198, 'CRU historical'!AA198, 'CRU historical'!AD198)</f>
        <v>121</v>
      </c>
      <c r="L221" s="78" cm="1">
        <f t="array" ref="L221">IFERROR(SUMPRODUCT(('Sulphuric Acid freights'!$B$3:$B$513=B231)*('Sulphuric Acid freights'!$D$3:$D$513=D221)*('Sulphuric Acid freights'!$P$3:$P$513))/SUMPRODUCT(('Sulphuric Acid freights'!$B$3:$B$513=B231)*('Sulphuric Acid freights'!$D$3:$D$513=D221)*1), AVERAGE('Sulphuric Acid freights'!$P$3:$P$513))*2/3</f>
        <v>32</v>
      </c>
      <c r="M221" s="78" cm="1">
        <f t="array" ref="M221">IFERROR(SUMPRODUCT(('Sulphuric Acid freights'!$B$3:$B$513=B231)*('Sulphuric Acid freights'!$D$3:$D$513=D221)*('Sulphuric Acid freights'!$M$3:$M$513))/SUMPRODUCT(('Sulphuric Acid freights'!$B$3:$B$513=B231)*('Sulphuric Acid freights'!$D$3:$D$513=D221)*1)*2/3, AVERAGE('Sulphuric Acid freights'!$M$3:$M$513))</f>
        <v>13.333333333333334</v>
      </c>
      <c r="N221" s="78">
        <f t="shared" ref="N221:N284" si="52">IFERROR(L221*0.9, "")</f>
        <v>28.8</v>
      </c>
      <c r="O221" s="78" cm="1">
        <f t="array" ref="O221">IF(SUMPRODUCT(('Sulphur freight'!$B$3:$B$1976=B231)*('Sulphur freight'!$D$3:$D$1976=D221)*('Sulphur freight'!$G$3:$G$1976))/SUMPRODUCT(('Sulphur freight'!$B$3:$B$1976=B231)*('Sulphur freight'!$D$3:$D$1976=D221)*1)=0, AVERAGE('Sulphur freight'!$G$3:$G$1976),SUMPRODUCT(('Sulphur freight'!$B$3:$B$1976=B231)*('Sulphur freight'!$D$3:$D$1976=D221)*('Sulphur freight'!$G$3:$G$1976))/SUMPRODUCT(('Sulphur freight'!$B$3:$B$1976=B231)*('Sulphur freight'!$D$3:$D$1976=D221)*1))</f>
        <v>21</v>
      </c>
      <c r="P221" s="78">
        <v>20</v>
      </c>
      <c r="R221" s="78" t="str">
        <f t="shared" ref="R221:R284" si="53">H221</f>
        <v xml:space="preserve"> </v>
      </c>
      <c r="S221" s="78">
        <f t="shared" ref="S221:S284" si="54">IF(F221=0, "", F221+M221)</f>
        <v>73.333333333333329</v>
      </c>
      <c r="T221" s="78">
        <f t="shared" si="49"/>
        <v>63.5</v>
      </c>
      <c r="U221" s="78" t="str">
        <f t="shared" ref="U221:U284" si="55">IFERROR( G221+N221, "")</f>
        <v/>
      </c>
      <c r="V221" s="78">
        <f>IFERROR(I221+O221, "")</f>
        <v>154</v>
      </c>
      <c r="W221" s="78">
        <f t="shared" ref="W221:W284" si="56">J221+P221</f>
        <v>141</v>
      </c>
      <c r="X221" s="78">
        <f t="shared" ref="X221:X284" si="57">IFERROR((I221+O221)*0.33+18, "")</f>
        <v>68.819999999999993</v>
      </c>
      <c r="Y221" s="78">
        <f t="shared" ref="Y221:Y284" si="58">IF(J221=0,0,(J221+P221)*0.33+18)</f>
        <v>64.53</v>
      </c>
      <c r="AA221" s="88" t="str">
        <f t="shared" ref="AA221:AA284" si="59">IF(OR(S221="", T221="", U221=""), "", MAX(R221,S221)*40%+T221*30%+U221*30%)</f>
        <v/>
      </c>
      <c r="AB221" s="77" t="str">
        <f t="shared" si="50"/>
        <v/>
      </c>
      <c r="AD221" s="88" t="str">
        <f t="shared" ref="AD221:AD284" si="60">IFERROR(MIN((MAX(R221,S221)*70%+U221*30%), Y221), "")</f>
        <v/>
      </c>
      <c r="AE221" s="77" t="str">
        <f t="shared" si="51"/>
        <v/>
      </c>
    </row>
    <row r="222" spans="2:31" x14ac:dyDescent="0.35">
      <c r="B222">
        <v>2017</v>
      </c>
      <c r="C222">
        <v>3</v>
      </c>
      <c r="D222">
        <v>7</v>
      </c>
      <c r="E222" s="78">
        <f>'CRU historical'!F199</f>
        <v>33</v>
      </c>
      <c r="F222" s="78">
        <f>'CRU historical'!I199</f>
        <v>62.5</v>
      </c>
      <c r="G222" s="78" t="str">
        <f>'CRU historical'!L199</f>
        <v xml:space="preserve"> </v>
      </c>
      <c r="H222" s="78" t="str">
        <f>'CRU historical'!O199</f>
        <v xml:space="preserve"> </v>
      </c>
      <c r="I222" s="78">
        <f>'CRU historical'!R199</f>
        <v>134.25</v>
      </c>
      <c r="J222" s="78">
        <f>AVERAGE('CRU historical'!U199, 'CRU historical'!X199, 'CRU historical'!AA199, 'CRU historical'!AD199)</f>
        <v>132.25</v>
      </c>
      <c r="L222" s="78" cm="1">
        <f t="array" ref="L222">IFERROR(SUMPRODUCT(('Sulphuric Acid freights'!$B$3:$B$513=B232)*('Sulphuric Acid freights'!$D$3:$D$513=D222)*('Sulphuric Acid freights'!$P$3:$P$513))/SUMPRODUCT(('Sulphuric Acid freights'!$B$3:$B$513=B232)*('Sulphuric Acid freights'!$D$3:$D$513=D222)*1), AVERAGE('Sulphuric Acid freights'!$P$3:$P$513))*2/3</f>
        <v>32</v>
      </c>
      <c r="M222" s="78" cm="1">
        <f t="array" ref="M222">IFERROR(SUMPRODUCT(('Sulphuric Acid freights'!$B$3:$B$513=B232)*('Sulphuric Acid freights'!$D$3:$D$513=D222)*('Sulphuric Acid freights'!$M$3:$M$513))/SUMPRODUCT(('Sulphuric Acid freights'!$B$3:$B$513=B232)*('Sulphuric Acid freights'!$D$3:$D$513=D222)*1)*2/3, AVERAGE('Sulphuric Acid freights'!$M$3:$M$513))</f>
        <v>13.333333333333334</v>
      </c>
      <c r="N222" s="78">
        <f t="shared" si="52"/>
        <v>28.8</v>
      </c>
      <c r="O222" s="78" cm="1">
        <f t="array" ref="O222">IF(SUMPRODUCT(('Sulphur freight'!$B$3:$B$1976=B232)*('Sulphur freight'!$D$3:$D$1976=D222)*('Sulphur freight'!$G$3:$G$1976))/SUMPRODUCT(('Sulphur freight'!$B$3:$B$1976=B232)*('Sulphur freight'!$D$3:$D$1976=D222)*1)=0, AVERAGE('Sulphur freight'!$G$3:$G$1976),SUMPRODUCT(('Sulphur freight'!$B$3:$B$1976=B232)*('Sulphur freight'!$D$3:$D$1976=D222)*('Sulphur freight'!$G$3:$G$1976))/SUMPRODUCT(('Sulphur freight'!$B$3:$B$1976=B232)*('Sulphur freight'!$D$3:$D$1976=D222)*1))</f>
        <v>22.25</v>
      </c>
      <c r="P222" s="78">
        <v>20</v>
      </c>
      <c r="R222" s="78" t="str">
        <f t="shared" si="53"/>
        <v xml:space="preserve"> </v>
      </c>
      <c r="S222" s="78">
        <f t="shared" si="54"/>
        <v>75.833333333333329</v>
      </c>
      <c r="T222" s="78">
        <f t="shared" si="49"/>
        <v>65</v>
      </c>
      <c r="U222" s="78" t="str">
        <f t="shared" si="55"/>
        <v/>
      </c>
      <c r="V222" s="78">
        <f>IFERROR(I222+O222, "")</f>
        <v>156.5</v>
      </c>
      <c r="W222" s="78">
        <f t="shared" si="56"/>
        <v>152.25</v>
      </c>
      <c r="X222" s="78">
        <f t="shared" si="57"/>
        <v>69.64500000000001</v>
      </c>
      <c r="Y222" s="78">
        <f t="shared" si="58"/>
        <v>68.242500000000007</v>
      </c>
      <c r="AA222" s="88" t="str">
        <f t="shared" si="59"/>
        <v/>
      </c>
      <c r="AB222" s="77" t="str">
        <f t="shared" si="50"/>
        <v/>
      </c>
      <c r="AD222" s="88" t="str">
        <f t="shared" si="60"/>
        <v/>
      </c>
      <c r="AE222" s="77" t="str">
        <f t="shared" si="51"/>
        <v/>
      </c>
    </row>
    <row r="223" spans="2:31" x14ac:dyDescent="0.35">
      <c r="B223">
        <v>2017</v>
      </c>
      <c r="C223">
        <v>3</v>
      </c>
      <c r="D223">
        <v>8</v>
      </c>
      <c r="E223" s="78">
        <f>'CRU historical'!F200</f>
        <v>33</v>
      </c>
      <c r="F223" s="78">
        <f>'CRU historical'!I200</f>
        <v>65</v>
      </c>
      <c r="G223" s="78" t="str">
        <f>'CRU historical'!L200</f>
        <v xml:space="preserve"> </v>
      </c>
      <c r="H223" s="78" t="str">
        <f>'CRU historical'!O200</f>
        <v xml:space="preserve"> </v>
      </c>
      <c r="I223" s="78">
        <f>'CRU historical'!R200</f>
        <v>140.4</v>
      </c>
      <c r="J223" s="78">
        <f>AVERAGE('CRU historical'!U200, 'CRU historical'!X200, 'CRU historical'!AA200, 'CRU historical'!AD200)</f>
        <v>136</v>
      </c>
      <c r="L223" s="78" cm="1">
        <f t="array" ref="L223">IFERROR(SUMPRODUCT(('Sulphuric Acid freights'!$B$3:$B$513=B233)*('Sulphuric Acid freights'!$D$3:$D$513=D223)*('Sulphuric Acid freights'!$P$3:$P$513))/SUMPRODUCT(('Sulphuric Acid freights'!$B$3:$B$513=B233)*('Sulphuric Acid freights'!$D$3:$D$513=D223)*1), AVERAGE('Sulphuric Acid freights'!$P$3:$P$513))*2/3</f>
        <v>32</v>
      </c>
      <c r="M223" s="78" cm="1">
        <f t="array" ref="M223">IFERROR(SUMPRODUCT(('Sulphuric Acid freights'!$B$3:$B$513=B233)*('Sulphuric Acid freights'!$D$3:$D$513=D223)*('Sulphuric Acid freights'!$M$3:$M$513))/SUMPRODUCT(('Sulphuric Acid freights'!$B$3:$B$513=B233)*('Sulphuric Acid freights'!$D$3:$D$513=D223)*1)*2/3, AVERAGE('Sulphuric Acid freights'!$M$3:$M$513))</f>
        <v>13.333333333333334</v>
      </c>
      <c r="N223" s="78">
        <f t="shared" si="52"/>
        <v>28.8</v>
      </c>
      <c r="O223" s="78" cm="1">
        <f t="array" ref="O223">IF(SUMPRODUCT(('Sulphur freight'!$B$3:$B$1976=B233)*('Sulphur freight'!$D$3:$D$1976=D223)*('Sulphur freight'!$G$3:$G$1976))/SUMPRODUCT(('Sulphur freight'!$B$3:$B$1976=B233)*('Sulphur freight'!$D$3:$D$1976=D223)*1)=0, AVERAGE('Sulphur freight'!$G$3:$G$1976),SUMPRODUCT(('Sulphur freight'!$B$3:$B$1976=B233)*('Sulphur freight'!$D$3:$D$1976=D223)*('Sulphur freight'!$G$3:$G$1976))/SUMPRODUCT(('Sulphur freight'!$B$3:$B$1976=B233)*('Sulphur freight'!$D$3:$D$1976=D223)*1))</f>
        <v>22.6</v>
      </c>
      <c r="P223" s="78">
        <v>20</v>
      </c>
      <c r="R223" s="78" t="str">
        <f t="shared" si="53"/>
        <v xml:space="preserve"> </v>
      </c>
      <c r="S223" s="78">
        <f t="shared" si="54"/>
        <v>78.333333333333329</v>
      </c>
      <c r="T223" s="78">
        <f t="shared" si="49"/>
        <v>65</v>
      </c>
      <c r="U223" s="78" t="str">
        <f t="shared" si="55"/>
        <v/>
      </c>
      <c r="V223" s="78">
        <f>IFERROR(I223+O223, "")</f>
        <v>163</v>
      </c>
      <c r="W223" s="78">
        <f t="shared" si="56"/>
        <v>156</v>
      </c>
      <c r="X223" s="78">
        <f t="shared" si="57"/>
        <v>71.789999999999992</v>
      </c>
      <c r="Y223" s="78">
        <f t="shared" si="58"/>
        <v>69.48</v>
      </c>
      <c r="AA223" s="88" t="str">
        <f t="shared" si="59"/>
        <v/>
      </c>
      <c r="AB223" s="77" t="str">
        <f t="shared" si="50"/>
        <v/>
      </c>
      <c r="AD223" s="88" t="str">
        <f t="shared" si="60"/>
        <v/>
      </c>
      <c r="AE223" s="77" t="str">
        <f t="shared" si="51"/>
        <v/>
      </c>
    </row>
    <row r="224" spans="2:31" x14ac:dyDescent="0.35">
      <c r="B224">
        <v>2017</v>
      </c>
      <c r="C224">
        <v>3</v>
      </c>
      <c r="D224">
        <v>9</v>
      </c>
      <c r="E224" s="78">
        <f>'CRU historical'!F201</f>
        <v>34.75</v>
      </c>
      <c r="F224" s="78">
        <f>'CRU historical'!I201</f>
        <v>71.25</v>
      </c>
      <c r="G224" s="78" t="str">
        <f>'CRU historical'!L201</f>
        <v xml:space="preserve"> </v>
      </c>
      <c r="H224" s="78" t="str">
        <f>'CRU historical'!O201</f>
        <v xml:space="preserve"> </v>
      </c>
      <c r="I224" s="78">
        <f>'CRU historical'!R201</f>
        <v>157.75</v>
      </c>
      <c r="J224" s="78">
        <f>AVERAGE('CRU historical'!U201, 'CRU historical'!X201, 'CRU historical'!AA201, 'CRU historical'!AD201)</f>
        <v>136</v>
      </c>
      <c r="L224" s="78" cm="1">
        <f t="array" ref="L224">IFERROR(SUMPRODUCT(('Sulphuric Acid freights'!$B$3:$B$513=B234)*('Sulphuric Acid freights'!$D$3:$D$513=D224)*('Sulphuric Acid freights'!$P$3:$P$513))/SUMPRODUCT(('Sulphuric Acid freights'!$B$3:$B$513=B234)*('Sulphuric Acid freights'!$D$3:$D$513=D224)*1), AVERAGE('Sulphuric Acid freights'!$P$3:$P$513))*2/3</f>
        <v>32</v>
      </c>
      <c r="M224" s="78" cm="1">
        <f t="array" ref="M224">IFERROR(SUMPRODUCT(('Sulphuric Acid freights'!$B$3:$B$513=B234)*('Sulphuric Acid freights'!$D$3:$D$513=D224)*('Sulphuric Acid freights'!$M$3:$M$513))/SUMPRODUCT(('Sulphuric Acid freights'!$B$3:$B$513=B234)*('Sulphuric Acid freights'!$D$3:$D$513=D224)*1)*2/3, AVERAGE('Sulphuric Acid freights'!$M$3:$M$513))</f>
        <v>13.333333333333334</v>
      </c>
      <c r="N224" s="78">
        <f t="shared" si="52"/>
        <v>28.8</v>
      </c>
      <c r="O224" s="78" cm="1">
        <f t="array" ref="O224">IF(SUMPRODUCT(('Sulphur freight'!$B$3:$B$1976=B234)*('Sulphur freight'!$D$3:$D$1976=D224)*('Sulphur freight'!$G$3:$G$1976))/SUMPRODUCT(('Sulphur freight'!$B$3:$B$1976=B234)*('Sulphur freight'!$D$3:$D$1976=D224)*1)=0, AVERAGE('Sulphur freight'!$G$3:$G$1976),SUMPRODUCT(('Sulphur freight'!$B$3:$B$1976=B234)*('Sulphur freight'!$D$3:$D$1976=D224)*('Sulphur freight'!$G$3:$G$1976))/SUMPRODUCT(('Sulphur freight'!$B$3:$B$1976=B234)*('Sulphur freight'!$D$3:$D$1976=D224)*1))</f>
        <v>22.5</v>
      </c>
      <c r="P224" s="78">
        <v>20</v>
      </c>
      <c r="R224" s="78" t="str">
        <f t="shared" si="53"/>
        <v xml:space="preserve"> </v>
      </c>
      <c r="S224" s="78">
        <f t="shared" si="54"/>
        <v>84.583333333333329</v>
      </c>
      <c r="T224" s="78">
        <f t="shared" si="49"/>
        <v>66.75</v>
      </c>
      <c r="U224" s="78" t="str">
        <f t="shared" si="55"/>
        <v/>
      </c>
      <c r="V224" s="78">
        <f>IFERROR(I224+O224, "")</f>
        <v>180.25</v>
      </c>
      <c r="W224" s="78">
        <f t="shared" si="56"/>
        <v>156</v>
      </c>
      <c r="X224" s="78">
        <f t="shared" si="57"/>
        <v>77.482500000000002</v>
      </c>
      <c r="Y224" s="78">
        <f t="shared" si="58"/>
        <v>69.48</v>
      </c>
      <c r="AA224" s="88" t="str">
        <f t="shared" si="59"/>
        <v/>
      </c>
      <c r="AB224" s="77" t="str">
        <f t="shared" si="50"/>
        <v/>
      </c>
      <c r="AD224" s="88" t="str">
        <f t="shared" si="60"/>
        <v/>
      </c>
      <c r="AE224" s="77" t="str">
        <f t="shared" si="51"/>
        <v/>
      </c>
    </row>
    <row r="225" spans="2:31" x14ac:dyDescent="0.35">
      <c r="B225">
        <v>2017</v>
      </c>
      <c r="C225">
        <v>4</v>
      </c>
      <c r="D225">
        <v>10</v>
      </c>
      <c r="E225" s="78">
        <f>'CRU historical'!F202</f>
        <v>43.5</v>
      </c>
      <c r="F225" s="78">
        <f>'CRU historical'!I202</f>
        <v>75</v>
      </c>
      <c r="G225" s="78" t="str">
        <f>'CRU historical'!L202</f>
        <v xml:space="preserve"> </v>
      </c>
      <c r="H225" s="78" t="str">
        <f>'CRU historical'!O202</f>
        <v xml:space="preserve"> </v>
      </c>
      <c r="I225" s="78">
        <f>'CRU historical'!R202</f>
        <v>170.25</v>
      </c>
      <c r="J225" s="78">
        <f>AVERAGE('CRU historical'!U202, 'CRU historical'!X202, 'CRU historical'!AA202, 'CRU historical'!AD202)</f>
        <v>159</v>
      </c>
      <c r="L225" s="78" cm="1">
        <f t="array" ref="L225">IFERROR(SUMPRODUCT(('Sulphuric Acid freights'!$B$3:$B$513=B235)*('Sulphuric Acid freights'!$D$3:$D$513=D225)*('Sulphuric Acid freights'!$P$3:$P$513))/SUMPRODUCT(('Sulphuric Acid freights'!$B$3:$B$513=B235)*('Sulphuric Acid freights'!$D$3:$D$513=D225)*1), AVERAGE('Sulphuric Acid freights'!$P$3:$P$513))*2/3</f>
        <v>32</v>
      </c>
      <c r="M225" s="78" cm="1">
        <f t="array" ref="M225">IFERROR(SUMPRODUCT(('Sulphuric Acid freights'!$B$3:$B$513=B235)*('Sulphuric Acid freights'!$D$3:$D$513=D225)*('Sulphuric Acid freights'!$M$3:$M$513))/SUMPRODUCT(('Sulphuric Acid freights'!$B$3:$B$513=B235)*('Sulphuric Acid freights'!$D$3:$D$513=D225)*1)*2/3, AVERAGE('Sulphuric Acid freights'!$M$3:$M$513))</f>
        <v>13.333333333333334</v>
      </c>
      <c r="N225" s="78">
        <f t="shared" si="52"/>
        <v>28.8</v>
      </c>
      <c r="O225" s="78" cm="1">
        <f t="array" ref="O225">IF(SUMPRODUCT(('Sulphur freight'!$B$3:$B$1976=B235)*('Sulphur freight'!$D$3:$D$1976=D225)*('Sulphur freight'!$G$3:$G$1976))/SUMPRODUCT(('Sulphur freight'!$B$3:$B$1976=B235)*('Sulphur freight'!$D$3:$D$1976=D225)*1)=0, AVERAGE('Sulphur freight'!$G$3:$G$1976),SUMPRODUCT(('Sulphur freight'!$B$3:$B$1976=B235)*('Sulphur freight'!$D$3:$D$1976=D225)*('Sulphur freight'!$G$3:$G$1976))/SUMPRODUCT(('Sulphur freight'!$B$3:$B$1976=B235)*('Sulphur freight'!$D$3:$D$1976=D225)*1))</f>
        <v>24.25</v>
      </c>
      <c r="P225" s="78">
        <v>20</v>
      </c>
      <c r="R225" s="78" t="str">
        <f t="shared" si="53"/>
        <v xml:space="preserve"> </v>
      </c>
      <c r="S225" s="78">
        <f t="shared" si="54"/>
        <v>88.333333333333329</v>
      </c>
      <c r="T225" s="78">
        <f t="shared" si="49"/>
        <v>75.5</v>
      </c>
      <c r="U225" s="78" t="str">
        <f t="shared" si="55"/>
        <v/>
      </c>
      <c r="V225" s="78">
        <f>IFERROR(I225+O225, "")</f>
        <v>194.5</v>
      </c>
      <c r="W225" s="78">
        <f t="shared" si="56"/>
        <v>179</v>
      </c>
      <c r="X225" s="78">
        <f t="shared" si="57"/>
        <v>82.185000000000002</v>
      </c>
      <c r="Y225" s="78">
        <f t="shared" si="58"/>
        <v>77.069999999999993</v>
      </c>
      <c r="AA225" s="88" t="str">
        <f t="shared" si="59"/>
        <v/>
      </c>
      <c r="AB225" s="77" t="str">
        <f t="shared" si="50"/>
        <v/>
      </c>
      <c r="AD225" s="88" t="str">
        <f t="shared" si="60"/>
        <v/>
      </c>
      <c r="AE225" s="77" t="str">
        <f t="shared" si="51"/>
        <v/>
      </c>
    </row>
    <row r="226" spans="2:31" x14ac:dyDescent="0.35">
      <c r="B226">
        <v>2018</v>
      </c>
      <c r="C226">
        <v>4</v>
      </c>
      <c r="D226">
        <v>11</v>
      </c>
      <c r="E226" s="78">
        <f>'CRU historical'!F203</f>
        <v>48</v>
      </c>
      <c r="F226" s="78">
        <f>'CRU historical'!I203</f>
        <v>75</v>
      </c>
      <c r="G226" s="78" t="str">
        <f>'CRU historical'!L203</f>
        <v xml:space="preserve"> </v>
      </c>
      <c r="H226" s="78" t="str">
        <f>'CRU historical'!O203</f>
        <v xml:space="preserve"> </v>
      </c>
      <c r="I226" s="78">
        <f>'CRU historical'!R203</f>
        <v>157</v>
      </c>
      <c r="J226" s="78">
        <f>AVERAGE('CRU historical'!U203, 'CRU historical'!X203, 'CRU historical'!AA203, 'CRU historical'!AD203)</f>
        <v>159</v>
      </c>
      <c r="L226" s="78" cm="1">
        <f t="array" ref="L226">IFERROR(SUMPRODUCT(('Sulphuric Acid freights'!$B$3:$B$513=B236)*('Sulphuric Acid freights'!$D$3:$D$513=D226)*('Sulphuric Acid freights'!$P$3:$P$513))/SUMPRODUCT(('Sulphuric Acid freights'!$B$3:$B$513=B236)*('Sulphuric Acid freights'!$D$3:$D$513=D226)*1), AVERAGE('Sulphuric Acid freights'!$P$3:$P$513))*2/3</f>
        <v>32</v>
      </c>
      <c r="M226" s="78" cm="1">
        <f t="array" ref="M226">IFERROR(SUMPRODUCT(('Sulphuric Acid freights'!$B$3:$B$513=B236)*('Sulphuric Acid freights'!$D$3:$D$513=D226)*('Sulphuric Acid freights'!$M$3:$M$513))/SUMPRODUCT(('Sulphuric Acid freights'!$B$3:$B$513=B236)*('Sulphuric Acid freights'!$D$3:$D$513=D226)*1)*2/3, AVERAGE('Sulphuric Acid freights'!$M$3:$M$513))</f>
        <v>13.333333333333334</v>
      </c>
      <c r="N226" s="78">
        <f t="shared" si="52"/>
        <v>28.8</v>
      </c>
      <c r="O226" s="78" cm="1">
        <f t="array" ref="O226">IF(SUMPRODUCT(('Sulphur freight'!$B$3:$B$1976=B236)*('Sulphur freight'!$D$3:$D$1976=D226)*('Sulphur freight'!$G$3:$G$1976))/SUMPRODUCT(('Sulphur freight'!$B$3:$B$1976=B236)*('Sulphur freight'!$D$3:$D$1976=D226)*1)=0, AVERAGE('Sulphur freight'!$G$3:$G$1976),SUMPRODUCT(('Sulphur freight'!$B$3:$B$1976=B236)*('Sulphur freight'!$D$3:$D$1976=D226)*('Sulphur freight'!$G$3:$G$1976))/SUMPRODUCT(('Sulphur freight'!$B$3:$B$1976=B236)*('Sulphur freight'!$D$3:$D$1976=D226)*1))</f>
        <v>22.8</v>
      </c>
      <c r="P226" s="78">
        <v>20</v>
      </c>
      <c r="R226" s="78" t="str">
        <f t="shared" si="53"/>
        <v xml:space="preserve"> </v>
      </c>
      <c r="S226" s="78">
        <f t="shared" si="54"/>
        <v>88.333333333333329</v>
      </c>
      <c r="T226" s="78">
        <f t="shared" si="49"/>
        <v>80</v>
      </c>
      <c r="U226" s="78" t="str">
        <f t="shared" si="55"/>
        <v/>
      </c>
      <c r="V226" s="78">
        <f>IFERROR(I226+O226, "")</f>
        <v>179.8</v>
      </c>
      <c r="W226" s="78">
        <f t="shared" si="56"/>
        <v>179</v>
      </c>
      <c r="X226" s="78">
        <f t="shared" si="57"/>
        <v>77.334000000000003</v>
      </c>
      <c r="Y226" s="78">
        <f t="shared" si="58"/>
        <v>77.069999999999993</v>
      </c>
      <c r="AA226" s="88" t="str">
        <f t="shared" si="59"/>
        <v/>
      </c>
      <c r="AB226" s="77" t="str">
        <f t="shared" si="50"/>
        <v/>
      </c>
      <c r="AD226" s="88" t="str">
        <f t="shared" si="60"/>
        <v/>
      </c>
      <c r="AE226" s="77" t="str">
        <f t="shared" si="51"/>
        <v/>
      </c>
    </row>
    <row r="227" spans="2:31" x14ac:dyDescent="0.35">
      <c r="B227">
        <v>2018</v>
      </c>
      <c r="C227">
        <v>4</v>
      </c>
      <c r="D227">
        <v>12</v>
      </c>
      <c r="E227" s="78">
        <f>'CRU historical'!F204</f>
        <v>48</v>
      </c>
      <c r="F227" s="78">
        <f>'CRU historical'!I204</f>
        <v>78.333333333333329</v>
      </c>
      <c r="G227" s="78" t="str">
        <f>'CRU historical'!L204</f>
        <v xml:space="preserve"> </v>
      </c>
      <c r="H227" s="78" t="str">
        <f>'CRU historical'!O204</f>
        <v xml:space="preserve"> </v>
      </c>
      <c r="I227" s="78">
        <f>'CRU historical'!R204</f>
        <v>127.66666666666667</v>
      </c>
      <c r="J227" s="78">
        <f>AVERAGE('CRU historical'!U204, 'CRU historical'!X204, 'CRU historical'!AA204, 'CRU historical'!AD204)</f>
        <v>159</v>
      </c>
      <c r="L227" s="78" cm="1">
        <f t="array" ref="L227">IFERROR(SUMPRODUCT(('Sulphuric Acid freights'!$B$3:$B$513=B237)*('Sulphuric Acid freights'!$D$3:$D$513=D227)*('Sulphuric Acid freights'!$P$3:$P$513))/SUMPRODUCT(('Sulphuric Acid freights'!$B$3:$B$513=B237)*('Sulphuric Acid freights'!$D$3:$D$513=D227)*1), AVERAGE('Sulphuric Acid freights'!$P$3:$P$513))*2/3</f>
        <v>36</v>
      </c>
      <c r="M227" s="78" cm="1">
        <f t="array" ref="M227">IFERROR(SUMPRODUCT(('Sulphuric Acid freights'!$B$3:$B$513=B237)*('Sulphuric Acid freights'!$D$3:$D$513=D227)*('Sulphuric Acid freights'!$M$3:$M$513))/SUMPRODUCT(('Sulphuric Acid freights'!$B$3:$B$513=B237)*('Sulphuric Acid freights'!$D$3:$D$513=D227)*1)*2/3, AVERAGE('Sulphuric Acid freights'!$M$3:$M$513))</f>
        <v>13.333333333333334</v>
      </c>
      <c r="N227" s="78">
        <f t="shared" si="52"/>
        <v>32.4</v>
      </c>
      <c r="O227" s="78" cm="1">
        <f t="array" ref="O227">IF(SUMPRODUCT(('Sulphur freight'!$B$3:$B$1976=B237)*('Sulphur freight'!$D$3:$D$1976=D227)*('Sulphur freight'!$G$3:$G$1976))/SUMPRODUCT(('Sulphur freight'!$B$3:$B$1976=B237)*('Sulphur freight'!$D$3:$D$1976=D227)*1)=0, AVERAGE('Sulphur freight'!$G$3:$G$1976),SUMPRODUCT(('Sulphur freight'!$B$3:$B$1976=B237)*('Sulphur freight'!$D$3:$D$1976=D227)*('Sulphur freight'!$G$3:$G$1976))/SUMPRODUCT(('Sulphur freight'!$B$3:$B$1976=B237)*('Sulphur freight'!$D$3:$D$1976=D227)*1))</f>
        <v>21</v>
      </c>
      <c r="P227" s="78">
        <v>20</v>
      </c>
      <c r="R227" s="78" t="str">
        <f t="shared" si="53"/>
        <v xml:space="preserve"> </v>
      </c>
      <c r="S227" s="78">
        <f t="shared" si="54"/>
        <v>91.666666666666657</v>
      </c>
      <c r="T227" s="78">
        <f t="shared" si="49"/>
        <v>84</v>
      </c>
      <c r="U227" s="78" t="str">
        <f t="shared" si="55"/>
        <v/>
      </c>
      <c r="V227" s="78">
        <f>IFERROR(I227+O227, "")</f>
        <v>148.66666666666669</v>
      </c>
      <c r="W227" s="78">
        <f t="shared" si="56"/>
        <v>179</v>
      </c>
      <c r="X227" s="78">
        <f t="shared" si="57"/>
        <v>67.06</v>
      </c>
      <c r="Y227" s="78">
        <f t="shared" si="58"/>
        <v>77.069999999999993</v>
      </c>
      <c r="AA227" s="88" t="str">
        <f t="shared" si="59"/>
        <v/>
      </c>
      <c r="AB227" s="77" t="str">
        <f t="shared" si="50"/>
        <v/>
      </c>
      <c r="AD227" s="88" t="str">
        <f t="shared" si="60"/>
        <v/>
      </c>
      <c r="AE227" s="77" t="str">
        <f t="shared" si="51"/>
        <v/>
      </c>
    </row>
    <row r="228" spans="2:31" x14ac:dyDescent="0.35">
      <c r="B228">
        <v>2018</v>
      </c>
      <c r="C228">
        <v>1</v>
      </c>
      <c r="D228">
        <v>1</v>
      </c>
      <c r="E228" s="78">
        <f>'CRU historical'!F205</f>
        <v>44.8</v>
      </c>
      <c r="F228" s="78">
        <f>'CRU historical'!I205</f>
        <v>85</v>
      </c>
      <c r="G228" s="78" t="str">
        <f>'CRU historical'!L205</f>
        <v xml:space="preserve"> </v>
      </c>
      <c r="H228" s="78" t="str">
        <f>'CRU historical'!O205</f>
        <v xml:space="preserve"> </v>
      </c>
      <c r="I228" s="78">
        <f>'CRU historical'!R205</f>
        <v>113.2</v>
      </c>
      <c r="J228" s="78">
        <f>AVERAGE('CRU historical'!U205, 'CRU historical'!X205, 'CRU historical'!AA205, 'CRU historical'!AD205)</f>
        <v>141.80000000000001</v>
      </c>
      <c r="L228" s="78" cm="1">
        <f t="array" ref="L228">IFERROR(SUMPRODUCT(('Sulphuric Acid freights'!$B$3:$B$513=B238)*('Sulphuric Acid freights'!$D$3:$D$513=D228)*('Sulphuric Acid freights'!$P$3:$P$513))/SUMPRODUCT(('Sulphuric Acid freights'!$B$3:$B$513=B238)*('Sulphuric Acid freights'!$D$3:$D$513=D228)*1), AVERAGE('Sulphuric Acid freights'!$P$3:$P$513))*2/3</f>
        <v>37.333333333333336</v>
      </c>
      <c r="M228" s="78" cm="1">
        <f t="array" ref="M228">IFERROR(SUMPRODUCT(('Sulphuric Acid freights'!$B$3:$B$513=B238)*('Sulphuric Acid freights'!$D$3:$D$513=D228)*('Sulphuric Acid freights'!$M$3:$M$513))/SUMPRODUCT(('Sulphuric Acid freights'!$B$3:$B$513=B238)*('Sulphuric Acid freights'!$D$3:$D$513=D228)*1)*2/3, AVERAGE('Sulphuric Acid freights'!$M$3:$M$513))</f>
        <v>13.333333333333334</v>
      </c>
      <c r="N228" s="78">
        <f t="shared" si="52"/>
        <v>33.6</v>
      </c>
      <c r="O228" s="78" cm="1">
        <f t="array" ref="O228">IF(SUMPRODUCT(('Sulphur freight'!$B$3:$B$1976=B238)*('Sulphur freight'!$D$3:$D$1976=D228)*('Sulphur freight'!$G$3:$G$1976))/SUMPRODUCT(('Sulphur freight'!$B$3:$B$1976=B238)*('Sulphur freight'!$D$3:$D$1976=D228)*1)=0, AVERAGE('Sulphur freight'!$G$3:$G$1976),SUMPRODUCT(('Sulphur freight'!$B$3:$B$1976=B238)*('Sulphur freight'!$D$3:$D$1976=D228)*('Sulphur freight'!$G$3:$G$1976))/SUMPRODUCT(('Sulphur freight'!$B$3:$B$1976=B238)*('Sulphur freight'!$D$3:$D$1976=D228)*1))</f>
        <v>20</v>
      </c>
      <c r="P228" s="78">
        <v>20</v>
      </c>
      <c r="R228" s="78" t="str">
        <f t="shared" si="53"/>
        <v xml:space="preserve"> </v>
      </c>
      <c r="S228" s="78">
        <f t="shared" si="54"/>
        <v>98.333333333333329</v>
      </c>
      <c r="T228" s="78">
        <f t="shared" si="49"/>
        <v>82.133333333333326</v>
      </c>
      <c r="U228" s="78" t="str">
        <f t="shared" si="55"/>
        <v/>
      </c>
      <c r="V228" s="78">
        <f>IFERROR(I228+O228, "")</f>
        <v>133.19999999999999</v>
      </c>
      <c r="W228" s="78">
        <f t="shared" si="56"/>
        <v>161.80000000000001</v>
      </c>
      <c r="X228" s="78">
        <f t="shared" si="57"/>
        <v>61.955999999999996</v>
      </c>
      <c r="Y228" s="78">
        <f t="shared" si="58"/>
        <v>71.394000000000005</v>
      </c>
      <c r="AA228" s="88" t="str">
        <f t="shared" si="59"/>
        <v/>
      </c>
      <c r="AB228" s="77" t="str">
        <f t="shared" si="50"/>
        <v/>
      </c>
      <c r="AD228" s="88" t="str">
        <f t="shared" si="60"/>
        <v/>
      </c>
      <c r="AE228" s="77" t="str">
        <f t="shared" si="51"/>
        <v/>
      </c>
    </row>
    <row r="229" spans="2:31" x14ac:dyDescent="0.35">
      <c r="B229">
        <v>2018</v>
      </c>
      <c r="C229">
        <v>1</v>
      </c>
      <c r="D229">
        <v>2</v>
      </c>
      <c r="E229" s="78">
        <f>'CRU historical'!F206</f>
        <v>40</v>
      </c>
      <c r="F229" s="78">
        <f>'CRU historical'!I206</f>
        <v>89.5</v>
      </c>
      <c r="G229" s="78" t="str">
        <f>'CRU historical'!L206</f>
        <v xml:space="preserve"> </v>
      </c>
      <c r="H229" s="78" t="str">
        <f>'CRU historical'!O206</f>
        <v xml:space="preserve"> </v>
      </c>
      <c r="I229" s="78">
        <f>'CRU historical'!R206</f>
        <v>103</v>
      </c>
      <c r="J229" s="78">
        <f>AVERAGE('CRU historical'!U206, 'CRU historical'!X206, 'CRU historical'!AA206, 'CRU historical'!AD206)</f>
        <v>116</v>
      </c>
      <c r="L229" s="78" cm="1">
        <f t="array" ref="L229">IFERROR(SUMPRODUCT(('Sulphuric Acid freights'!$B$3:$B$513=B239)*('Sulphuric Acid freights'!$D$3:$D$513=D229)*('Sulphuric Acid freights'!$P$3:$P$513))/SUMPRODUCT(('Sulphuric Acid freights'!$B$3:$B$513=B239)*('Sulphuric Acid freights'!$D$3:$D$513=D229)*1), AVERAGE('Sulphuric Acid freights'!$P$3:$P$513))*2/3</f>
        <v>37.333333333333336</v>
      </c>
      <c r="M229" s="78" cm="1">
        <f t="array" ref="M229">IFERROR(SUMPRODUCT(('Sulphuric Acid freights'!$B$3:$B$513=B239)*('Sulphuric Acid freights'!$D$3:$D$513=D229)*('Sulphuric Acid freights'!$M$3:$M$513))/SUMPRODUCT(('Sulphuric Acid freights'!$B$3:$B$513=B239)*('Sulphuric Acid freights'!$D$3:$D$513=D229)*1)*2/3, AVERAGE('Sulphuric Acid freights'!$M$3:$M$513))</f>
        <v>13.333333333333334</v>
      </c>
      <c r="N229" s="78">
        <f t="shared" si="52"/>
        <v>33.6</v>
      </c>
      <c r="O229" s="78" cm="1">
        <f t="array" ref="O229">IF(SUMPRODUCT(('Sulphur freight'!$B$3:$B$1976=B239)*('Sulphur freight'!$D$3:$D$1976=D229)*('Sulphur freight'!$G$3:$G$1976))/SUMPRODUCT(('Sulphur freight'!$B$3:$B$1976=B239)*('Sulphur freight'!$D$3:$D$1976=D229)*1)=0, AVERAGE('Sulphur freight'!$G$3:$G$1976),SUMPRODUCT(('Sulphur freight'!$B$3:$B$1976=B239)*('Sulphur freight'!$D$3:$D$1976=D229)*('Sulphur freight'!$G$3:$G$1976))/SUMPRODUCT(('Sulphur freight'!$B$3:$B$1976=B239)*('Sulphur freight'!$D$3:$D$1976=D229)*1))</f>
        <v>16.5</v>
      </c>
      <c r="P229" s="78">
        <v>20</v>
      </c>
      <c r="R229" s="78" t="str">
        <f t="shared" si="53"/>
        <v xml:space="preserve"> </v>
      </c>
      <c r="S229" s="78">
        <f t="shared" si="54"/>
        <v>102.83333333333333</v>
      </c>
      <c r="T229" s="78">
        <f t="shared" si="49"/>
        <v>77.333333333333343</v>
      </c>
      <c r="U229" s="78" t="str">
        <f t="shared" si="55"/>
        <v/>
      </c>
      <c r="V229" s="78">
        <f>IFERROR(I229+O229, "")</f>
        <v>119.5</v>
      </c>
      <c r="W229" s="78">
        <f t="shared" si="56"/>
        <v>136</v>
      </c>
      <c r="X229" s="78">
        <f t="shared" si="57"/>
        <v>57.435000000000002</v>
      </c>
      <c r="Y229" s="78">
        <f t="shared" si="58"/>
        <v>62.88</v>
      </c>
      <c r="AA229" s="88" t="str">
        <f t="shared" si="59"/>
        <v/>
      </c>
      <c r="AB229" s="77" t="str">
        <f t="shared" si="50"/>
        <v/>
      </c>
      <c r="AD229" s="88" t="str">
        <f t="shared" si="60"/>
        <v/>
      </c>
      <c r="AE229" s="77" t="str">
        <f t="shared" si="51"/>
        <v/>
      </c>
    </row>
    <row r="230" spans="2:31" x14ac:dyDescent="0.35">
      <c r="B230">
        <v>2018</v>
      </c>
      <c r="C230">
        <v>1</v>
      </c>
      <c r="D230">
        <v>3</v>
      </c>
      <c r="E230" s="78">
        <f>'CRU historical'!F207</f>
        <v>37.5</v>
      </c>
      <c r="F230" s="78">
        <f>'CRU historical'!I207</f>
        <v>88</v>
      </c>
      <c r="G230" s="78" t="str">
        <f>'CRU historical'!L207</f>
        <v xml:space="preserve"> </v>
      </c>
      <c r="H230" s="78" t="str">
        <f>'CRU historical'!O207</f>
        <v xml:space="preserve"> </v>
      </c>
      <c r="I230" s="78">
        <f>'CRU historical'!R207</f>
        <v>102.75</v>
      </c>
      <c r="J230" s="78">
        <f>AVERAGE('CRU historical'!U207, 'CRU historical'!X207, 'CRU historical'!AA207, 'CRU historical'!AD207)</f>
        <v>116</v>
      </c>
      <c r="L230" s="78" cm="1">
        <f t="array" ref="L230">IFERROR(SUMPRODUCT(('Sulphuric Acid freights'!$B$3:$B$513=B240)*('Sulphuric Acid freights'!$D$3:$D$513=D230)*('Sulphuric Acid freights'!$P$3:$P$513))/SUMPRODUCT(('Sulphuric Acid freights'!$B$3:$B$513=B240)*('Sulphuric Acid freights'!$D$3:$D$513=D230)*1), AVERAGE('Sulphuric Acid freights'!$P$3:$P$513))*2/3</f>
        <v>37.333333333333336</v>
      </c>
      <c r="M230" s="78" cm="1">
        <f t="array" ref="M230">IFERROR(SUMPRODUCT(('Sulphuric Acid freights'!$B$3:$B$513=B240)*('Sulphuric Acid freights'!$D$3:$D$513=D230)*('Sulphuric Acid freights'!$M$3:$M$513))/SUMPRODUCT(('Sulphuric Acid freights'!$B$3:$B$513=B240)*('Sulphuric Acid freights'!$D$3:$D$513=D230)*1)*2/3, AVERAGE('Sulphuric Acid freights'!$M$3:$M$513))</f>
        <v>13.333333333333334</v>
      </c>
      <c r="N230" s="78">
        <f t="shared" si="52"/>
        <v>33.6</v>
      </c>
      <c r="O230" s="78" cm="1">
        <f t="array" ref="O230">IF(SUMPRODUCT(('Sulphur freight'!$B$3:$B$1976=B240)*('Sulphur freight'!$D$3:$D$1976=D230)*('Sulphur freight'!$G$3:$G$1976))/SUMPRODUCT(('Sulphur freight'!$B$3:$B$1976=B240)*('Sulphur freight'!$D$3:$D$1976=D230)*1)=0, AVERAGE('Sulphur freight'!$G$3:$G$1976),SUMPRODUCT(('Sulphur freight'!$B$3:$B$1976=B240)*('Sulphur freight'!$D$3:$D$1976=D230)*('Sulphur freight'!$G$3:$G$1976))/SUMPRODUCT(('Sulphur freight'!$B$3:$B$1976=B240)*('Sulphur freight'!$D$3:$D$1976=D230)*1))</f>
        <v>17</v>
      </c>
      <c r="P230" s="78">
        <v>20</v>
      </c>
      <c r="R230" s="78" t="str">
        <f t="shared" si="53"/>
        <v xml:space="preserve"> </v>
      </c>
      <c r="S230" s="78">
        <f t="shared" si="54"/>
        <v>101.33333333333333</v>
      </c>
      <c r="T230" s="78">
        <f t="shared" si="49"/>
        <v>74.833333333333343</v>
      </c>
      <c r="U230" s="78" t="str">
        <f t="shared" si="55"/>
        <v/>
      </c>
      <c r="V230" s="78">
        <f>IFERROR(I230+O230, "")</f>
        <v>119.75</v>
      </c>
      <c r="W230" s="78">
        <f t="shared" si="56"/>
        <v>136</v>
      </c>
      <c r="X230" s="78">
        <f t="shared" si="57"/>
        <v>57.517500000000005</v>
      </c>
      <c r="Y230" s="78">
        <f t="shared" si="58"/>
        <v>62.88</v>
      </c>
      <c r="AA230" s="88" t="str">
        <f t="shared" si="59"/>
        <v/>
      </c>
      <c r="AB230" s="77" t="str">
        <f t="shared" si="50"/>
        <v/>
      </c>
      <c r="AD230" s="88" t="str">
        <f t="shared" si="60"/>
        <v/>
      </c>
      <c r="AE230" s="77" t="str">
        <f t="shared" si="51"/>
        <v/>
      </c>
    </row>
    <row r="231" spans="2:31" x14ac:dyDescent="0.35">
      <c r="B231">
        <v>2018</v>
      </c>
      <c r="C231">
        <v>2</v>
      </c>
      <c r="D231">
        <v>4</v>
      </c>
      <c r="E231" s="78">
        <f>'CRU historical'!F208</f>
        <v>32.75</v>
      </c>
      <c r="F231" s="78">
        <f>'CRU historical'!I208</f>
        <v>74</v>
      </c>
      <c r="G231" s="78" t="str">
        <f>'CRU historical'!L208</f>
        <v xml:space="preserve"> </v>
      </c>
      <c r="H231" s="78" t="str">
        <f>'CRU historical'!O208</f>
        <v xml:space="preserve"> </v>
      </c>
      <c r="I231" s="78">
        <f>'CRU historical'!R208</f>
        <v>103</v>
      </c>
      <c r="J231" s="78">
        <f>AVERAGE('CRU historical'!U208, 'CRU historical'!X208, 'CRU historical'!AA208, 'CRU historical'!AD208)</f>
        <v>102.5</v>
      </c>
      <c r="L231" s="78" cm="1">
        <f t="array" ref="L231">IFERROR(SUMPRODUCT(('Sulphuric Acid freights'!$B$3:$B$513=B241)*('Sulphuric Acid freights'!$D$3:$D$513=D231)*('Sulphuric Acid freights'!$P$3:$P$513))/SUMPRODUCT(('Sulphuric Acid freights'!$B$3:$B$513=B241)*('Sulphuric Acid freights'!$D$3:$D$513=D231)*1), AVERAGE('Sulphuric Acid freights'!$P$3:$P$513))*2/3</f>
        <v>37.333333333333336</v>
      </c>
      <c r="M231" s="78" cm="1">
        <f t="array" ref="M231">IFERROR(SUMPRODUCT(('Sulphuric Acid freights'!$B$3:$B$513=B241)*('Sulphuric Acid freights'!$D$3:$D$513=D231)*('Sulphuric Acid freights'!$M$3:$M$513))/SUMPRODUCT(('Sulphuric Acid freights'!$B$3:$B$513=B241)*('Sulphuric Acid freights'!$D$3:$D$513=D231)*1)*2/3, AVERAGE('Sulphuric Acid freights'!$M$3:$M$513))</f>
        <v>13.333333333333334</v>
      </c>
      <c r="N231" s="78">
        <f t="shared" si="52"/>
        <v>33.6</v>
      </c>
      <c r="O231" s="78" cm="1">
        <f t="array" ref="O231">IF(SUMPRODUCT(('Sulphur freight'!$B$3:$B$1976=B241)*('Sulphur freight'!$D$3:$D$1976=D231)*('Sulphur freight'!$G$3:$G$1976))/SUMPRODUCT(('Sulphur freight'!$B$3:$B$1976=B241)*('Sulphur freight'!$D$3:$D$1976=D231)*1)=0, AVERAGE('Sulphur freight'!$G$3:$G$1976),SUMPRODUCT(('Sulphur freight'!$B$3:$B$1976=B241)*('Sulphur freight'!$D$3:$D$1976=D231)*('Sulphur freight'!$G$3:$G$1976))/SUMPRODUCT(('Sulphur freight'!$B$3:$B$1976=B241)*('Sulphur freight'!$D$3:$D$1976=D231)*1))</f>
        <v>18</v>
      </c>
      <c r="P231" s="78">
        <v>20</v>
      </c>
      <c r="R231" s="78" t="str">
        <f t="shared" si="53"/>
        <v xml:space="preserve"> </v>
      </c>
      <c r="S231" s="78">
        <f t="shared" si="54"/>
        <v>87.333333333333329</v>
      </c>
      <c r="T231" s="78">
        <f t="shared" si="49"/>
        <v>70.083333333333343</v>
      </c>
      <c r="U231" s="78" t="str">
        <f t="shared" si="55"/>
        <v/>
      </c>
      <c r="V231" s="78">
        <f>IFERROR(I231+O231, "")</f>
        <v>121</v>
      </c>
      <c r="W231" s="78">
        <f t="shared" si="56"/>
        <v>122.5</v>
      </c>
      <c r="X231" s="78">
        <f t="shared" si="57"/>
        <v>57.93</v>
      </c>
      <c r="Y231" s="78">
        <f t="shared" si="58"/>
        <v>58.425000000000004</v>
      </c>
      <c r="AA231" s="88" t="str">
        <f t="shared" si="59"/>
        <v/>
      </c>
      <c r="AB231" s="77" t="str">
        <f t="shared" si="50"/>
        <v/>
      </c>
      <c r="AD231" s="88" t="str">
        <f t="shared" si="60"/>
        <v/>
      </c>
      <c r="AE231" s="77" t="str">
        <f t="shared" si="51"/>
        <v/>
      </c>
    </row>
    <row r="232" spans="2:31" x14ac:dyDescent="0.35">
      <c r="B232">
        <v>2018</v>
      </c>
      <c r="C232">
        <v>2</v>
      </c>
      <c r="D232">
        <v>5</v>
      </c>
      <c r="E232" s="78">
        <f>'CRU historical'!F209</f>
        <v>27</v>
      </c>
      <c r="F232" s="78">
        <f>'CRU historical'!I209</f>
        <v>57.2</v>
      </c>
      <c r="G232" s="78" t="str">
        <f>'CRU historical'!L209</f>
        <v xml:space="preserve"> </v>
      </c>
      <c r="H232" s="78" t="str">
        <f>'CRU historical'!O209</f>
        <v xml:space="preserve"> </v>
      </c>
      <c r="I232" s="78">
        <f>'CRU historical'!R209</f>
        <v>103</v>
      </c>
      <c r="J232" s="78">
        <f>AVERAGE('CRU historical'!U209, 'CRU historical'!X209, 'CRU historical'!AA209, 'CRU historical'!AD209)</f>
        <v>89</v>
      </c>
      <c r="L232" s="78" cm="1">
        <f t="array" ref="L232">IFERROR(SUMPRODUCT(('Sulphuric Acid freights'!$B$3:$B$513=B242)*('Sulphuric Acid freights'!$D$3:$D$513=D232)*('Sulphuric Acid freights'!$P$3:$P$513))/SUMPRODUCT(('Sulphuric Acid freights'!$B$3:$B$513=B242)*('Sulphuric Acid freights'!$D$3:$D$513=D232)*1), AVERAGE('Sulphuric Acid freights'!$P$3:$P$513))*2/3</f>
        <v>37.333333333333336</v>
      </c>
      <c r="M232" s="78" cm="1">
        <f t="array" ref="M232">IFERROR(SUMPRODUCT(('Sulphuric Acid freights'!$B$3:$B$513=B242)*('Sulphuric Acid freights'!$D$3:$D$513=D232)*('Sulphuric Acid freights'!$M$3:$M$513))/SUMPRODUCT(('Sulphuric Acid freights'!$B$3:$B$513=B242)*('Sulphuric Acid freights'!$D$3:$D$513=D232)*1)*2/3, AVERAGE('Sulphuric Acid freights'!$M$3:$M$513))</f>
        <v>13.333333333333334</v>
      </c>
      <c r="N232" s="78">
        <f t="shared" si="52"/>
        <v>33.6</v>
      </c>
      <c r="O232" s="78" cm="1">
        <f t="array" ref="O232">IF(SUMPRODUCT(('Sulphur freight'!$B$3:$B$1976=B242)*('Sulphur freight'!$D$3:$D$1976=D232)*('Sulphur freight'!$G$3:$G$1976))/SUMPRODUCT(('Sulphur freight'!$B$3:$B$1976=B242)*('Sulphur freight'!$D$3:$D$1976=D232)*1)=0, AVERAGE('Sulphur freight'!$G$3:$G$1976),SUMPRODUCT(('Sulphur freight'!$B$3:$B$1976=B242)*('Sulphur freight'!$D$3:$D$1976=D232)*('Sulphur freight'!$G$3:$G$1976))/SUMPRODUCT(('Sulphur freight'!$B$3:$B$1976=B242)*('Sulphur freight'!$D$3:$D$1976=D232)*1))</f>
        <v>17.399999999999999</v>
      </c>
      <c r="P232" s="78">
        <v>20</v>
      </c>
      <c r="R232" s="78" t="str">
        <f t="shared" si="53"/>
        <v xml:space="preserve"> </v>
      </c>
      <c r="S232" s="78">
        <f t="shared" si="54"/>
        <v>70.533333333333331</v>
      </c>
      <c r="T232" s="78">
        <f t="shared" si="49"/>
        <v>64.333333333333343</v>
      </c>
      <c r="U232" s="78" t="str">
        <f t="shared" si="55"/>
        <v/>
      </c>
      <c r="V232" s="78">
        <f>IFERROR(I232+O232, "")</f>
        <v>120.4</v>
      </c>
      <c r="W232" s="78">
        <f t="shared" si="56"/>
        <v>109</v>
      </c>
      <c r="X232" s="78">
        <f t="shared" si="57"/>
        <v>57.732000000000006</v>
      </c>
      <c r="Y232" s="78">
        <f t="shared" si="58"/>
        <v>53.97</v>
      </c>
      <c r="AA232" s="88" t="str">
        <f t="shared" si="59"/>
        <v/>
      </c>
      <c r="AB232" s="77" t="str">
        <f t="shared" si="50"/>
        <v/>
      </c>
      <c r="AD232" s="88" t="str">
        <f t="shared" si="60"/>
        <v/>
      </c>
      <c r="AE232" s="77" t="str">
        <f t="shared" si="51"/>
        <v/>
      </c>
    </row>
    <row r="233" spans="2:31" x14ac:dyDescent="0.35">
      <c r="B233">
        <v>2018</v>
      </c>
      <c r="C233">
        <v>2</v>
      </c>
      <c r="D233">
        <v>6</v>
      </c>
      <c r="E233" s="78">
        <f>'CRU historical'!F210</f>
        <v>15.5</v>
      </c>
      <c r="F233" s="78">
        <f>'CRU historical'!I210</f>
        <v>37.5</v>
      </c>
      <c r="G233" s="78" t="str">
        <f>'CRU historical'!L210</f>
        <v xml:space="preserve"> </v>
      </c>
      <c r="H233" s="78" t="str">
        <f>'CRU historical'!O210</f>
        <v xml:space="preserve"> </v>
      </c>
      <c r="I233" s="78">
        <f>'CRU historical'!R210</f>
        <v>102.5</v>
      </c>
      <c r="J233" s="78">
        <f>AVERAGE('CRU historical'!U210, 'CRU historical'!X210, 'CRU historical'!AA210, 'CRU historical'!AD210)</f>
        <v>89</v>
      </c>
      <c r="L233" s="78" cm="1">
        <f t="array" ref="L233">IFERROR(SUMPRODUCT(('Sulphuric Acid freights'!$B$3:$B$513=B243)*('Sulphuric Acid freights'!$D$3:$D$513=D233)*('Sulphuric Acid freights'!$P$3:$P$513))/SUMPRODUCT(('Sulphuric Acid freights'!$B$3:$B$513=B243)*('Sulphuric Acid freights'!$D$3:$D$513=D233)*1), AVERAGE('Sulphuric Acid freights'!$P$3:$P$513))*2/3</f>
        <v>37.333333333333336</v>
      </c>
      <c r="M233" s="78" cm="1">
        <f t="array" ref="M233">IFERROR(SUMPRODUCT(('Sulphuric Acid freights'!$B$3:$B$513=B243)*('Sulphuric Acid freights'!$D$3:$D$513=D233)*('Sulphuric Acid freights'!$M$3:$M$513))/SUMPRODUCT(('Sulphuric Acid freights'!$B$3:$B$513=B243)*('Sulphuric Acid freights'!$D$3:$D$513=D233)*1)*2/3, AVERAGE('Sulphuric Acid freights'!$M$3:$M$513))</f>
        <v>13.333333333333334</v>
      </c>
      <c r="N233" s="78">
        <f t="shared" si="52"/>
        <v>33.6</v>
      </c>
      <c r="O233" s="78" cm="1">
        <f t="array" ref="O233">IF(SUMPRODUCT(('Sulphur freight'!$B$3:$B$1976=B243)*('Sulphur freight'!$D$3:$D$1976=D233)*('Sulphur freight'!$G$3:$G$1976))/SUMPRODUCT(('Sulphur freight'!$B$3:$B$1976=B243)*('Sulphur freight'!$D$3:$D$1976=D233)*1)=0, AVERAGE('Sulphur freight'!$G$3:$G$1976),SUMPRODUCT(('Sulphur freight'!$B$3:$B$1976=B243)*('Sulphur freight'!$D$3:$D$1976=D233)*('Sulphur freight'!$G$3:$G$1976))/SUMPRODUCT(('Sulphur freight'!$B$3:$B$1976=B243)*('Sulphur freight'!$D$3:$D$1976=D233)*1))</f>
        <v>18.25</v>
      </c>
      <c r="P233" s="78">
        <v>20</v>
      </c>
      <c r="R233" s="78" t="str">
        <f t="shared" si="53"/>
        <v xml:space="preserve"> </v>
      </c>
      <c r="S233" s="78">
        <f t="shared" si="54"/>
        <v>50.833333333333336</v>
      </c>
      <c r="T233" s="78">
        <f t="shared" si="49"/>
        <v>52.833333333333336</v>
      </c>
      <c r="U233" s="78" t="str">
        <f t="shared" si="55"/>
        <v/>
      </c>
      <c r="V233" s="78">
        <f>IFERROR(I233+O233, "")</f>
        <v>120.75</v>
      </c>
      <c r="W233" s="78">
        <f t="shared" si="56"/>
        <v>109</v>
      </c>
      <c r="X233" s="78">
        <f t="shared" si="57"/>
        <v>57.847500000000004</v>
      </c>
      <c r="Y233" s="78">
        <f t="shared" si="58"/>
        <v>53.97</v>
      </c>
      <c r="AA233" s="88" t="str">
        <f t="shared" si="59"/>
        <v/>
      </c>
      <c r="AB233" s="77" t="str">
        <f t="shared" si="50"/>
        <v/>
      </c>
      <c r="AD233" s="88" t="str">
        <f t="shared" si="60"/>
        <v/>
      </c>
      <c r="AE233" s="77" t="str">
        <f t="shared" si="51"/>
        <v/>
      </c>
    </row>
    <row r="234" spans="2:31" x14ac:dyDescent="0.35">
      <c r="B234">
        <v>2018</v>
      </c>
      <c r="C234">
        <v>3</v>
      </c>
      <c r="D234">
        <v>7</v>
      </c>
      <c r="E234" s="78">
        <f>'CRU historical'!F211</f>
        <v>13</v>
      </c>
      <c r="F234" s="78">
        <f>'CRU historical'!I211</f>
        <v>35</v>
      </c>
      <c r="G234" s="78" t="str">
        <f>'CRU historical'!L211</f>
        <v xml:space="preserve"> </v>
      </c>
      <c r="H234" s="78" t="str">
        <f>'CRU historical'!O211</f>
        <v xml:space="preserve"> </v>
      </c>
      <c r="I234" s="78">
        <f>'CRU historical'!R211</f>
        <v>95.25</v>
      </c>
      <c r="J234" s="78">
        <f>AVERAGE('CRU historical'!U211, 'CRU historical'!X211, 'CRU historical'!AA211, 'CRU historical'!AD211)</f>
        <v>89</v>
      </c>
      <c r="L234" s="78" cm="1">
        <f t="array" ref="L234">IFERROR(SUMPRODUCT(('Sulphuric Acid freights'!$B$3:$B$513=B244)*('Sulphuric Acid freights'!$D$3:$D$513=D234)*('Sulphuric Acid freights'!$P$3:$P$513))/SUMPRODUCT(('Sulphuric Acid freights'!$B$3:$B$513=B244)*('Sulphuric Acid freights'!$D$3:$D$513=D234)*1), AVERAGE('Sulphuric Acid freights'!$P$3:$P$513))*2/3</f>
        <v>37.333333333333336</v>
      </c>
      <c r="M234" s="78" cm="1">
        <f t="array" ref="M234">IFERROR(SUMPRODUCT(('Sulphuric Acid freights'!$B$3:$B$513=B244)*('Sulphuric Acid freights'!$D$3:$D$513=D234)*('Sulphuric Acid freights'!$M$3:$M$513))/SUMPRODUCT(('Sulphuric Acid freights'!$B$3:$B$513=B244)*('Sulphuric Acid freights'!$D$3:$D$513=D234)*1)*2/3, AVERAGE('Sulphuric Acid freights'!$M$3:$M$513))</f>
        <v>13.333333333333334</v>
      </c>
      <c r="N234" s="78">
        <f t="shared" si="52"/>
        <v>33.6</v>
      </c>
      <c r="O234" s="78" cm="1">
        <f t="array" ref="O234">IF(SUMPRODUCT(('Sulphur freight'!$B$3:$B$1976=B244)*('Sulphur freight'!$D$3:$D$1976=D234)*('Sulphur freight'!$G$3:$G$1976))/SUMPRODUCT(('Sulphur freight'!$B$3:$B$1976=B244)*('Sulphur freight'!$D$3:$D$1976=D234)*1)=0, AVERAGE('Sulphur freight'!$G$3:$G$1976),SUMPRODUCT(('Sulphur freight'!$B$3:$B$1976=B244)*('Sulphur freight'!$D$3:$D$1976=D234)*('Sulphur freight'!$G$3:$G$1976))/SUMPRODUCT(('Sulphur freight'!$B$3:$B$1976=B244)*('Sulphur freight'!$D$3:$D$1976=D234)*1))</f>
        <v>19.75</v>
      </c>
      <c r="P234" s="78">
        <v>20</v>
      </c>
      <c r="R234" s="78" t="str">
        <f t="shared" si="53"/>
        <v xml:space="preserve"> </v>
      </c>
      <c r="S234" s="78">
        <f t="shared" si="54"/>
        <v>48.333333333333336</v>
      </c>
      <c r="T234" s="78">
        <f t="shared" si="49"/>
        <v>50.333333333333336</v>
      </c>
      <c r="U234" s="78" t="str">
        <f t="shared" si="55"/>
        <v/>
      </c>
      <c r="V234" s="78">
        <f>IFERROR(I234+O234, "")</f>
        <v>115</v>
      </c>
      <c r="W234" s="78">
        <f t="shared" si="56"/>
        <v>109</v>
      </c>
      <c r="X234" s="78">
        <f t="shared" si="57"/>
        <v>55.95</v>
      </c>
      <c r="Y234" s="78">
        <f t="shared" si="58"/>
        <v>53.97</v>
      </c>
      <c r="AA234" s="88" t="str">
        <f t="shared" si="59"/>
        <v/>
      </c>
      <c r="AB234" s="77" t="str">
        <f t="shared" si="50"/>
        <v/>
      </c>
      <c r="AD234" s="88" t="str">
        <f t="shared" si="60"/>
        <v/>
      </c>
      <c r="AE234" s="77" t="str">
        <f t="shared" si="51"/>
        <v/>
      </c>
    </row>
    <row r="235" spans="2:31" x14ac:dyDescent="0.35">
      <c r="B235">
        <v>2018</v>
      </c>
      <c r="C235">
        <v>3</v>
      </c>
      <c r="D235">
        <v>8</v>
      </c>
      <c r="E235" s="78">
        <f>'CRU historical'!F212</f>
        <v>13</v>
      </c>
      <c r="F235" s="78">
        <f>'CRU historical'!I212</f>
        <v>30</v>
      </c>
      <c r="G235" s="78" t="str">
        <f>'CRU historical'!L212</f>
        <v xml:space="preserve"> </v>
      </c>
      <c r="H235" s="78" t="str">
        <f>'CRU historical'!O212</f>
        <v xml:space="preserve"> </v>
      </c>
      <c r="I235" s="78">
        <f>'CRU historical'!R212</f>
        <v>73</v>
      </c>
      <c r="J235" s="78">
        <f>AVERAGE('CRU historical'!U212, 'CRU historical'!X212, 'CRU historical'!AA212, 'CRU historical'!AD212)</f>
        <v>89</v>
      </c>
      <c r="L235" s="78" cm="1">
        <f t="array" ref="L235">IFERROR(SUMPRODUCT(('Sulphuric Acid freights'!$B$3:$B$513=B245)*('Sulphuric Acid freights'!$D$3:$D$513=D235)*('Sulphuric Acid freights'!$P$3:$P$513))/SUMPRODUCT(('Sulphuric Acid freights'!$B$3:$B$513=B245)*('Sulphuric Acid freights'!$D$3:$D$513=D235)*1), AVERAGE('Sulphuric Acid freights'!$P$3:$P$513))*2/3</f>
        <v>37.333333333333336</v>
      </c>
      <c r="M235" s="78" cm="1">
        <f t="array" ref="M235">IFERROR(SUMPRODUCT(('Sulphuric Acid freights'!$B$3:$B$513=B245)*('Sulphuric Acid freights'!$D$3:$D$513=D235)*('Sulphuric Acid freights'!$M$3:$M$513))/SUMPRODUCT(('Sulphuric Acid freights'!$B$3:$B$513=B245)*('Sulphuric Acid freights'!$D$3:$D$513=D235)*1)*2/3, AVERAGE('Sulphuric Acid freights'!$M$3:$M$513))</f>
        <v>13.333333333333334</v>
      </c>
      <c r="N235" s="78">
        <f t="shared" si="52"/>
        <v>33.6</v>
      </c>
      <c r="O235" s="78" cm="1">
        <f t="array" ref="O235">IF(SUMPRODUCT(('Sulphur freight'!$B$3:$B$1976=B245)*('Sulphur freight'!$D$3:$D$1976=D235)*('Sulphur freight'!$G$3:$G$1976))/SUMPRODUCT(('Sulphur freight'!$B$3:$B$1976=B245)*('Sulphur freight'!$D$3:$D$1976=D235)*1)=0, AVERAGE('Sulphur freight'!$G$3:$G$1976),SUMPRODUCT(('Sulphur freight'!$B$3:$B$1976=B245)*('Sulphur freight'!$D$3:$D$1976=D235)*('Sulphur freight'!$G$3:$G$1976))/SUMPRODUCT(('Sulphur freight'!$B$3:$B$1976=B245)*('Sulphur freight'!$D$3:$D$1976=D235)*1))</f>
        <v>21.2</v>
      </c>
      <c r="P235" s="78">
        <v>20</v>
      </c>
      <c r="R235" s="78" t="str">
        <f t="shared" si="53"/>
        <v xml:space="preserve"> </v>
      </c>
      <c r="S235" s="78">
        <f t="shared" si="54"/>
        <v>43.333333333333336</v>
      </c>
      <c r="T235" s="78">
        <f t="shared" si="49"/>
        <v>50.333333333333336</v>
      </c>
      <c r="U235" s="78" t="str">
        <f t="shared" si="55"/>
        <v/>
      </c>
      <c r="V235" s="78">
        <f>IFERROR(I235+O235, "")</f>
        <v>94.2</v>
      </c>
      <c r="W235" s="78">
        <f t="shared" si="56"/>
        <v>109</v>
      </c>
      <c r="X235" s="78">
        <f t="shared" si="57"/>
        <v>49.085999999999999</v>
      </c>
      <c r="Y235" s="78">
        <f t="shared" si="58"/>
        <v>53.97</v>
      </c>
      <c r="AA235" s="88" t="str">
        <f t="shared" si="59"/>
        <v/>
      </c>
      <c r="AB235" s="77" t="str">
        <f t="shared" si="50"/>
        <v/>
      </c>
      <c r="AD235" s="88" t="str">
        <f t="shared" si="60"/>
        <v/>
      </c>
      <c r="AE235" s="77" t="str">
        <f t="shared" si="51"/>
        <v/>
      </c>
    </row>
    <row r="236" spans="2:31" x14ac:dyDescent="0.35">
      <c r="B236">
        <v>2018</v>
      </c>
      <c r="C236">
        <v>3</v>
      </c>
      <c r="D236">
        <v>9</v>
      </c>
      <c r="E236" s="78">
        <f>'CRU historical'!F213</f>
        <v>9.5</v>
      </c>
      <c r="F236" s="78">
        <f>'CRU historical'!I213</f>
        <v>31.25</v>
      </c>
      <c r="G236" s="78" t="str">
        <f>'CRU historical'!L213</f>
        <v xml:space="preserve"> </v>
      </c>
      <c r="H236" s="78" t="str">
        <f>'CRU historical'!O213</f>
        <v xml:space="preserve"> </v>
      </c>
      <c r="I236" s="78">
        <f>'CRU historical'!R213</f>
        <v>56</v>
      </c>
      <c r="J236" s="78">
        <f>AVERAGE('CRU historical'!U213, 'CRU historical'!X213, 'CRU historical'!AA213, 'CRU historical'!AD213)</f>
        <v>89</v>
      </c>
      <c r="L236" s="78" cm="1">
        <f t="array" ref="L236">IFERROR(SUMPRODUCT(('Sulphuric Acid freights'!$B$3:$B$513=B246)*('Sulphuric Acid freights'!$D$3:$D$513=D236)*('Sulphuric Acid freights'!$P$3:$P$513))/SUMPRODUCT(('Sulphuric Acid freights'!$B$3:$B$513=B246)*('Sulphuric Acid freights'!$D$3:$D$513=D236)*1), AVERAGE('Sulphuric Acid freights'!$P$3:$P$513))*2/3</f>
        <v>37.333333333333336</v>
      </c>
      <c r="M236" s="78" cm="1">
        <f t="array" ref="M236">IFERROR(SUMPRODUCT(('Sulphuric Acid freights'!$B$3:$B$513=B246)*('Sulphuric Acid freights'!$D$3:$D$513=D236)*('Sulphuric Acid freights'!$M$3:$M$513))/SUMPRODUCT(('Sulphuric Acid freights'!$B$3:$B$513=B246)*('Sulphuric Acid freights'!$D$3:$D$513=D236)*1)*2/3, AVERAGE('Sulphuric Acid freights'!$M$3:$M$513))</f>
        <v>13.333333333333334</v>
      </c>
      <c r="N236" s="78">
        <f t="shared" si="52"/>
        <v>33.6</v>
      </c>
      <c r="O236" s="78" cm="1">
        <f t="array" ref="O236">IF(SUMPRODUCT(('Sulphur freight'!$B$3:$B$1976=B246)*('Sulphur freight'!$D$3:$D$1976=D236)*('Sulphur freight'!$G$3:$G$1976))/SUMPRODUCT(('Sulphur freight'!$B$3:$B$1976=B246)*('Sulphur freight'!$D$3:$D$1976=D236)*1)=0, AVERAGE('Sulphur freight'!$G$3:$G$1976),SUMPRODUCT(('Sulphur freight'!$B$3:$B$1976=B246)*('Sulphur freight'!$D$3:$D$1976=D236)*('Sulphur freight'!$G$3:$G$1976))/SUMPRODUCT(('Sulphur freight'!$B$3:$B$1976=B246)*('Sulphur freight'!$D$3:$D$1976=D236)*1))</f>
        <v>22.25</v>
      </c>
      <c r="P236" s="78">
        <v>20</v>
      </c>
      <c r="R236" s="78" t="str">
        <f t="shared" si="53"/>
        <v xml:space="preserve"> </v>
      </c>
      <c r="S236" s="78">
        <f t="shared" si="54"/>
        <v>44.583333333333336</v>
      </c>
      <c r="T236" s="78">
        <f t="shared" si="49"/>
        <v>46.833333333333336</v>
      </c>
      <c r="U236" s="78" t="str">
        <f t="shared" si="55"/>
        <v/>
      </c>
      <c r="V236" s="78">
        <f>IFERROR(I236+O236, "")</f>
        <v>78.25</v>
      </c>
      <c r="W236" s="78">
        <f t="shared" si="56"/>
        <v>109</v>
      </c>
      <c r="X236" s="78">
        <f t="shared" si="57"/>
        <v>43.822500000000005</v>
      </c>
      <c r="Y236" s="78">
        <f t="shared" si="58"/>
        <v>53.97</v>
      </c>
      <c r="AA236" s="88" t="str">
        <f t="shared" si="59"/>
        <v/>
      </c>
      <c r="AB236" s="77" t="str">
        <f t="shared" si="50"/>
        <v/>
      </c>
      <c r="AD236" s="88" t="str">
        <f t="shared" si="60"/>
        <v/>
      </c>
      <c r="AE236" s="77" t="str">
        <f t="shared" si="51"/>
        <v/>
      </c>
    </row>
    <row r="237" spans="2:31" x14ac:dyDescent="0.35">
      <c r="B237">
        <v>2018</v>
      </c>
      <c r="C237">
        <v>4</v>
      </c>
      <c r="D237">
        <v>10</v>
      </c>
      <c r="E237" s="78">
        <f>'CRU historical'!F214</f>
        <v>9</v>
      </c>
      <c r="F237" s="78">
        <f>'CRU historical'!I214</f>
        <v>39</v>
      </c>
      <c r="G237" s="78" t="str">
        <f>'CRU historical'!L214</f>
        <v xml:space="preserve"> </v>
      </c>
      <c r="H237" s="78" t="str">
        <f>'CRU historical'!O214</f>
        <v xml:space="preserve"> </v>
      </c>
      <c r="I237" s="78">
        <f>'CRU historical'!R214</f>
        <v>47.2</v>
      </c>
      <c r="J237" s="78">
        <f>AVERAGE('CRU historical'!U214, 'CRU historical'!X214, 'CRU historical'!AA214, 'CRU historical'!AD214)</f>
        <v>71</v>
      </c>
      <c r="L237" s="78" cm="1">
        <f t="array" ref="L237">IFERROR(SUMPRODUCT(('Sulphuric Acid freights'!$B$3:$B$513=B247)*('Sulphuric Acid freights'!$D$3:$D$513=D237)*('Sulphuric Acid freights'!$P$3:$P$513))/SUMPRODUCT(('Sulphuric Acid freights'!$B$3:$B$513=B247)*('Sulphuric Acid freights'!$D$3:$D$513=D237)*1), AVERAGE('Sulphuric Acid freights'!$P$3:$P$513))*2/3</f>
        <v>44.533333333333331</v>
      </c>
      <c r="M237" s="78" cm="1">
        <f t="array" ref="M237">IFERROR(SUMPRODUCT(('Sulphuric Acid freights'!$B$3:$B$513=B247)*('Sulphuric Acid freights'!$D$3:$D$513=D237)*('Sulphuric Acid freights'!$M$3:$M$513))/SUMPRODUCT(('Sulphuric Acid freights'!$B$3:$B$513=B247)*('Sulphuric Acid freights'!$D$3:$D$513=D237)*1)*2/3, AVERAGE('Sulphuric Acid freights'!$M$3:$M$513))</f>
        <v>13.333333333333334</v>
      </c>
      <c r="N237" s="78">
        <f t="shared" si="52"/>
        <v>40.08</v>
      </c>
      <c r="O237" s="78" cm="1">
        <f t="array" ref="O237">IF(SUMPRODUCT(('Sulphur freight'!$B$3:$B$1976=B247)*('Sulphur freight'!$D$3:$D$1976=D237)*('Sulphur freight'!$G$3:$G$1976))/SUMPRODUCT(('Sulphur freight'!$B$3:$B$1976=B247)*('Sulphur freight'!$D$3:$D$1976=D237)*1)=0, AVERAGE('Sulphur freight'!$G$3:$G$1976),SUMPRODUCT(('Sulphur freight'!$B$3:$B$1976=B247)*('Sulphur freight'!$D$3:$D$1976=D237)*('Sulphur freight'!$G$3:$G$1976))/SUMPRODUCT(('Sulphur freight'!$B$3:$B$1976=B247)*('Sulphur freight'!$D$3:$D$1976=D237)*1))</f>
        <v>20.8</v>
      </c>
      <c r="P237" s="78">
        <v>20</v>
      </c>
      <c r="R237" s="78" t="str">
        <f t="shared" si="53"/>
        <v xml:space="preserve"> </v>
      </c>
      <c r="S237" s="78">
        <f t="shared" si="54"/>
        <v>52.333333333333336</v>
      </c>
      <c r="T237" s="78">
        <f t="shared" si="49"/>
        <v>53.533333333333331</v>
      </c>
      <c r="U237" s="78" t="str">
        <f t="shared" si="55"/>
        <v/>
      </c>
      <c r="V237" s="78">
        <f>IFERROR(I237+O237, "")</f>
        <v>68</v>
      </c>
      <c r="W237" s="78">
        <f t="shared" si="56"/>
        <v>91</v>
      </c>
      <c r="X237" s="78">
        <f t="shared" si="57"/>
        <v>40.44</v>
      </c>
      <c r="Y237" s="78">
        <f t="shared" si="58"/>
        <v>48.03</v>
      </c>
      <c r="AA237" s="88" t="str">
        <f t="shared" si="59"/>
        <v/>
      </c>
      <c r="AB237" s="77" t="str">
        <f t="shared" si="50"/>
        <v/>
      </c>
      <c r="AD237" s="88" t="str">
        <f t="shared" si="60"/>
        <v/>
      </c>
      <c r="AE237" s="77" t="str">
        <f t="shared" si="51"/>
        <v/>
      </c>
    </row>
    <row r="238" spans="2:31" x14ac:dyDescent="0.35">
      <c r="B238">
        <v>2019</v>
      </c>
      <c r="C238">
        <v>4</v>
      </c>
      <c r="D238">
        <v>11</v>
      </c>
      <c r="E238" s="78">
        <f>'CRU historical'!F215</f>
        <v>8.25</v>
      </c>
      <c r="F238" s="78">
        <f>'CRU historical'!I215</f>
        <v>35</v>
      </c>
      <c r="G238" s="78" t="str">
        <f>'CRU historical'!L215</f>
        <v xml:space="preserve"> </v>
      </c>
      <c r="H238" s="78" t="str">
        <f>'CRU historical'!O215</f>
        <v xml:space="preserve"> </v>
      </c>
      <c r="I238" s="78">
        <f>'CRU historical'!R215</f>
        <v>43</v>
      </c>
      <c r="J238" s="78">
        <f>AVERAGE('CRU historical'!U215, 'CRU historical'!X215, 'CRU historical'!AA215, 'CRU historical'!AD215)</f>
        <v>59</v>
      </c>
      <c r="L238" s="78" cm="1">
        <f t="array" ref="L238">IFERROR(SUMPRODUCT(('Sulphuric Acid freights'!$B$3:$B$513=B248)*('Sulphuric Acid freights'!$D$3:$D$513=D238)*('Sulphuric Acid freights'!$P$3:$P$513))/SUMPRODUCT(('Sulphuric Acid freights'!$B$3:$B$513=B248)*('Sulphuric Acid freights'!$D$3:$D$513=D238)*1), AVERAGE('Sulphuric Acid freights'!$P$3:$P$513))*2/3</f>
        <v>45.333333333333336</v>
      </c>
      <c r="M238" s="78" cm="1">
        <f t="array" ref="M238">IFERROR(SUMPRODUCT(('Sulphuric Acid freights'!$B$3:$B$513=B248)*('Sulphuric Acid freights'!$D$3:$D$513=D238)*('Sulphuric Acid freights'!$M$3:$M$513))/SUMPRODUCT(('Sulphuric Acid freights'!$B$3:$B$513=B248)*('Sulphuric Acid freights'!$D$3:$D$513=D238)*1)*2/3, AVERAGE('Sulphuric Acid freights'!$M$3:$M$513))</f>
        <v>14.5</v>
      </c>
      <c r="N238" s="78">
        <f t="shared" si="52"/>
        <v>40.800000000000004</v>
      </c>
      <c r="O238" s="78" cm="1">
        <f t="array" ref="O238">IF(SUMPRODUCT(('Sulphur freight'!$B$3:$B$1976=B248)*('Sulphur freight'!$D$3:$D$1976=D238)*('Sulphur freight'!$G$3:$G$1976))/SUMPRODUCT(('Sulphur freight'!$B$3:$B$1976=B248)*('Sulphur freight'!$D$3:$D$1976=D238)*1)=0, AVERAGE('Sulphur freight'!$G$3:$G$1976),SUMPRODUCT(('Sulphur freight'!$B$3:$B$1976=B248)*('Sulphur freight'!$D$3:$D$1976=D238)*('Sulphur freight'!$G$3:$G$1976))/SUMPRODUCT(('Sulphur freight'!$B$3:$B$1976=B248)*('Sulphur freight'!$D$3:$D$1976=D238)*1))</f>
        <v>19.75</v>
      </c>
      <c r="P238" s="78">
        <v>20</v>
      </c>
      <c r="R238" s="78" t="str">
        <f t="shared" si="53"/>
        <v xml:space="preserve"> </v>
      </c>
      <c r="S238" s="78">
        <f t="shared" si="54"/>
        <v>49.5</v>
      </c>
      <c r="T238" s="78">
        <f t="shared" si="49"/>
        <v>53.583333333333336</v>
      </c>
      <c r="U238" s="78" t="str">
        <f t="shared" si="55"/>
        <v/>
      </c>
      <c r="V238" s="78">
        <f>IFERROR(I238+O238, "")</f>
        <v>62.75</v>
      </c>
      <c r="W238" s="78">
        <f t="shared" si="56"/>
        <v>79</v>
      </c>
      <c r="X238" s="78">
        <f t="shared" si="57"/>
        <v>38.707499999999996</v>
      </c>
      <c r="Y238" s="78">
        <f t="shared" si="58"/>
        <v>44.07</v>
      </c>
      <c r="AA238" s="88" t="str">
        <f t="shared" si="59"/>
        <v/>
      </c>
      <c r="AB238" s="77" t="str">
        <f t="shared" si="50"/>
        <v/>
      </c>
      <c r="AD238" s="88" t="str">
        <f t="shared" si="60"/>
        <v/>
      </c>
      <c r="AE238" s="77" t="str">
        <f t="shared" si="51"/>
        <v/>
      </c>
    </row>
    <row r="239" spans="2:31" x14ac:dyDescent="0.35">
      <c r="B239">
        <v>2019</v>
      </c>
      <c r="C239">
        <v>4</v>
      </c>
      <c r="D239">
        <v>12</v>
      </c>
      <c r="E239" s="78">
        <f>'CRU historical'!F216</f>
        <v>8</v>
      </c>
      <c r="F239" s="78">
        <f>'CRU historical'!I216</f>
        <v>35</v>
      </c>
      <c r="G239" s="78" t="str">
        <f>'CRU historical'!L216</f>
        <v xml:space="preserve"> </v>
      </c>
      <c r="H239" s="78" t="str">
        <f>'CRU historical'!O216</f>
        <v xml:space="preserve"> </v>
      </c>
      <c r="I239" s="78">
        <f>'CRU historical'!R216</f>
        <v>40.666666666666664</v>
      </c>
      <c r="J239" s="78">
        <f>AVERAGE('CRU historical'!U216, 'CRU historical'!X216, 'CRU historical'!AA216, 'CRU historical'!AD216)</f>
        <v>59</v>
      </c>
      <c r="L239" s="78" cm="1">
        <f t="array" ref="L239">IFERROR(SUMPRODUCT(('Sulphuric Acid freights'!$B$3:$B$513=B249)*('Sulphuric Acid freights'!$D$3:$D$513=D239)*('Sulphuric Acid freights'!$P$3:$P$513))/SUMPRODUCT(('Sulphuric Acid freights'!$B$3:$B$513=B249)*('Sulphuric Acid freights'!$D$3:$D$513=D239)*1), AVERAGE('Sulphuric Acid freights'!$P$3:$P$513))*2/3</f>
        <v>46</v>
      </c>
      <c r="M239" s="78" cm="1">
        <f t="array" ref="M239">IFERROR(SUMPRODUCT(('Sulphuric Acid freights'!$B$3:$B$513=B249)*('Sulphuric Acid freights'!$D$3:$D$513=D239)*('Sulphuric Acid freights'!$M$3:$M$513))/SUMPRODUCT(('Sulphuric Acid freights'!$B$3:$B$513=B249)*('Sulphuric Acid freights'!$D$3:$D$513=D239)*1)*2/3, AVERAGE('Sulphuric Acid freights'!$M$3:$M$513))</f>
        <v>14.666666666666666</v>
      </c>
      <c r="N239" s="78">
        <f t="shared" si="52"/>
        <v>41.4</v>
      </c>
      <c r="O239" s="78" cm="1">
        <f t="array" ref="O239">IF(SUMPRODUCT(('Sulphur freight'!$B$3:$B$1976=B249)*('Sulphur freight'!$D$3:$D$1976=D239)*('Sulphur freight'!$G$3:$G$1976))/SUMPRODUCT(('Sulphur freight'!$B$3:$B$1976=B249)*('Sulphur freight'!$D$3:$D$1976=D239)*1)=0, AVERAGE('Sulphur freight'!$G$3:$G$1976),SUMPRODUCT(('Sulphur freight'!$B$3:$B$1976=B249)*('Sulphur freight'!$D$3:$D$1976=D239)*('Sulphur freight'!$G$3:$G$1976))/SUMPRODUCT(('Sulphur freight'!$B$3:$B$1976=B249)*('Sulphur freight'!$D$3:$D$1976=D239)*1))</f>
        <v>23.25</v>
      </c>
      <c r="P239" s="78">
        <v>20</v>
      </c>
      <c r="R239" s="78" t="str">
        <f t="shared" si="53"/>
        <v xml:space="preserve"> </v>
      </c>
      <c r="S239" s="78">
        <f t="shared" si="54"/>
        <v>49.666666666666664</v>
      </c>
      <c r="T239" s="78">
        <f t="shared" si="49"/>
        <v>54</v>
      </c>
      <c r="U239" s="78" t="str">
        <f t="shared" si="55"/>
        <v/>
      </c>
      <c r="V239" s="78">
        <f>IFERROR(I239+O239, "")</f>
        <v>63.916666666666664</v>
      </c>
      <c r="W239" s="78">
        <f t="shared" si="56"/>
        <v>79</v>
      </c>
      <c r="X239" s="78">
        <f t="shared" si="57"/>
        <v>39.092500000000001</v>
      </c>
      <c r="Y239" s="78">
        <f t="shared" si="58"/>
        <v>44.07</v>
      </c>
      <c r="AA239" s="88" t="str">
        <f t="shared" si="59"/>
        <v/>
      </c>
      <c r="AB239" s="77" t="str">
        <f t="shared" si="50"/>
        <v/>
      </c>
      <c r="AD239" s="88" t="str">
        <f t="shared" si="60"/>
        <v/>
      </c>
      <c r="AE239" s="77" t="str">
        <f t="shared" si="51"/>
        <v/>
      </c>
    </row>
    <row r="240" spans="2:31" x14ac:dyDescent="0.35">
      <c r="B240">
        <v>2019</v>
      </c>
      <c r="C240">
        <v>1</v>
      </c>
      <c r="D240">
        <v>1</v>
      </c>
      <c r="E240" s="78">
        <f>'CRU historical'!F217</f>
        <v>5.2</v>
      </c>
      <c r="F240" s="78">
        <f>'CRU historical'!I217</f>
        <v>31.4</v>
      </c>
      <c r="G240" s="78" t="str">
        <f>'CRU historical'!L217</f>
        <v xml:space="preserve"> </v>
      </c>
      <c r="H240" s="78" t="str">
        <f>'CRU historical'!O217</f>
        <v xml:space="preserve"> </v>
      </c>
      <c r="I240" s="78">
        <f>'CRU historical'!R217</f>
        <v>40.200000000000003</v>
      </c>
      <c r="J240" s="78">
        <f>AVERAGE('CRU historical'!U217, 'CRU historical'!X217, 'CRU historical'!AA217, 'CRU historical'!AD217)</f>
        <v>53.6</v>
      </c>
      <c r="L240" s="78" cm="1">
        <f t="array" ref="L240">IFERROR(SUMPRODUCT(('Sulphuric Acid freights'!$B$3:$B$513=B250)*('Sulphuric Acid freights'!$D$3:$D$513=D240)*('Sulphuric Acid freights'!$P$3:$P$513))/SUMPRODUCT(('Sulphuric Acid freights'!$B$3:$B$513=B250)*('Sulphuric Acid freights'!$D$3:$D$513=D240)*1), AVERAGE('Sulphuric Acid freights'!$P$3:$P$513))*2/3</f>
        <v>47.066666666666663</v>
      </c>
      <c r="M240" s="78" cm="1">
        <f t="array" ref="M240">IFERROR(SUMPRODUCT(('Sulphuric Acid freights'!$B$3:$B$513=B250)*('Sulphuric Acid freights'!$D$3:$D$513=D240)*('Sulphuric Acid freights'!$M$3:$M$513))/SUMPRODUCT(('Sulphuric Acid freights'!$B$3:$B$513=B250)*('Sulphuric Acid freights'!$D$3:$D$513=D240)*1)*2/3, AVERAGE('Sulphuric Acid freights'!$M$3:$M$513))</f>
        <v>15.733333333333334</v>
      </c>
      <c r="N240" s="78">
        <f t="shared" si="52"/>
        <v>42.36</v>
      </c>
      <c r="O240" s="78" cm="1">
        <f t="array" ref="O240">IF(SUMPRODUCT(('Sulphur freight'!$B$3:$B$1976=B250)*('Sulphur freight'!$D$3:$D$1976=D240)*('Sulphur freight'!$G$3:$G$1976))/SUMPRODUCT(('Sulphur freight'!$B$3:$B$1976=B250)*('Sulphur freight'!$D$3:$D$1976=D240)*1)=0, AVERAGE('Sulphur freight'!$G$3:$G$1976),SUMPRODUCT(('Sulphur freight'!$B$3:$B$1976=B250)*('Sulphur freight'!$D$3:$D$1976=D240)*('Sulphur freight'!$G$3:$G$1976))/SUMPRODUCT(('Sulphur freight'!$B$3:$B$1976=B250)*('Sulphur freight'!$D$3:$D$1976=D240)*1))</f>
        <v>21.2</v>
      </c>
      <c r="P240" s="78">
        <v>20</v>
      </c>
      <c r="R240" s="78" t="str">
        <f t="shared" si="53"/>
        <v xml:space="preserve"> </v>
      </c>
      <c r="S240" s="78">
        <f t="shared" si="54"/>
        <v>47.133333333333333</v>
      </c>
      <c r="T240" s="78">
        <f t="shared" si="49"/>
        <v>52.266666666666666</v>
      </c>
      <c r="U240" s="78" t="str">
        <f t="shared" si="55"/>
        <v/>
      </c>
      <c r="V240" s="78">
        <f>IFERROR(I240+O240, "")</f>
        <v>61.400000000000006</v>
      </c>
      <c r="W240" s="78">
        <f t="shared" si="56"/>
        <v>73.599999999999994</v>
      </c>
      <c r="X240" s="78">
        <f t="shared" si="57"/>
        <v>38.262</v>
      </c>
      <c r="Y240" s="78">
        <f t="shared" si="58"/>
        <v>42.287999999999997</v>
      </c>
      <c r="AA240" s="88" t="str">
        <f t="shared" si="59"/>
        <v/>
      </c>
      <c r="AB240" s="77" t="str">
        <f t="shared" si="50"/>
        <v/>
      </c>
      <c r="AD240" s="88" t="str">
        <f t="shared" si="60"/>
        <v/>
      </c>
      <c r="AE240" s="77" t="str">
        <f t="shared" si="51"/>
        <v/>
      </c>
    </row>
    <row r="241" spans="2:31" x14ac:dyDescent="0.35">
      <c r="B241">
        <v>2019</v>
      </c>
      <c r="C241">
        <v>1</v>
      </c>
      <c r="D241">
        <v>2</v>
      </c>
      <c r="E241" s="78">
        <f>'CRU historical'!F218</f>
        <v>-2.5</v>
      </c>
      <c r="F241" s="78">
        <f>'CRU historical'!I218</f>
        <v>17.75</v>
      </c>
      <c r="G241" s="78" t="str">
        <f>'CRU historical'!L218</f>
        <v xml:space="preserve"> </v>
      </c>
      <c r="H241" s="78" t="str">
        <f>'CRU historical'!O218</f>
        <v xml:space="preserve"> </v>
      </c>
      <c r="I241" s="78">
        <f>'CRU historical'!R218</f>
        <v>42</v>
      </c>
      <c r="J241" s="78">
        <f>AVERAGE('CRU historical'!U218, 'CRU historical'!X218, 'CRU historical'!AA218, 'CRU historical'!AD218)</f>
        <v>50</v>
      </c>
      <c r="L241" s="78" cm="1">
        <f t="array" ref="L241">IFERROR(SUMPRODUCT(('Sulphuric Acid freights'!$B$3:$B$513=B251)*('Sulphuric Acid freights'!$D$3:$D$513=D241)*('Sulphuric Acid freights'!$P$3:$P$513))/SUMPRODUCT(('Sulphuric Acid freights'!$B$3:$B$513=B251)*('Sulphuric Acid freights'!$D$3:$D$513=D241)*1), AVERAGE('Sulphuric Acid freights'!$P$3:$P$513))*2/3</f>
        <v>45.5</v>
      </c>
      <c r="M241" s="78" cm="1">
        <f t="array" ref="M241">IFERROR(SUMPRODUCT(('Sulphuric Acid freights'!$B$3:$B$513=B251)*('Sulphuric Acid freights'!$D$3:$D$513=D241)*('Sulphuric Acid freights'!$M$3:$M$513))/SUMPRODUCT(('Sulphuric Acid freights'!$B$3:$B$513=B251)*('Sulphuric Acid freights'!$D$3:$D$513=D241)*1)*2/3, AVERAGE('Sulphuric Acid freights'!$M$3:$M$513))</f>
        <v>16</v>
      </c>
      <c r="N241" s="78">
        <f t="shared" si="52"/>
        <v>40.950000000000003</v>
      </c>
      <c r="O241" s="78" cm="1">
        <f t="array" ref="O241">IF(SUMPRODUCT(('Sulphur freight'!$B$3:$B$1976=B251)*('Sulphur freight'!$D$3:$D$1976=D241)*('Sulphur freight'!$G$3:$G$1976))/SUMPRODUCT(('Sulphur freight'!$B$3:$B$1976=B251)*('Sulphur freight'!$D$3:$D$1976=D241)*1)=0, AVERAGE('Sulphur freight'!$G$3:$G$1976),SUMPRODUCT(('Sulphur freight'!$B$3:$B$1976=B251)*('Sulphur freight'!$D$3:$D$1976=D241)*('Sulphur freight'!$G$3:$G$1976))/SUMPRODUCT(('Sulphur freight'!$B$3:$B$1976=B251)*('Sulphur freight'!$D$3:$D$1976=D241)*1))</f>
        <v>17.25</v>
      </c>
      <c r="P241" s="78">
        <v>20</v>
      </c>
      <c r="R241" s="78" t="str">
        <f t="shared" si="53"/>
        <v xml:space="preserve"> </v>
      </c>
      <c r="S241" s="78">
        <f t="shared" si="54"/>
        <v>33.75</v>
      </c>
      <c r="T241" s="78">
        <f t="shared" si="49"/>
        <v>43</v>
      </c>
      <c r="U241" s="78" t="str">
        <f t="shared" si="55"/>
        <v/>
      </c>
      <c r="V241" s="78">
        <f>IFERROR(I241+O241, "")</f>
        <v>59.25</v>
      </c>
      <c r="W241" s="78">
        <f t="shared" si="56"/>
        <v>70</v>
      </c>
      <c r="X241" s="78">
        <f t="shared" si="57"/>
        <v>37.552500000000002</v>
      </c>
      <c r="Y241" s="78">
        <f t="shared" si="58"/>
        <v>41.1</v>
      </c>
      <c r="AA241" s="88" t="str">
        <f t="shared" si="59"/>
        <v/>
      </c>
      <c r="AB241" s="77" t="str">
        <f t="shared" si="50"/>
        <v/>
      </c>
      <c r="AD241" s="88" t="str">
        <f t="shared" si="60"/>
        <v/>
      </c>
      <c r="AE241" s="77" t="str">
        <f t="shared" si="51"/>
        <v/>
      </c>
    </row>
    <row r="242" spans="2:31" x14ac:dyDescent="0.35">
      <c r="B242">
        <v>2019</v>
      </c>
      <c r="C242">
        <v>1</v>
      </c>
      <c r="D242">
        <v>3</v>
      </c>
      <c r="E242" s="78">
        <f>'CRU historical'!F219</f>
        <v>-16.5</v>
      </c>
      <c r="F242" s="78">
        <f>'CRU historical'!I219</f>
        <v>12.5</v>
      </c>
      <c r="G242" s="78" t="str">
        <f>'CRU historical'!L219</f>
        <v xml:space="preserve"> </v>
      </c>
      <c r="H242" s="78" t="str">
        <f>'CRU historical'!O219</f>
        <v xml:space="preserve"> </v>
      </c>
      <c r="I242" s="78">
        <f>'CRU historical'!R219</f>
        <v>53</v>
      </c>
      <c r="J242" s="78">
        <f>AVERAGE('CRU historical'!U219, 'CRU historical'!X219, 'CRU historical'!AA219, 'CRU historical'!AD219)</f>
        <v>50</v>
      </c>
      <c r="L242" s="78" cm="1">
        <f t="array" ref="L242">IFERROR(SUMPRODUCT(('Sulphuric Acid freights'!$B$3:$B$513=B252)*('Sulphuric Acid freights'!$D$3:$D$513=D242)*('Sulphuric Acid freights'!$P$3:$P$513))/SUMPRODUCT(('Sulphuric Acid freights'!$B$3:$B$513=B252)*('Sulphuric Acid freights'!$D$3:$D$513=D242)*1), AVERAGE('Sulphuric Acid freights'!$P$3:$P$513))*2/3</f>
        <v>42</v>
      </c>
      <c r="M242" s="78" cm="1">
        <f t="array" ref="M242">IFERROR(SUMPRODUCT(('Sulphuric Acid freights'!$B$3:$B$513=B252)*('Sulphuric Acid freights'!$D$3:$D$513=D242)*('Sulphuric Acid freights'!$M$3:$M$513))/SUMPRODUCT(('Sulphuric Acid freights'!$B$3:$B$513=B252)*('Sulphuric Acid freights'!$D$3:$D$513=D242)*1)*2/3, AVERAGE('Sulphuric Acid freights'!$M$3:$M$513))</f>
        <v>15</v>
      </c>
      <c r="N242" s="78">
        <f t="shared" si="52"/>
        <v>37.800000000000004</v>
      </c>
      <c r="O242" s="78" cm="1">
        <f t="array" ref="O242">IF(SUMPRODUCT(('Sulphur freight'!$B$3:$B$1976=B252)*('Sulphur freight'!$D$3:$D$1976=D242)*('Sulphur freight'!$G$3:$G$1976))/SUMPRODUCT(('Sulphur freight'!$B$3:$B$1976=B252)*('Sulphur freight'!$D$3:$D$1976=D242)*1)=0, AVERAGE('Sulphur freight'!$G$3:$G$1976),SUMPRODUCT(('Sulphur freight'!$B$3:$B$1976=B252)*('Sulphur freight'!$D$3:$D$1976=D242)*('Sulphur freight'!$G$3:$G$1976))/SUMPRODUCT(('Sulphur freight'!$B$3:$B$1976=B252)*('Sulphur freight'!$D$3:$D$1976=D242)*1))</f>
        <v>17.5</v>
      </c>
      <c r="P242" s="78">
        <v>20</v>
      </c>
      <c r="R242" s="78" t="str">
        <f t="shared" si="53"/>
        <v xml:space="preserve"> </v>
      </c>
      <c r="S242" s="78">
        <f t="shared" si="54"/>
        <v>27.5</v>
      </c>
      <c r="T242" s="78">
        <f t="shared" si="49"/>
        <v>25.5</v>
      </c>
      <c r="U242" s="78" t="str">
        <f t="shared" si="55"/>
        <v/>
      </c>
      <c r="V242" s="78">
        <f>IFERROR(I242+O242, "")</f>
        <v>70.5</v>
      </c>
      <c r="W242" s="78">
        <f t="shared" si="56"/>
        <v>70</v>
      </c>
      <c r="X242" s="78">
        <f t="shared" si="57"/>
        <v>41.265000000000001</v>
      </c>
      <c r="Y242" s="78">
        <f t="shared" si="58"/>
        <v>41.1</v>
      </c>
      <c r="AA242" s="88" t="str">
        <f t="shared" si="59"/>
        <v/>
      </c>
      <c r="AB242" s="77" t="str">
        <f t="shared" si="50"/>
        <v/>
      </c>
      <c r="AD242" s="88" t="str">
        <f t="shared" si="60"/>
        <v/>
      </c>
      <c r="AE242" s="77" t="str">
        <f t="shared" si="51"/>
        <v/>
      </c>
    </row>
    <row r="243" spans="2:31" x14ac:dyDescent="0.35">
      <c r="B243">
        <v>2019</v>
      </c>
      <c r="C243">
        <v>2</v>
      </c>
      <c r="D243">
        <v>4</v>
      </c>
      <c r="E243" s="78">
        <f>'CRU historical'!F220</f>
        <v>-26.4</v>
      </c>
      <c r="F243" s="78">
        <f>'CRU historical'!I220</f>
        <v>-4.4000000000000004</v>
      </c>
      <c r="G243" s="78" t="str">
        <f>'CRU historical'!L220</f>
        <v xml:space="preserve"> </v>
      </c>
      <c r="H243" s="78" t="str">
        <f>'CRU historical'!O220</f>
        <v xml:space="preserve"> </v>
      </c>
      <c r="I243" s="78">
        <f>'CRU historical'!R220</f>
        <v>58.6</v>
      </c>
      <c r="J243" s="78">
        <f>AVERAGE('CRU historical'!U220, 'CRU historical'!X220, 'CRU historical'!AA220, 'CRU historical'!AD220)</f>
        <v>57.8</v>
      </c>
      <c r="L243" s="78" cm="1">
        <f t="array" ref="L243">IFERROR(SUMPRODUCT(('Sulphuric Acid freights'!$B$3:$B$513=B253)*('Sulphuric Acid freights'!$D$3:$D$513=D243)*('Sulphuric Acid freights'!$P$3:$P$513))/SUMPRODUCT(('Sulphuric Acid freights'!$B$3:$B$513=B253)*('Sulphuric Acid freights'!$D$3:$D$513=D243)*1), AVERAGE('Sulphuric Acid freights'!$P$3:$P$513))*2/3</f>
        <v>40.666666666666664</v>
      </c>
      <c r="M243" s="78" cm="1">
        <f t="array" ref="M243">IFERROR(SUMPRODUCT(('Sulphuric Acid freights'!$B$3:$B$513=B253)*('Sulphuric Acid freights'!$D$3:$D$513=D243)*('Sulphuric Acid freights'!$M$3:$M$513))/SUMPRODUCT(('Sulphuric Acid freights'!$B$3:$B$513=B253)*('Sulphuric Acid freights'!$D$3:$D$513=D243)*1)*2/3, AVERAGE('Sulphuric Acid freights'!$M$3:$M$513))</f>
        <v>15.200000000000001</v>
      </c>
      <c r="N243" s="78">
        <f t="shared" si="52"/>
        <v>36.6</v>
      </c>
      <c r="O243" s="78" cm="1">
        <f t="array" ref="O243">IF(SUMPRODUCT(('Sulphur freight'!$B$3:$B$1976=B253)*('Sulphur freight'!$D$3:$D$1976=D243)*('Sulphur freight'!$G$3:$G$1976))/SUMPRODUCT(('Sulphur freight'!$B$3:$B$1976=B253)*('Sulphur freight'!$D$3:$D$1976=D243)*1)=0, AVERAGE('Sulphur freight'!$G$3:$G$1976),SUMPRODUCT(('Sulphur freight'!$B$3:$B$1976=B253)*('Sulphur freight'!$D$3:$D$1976=D243)*('Sulphur freight'!$G$3:$G$1976))/SUMPRODUCT(('Sulphur freight'!$B$3:$B$1976=B253)*('Sulphur freight'!$D$3:$D$1976=D243)*1))</f>
        <v>15</v>
      </c>
      <c r="P243" s="78">
        <v>20</v>
      </c>
      <c r="R243" s="78" t="str">
        <f t="shared" si="53"/>
        <v xml:space="preserve"> </v>
      </c>
      <c r="S243" s="78">
        <f t="shared" si="54"/>
        <v>10.8</v>
      </c>
      <c r="T243" s="78">
        <f t="shared" si="49"/>
        <v>14.266666666666666</v>
      </c>
      <c r="U243" s="78" t="str">
        <f t="shared" si="55"/>
        <v/>
      </c>
      <c r="V243" s="78">
        <f>IFERROR(I243+O243, "")</f>
        <v>73.599999999999994</v>
      </c>
      <c r="W243" s="78">
        <f t="shared" si="56"/>
        <v>77.8</v>
      </c>
      <c r="X243" s="78">
        <f t="shared" si="57"/>
        <v>42.287999999999997</v>
      </c>
      <c r="Y243" s="78">
        <f t="shared" si="58"/>
        <v>43.673999999999999</v>
      </c>
      <c r="AA243" s="88" t="str">
        <f t="shared" si="59"/>
        <v/>
      </c>
      <c r="AB243" s="77" t="str">
        <f t="shared" si="50"/>
        <v/>
      </c>
      <c r="AD243" s="88" t="str">
        <f t="shared" si="60"/>
        <v/>
      </c>
      <c r="AE243" s="77" t="str">
        <f t="shared" si="51"/>
        <v/>
      </c>
    </row>
    <row r="244" spans="2:31" x14ac:dyDescent="0.35">
      <c r="B244">
        <v>2019</v>
      </c>
      <c r="C244">
        <v>2</v>
      </c>
      <c r="D244">
        <v>5</v>
      </c>
      <c r="E244" s="78">
        <f>'CRU historical'!F221</f>
        <v>-18.25</v>
      </c>
      <c r="F244" s="78">
        <f>'CRU historical'!I221</f>
        <v>-4</v>
      </c>
      <c r="G244" s="78" t="str">
        <f>'CRU historical'!L221</f>
        <v xml:space="preserve"> </v>
      </c>
      <c r="H244" s="78" t="str">
        <f>'CRU historical'!O221</f>
        <v xml:space="preserve"> </v>
      </c>
      <c r="I244" s="78">
        <f>'CRU historical'!R221</f>
        <v>53</v>
      </c>
      <c r="J244" s="78">
        <f>AVERAGE('CRU historical'!U221, 'CRU historical'!X221, 'CRU historical'!AA221, 'CRU historical'!AD221)</f>
        <v>63</v>
      </c>
      <c r="L244" s="78" cm="1">
        <f t="array" ref="L244">IFERROR(SUMPRODUCT(('Sulphuric Acid freights'!$B$3:$B$513=B254)*('Sulphuric Acid freights'!$D$3:$D$513=D244)*('Sulphuric Acid freights'!$P$3:$P$513))/SUMPRODUCT(('Sulphuric Acid freights'!$B$3:$B$513=B254)*('Sulphuric Acid freights'!$D$3:$D$513=D244)*1), AVERAGE('Sulphuric Acid freights'!$P$3:$P$513))*2/3</f>
        <v>41.666666666666664</v>
      </c>
      <c r="M244" s="78" cm="1">
        <f t="array" ref="M244">IFERROR(SUMPRODUCT(('Sulphuric Acid freights'!$B$3:$B$513=B254)*('Sulphuric Acid freights'!$D$3:$D$513=D244)*('Sulphuric Acid freights'!$M$3:$M$513))/SUMPRODUCT(('Sulphuric Acid freights'!$B$3:$B$513=B254)*('Sulphuric Acid freights'!$D$3:$D$513=D244)*1)*2/3, AVERAGE('Sulphuric Acid freights'!$M$3:$M$513))</f>
        <v>15.333333333333334</v>
      </c>
      <c r="N244" s="78">
        <f t="shared" si="52"/>
        <v>37.5</v>
      </c>
      <c r="O244" s="78" cm="1">
        <f t="array" ref="O244">IF(SUMPRODUCT(('Sulphur freight'!$B$3:$B$1976=B254)*('Sulphur freight'!$D$3:$D$1976=D244)*('Sulphur freight'!$G$3:$G$1976))/SUMPRODUCT(('Sulphur freight'!$B$3:$B$1976=B254)*('Sulphur freight'!$D$3:$D$1976=D244)*1)=0, AVERAGE('Sulphur freight'!$G$3:$G$1976),SUMPRODUCT(('Sulphur freight'!$B$3:$B$1976=B254)*('Sulphur freight'!$D$3:$D$1976=D244)*('Sulphur freight'!$G$3:$G$1976))/SUMPRODUCT(('Sulphur freight'!$B$3:$B$1976=B254)*('Sulphur freight'!$D$3:$D$1976=D244)*1))</f>
        <v>15.25</v>
      </c>
      <c r="P244" s="78">
        <v>20</v>
      </c>
      <c r="R244" s="78" t="str">
        <f t="shared" si="53"/>
        <v xml:space="preserve"> </v>
      </c>
      <c r="S244" s="78">
        <f t="shared" si="54"/>
        <v>11.333333333333334</v>
      </c>
      <c r="T244" s="78">
        <f t="shared" si="49"/>
        <v>23.416666666666664</v>
      </c>
      <c r="U244" s="78" t="str">
        <f t="shared" si="55"/>
        <v/>
      </c>
      <c r="V244" s="78">
        <f>IFERROR(I244+O244, "")</f>
        <v>68.25</v>
      </c>
      <c r="W244" s="78">
        <f t="shared" si="56"/>
        <v>83</v>
      </c>
      <c r="X244" s="78">
        <f t="shared" si="57"/>
        <v>40.522500000000001</v>
      </c>
      <c r="Y244" s="78">
        <f t="shared" si="58"/>
        <v>45.39</v>
      </c>
      <c r="AA244" s="88" t="str">
        <f t="shared" si="59"/>
        <v/>
      </c>
      <c r="AB244" s="77" t="str">
        <f t="shared" si="50"/>
        <v/>
      </c>
      <c r="AD244" s="88" t="str">
        <f t="shared" si="60"/>
        <v/>
      </c>
      <c r="AE244" s="77" t="str">
        <f t="shared" si="51"/>
        <v/>
      </c>
    </row>
    <row r="245" spans="2:31" x14ac:dyDescent="0.35">
      <c r="B245">
        <v>2019</v>
      </c>
      <c r="C245">
        <v>2</v>
      </c>
      <c r="D245">
        <v>6</v>
      </c>
      <c r="E245" s="78">
        <f>'CRU historical'!F222</f>
        <v>-15</v>
      </c>
      <c r="F245" s="78">
        <f>'CRU historical'!I222</f>
        <v>1.5</v>
      </c>
      <c r="G245" s="78" t="str">
        <f>'CRU historical'!L222</f>
        <v xml:space="preserve"> </v>
      </c>
      <c r="H245" s="78" t="str">
        <f>'CRU historical'!O222</f>
        <v xml:space="preserve"> </v>
      </c>
      <c r="I245" s="78">
        <f>'CRU historical'!R222</f>
        <v>59.5</v>
      </c>
      <c r="J245" s="78">
        <f>AVERAGE('CRU historical'!U222, 'CRU historical'!X222, 'CRU historical'!AA222, 'CRU historical'!AD222)</f>
        <v>63</v>
      </c>
      <c r="L245" s="78" cm="1">
        <f t="array" ref="L245">IFERROR(SUMPRODUCT(('Sulphuric Acid freights'!$B$3:$B$513=B255)*('Sulphuric Acid freights'!$D$3:$D$513=D245)*('Sulphuric Acid freights'!$P$3:$P$513))/SUMPRODUCT(('Sulphuric Acid freights'!$B$3:$B$513=B255)*('Sulphuric Acid freights'!$D$3:$D$513=D245)*1), AVERAGE('Sulphuric Acid freights'!$P$3:$P$513))*2/3</f>
        <v>40</v>
      </c>
      <c r="M245" s="78" cm="1">
        <f t="array" ref="M245">IFERROR(SUMPRODUCT(('Sulphuric Acid freights'!$B$3:$B$513=B255)*('Sulphuric Acid freights'!$D$3:$D$513=D245)*('Sulphuric Acid freights'!$M$3:$M$513))/SUMPRODUCT(('Sulphuric Acid freights'!$B$3:$B$513=B255)*('Sulphuric Acid freights'!$D$3:$D$513=D245)*1)*2/3, AVERAGE('Sulphuric Acid freights'!$M$3:$M$513))</f>
        <v>13.666666666666666</v>
      </c>
      <c r="N245" s="78">
        <f t="shared" si="52"/>
        <v>36</v>
      </c>
      <c r="O245" s="78" cm="1">
        <f t="array" ref="O245">IF(SUMPRODUCT(('Sulphur freight'!$B$3:$B$1976=B255)*('Sulphur freight'!$D$3:$D$1976=D245)*('Sulphur freight'!$G$3:$G$1976))/SUMPRODUCT(('Sulphur freight'!$B$3:$B$1976=B255)*('Sulphur freight'!$D$3:$D$1976=D245)*1)=0, AVERAGE('Sulphur freight'!$G$3:$G$1976),SUMPRODUCT(('Sulphur freight'!$B$3:$B$1976=B255)*('Sulphur freight'!$D$3:$D$1976=D245)*('Sulphur freight'!$G$3:$G$1976))/SUMPRODUCT(('Sulphur freight'!$B$3:$B$1976=B255)*('Sulphur freight'!$D$3:$D$1976=D245)*1))</f>
        <v>18.75</v>
      </c>
      <c r="P245" s="78">
        <v>20</v>
      </c>
      <c r="R245" s="78" t="str">
        <f t="shared" si="53"/>
        <v xml:space="preserve"> </v>
      </c>
      <c r="S245" s="78">
        <f t="shared" si="54"/>
        <v>15.166666666666666</v>
      </c>
      <c r="T245" s="78">
        <f t="shared" si="49"/>
        <v>25</v>
      </c>
      <c r="U245" s="78" t="str">
        <f t="shared" si="55"/>
        <v/>
      </c>
      <c r="V245" s="78">
        <f>IFERROR(I245+O245, "")</f>
        <v>78.25</v>
      </c>
      <c r="W245" s="78">
        <f t="shared" si="56"/>
        <v>83</v>
      </c>
      <c r="X245" s="78">
        <f t="shared" si="57"/>
        <v>43.822500000000005</v>
      </c>
      <c r="Y245" s="78">
        <f t="shared" si="58"/>
        <v>45.39</v>
      </c>
      <c r="AA245" s="88" t="str">
        <f t="shared" si="59"/>
        <v/>
      </c>
      <c r="AB245" s="77" t="str">
        <f t="shared" si="50"/>
        <v/>
      </c>
      <c r="AD245" s="88" t="str">
        <f t="shared" si="60"/>
        <v/>
      </c>
      <c r="AE245" s="77" t="str">
        <f t="shared" si="51"/>
        <v/>
      </c>
    </row>
    <row r="246" spans="2:31" x14ac:dyDescent="0.35">
      <c r="B246">
        <v>2019</v>
      </c>
      <c r="C246">
        <v>3</v>
      </c>
      <c r="D246">
        <v>7</v>
      </c>
      <c r="E246" s="78">
        <f>'CRU historical'!F223</f>
        <v>-15</v>
      </c>
      <c r="F246" s="78">
        <f>'CRU historical'!I223</f>
        <v>5</v>
      </c>
      <c r="G246" s="78" t="str">
        <f>'CRU historical'!L223</f>
        <v xml:space="preserve"> </v>
      </c>
      <c r="H246" s="78" t="str">
        <f>'CRU historical'!O223</f>
        <v xml:space="preserve"> </v>
      </c>
      <c r="I246" s="78">
        <f>'CRU historical'!R223</f>
        <v>57.4</v>
      </c>
      <c r="J246" s="78">
        <f>AVERAGE('CRU historical'!U223, 'CRU historical'!X223, 'CRU historical'!AA223, 'CRU historical'!AD223)</f>
        <v>63</v>
      </c>
      <c r="L246" s="78" cm="1">
        <f t="array" ref="L246">IFERROR(SUMPRODUCT(('Sulphuric Acid freights'!$B$3:$B$513=B256)*('Sulphuric Acid freights'!$D$3:$D$513=D246)*('Sulphuric Acid freights'!$P$3:$P$513))/SUMPRODUCT(('Sulphuric Acid freights'!$B$3:$B$513=B256)*('Sulphuric Acid freights'!$D$3:$D$513=D246)*1), AVERAGE('Sulphuric Acid freights'!$P$3:$P$513))*2/3</f>
        <v>39.6</v>
      </c>
      <c r="M246" s="78" cm="1">
        <f t="array" ref="M246">IFERROR(SUMPRODUCT(('Sulphuric Acid freights'!$B$3:$B$513=B256)*('Sulphuric Acid freights'!$D$3:$D$513=D246)*('Sulphuric Acid freights'!$M$3:$M$513))/SUMPRODUCT(('Sulphuric Acid freights'!$B$3:$B$513=B256)*('Sulphuric Acid freights'!$D$3:$D$513=D246)*1)*2/3, AVERAGE('Sulphuric Acid freights'!$M$3:$M$513))</f>
        <v>12</v>
      </c>
      <c r="N246" s="78">
        <f t="shared" si="52"/>
        <v>35.64</v>
      </c>
      <c r="O246" s="78" cm="1">
        <f t="array" ref="O246">IF(SUMPRODUCT(('Sulphur freight'!$B$3:$B$1976=B256)*('Sulphur freight'!$D$3:$D$1976=D246)*('Sulphur freight'!$G$3:$G$1976))/SUMPRODUCT(('Sulphur freight'!$B$3:$B$1976=B256)*('Sulphur freight'!$D$3:$D$1976=D246)*1)=0, AVERAGE('Sulphur freight'!$G$3:$G$1976),SUMPRODUCT(('Sulphur freight'!$B$3:$B$1976=B256)*('Sulphur freight'!$D$3:$D$1976=D246)*('Sulphur freight'!$G$3:$G$1976))/SUMPRODUCT(('Sulphur freight'!$B$3:$B$1976=B256)*('Sulphur freight'!$D$3:$D$1976=D246)*1))</f>
        <v>19.2</v>
      </c>
      <c r="P246" s="78">
        <v>20</v>
      </c>
      <c r="R246" s="78" t="str">
        <f t="shared" si="53"/>
        <v xml:space="preserve"> </v>
      </c>
      <c r="S246" s="78">
        <f t="shared" si="54"/>
        <v>17</v>
      </c>
      <c r="T246" s="78">
        <f t="shared" si="49"/>
        <v>24.6</v>
      </c>
      <c r="U246" s="78" t="str">
        <f t="shared" si="55"/>
        <v/>
      </c>
      <c r="V246" s="78">
        <f>IFERROR(I246+O246, "")</f>
        <v>76.599999999999994</v>
      </c>
      <c r="W246" s="78">
        <f t="shared" si="56"/>
        <v>83</v>
      </c>
      <c r="X246" s="78">
        <f t="shared" si="57"/>
        <v>43.277999999999999</v>
      </c>
      <c r="Y246" s="78">
        <f t="shared" si="58"/>
        <v>45.39</v>
      </c>
      <c r="AA246" s="88" t="str">
        <f t="shared" si="59"/>
        <v/>
      </c>
      <c r="AB246" s="77" t="str">
        <f t="shared" si="50"/>
        <v/>
      </c>
      <c r="AD246" s="88" t="str">
        <f t="shared" si="60"/>
        <v/>
      </c>
      <c r="AE246" s="77" t="str">
        <f t="shared" si="51"/>
        <v/>
      </c>
    </row>
    <row r="247" spans="2:31" x14ac:dyDescent="0.35">
      <c r="B247">
        <v>2019</v>
      </c>
      <c r="C247">
        <v>3</v>
      </c>
      <c r="D247">
        <v>8</v>
      </c>
      <c r="E247" s="78">
        <f>'CRU historical'!F224</f>
        <v>-15</v>
      </c>
      <c r="F247" s="78">
        <f>'CRU historical'!I224</f>
        <v>10</v>
      </c>
      <c r="G247" s="78" t="str">
        <f>'CRU historical'!L224</f>
        <v xml:space="preserve"> </v>
      </c>
      <c r="H247" s="78" t="str">
        <f>'CRU historical'!O224</f>
        <v xml:space="preserve"> </v>
      </c>
      <c r="I247" s="78">
        <f>'CRU historical'!R224</f>
        <v>52.75</v>
      </c>
      <c r="J247" s="78">
        <f>AVERAGE('CRU historical'!U224, 'CRU historical'!X224, 'CRU historical'!AA224, 'CRU historical'!AD224)</f>
        <v>63</v>
      </c>
      <c r="L247" s="78" cm="1">
        <f t="array" ref="L247">IFERROR(SUMPRODUCT(('Sulphuric Acid freights'!$B$3:$B$513=B257)*('Sulphuric Acid freights'!$D$3:$D$513=D247)*('Sulphuric Acid freights'!$P$3:$P$513))/SUMPRODUCT(('Sulphuric Acid freights'!$B$3:$B$513=B257)*('Sulphuric Acid freights'!$D$3:$D$513=D247)*1), AVERAGE('Sulphuric Acid freights'!$P$3:$P$513))*2/3</f>
        <v>39</v>
      </c>
      <c r="M247" s="78" cm="1">
        <f t="array" ref="M247">IFERROR(SUMPRODUCT(('Sulphuric Acid freights'!$B$3:$B$513=B257)*('Sulphuric Acid freights'!$D$3:$D$513=D247)*('Sulphuric Acid freights'!$M$3:$M$513))/SUMPRODUCT(('Sulphuric Acid freights'!$B$3:$B$513=B257)*('Sulphuric Acid freights'!$D$3:$D$513=D247)*1)*2/3, AVERAGE('Sulphuric Acid freights'!$M$3:$M$513))</f>
        <v>12</v>
      </c>
      <c r="N247" s="78">
        <f t="shared" si="52"/>
        <v>35.1</v>
      </c>
      <c r="O247" s="78" cm="1">
        <f t="array" ref="O247">IF(SUMPRODUCT(('Sulphur freight'!$B$3:$B$1976=B257)*('Sulphur freight'!$D$3:$D$1976=D247)*('Sulphur freight'!$G$3:$G$1976))/SUMPRODUCT(('Sulphur freight'!$B$3:$B$1976=B257)*('Sulphur freight'!$D$3:$D$1976=D247)*1)=0, AVERAGE('Sulphur freight'!$G$3:$G$1976),SUMPRODUCT(('Sulphur freight'!$B$3:$B$1976=B257)*('Sulphur freight'!$D$3:$D$1976=D247)*('Sulphur freight'!$G$3:$G$1976))/SUMPRODUCT(('Sulphur freight'!$B$3:$B$1976=B257)*('Sulphur freight'!$D$3:$D$1976=D247)*1))</f>
        <v>18.75</v>
      </c>
      <c r="P247" s="78">
        <v>20</v>
      </c>
      <c r="R247" s="78" t="str">
        <f t="shared" si="53"/>
        <v xml:space="preserve"> </v>
      </c>
      <c r="S247" s="78">
        <f t="shared" si="54"/>
        <v>22</v>
      </c>
      <c r="T247" s="78">
        <f t="shared" si="49"/>
        <v>24</v>
      </c>
      <c r="U247" s="78" t="str">
        <f t="shared" si="55"/>
        <v/>
      </c>
      <c r="V247" s="78">
        <f>IFERROR(I247+O247, "")</f>
        <v>71.5</v>
      </c>
      <c r="W247" s="78">
        <f t="shared" si="56"/>
        <v>83</v>
      </c>
      <c r="X247" s="78">
        <f t="shared" si="57"/>
        <v>41.594999999999999</v>
      </c>
      <c r="Y247" s="78">
        <f t="shared" si="58"/>
        <v>45.39</v>
      </c>
      <c r="AA247" s="88" t="str">
        <f t="shared" si="59"/>
        <v/>
      </c>
      <c r="AB247" s="77" t="str">
        <f t="shared" si="50"/>
        <v/>
      </c>
      <c r="AD247" s="88" t="str">
        <f t="shared" si="60"/>
        <v/>
      </c>
      <c r="AE247" s="77" t="str">
        <f t="shared" si="51"/>
        <v/>
      </c>
    </row>
    <row r="248" spans="2:31" x14ac:dyDescent="0.35">
      <c r="B248">
        <v>2019</v>
      </c>
      <c r="C248">
        <v>3</v>
      </c>
      <c r="D248">
        <v>9</v>
      </c>
      <c r="E248" s="78">
        <f>'CRU historical'!F225</f>
        <v>-13</v>
      </c>
      <c r="F248" s="78">
        <f>'CRU historical'!I225</f>
        <v>13.25</v>
      </c>
      <c r="G248" s="78" t="str">
        <f>'CRU historical'!L225</f>
        <v xml:space="preserve"> </v>
      </c>
      <c r="H248" s="78" t="str">
        <f>'CRU historical'!O225</f>
        <v xml:space="preserve"> </v>
      </c>
      <c r="I248" s="78">
        <f>'CRU historical'!R225</f>
        <v>63</v>
      </c>
      <c r="J248" s="78">
        <f>AVERAGE('CRU historical'!U225, 'CRU historical'!X225, 'CRU historical'!AA225, 'CRU historical'!AD225)</f>
        <v>63</v>
      </c>
      <c r="L248" s="78" cm="1">
        <f t="array" ref="L248">IFERROR(SUMPRODUCT(('Sulphuric Acid freights'!$B$3:$B$513=B258)*('Sulphuric Acid freights'!$D$3:$D$513=D248)*('Sulphuric Acid freights'!$P$3:$P$513))/SUMPRODUCT(('Sulphuric Acid freights'!$B$3:$B$513=B258)*('Sulphuric Acid freights'!$D$3:$D$513=D248)*1), AVERAGE('Sulphuric Acid freights'!$P$3:$P$513))*2/3</f>
        <v>36.666666666666664</v>
      </c>
      <c r="M248" s="78" cm="1">
        <f t="array" ref="M248">IFERROR(SUMPRODUCT(('Sulphuric Acid freights'!$B$3:$B$513=B258)*('Sulphuric Acid freights'!$D$3:$D$513=D248)*('Sulphuric Acid freights'!$M$3:$M$513))/SUMPRODUCT(('Sulphuric Acid freights'!$B$3:$B$513=B258)*('Sulphuric Acid freights'!$D$3:$D$513=D248)*1)*2/3, AVERAGE('Sulphuric Acid freights'!$M$3:$M$513))</f>
        <v>12</v>
      </c>
      <c r="N248" s="78">
        <f t="shared" si="52"/>
        <v>33</v>
      </c>
      <c r="O248" s="78" cm="1">
        <f t="array" ref="O248">IF(SUMPRODUCT(('Sulphur freight'!$B$3:$B$1976=B258)*('Sulphur freight'!$D$3:$D$1976=D248)*('Sulphur freight'!$G$3:$G$1976))/SUMPRODUCT(('Sulphur freight'!$B$3:$B$1976=B258)*('Sulphur freight'!$D$3:$D$1976=D248)*1)=0, AVERAGE('Sulphur freight'!$G$3:$G$1976),SUMPRODUCT(('Sulphur freight'!$B$3:$B$1976=B258)*('Sulphur freight'!$D$3:$D$1976=D248)*('Sulphur freight'!$G$3:$G$1976))/SUMPRODUCT(('Sulphur freight'!$B$3:$B$1976=B258)*('Sulphur freight'!$D$3:$D$1976=D248)*1))</f>
        <v>18</v>
      </c>
      <c r="P248" s="78">
        <v>20</v>
      </c>
      <c r="R248" s="78" t="str">
        <f t="shared" si="53"/>
        <v xml:space="preserve"> </v>
      </c>
      <c r="S248" s="78">
        <f t="shared" si="54"/>
        <v>25.25</v>
      </c>
      <c r="T248" s="78">
        <f t="shared" si="49"/>
        <v>23.666666666666664</v>
      </c>
      <c r="U248" s="78" t="str">
        <f t="shared" si="55"/>
        <v/>
      </c>
      <c r="V248" s="78">
        <f>IFERROR(I248+O248, "")</f>
        <v>81</v>
      </c>
      <c r="W248" s="78">
        <f t="shared" si="56"/>
        <v>83</v>
      </c>
      <c r="X248" s="78">
        <f t="shared" si="57"/>
        <v>44.730000000000004</v>
      </c>
      <c r="Y248" s="78">
        <f t="shared" si="58"/>
        <v>45.39</v>
      </c>
      <c r="AA248" s="88" t="str">
        <f t="shared" si="59"/>
        <v/>
      </c>
      <c r="AB248" s="77" t="str">
        <f t="shared" si="50"/>
        <v/>
      </c>
      <c r="AD248" s="88" t="str">
        <f t="shared" si="60"/>
        <v/>
      </c>
      <c r="AE248" s="77" t="str">
        <f t="shared" si="51"/>
        <v/>
      </c>
    </row>
    <row r="249" spans="2:31" x14ac:dyDescent="0.35">
      <c r="B249">
        <v>2019</v>
      </c>
      <c r="C249">
        <v>4</v>
      </c>
      <c r="D249">
        <v>10</v>
      </c>
      <c r="E249" s="78">
        <f>'CRU historical'!F226</f>
        <v>-10.4</v>
      </c>
      <c r="F249" s="78">
        <f>'CRU historical'!I226</f>
        <v>16.8</v>
      </c>
      <c r="G249" s="78" t="str">
        <f>'CRU historical'!L226</f>
        <v xml:space="preserve"> </v>
      </c>
      <c r="H249" s="78" t="str">
        <f>'CRU historical'!O226</f>
        <v xml:space="preserve"> </v>
      </c>
      <c r="I249" s="78">
        <f>'CRU historical'!R226</f>
        <v>70.8</v>
      </c>
      <c r="J249" s="78">
        <f>AVERAGE('CRU historical'!U226, 'CRU historical'!X226, 'CRU historical'!AA226, 'CRU historical'!AD226)</f>
        <v>66.599999999999994</v>
      </c>
      <c r="L249" s="78" cm="1">
        <f t="array" ref="L249">IFERROR(SUMPRODUCT(('Sulphuric Acid freights'!$B$3:$B$513=B259)*('Sulphuric Acid freights'!$D$3:$D$513=D249)*('Sulphuric Acid freights'!$P$3:$P$513))/SUMPRODUCT(('Sulphuric Acid freights'!$B$3:$B$513=B259)*('Sulphuric Acid freights'!$D$3:$D$513=D249)*1), AVERAGE('Sulphuric Acid freights'!$P$3:$P$513))*2/3</f>
        <v>36.93333333333333</v>
      </c>
      <c r="M249" s="78" cm="1">
        <f t="array" ref="M249">IFERROR(SUMPRODUCT(('Sulphuric Acid freights'!$B$3:$B$513=B259)*('Sulphuric Acid freights'!$D$3:$D$513=D249)*('Sulphuric Acid freights'!$M$3:$M$513))/SUMPRODUCT(('Sulphuric Acid freights'!$B$3:$B$513=B259)*('Sulphuric Acid freights'!$D$3:$D$513=D249)*1)*2/3, AVERAGE('Sulphuric Acid freights'!$M$3:$M$513))</f>
        <v>12</v>
      </c>
      <c r="N249" s="78">
        <f t="shared" si="52"/>
        <v>33.239999999999995</v>
      </c>
      <c r="O249" s="78" cm="1">
        <f t="array" ref="O249">IF(SUMPRODUCT(('Sulphur freight'!$B$3:$B$1976=B259)*('Sulphur freight'!$D$3:$D$1976=D249)*('Sulphur freight'!$G$3:$G$1976))/SUMPRODUCT(('Sulphur freight'!$B$3:$B$1976=B259)*('Sulphur freight'!$D$3:$D$1976=D249)*1)=0, AVERAGE('Sulphur freight'!$G$3:$G$1976),SUMPRODUCT(('Sulphur freight'!$B$3:$B$1976=B259)*('Sulphur freight'!$D$3:$D$1976=D249)*('Sulphur freight'!$G$3:$G$1976))/SUMPRODUCT(('Sulphur freight'!$B$3:$B$1976=B259)*('Sulphur freight'!$D$3:$D$1976=D249)*1))</f>
        <v>18</v>
      </c>
      <c r="P249" s="78">
        <v>20</v>
      </c>
      <c r="R249" s="78" t="str">
        <f t="shared" si="53"/>
        <v xml:space="preserve"> </v>
      </c>
      <c r="S249" s="78">
        <f t="shared" si="54"/>
        <v>28.8</v>
      </c>
      <c r="T249" s="78">
        <f t="shared" si="49"/>
        <v>26.533333333333331</v>
      </c>
      <c r="U249" s="78" t="str">
        <f t="shared" si="55"/>
        <v/>
      </c>
      <c r="V249" s="78">
        <f>IFERROR(I249+O249, "")</f>
        <v>88.8</v>
      </c>
      <c r="W249" s="78">
        <f t="shared" si="56"/>
        <v>86.6</v>
      </c>
      <c r="X249" s="78">
        <f t="shared" si="57"/>
        <v>47.304000000000002</v>
      </c>
      <c r="Y249" s="78">
        <f t="shared" si="58"/>
        <v>46.578000000000003</v>
      </c>
      <c r="AA249" s="88" t="str">
        <f t="shared" si="59"/>
        <v/>
      </c>
      <c r="AB249" s="77" t="str">
        <f t="shared" si="50"/>
        <v/>
      </c>
      <c r="AD249" s="88" t="str">
        <f t="shared" si="60"/>
        <v/>
      </c>
      <c r="AE249" s="77" t="str">
        <f t="shared" si="51"/>
        <v/>
      </c>
    </row>
    <row r="250" spans="2:31" x14ac:dyDescent="0.35">
      <c r="B250">
        <v>2020</v>
      </c>
      <c r="C250">
        <v>4</v>
      </c>
      <c r="D250">
        <v>11</v>
      </c>
      <c r="E250" s="78">
        <f>'CRU historical'!F227</f>
        <v>-5</v>
      </c>
      <c r="F250" s="78">
        <f>'CRU historical'!I227</f>
        <v>20</v>
      </c>
      <c r="G250" s="78" t="str">
        <f>'CRU historical'!L227</f>
        <v xml:space="preserve"> </v>
      </c>
      <c r="H250" s="78" t="str">
        <f>'CRU historical'!O227</f>
        <v xml:space="preserve"> </v>
      </c>
      <c r="I250" s="78">
        <f>'CRU historical'!R227</f>
        <v>77.25</v>
      </c>
      <c r="J250" s="78">
        <f>AVERAGE('CRU historical'!U227, 'CRU historical'!X227, 'CRU historical'!AA227, 'CRU historical'!AD227)</f>
        <v>69</v>
      </c>
      <c r="L250" s="78" cm="1">
        <f t="array" ref="L250">IFERROR(SUMPRODUCT(('Sulphuric Acid freights'!$B$3:$B$513=B260)*('Sulphuric Acid freights'!$D$3:$D$513=D250)*('Sulphuric Acid freights'!$P$3:$P$513))/SUMPRODUCT(('Sulphuric Acid freights'!$B$3:$B$513=B260)*('Sulphuric Acid freights'!$D$3:$D$513=D250)*1), AVERAGE('Sulphuric Acid freights'!$P$3:$P$513))*2/3</f>
        <v>37.666666666666664</v>
      </c>
      <c r="M250" s="78" cm="1">
        <f t="array" ref="M250">IFERROR(SUMPRODUCT(('Sulphuric Acid freights'!$B$3:$B$513=B260)*('Sulphuric Acid freights'!$D$3:$D$513=D250)*('Sulphuric Acid freights'!$M$3:$M$513))/SUMPRODUCT(('Sulphuric Acid freights'!$B$3:$B$513=B260)*('Sulphuric Acid freights'!$D$3:$D$513=D250)*1)*2/3, AVERAGE('Sulphuric Acid freights'!$M$3:$M$513))</f>
        <v>12</v>
      </c>
      <c r="N250" s="78">
        <f t="shared" si="52"/>
        <v>33.9</v>
      </c>
      <c r="O250" s="78" cm="1">
        <f t="array" ref="O250">IF(SUMPRODUCT(('Sulphur freight'!$B$3:$B$1976=B260)*('Sulphur freight'!$D$3:$D$1976=D250)*('Sulphur freight'!$G$3:$G$1976))/SUMPRODUCT(('Sulphur freight'!$B$3:$B$1976=B260)*('Sulphur freight'!$D$3:$D$1976=D250)*1)=0, AVERAGE('Sulphur freight'!$G$3:$G$1976),SUMPRODUCT(('Sulphur freight'!$B$3:$B$1976=B260)*('Sulphur freight'!$D$3:$D$1976=D250)*('Sulphur freight'!$G$3:$G$1976))/SUMPRODUCT(('Sulphur freight'!$B$3:$B$1976=B260)*('Sulphur freight'!$D$3:$D$1976=D250)*1))</f>
        <v>18.75</v>
      </c>
      <c r="P250" s="78">
        <v>20</v>
      </c>
      <c r="R250" s="78" t="str">
        <f t="shared" si="53"/>
        <v xml:space="preserve"> </v>
      </c>
      <c r="S250" s="78">
        <f t="shared" si="54"/>
        <v>32</v>
      </c>
      <c r="T250" s="78">
        <f t="shared" si="49"/>
        <v>32.666666666666664</v>
      </c>
      <c r="U250" s="78" t="str">
        <f t="shared" si="55"/>
        <v/>
      </c>
      <c r="V250" s="78">
        <f>IFERROR(I250+O250, "")</f>
        <v>96</v>
      </c>
      <c r="W250" s="78">
        <f t="shared" si="56"/>
        <v>89</v>
      </c>
      <c r="X250" s="78">
        <f t="shared" si="57"/>
        <v>49.68</v>
      </c>
      <c r="Y250" s="78">
        <f t="shared" si="58"/>
        <v>47.370000000000005</v>
      </c>
      <c r="AA250" s="88" t="str">
        <f t="shared" si="59"/>
        <v/>
      </c>
      <c r="AB250" s="77" t="str">
        <f t="shared" si="50"/>
        <v/>
      </c>
      <c r="AD250" s="88" t="str">
        <f t="shared" si="60"/>
        <v/>
      </c>
      <c r="AE250" s="77" t="str">
        <f t="shared" si="51"/>
        <v/>
      </c>
    </row>
    <row r="251" spans="2:31" x14ac:dyDescent="0.35">
      <c r="B251">
        <v>2020</v>
      </c>
      <c r="C251">
        <v>4</v>
      </c>
      <c r="D251">
        <v>12</v>
      </c>
      <c r="E251" s="78">
        <f>'CRU historical'!F228</f>
        <v>0</v>
      </c>
      <c r="F251" s="78">
        <f>'CRU historical'!I228</f>
        <v>23.75</v>
      </c>
      <c r="G251" s="78" t="str">
        <f>'CRU historical'!L228</f>
        <v xml:space="preserve"> </v>
      </c>
      <c r="H251" s="78" t="str">
        <f>'CRU historical'!O228</f>
        <v xml:space="preserve"> </v>
      </c>
      <c r="I251" s="78">
        <f>'CRU historical'!R228</f>
        <v>91.25</v>
      </c>
      <c r="J251" s="78">
        <f>AVERAGE('CRU historical'!U228, 'CRU historical'!X228, 'CRU historical'!AA228, 'CRU historical'!AD228)</f>
        <v>69</v>
      </c>
      <c r="L251" s="78" cm="1">
        <f t="array" ref="L251">IFERROR(SUMPRODUCT(('Sulphuric Acid freights'!$B$3:$B$513=B261)*('Sulphuric Acid freights'!$D$3:$D$513=D251)*('Sulphuric Acid freights'!$P$3:$P$513))/SUMPRODUCT(('Sulphuric Acid freights'!$B$3:$B$513=B261)*('Sulphuric Acid freights'!$D$3:$D$513=D251)*1), AVERAGE('Sulphuric Acid freights'!$P$3:$P$513))*2/3</f>
        <v>30.133333333333336</v>
      </c>
      <c r="M251" s="78" cm="1">
        <f t="array" ref="M251">IFERROR(SUMPRODUCT(('Sulphuric Acid freights'!$B$3:$B$513=B261)*('Sulphuric Acid freights'!$D$3:$D$513=D251)*('Sulphuric Acid freights'!$M$3:$M$513))/SUMPRODUCT(('Sulphuric Acid freights'!$B$3:$B$513=B261)*('Sulphuric Acid freights'!$D$3:$D$513=D251)*1)*2/3, AVERAGE('Sulphuric Acid freights'!$M$3:$M$513))</f>
        <v>9.6</v>
      </c>
      <c r="N251" s="78">
        <f t="shared" si="52"/>
        <v>27.120000000000005</v>
      </c>
      <c r="O251" s="78" cm="1">
        <f t="array" ref="O251">IF(SUMPRODUCT(('Sulphur freight'!$B$3:$B$1976=B261)*('Sulphur freight'!$D$3:$D$1976=D251)*('Sulphur freight'!$G$3:$G$1976))/SUMPRODUCT(('Sulphur freight'!$B$3:$B$1976=B261)*('Sulphur freight'!$D$3:$D$1976=D251)*1)=0, AVERAGE('Sulphur freight'!$G$3:$G$1976),SUMPRODUCT(('Sulphur freight'!$B$3:$B$1976=B261)*('Sulphur freight'!$D$3:$D$1976=D251)*('Sulphur freight'!$G$3:$G$1976))/SUMPRODUCT(('Sulphur freight'!$B$3:$B$1976=B261)*('Sulphur freight'!$D$3:$D$1976=D251)*1))</f>
        <v>14.6</v>
      </c>
      <c r="P251" s="78">
        <v>20</v>
      </c>
      <c r="R251" s="78" t="str">
        <f t="shared" si="53"/>
        <v xml:space="preserve"> </v>
      </c>
      <c r="S251" s="78">
        <f t="shared" si="54"/>
        <v>33.35</v>
      </c>
      <c r="T251" s="78">
        <f t="shared" si="49"/>
        <v>30.133333333333336</v>
      </c>
      <c r="U251" s="78" t="str">
        <f t="shared" si="55"/>
        <v/>
      </c>
      <c r="V251" s="78">
        <f>IFERROR(I251+O251, "")</f>
        <v>105.85</v>
      </c>
      <c r="W251" s="78">
        <f t="shared" si="56"/>
        <v>89</v>
      </c>
      <c r="X251" s="78">
        <f t="shared" si="57"/>
        <v>52.930500000000002</v>
      </c>
      <c r="Y251" s="78">
        <f t="shared" si="58"/>
        <v>47.370000000000005</v>
      </c>
      <c r="AA251" s="88" t="str">
        <f t="shared" si="59"/>
        <v/>
      </c>
      <c r="AB251" s="77" t="str">
        <f t="shared" si="50"/>
        <v/>
      </c>
      <c r="AD251" s="88" t="str">
        <f t="shared" si="60"/>
        <v/>
      </c>
      <c r="AE251" s="77" t="str">
        <f t="shared" si="51"/>
        <v/>
      </c>
    </row>
    <row r="252" spans="2:31" x14ac:dyDescent="0.35">
      <c r="B252">
        <v>2020</v>
      </c>
      <c r="C252">
        <v>1</v>
      </c>
      <c r="D252">
        <v>1</v>
      </c>
      <c r="E252" s="78">
        <f>'CRU historical'!F229</f>
        <v>17</v>
      </c>
      <c r="F252" s="78">
        <f>'CRU historical'!I229</f>
        <v>32.5</v>
      </c>
      <c r="G252" s="78" t="str">
        <f>'CRU historical'!L229</f>
        <v xml:space="preserve"> </v>
      </c>
      <c r="H252" s="78" t="str">
        <f>'CRU historical'!O229</f>
        <v xml:space="preserve"> </v>
      </c>
      <c r="I252" s="78">
        <f>'CRU historical'!R229</f>
        <v>110.25</v>
      </c>
      <c r="J252" s="78">
        <f>AVERAGE('CRU historical'!U229, 'CRU historical'!X229, 'CRU historical'!AA229, 'CRU historical'!AD229)</f>
        <v>82.5</v>
      </c>
      <c r="L252" s="78" cm="1">
        <f t="array" ref="L252">IFERROR(SUMPRODUCT(('Sulphuric Acid freights'!$B$3:$B$513=B262)*('Sulphuric Acid freights'!$D$3:$D$513=D252)*('Sulphuric Acid freights'!$P$3:$P$513))/SUMPRODUCT(('Sulphuric Acid freights'!$B$3:$B$513=B262)*('Sulphuric Acid freights'!$D$3:$D$513=D252)*1), AVERAGE('Sulphuric Acid freights'!$P$3:$P$513))*2/3</f>
        <v>37</v>
      </c>
      <c r="M252" s="78" cm="1">
        <f t="array" ref="M252">IFERROR(SUMPRODUCT(('Sulphuric Acid freights'!$B$3:$B$513=B262)*('Sulphuric Acid freights'!$D$3:$D$513=D252)*('Sulphuric Acid freights'!$M$3:$M$513))/SUMPRODUCT(('Sulphuric Acid freights'!$B$3:$B$513=B262)*('Sulphuric Acid freights'!$D$3:$D$513=D252)*1)*2/3, AVERAGE('Sulphuric Acid freights'!$M$3:$M$513))</f>
        <v>12</v>
      </c>
      <c r="N252" s="78">
        <f t="shared" si="52"/>
        <v>33.300000000000004</v>
      </c>
      <c r="O252" s="78" cm="1">
        <f t="array" ref="O252">IF(SUMPRODUCT(('Sulphur freight'!$B$3:$B$1976=B262)*('Sulphur freight'!$D$3:$D$1976=D252)*('Sulphur freight'!$G$3:$G$1976))/SUMPRODUCT(('Sulphur freight'!$B$3:$B$1976=B262)*('Sulphur freight'!$D$3:$D$1976=D252)*1)=0, AVERAGE('Sulphur freight'!$G$3:$G$1976),SUMPRODUCT(('Sulphur freight'!$B$3:$B$1976=B262)*('Sulphur freight'!$D$3:$D$1976=D252)*('Sulphur freight'!$G$3:$G$1976))/SUMPRODUCT(('Sulphur freight'!$B$3:$B$1976=B262)*('Sulphur freight'!$D$3:$D$1976=D252)*1))</f>
        <v>22.5</v>
      </c>
      <c r="P252" s="78">
        <v>20</v>
      </c>
      <c r="R252" s="78" t="str">
        <f t="shared" si="53"/>
        <v xml:space="preserve"> </v>
      </c>
      <c r="S252" s="78">
        <f t="shared" si="54"/>
        <v>44.5</v>
      </c>
      <c r="T252" s="78">
        <f t="shared" si="49"/>
        <v>54</v>
      </c>
      <c r="U252" s="78" t="str">
        <f t="shared" si="55"/>
        <v/>
      </c>
      <c r="V252" s="78">
        <f>IFERROR(I252+O252, "")</f>
        <v>132.75</v>
      </c>
      <c r="W252" s="78">
        <f t="shared" si="56"/>
        <v>102.5</v>
      </c>
      <c r="X252" s="78">
        <f t="shared" si="57"/>
        <v>61.807500000000005</v>
      </c>
      <c r="Y252" s="78">
        <f t="shared" si="58"/>
        <v>51.825000000000003</v>
      </c>
      <c r="AA252" s="88" t="str">
        <f t="shared" si="59"/>
        <v/>
      </c>
      <c r="AB252" s="77" t="str">
        <f t="shared" si="50"/>
        <v/>
      </c>
      <c r="AD252" s="88" t="str">
        <f t="shared" si="60"/>
        <v/>
      </c>
      <c r="AE252" s="77" t="str">
        <f t="shared" si="51"/>
        <v/>
      </c>
    </row>
    <row r="253" spans="2:31" x14ac:dyDescent="0.35">
      <c r="B253">
        <v>2020</v>
      </c>
      <c r="C253">
        <v>1</v>
      </c>
      <c r="D253">
        <v>2</v>
      </c>
      <c r="E253" s="78">
        <f>'CRU historical'!F230</f>
        <v>30</v>
      </c>
      <c r="F253" s="78">
        <f>'CRU historical'!I230</f>
        <v>56.25</v>
      </c>
      <c r="G253" s="78" t="str">
        <f>'CRU historical'!L230</f>
        <v xml:space="preserve"> </v>
      </c>
      <c r="H253" s="78" t="str">
        <f>'CRU historical'!O230</f>
        <v xml:space="preserve"> </v>
      </c>
      <c r="I253" s="78">
        <f>'CRU historical'!R230</f>
        <v>152</v>
      </c>
      <c r="J253" s="78">
        <f>AVERAGE('CRU historical'!U230, 'CRU historical'!X230, 'CRU historical'!AA230, 'CRU historical'!AD230)</f>
        <v>87</v>
      </c>
      <c r="L253" s="78" cm="1">
        <f t="array" ref="L253">IFERROR(SUMPRODUCT(('Sulphuric Acid freights'!$B$3:$B$513=B263)*('Sulphuric Acid freights'!$D$3:$D$513=D253)*('Sulphuric Acid freights'!$P$3:$P$513))/SUMPRODUCT(('Sulphuric Acid freights'!$B$3:$B$513=B263)*('Sulphuric Acid freights'!$D$3:$D$513=D253)*1), AVERAGE('Sulphuric Acid freights'!$P$3:$P$513))*2/3</f>
        <v>37.166666666666664</v>
      </c>
      <c r="M253" s="78" cm="1">
        <f t="array" ref="M253">IFERROR(SUMPRODUCT(('Sulphuric Acid freights'!$B$3:$B$513=B263)*('Sulphuric Acid freights'!$D$3:$D$513=D253)*('Sulphuric Acid freights'!$M$3:$M$513))/SUMPRODUCT(('Sulphuric Acid freights'!$B$3:$B$513=B263)*('Sulphuric Acid freights'!$D$3:$D$513=D253)*1)*2/3, AVERAGE('Sulphuric Acid freights'!$M$3:$M$513))</f>
        <v>12</v>
      </c>
      <c r="N253" s="78">
        <f t="shared" si="52"/>
        <v>33.449999999999996</v>
      </c>
      <c r="O253" s="78" cm="1">
        <f t="array" ref="O253">IF(SUMPRODUCT(('Sulphur freight'!$B$3:$B$1976=B263)*('Sulphur freight'!$D$3:$D$1976=D253)*('Sulphur freight'!$G$3:$G$1976))/SUMPRODUCT(('Sulphur freight'!$B$3:$B$1976=B263)*('Sulphur freight'!$D$3:$D$1976=D253)*1)=0, AVERAGE('Sulphur freight'!$G$3:$G$1976),SUMPRODUCT(('Sulphur freight'!$B$3:$B$1976=B263)*('Sulphur freight'!$D$3:$D$1976=D253)*('Sulphur freight'!$G$3:$G$1976))/SUMPRODUCT(('Sulphur freight'!$B$3:$B$1976=B263)*('Sulphur freight'!$D$3:$D$1976=D253)*1))</f>
        <v>27.75</v>
      </c>
      <c r="P253" s="78">
        <v>20</v>
      </c>
      <c r="R253" s="78" t="str">
        <f t="shared" si="53"/>
        <v xml:space="preserve"> </v>
      </c>
      <c r="S253" s="78">
        <f t="shared" si="54"/>
        <v>68.25</v>
      </c>
      <c r="T253" s="78">
        <f t="shared" si="49"/>
        <v>67.166666666666657</v>
      </c>
      <c r="U253" s="78" t="str">
        <f t="shared" si="55"/>
        <v/>
      </c>
      <c r="V253" s="78">
        <f>IFERROR(I253+O253, "")</f>
        <v>179.75</v>
      </c>
      <c r="W253" s="78">
        <f t="shared" si="56"/>
        <v>107</v>
      </c>
      <c r="X253" s="78">
        <f t="shared" si="57"/>
        <v>77.317499999999995</v>
      </c>
      <c r="Y253" s="78">
        <f t="shared" si="58"/>
        <v>53.31</v>
      </c>
      <c r="AA253" s="88" t="str">
        <f t="shared" si="59"/>
        <v/>
      </c>
      <c r="AB253" s="77" t="str">
        <f t="shared" si="50"/>
        <v/>
      </c>
      <c r="AD253" s="88" t="str">
        <f t="shared" si="60"/>
        <v/>
      </c>
      <c r="AE253" s="77" t="str">
        <f t="shared" si="51"/>
        <v/>
      </c>
    </row>
    <row r="254" spans="2:31" x14ac:dyDescent="0.35">
      <c r="B254">
        <v>2020</v>
      </c>
      <c r="C254">
        <v>1</v>
      </c>
      <c r="D254">
        <v>3</v>
      </c>
      <c r="E254" s="78">
        <f>'CRU historical'!F231</f>
        <v>33.75</v>
      </c>
      <c r="F254" s="78">
        <f>'CRU historical'!I231</f>
        <v>84.5</v>
      </c>
      <c r="G254" s="78" t="str">
        <f>'CRU historical'!L231</f>
        <v xml:space="preserve"> </v>
      </c>
      <c r="H254" s="78" t="str">
        <f>'CRU historical'!O231</f>
        <v xml:space="preserve"> </v>
      </c>
      <c r="I254" s="78">
        <f>'CRU historical'!R231</f>
        <v>188.25</v>
      </c>
      <c r="J254" s="78">
        <f>AVERAGE('CRU historical'!U231, 'CRU historical'!X231, 'CRU historical'!AA231, 'CRU historical'!AD231)</f>
        <v>87</v>
      </c>
      <c r="L254" s="78" cm="1">
        <f t="array" ref="L254">IFERROR(SUMPRODUCT(('Sulphuric Acid freights'!$B$3:$B$513=B264)*('Sulphuric Acid freights'!$D$3:$D$513=D254)*('Sulphuric Acid freights'!$P$3:$P$513))/SUMPRODUCT(('Sulphuric Acid freights'!$B$3:$B$513=B264)*('Sulphuric Acid freights'!$D$3:$D$513=D254)*1), AVERAGE('Sulphuric Acid freights'!$P$3:$P$513))*2/3</f>
        <v>38.333333333333336</v>
      </c>
      <c r="M254" s="78" cm="1">
        <f t="array" ref="M254">IFERROR(SUMPRODUCT(('Sulphuric Acid freights'!$B$3:$B$513=B264)*('Sulphuric Acid freights'!$D$3:$D$513=D254)*('Sulphuric Acid freights'!$M$3:$M$513))/SUMPRODUCT(('Sulphuric Acid freights'!$B$3:$B$513=B264)*('Sulphuric Acid freights'!$D$3:$D$513=D254)*1)*2/3, AVERAGE('Sulphuric Acid freights'!$M$3:$M$513))</f>
        <v>12</v>
      </c>
      <c r="N254" s="78">
        <f t="shared" si="52"/>
        <v>34.5</v>
      </c>
      <c r="O254" s="78" cm="1">
        <f t="array" ref="O254">IF(SUMPRODUCT(('Sulphur freight'!$B$3:$B$1976=B264)*('Sulphur freight'!$D$3:$D$1976=D254)*('Sulphur freight'!$G$3:$G$1976))/SUMPRODUCT(('Sulphur freight'!$B$3:$B$1976=B264)*('Sulphur freight'!$D$3:$D$1976=D254)*1)=0, AVERAGE('Sulphur freight'!$G$3:$G$1976),SUMPRODUCT(('Sulphur freight'!$B$3:$B$1976=B264)*('Sulphur freight'!$D$3:$D$1976=D254)*('Sulphur freight'!$G$3:$G$1976))/SUMPRODUCT(('Sulphur freight'!$B$3:$B$1976=B264)*('Sulphur freight'!$D$3:$D$1976=D254)*1))</f>
        <v>34</v>
      </c>
      <c r="P254" s="78">
        <v>20</v>
      </c>
      <c r="R254" s="78" t="str">
        <f t="shared" si="53"/>
        <v xml:space="preserve"> </v>
      </c>
      <c r="S254" s="78">
        <f t="shared" si="54"/>
        <v>96.5</v>
      </c>
      <c r="T254" s="78">
        <f t="shared" si="49"/>
        <v>72.083333333333343</v>
      </c>
      <c r="U254" s="78" t="str">
        <f t="shared" si="55"/>
        <v/>
      </c>
      <c r="V254" s="78">
        <f>IFERROR(I254+O254, "")</f>
        <v>222.25</v>
      </c>
      <c r="W254" s="78">
        <f t="shared" si="56"/>
        <v>107</v>
      </c>
      <c r="X254" s="78">
        <f t="shared" si="57"/>
        <v>91.342500000000001</v>
      </c>
      <c r="Y254" s="78">
        <f t="shared" si="58"/>
        <v>53.31</v>
      </c>
      <c r="AA254" s="88" t="str">
        <f t="shared" si="59"/>
        <v/>
      </c>
      <c r="AB254" s="77" t="str">
        <f t="shared" si="50"/>
        <v/>
      </c>
      <c r="AD254" s="88" t="str">
        <f t="shared" si="60"/>
        <v/>
      </c>
      <c r="AE254" s="77" t="str">
        <f t="shared" si="51"/>
        <v/>
      </c>
    </row>
    <row r="255" spans="2:31" x14ac:dyDescent="0.35">
      <c r="B255">
        <v>2020</v>
      </c>
      <c r="C255">
        <v>2</v>
      </c>
      <c r="D255">
        <v>4</v>
      </c>
      <c r="E255" s="78">
        <f>'CRU historical'!F232</f>
        <v>48.4</v>
      </c>
      <c r="F255" s="78">
        <f>'CRU historical'!I232</f>
        <v>97</v>
      </c>
      <c r="G255" s="78">
        <f>'CRU historical'!L232</f>
        <v>87.75</v>
      </c>
      <c r="H255" s="78" t="str">
        <f>'CRU historical'!O232</f>
        <v xml:space="preserve"> </v>
      </c>
      <c r="I255" s="78">
        <f>'CRU historical'!R232</f>
        <v>185</v>
      </c>
      <c r="J255" s="78">
        <f>AVERAGE('CRU historical'!U232, 'CRU historical'!X232, 'CRU historical'!AA232, 'CRU historical'!AD232)</f>
        <v>133.80000000000001</v>
      </c>
      <c r="L255" s="78" cm="1">
        <f t="array" ref="L255">IFERROR(SUMPRODUCT(('Sulphuric Acid freights'!$B$3:$B$513=B265)*('Sulphuric Acid freights'!$D$3:$D$513=D255)*('Sulphuric Acid freights'!$P$3:$P$513))/SUMPRODUCT(('Sulphuric Acid freights'!$B$3:$B$513=B265)*('Sulphuric Acid freights'!$D$3:$D$513=D255)*1), AVERAGE('Sulphuric Acid freights'!$P$3:$P$513))*2/3</f>
        <v>41.866666666666667</v>
      </c>
      <c r="M255" s="78" cm="1">
        <f t="array" ref="M255">IFERROR(SUMPRODUCT(('Sulphuric Acid freights'!$B$3:$B$513=B265)*('Sulphuric Acid freights'!$D$3:$D$513=D255)*('Sulphuric Acid freights'!$M$3:$M$513))/SUMPRODUCT(('Sulphuric Acid freights'!$B$3:$B$513=B265)*('Sulphuric Acid freights'!$D$3:$D$513=D255)*1)*2/3, AVERAGE('Sulphuric Acid freights'!$M$3:$M$513))</f>
        <v>11.466666666666667</v>
      </c>
      <c r="N255" s="78">
        <f t="shared" si="52"/>
        <v>37.68</v>
      </c>
      <c r="O255" s="78" cm="1">
        <f t="array" ref="O255">IF(SUMPRODUCT(('Sulphur freight'!$B$3:$B$1976=B265)*('Sulphur freight'!$D$3:$D$1976=D255)*('Sulphur freight'!$G$3:$G$1976))/SUMPRODUCT(('Sulphur freight'!$B$3:$B$1976=B265)*('Sulphur freight'!$D$3:$D$1976=D255)*1)=0, AVERAGE('Sulphur freight'!$G$3:$G$1976),SUMPRODUCT(('Sulphur freight'!$B$3:$B$1976=B265)*('Sulphur freight'!$D$3:$D$1976=D255)*('Sulphur freight'!$G$3:$G$1976))/SUMPRODUCT(('Sulphur freight'!$B$3:$B$1976=B265)*('Sulphur freight'!$D$3:$D$1976=D255)*1))</f>
        <v>37.200000000000003</v>
      </c>
      <c r="P255" s="78">
        <v>20</v>
      </c>
      <c r="R255" s="78" t="str">
        <f t="shared" si="53"/>
        <v xml:space="preserve"> </v>
      </c>
      <c r="S255" s="78">
        <f t="shared" si="54"/>
        <v>108.46666666666667</v>
      </c>
      <c r="T255" s="78">
        <f t="shared" si="49"/>
        <v>90.266666666666666</v>
      </c>
      <c r="U255" s="78">
        <f t="shared" si="55"/>
        <v>125.43</v>
      </c>
      <c r="V255" s="78">
        <f>IFERROR(I255+O255, "")</f>
        <v>222.2</v>
      </c>
      <c r="W255" s="78">
        <f t="shared" si="56"/>
        <v>153.80000000000001</v>
      </c>
      <c r="X255" s="78">
        <f t="shared" si="57"/>
        <v>91.325999999999993</v>
      </c>
      <c r="Y255" s="78">
        <f t="shared" si="58"/>
        <v>68.754000000000005</v>
      </c>
      <c r="AA255" s="88">
        <f t="shared" si="59"/>
        <v>108.09566666666666</v>
      </c>
      <c r="AB255" s="77">
        <f t="shared" si="50"/>
        <v>-16.769666666666666</v>
      </c>
      <c r="AD255" s="88">
        <f t="shared" si="60"/>
        <v>68.754000000000005</v>
      </c>
      <c r="AE255" s="77">
        <f>IF(AD255="", "", MAX(AA255, AB255)-AD255)</f>
        <v>39.341666666666654</v>
      </c>
    </row>
    <row r="256" spans="2:31" x14ac:dyDescent="0.35">
      <c r="B256">
        <v>2020</v>
      </c>
      <c r="C256">
        <v>2</v>
      </c>
      <c r="D256">
        <v>5</v>
      </c>
      <c r="E256" s="78">
        <f>'CRU historical'!F233</f>
        <v>52</v>
      </c>
      <c r="F256" s="78">
        <f>'CRU historical'!I233</f>
        <v>113.75</v>
      </c>
      <c r="G256" s="78">
        <f>'CRU historical'!L233</f>
        <v>95</v>
      </c>
      <c r="H256" s="78" t="str">
        <f>'CRU historical'!O233</f>
        <v xml:space="preserve"> </v>
      </c>
      <c r="I256" s="78">
        <f>'CRU historical'!R233</f>
        <v>185</v>
      </c>
      <c r="J256" s="78">
        <f>AVERAGE('CRU historical'!U233, 'CRU historical'!X233, 'CRU historical'!AA233, 'CRU historical'!AD233)</f>
        <v>204</v>
      </c>
      <c r="L256" s="78" cm="1">
        <f t="array" ref="L256">IFERROR(SUMPRODUCT(('Sulphuric Acid freights'!$B$3:$B$513=B266)*('Sulphuric Acid freights'!$D$3:$D$513=D256)*('Sulphuric Acid freights'!$P$3:$P$513))/SUMPRODUCT(('Sulphuric Acid freights'!$B$3:$B$513=B266)*('Sulphuric Acid freights'!$D$3:$D$513=D256)*1), AVERAGE('Sulphuric Acid freights'!$P$3:$P$513))*2/3</f>
        <v>45.166666666666664</v>
      </c>
      <c r="M256" s="78" cm="1">
        <f t="array" ref="M256">IFERROR(SUMPRODUCT(('Sulphuric Acid freights'!$B$3:$B$513=B266)*('Sulphuric Acid freights'!$D$3:$D$513=D256)*('Sulphuric Acid freights'!$M$3:$M$513))/SUMPRODUCT(('Sulphuric Acid freights'!$B$3:$B$513=B266)*('Sulphuric Acid freights'!$D$3:$D$513=D256)*1)*2/3, AVERAGE('Sulphuric Acid freights'!$M$3:$M$513))</f>
        <v>10.666666666666666</v>
      </c>
      <c r="N256" s="78">
        <f t="shared" si="52"/>
        <v>40.65</v>
      </c>
      <c r="O256" s="78" cm="1">
        <f t="array" ref="O256">IF(SUMPRODUCT(('Sulphur freight'!$B$3:$B$1976=B266)*('Sulphur freight'!$D$3:$D$1976=D256)*('Sulphur freight'!$G$3:$G$1976))/SUMPRODUCT(('Sulphur freight'!$B$3:$B$1976=B266)*('Sulphur freight'!$D$3:$D$1976=D256)*1)=0, AVERAGE('Sulphur freight'!$G$3:$G$1976),SUMPRODUCT(('Sulphur freight'!$B$3:$B$1976=B266)*('Sulphur freight'!$D$3:$D$1976=D256)*('Sulphur freight'!$G$3:$G$1976))/SUMPRODUCT(('Sulphur freight'!$B$3:$B$1976=B266)*('Sulphur freight'!$D$3:$D$1976=D256)*1))</f>
        <v>42</v>
      </c>
      <c r="P256" s="78">
        <v>20</v>
      </c>
      <c r="R256" s="78" t="str">
        <f t="shared" si="53"/>
        <v xml:space="preserve"> </v>
      </c>
      <c r="S256" s="78">
        <f t="shared" si="54"/>
        <v>124.41666666666667</v>
      </c>
      <c r="T256" s="78">
        <f t="shared" si="49"/>
        <v>97.166666666666657</v>
      </c>
      <c r="U256" s="78">
        <f t="shared" si="55"/>
        <v>135.65</v>
      </c>
      <c r="V256" s="78">
        <f>IFERROR(I256+O256, "")</f>
        <v>227</v>
      </c>
      <c r="W256" s="78">
        <f t="shared" si="56"/>
        <v>224</v>
      </c>
      <c r="X256" s="78">
        <f t="shared" si="57"/>
        <v>92.91</v>
      </c>
      <c r="Y256" s="78">
        <f t="shared" si="58"/>
        <v>91.92</v>
      </c>
      <c r="AA256" s="88">
        <f t="shared" si="59"/>
        <v>119.61166666666668</v>
      </c>
      <c r="AB256" s="77">
        <f t="shared" si="50"/>
        <v>-26.701666666666682</v>
      </c>
      <c r="AD256" s="88">
        <f t="shared" si="60"/>
        <v>91.92</v>
      </c>
      <c r="AE256" s="77">
        <f t="shared" ref="AE256:AE285" si="61">IF(AD256="", "", MAX(AA256, AB256)-AD256)</f>
        <v>27.691666666666677</v>
      </c>
    </row>
    <row r="257" spans="2:31" x14ac:dyDescent="0.35">
      <c r="B257">
        <v>2020</v>
      </c>
      <c r="C257">
        <v>2</v>
      </c>
      <c r="D257">
        <v>6</v>
      </c>
      <c r="E257" s="78">
        <f>'CRU historical'!F234</f>
        <v>60.5</v>
      </c>
      <c r="F257" s="78">
        <f>'CRU historical'!I234</f>
        <v>132.5</v>
      </c>
      <c r="G257" s="78">
        <f>'CRU historical'!L234</f>
        <v>117.5</v>
      </c>
      <c r="H257" s="78" t="str">
        <f>'CRU historical'!O234</f>
        <v xml:space="preserve"> </v>
      </c>
      <c r="I257" s="78">
        <f>'CRU historical'!R234</f>
        <v>186</v>
      </c>
      <c r="J257" s="78">
        <f>AVERAGE('CRU historical'!U234, 'CRU historical'!X234, 'CRU historical'!AA234, 'CRU historical'!AD234)</f>
        <v>204</v>
      </c>
      <c r="L257" s="78" cm="1">
        <f t="array" ref="L257">IFERROR(SUMPRODUCT(('Sulphuric Acid freights'!$B$3:$B$513=B267)*('Sulphuric Acid freights'!$D$3:$D$513=D257)*('Sulphuric Acid freights'!$P$3:$P$513))/SUMPRODUCT(('Sulphuric Acid freights'!$B$3:$B$513=B267)*('Sulphuric Acid freights'!$D$3:$D$513=D257)*1), AVERAGE('Sulphuric Acid freights'!$P$3:$P$513))*2/3</f>
        <v>45.333333333333336</v>
      </c>
      <c r="M257" s="78" cm="1">
        <f t="array" ref="M257">IFERROR(SUMPRODUCT(('Sulphuric Acid freights'!$B$3:$B$513=B267)*('Sulphuric Acid freights'!$D$3:$D$513=D257)*('Sulphuric Acid freights'!$M$3:$M$513))/SUMPRODUCT(('Sulphuric Acid freights'!$B$3:$B$513=B267)*('Sulphuric Acid freights'!$D$3:$D$513=D257)*1)*2/3, AVERAGE('Sulphuric Acid freights'!$M$3:$M$513))</f>
        <v>10.666666666666666</v>
      </c>
      <c r="N257" s="78">
        <f t="shared" si="52"/>
        <v>40.800000000000004</v>
      </c>
      <c r="O257" s="78" cm="1">
        <f t="array" ref="O257">IF(SUMPRODUCT(('Sulphur freight'!$B$3:$B$1976=B267)*('Sulphur freight'!$D$3:$D$1976=D257)*('Sulphur freight'!$G$3:$G$1976))/SUMPRODUCT(('Sulphur freight'!$B$3:$B$1976=B267)*('Sulphur freight'!$D$3:$D$1976=D257)*1)=0, AVERAGE('Sulphur freight'!$G$3:$G$1976),SUMPRODUCT(('Sulphur freight'!$B$3:$B$1976=B267)*('Sulphur freight'!$D$3:$D$1976=D257)*('Sulphur freight'!$G$3:$G$1976))/SUMPRODUCT(('Sulphur freight'!$B$3:$B$1976=B267)*('Sulphur freight'!$D$3:$D$1976=D257)*1))</f>
        <v>46.75</v>
      </c>
      <c r="P257" s="78">
        <v>20</v>
      </c>
      <c r="R257" s="78" t="str">
        <f t="shared" si="53"/>
        <v xml:space="preserve"> </v>
      </c>
      <c r="S257" s="78">
        <f t="shared" si="54"/>
        <v>143.16666666666666</v>
      </c>
      <c r="T257" s="78">
        <f t="shared" si="49"/>
        <v>105.83333333333334</v>
      </c>
      <c r="U257" s="78">
        <f t="shared" si="55"/>
        <v>158.30000000000001</v>
      </c>
      <c r="V257" s="78">
        <f>IFERROR(I257+O257, "")</f>
        <v>232.75</v>
      </c>
      <c r="W257" s="78">
        <f t="shared" si="56"/>
        <v>224</v>
      </c>
      <c r="X257" s="78">
        <f t="shared" si="57"/>
        <v>94.807500000000005</v>
      </c>
      <c r="Y257" s="78">
        <f t="shared" si="58"/>
        <v>91.92</v>
      </c>
      <c r="AA257" s="88">
        <f t="shared" si="59"/>
        <v>136.50666666666666</v>
      </c>
      <c r="AB257" s="77">
        <f t="shared" si="50"/>
        <v>-41.699166666666656</v>
      </c>
      <c r="AD257" s="88">
        <f t="shared" si="60"/>
        <v>91.92</v>
      </c>
      <c r="AE257" s="77">
        <f t="shared" si="61"/>
        <v>44.586666666666659</v>
      </c>
    </row>
    <row r="258" spans="2:31" x14ac:dyDescent="0.35">
      <c r="B258">
        <v>2020</v>
      </c>
      <c r="C258">
        <v>3</v>
      </c>
      <c r="D258">
        <v>7</v>
      </c>
      <c r="E258" s="78">
        <f>'CRU historical'!F235</f>
        <v>74.599999999999994</v>
      </c>
      <c r="F258" s="78">
        <f>'CRU historical'!I235</f>
        <v>160</v>
      </c>
      <c r="G258" s="78">
        <f>'CRU historical'!L235</f>
        <v>133</v>
      </c>
      <c r="H258" s="78" t="str">
        <f>'CRU historical'!O235</f>
        <v xml:space="preserve"> </v>
      </c>
      <c r="I258" s="78">
        <f>'CRU historical'!R235</f>
        <v>175.2</v>
      </c>
      <c r="J258" s="78">
        <f>AVERAGE('CRU historical'!U235, 'CRU historical'!X235, 'CRU historical'!AA235, 'CRU historical'!AD235)</f>
        <v>204</v>
      </c>
      <c r="L258" s="78" cm="1">
        <f t="array" ref="L258">IFERROR(SUMPRODUCT(('Sulphuric Acid freights'!$B$3:$B$513=B268)*('Sulphuric Acid freights'!$D$3:$D$513=D258)*('Sulphuric Acid freights'!$P$3:$P$513))/SUMPRODUCT(('Sulphuric Acid freights'!$B$3:$B$513=B268)*('Sulphuric Acid freights'!$D$3:$D$513=D258)*1), AVERAGE('Sulphuric Acid freights'!$P$3:$P$513))*2/3</f>
        <v>46.933333333333337</v>
      </c>
      <c r="M258" s="78" cm="1">
        <f t="array" ref="M258">IFERROR(SUMPRODUCT(('Sulphuric Acid freights'!$B$3:$B$513=B268)*('Sulphuric Acid freights'!$D$3:$D$513=D258)*('Sulphuric Acid freights'!$M$3:$M$513))/SUMPRODUCT(('Sulphuric Acid freights'!$B$3:$B$513=B268)*('Sulphuric Acid freights'!$D$3:$D$513=D258)*1)*2/3, AVERAGE('Sulphuric Acid freights'!$M$3:$M$513))</f>
        <v>10.666666666666666</v>
      </c>
      <c r="N258" s="78">
        <f t="shared" si="52"/>
        <v>42.24</v>
      </c>
      <c r="O258" s="78" cm="1">
        <f t="array" ref="O258">IF(SUMPRODUCT(('Sulphur freight'!$B$3:$B$1976=B268)*('Sulphur freight'!$D$3:$D$1976=D258)*('Sulphur freight'!$G$3:$G$1976))/SUMPRODUCT(('Sulphur freight'!$B$3:$B$1976=B268)*('Sulphur freight'!$D$3:$D$1976=D258)*1)=0, AVERAGE('Sulphur freight'!$G$3:$G$1976),SUMPRODUCT(('Sulphur freight'!$B$3:$B$1976=B268)*('Sulphur freight'!$D$3:$D$1976=D258)*('Sulphur freight'!$G$3:$G$1976))/SUMPRODUCT(('Sulphur freight'!$B$3:$B$1976=B268)*('Sulphur freight'!$D$3:$D$1976=D258)*1))</f>
        <v>54.6</v>
      </c>
      <c r="P258" s="78">
        <v>20</v>
      </c>
      <c r="R258" s="78" t="str">
        <f t="shared" si="53"/>
        <v xml:space="preserve"> </v>
      </c>
      <c r="S258" s="78">
        <f t="shared" si="54"/>
        <v>170.66666666666666</v>
      </c>
      <c r="T258" s="78">
        <f t="shared" si="49"/>
        <v>121.53333333333333</v>
      </c>
      <c r="U258" s="78">
        <f t="shared" si="55"/>
        <v>175.24</v>
      </c>
      <c r="V258" s="78">
        <f>IFERROR(I258+O258, "")</f>
        <v>229.79999999999998</v>
      </c>
      <c r="W258" s="78">
        <f t="shared" si="56"/>
        <v>224</v>
      </c>
      <c r="X258" s="78">
        <f t="shared" si="57"/>
        <v>93.834000000000003</v>
      </c>
      <c r="Y258" s="78">
        <f t="shared" si="58"/>
        <v>91.92</v>
      </c>
      <c r="AA258" s="88">
        <f t="shared" si="59"/>
        <v>157.29866666666666</v>
      </c>
      <c r="AB258" s="77">
        <f t="shared" si="50"/>
        <v>-63.464666666666659</v>
      </c>
      <c r="AD258" s="88">
        <f t="shared" si="60"/>
        <v>91.92</v>
      </c>
      <c r="AE258" s="77">
        <f t="shared" si="61"/>
        <v>65.37866666666666</v>
      </c>
    </row>
    <row r="259" spans="2:31" x14ac:dyDescent="0.35">
      <c r="B259">
        <v>2020</v>
      </c>
      <c r="C259">
        <v>3</v>
      </c>
      <c r="D259">
        <v>8</v>
      </c>
      <c r="E259" s="78">
        <f>'CRU historical'!F236</f>
        <v>80</v>
      </c>
      <c r="F259" s="78">
        <f>'CRU historical'!I236</f>
        <v>182.5</v>
      </c>
      <c r="G259" s="78">
        <f>'CRU historical'!L236</f>
        <v>139</v>
      </c>
      <c r="H259" s="78" t="str">
        <f>'CRU historical'!O236</f>
        <v xml:space="preserve"> </v>
      </c>
      <c r="I259" s="78">
        <f>'CRU historical'!R236</f>
        <v>169.75</v>
      </c>
      <c r="J259" s="78">
        <f>AVERAGE('CRU historical'!U236, 'CRU historical'!X236, 'CRU historical'!AA236, 'CRU historical'!AD236)</f>
        <v>201</v>
      </c>
      <c r="L259" s="78" cm="1">
        <f t="array" ref="L259">IFERROR(SUMPRODUCT(('Sulphuric Acid freights'!$B$3:$B$513=B269)*('Sulphuric Acid freights'!$D$3:$D$513=D259)*('Sulphuric Acid freights'!$P$3:$P$513))/SUMPRODUCT(('Sulphuric Acid freights'!$B$3:$B$513=B269)*('Sulphuric Acid freights'!$D$3:$D$513=D259)*1), AVERAGE('Sulphuric Acid freights'!$P$3:$P$513))*2/3</f>
        <v>53.333333333333336</v>
      </c>
      <c r="M259" s="78" cm="1">
        <f t="array" ref="M259">IFERROR(SUMPRODUCT(('Sulphuric Acid freights'!$B$3:$B$513=B269)*('Sulphuric Acid freights'!$D$3:$D$513=D259)*('Sulphuric Acid freights'!$M$3:$M$513))/SUMPRODUCT(('Sulphuric Acid freights'!$B$3:$B$513=B269)*('Sulphuric Acid freights'!$D$3:$D$513=D259)*1)*2/3, AVERAGE('Sulphuric Acid freights'!$M$3:$M$513))</f>
        <v>10</v>
      </c>
      <c r="N259" s="78">
        <f t="shared" si="52"/>
        <v>48</v>
      </c>
      <c r="O259" s="78" cm="1">
        <f t="array" ref="O259">IF(SUMPRODUCT(('Sulphur freight'!$B$3:$B$1976=B269)*('Sulphur freight'!$D$3:$D$1976=D259)*('Sulphur freight'!$G$3:$G$1976))/SUMPRODUCT(('Sulphur freight'!$B$3:$B$1976=B269)*('Sulphur freight'!$D$3:$D$1976=D259)*1)=0, AVERAGE('Sulphur freight'!$G$3:$G$1976),SUMPRODUCT(('Sulphur freight'!$B$3:$B$1976=B269)*('Sulphur freight'!$D$3:$D$1976=D259)*('Sulphur freight'!$G$3:$G$1976))/SUMPRODUCT(('Sulphur freight'!$B$3:$B$1976=B269)*('Sulphur freight'!$D$3:$D$1976=D259)*1))</f>
        <v>58.25</v>
      </c>
      <c r="P259" s="78">
        <v>20</v>
      </c>
      <c r="R259" s="78" t="str">
        <f t="shared" si="53"/>
        <v xml:space="preserve"> </v>
      </c>
      <c r="S259" s="78">
        <f t="shared" si="54"/>
        <v>192.5</v>
      </c>
      <c r="T259" s="78">
        <f t="shared" si="49"/>
        <v>133.33333333333334</v>
      </c>
      <c r="U259" s="78">
        <f t="shared" si="55"/>
        <v>187</v>
      </c>
      <c r="V259" s="78">
        <f>IFERROR(I259+O259, "")</f>
        <v>228</v>
      </c>
      <c r="W259" s="78">
        <f t="shared" si="56"/>
        <v>221</v>
      </c>
      <c r="X259" s="78">
        <f t="shared" si="57"/>
        <v>93.240000000000009</v>
      </c>
      <c r="Y259" s="78">
        <f t="shared" si="58"/>
        <v>90.93</v>
      </c>
      <c r="AA259" s="88">
        <f t="shared" si="59"/>
        <v>173.1</v>
      </c>
      <c r="AB259" s="77">
        <f t="shared" si="50"/>
        <v>-79.859999999999985</v>
      </c>
      <c r="AD259" s="88">
        <f t="shared" si="60"/>
        <v>90.93</v>
      </c>
      <c r="AE259" s="77">
        <f t="shared" si="61"/>
        <v>82.169999999999987</v>
      </c>
    </row>
    <row r="260" spans="2:31" x14ac:dyDescent="0.35">
      <c r="B260">
        <v>2020</v>
      </c>
      <c r="C260">
        <v>3</v>
      </c>
      <c r="D260">
        <v>9</v>
      </c>
      <c r="E260" s="78">
        <f>'CRU historical'!F237</f>
        <v>90</v>
      </c>
      <c r="F260" s="78">
        <f>'CRU historical'!I237</f>
        <v>192</v>
      </c>
      <c r="G260" s="78">
        <f>'CRU historical'!L237</f>
        <v>163</v>
      </c>
      <c r="H260" s="78" t="str">
        <f>'CRU historical'!O237</f>
        <v xml:space="preserve"> </v>
      </c>
      <c r="I260" s="78">
        <f>'CRU historical'!R237</f>
        <v>181.6</v>
      </c>
      <c r="J260" s="78">
        <f>AVERAGE('CRU historical'!U237, 'CRU historical'!X237, 'CRU historical'!AA237, 'CRU historical'!AD237)</f>
        <v>201</v>
      </c>
      <c r="L260" s="78" cm="1">
        <f t="array" ref="L260">IFERROR(SUMPRODUCT(('Sulphuric Acid freights'!$B$3:$B$513=B270)*('Sulphuric Acid freights'!$D$3:$D$513=D260)*('Sulphuric Acid freights'!$P$3:$P$513))/SUMPRODUCT(('Sulphuric Acid freights'!$B$3:$B$513=B270)*('Sulphuric Acid freights'!$D$3:$D$513=D260)*1), AVERAGE('Sulphuric Acid freights'!$P$3:$P$513))*2/3</f>
        <v>54.666666666666664</v>
      </c>
      <c r="M260" s="78" cm="1">
        <f t="array" ref="M260">IFERROR(SUMPRODUCT(('Sulphuric Acid freights'!$B$3:$B$513=B270)*('Sulphuric Acid freights'!$D$3:$D$513=D260)*('Sulphuric Acid freights'!$M$3:$M$513))/SUMPRODUCT(('Sulphuric Acid freights'!$B$3:$B$513=B270)*('Sulphuric Acid freights'!$D$3:$D$513=D260)*1)*2/3, AVERAGE('Sulphuric Acid freights'!$M$3:$M$513))</f>
        <v>9.3333333333333339</v>
      </c>
      <c r="N260" s="78">
        <f t="shared" si="52"/>
        <v>49.199999999999996</v>
      </c>
      <c r="O260" s="78" cm="1">
        <f t="array" ref="O260">IF(SUMPRODUCT(('Sulphur freight'!$B$3:$B$1976=B270)*('Sulphur freight'!$D$3:$D$1976=D260)*('Sulphur freight'!$G$3:$G$1976))/SUMPRODUCT(('Sulphur freight'!$B$3:$B$1976=B270)*('Sulphur freight'!$D$3:$D$1976=D260)*1)=0, AVERAGE('Sulphur freight'!$G$3:$G$1976),SUMPRODUCT(('Sulphur freight'!$B$3:$B$1976=B270)*('Sulphur freight'!$D$3:$D$1976=D260)*('Sulphur freight'!$G$3:$G$1976))/SUMPRODUCT(('Sulphur freight'!$B$3:$B$1976=B270)*('Sulphur freight'!$D$3:$D$1976=D260)*1))</f>
        <v>56.8</v>
      </c>
      <c r="P260" s="78">
        <v>20</v>
      </c>
      <c r="R260" s="78" t="str">
        <f t="shared" si="53"/>
        <v xml:space="preserve"> </v>
      </c>
      <c r="S260" s="78">
        <f t="shared" si="54"/>
        <v>201.33333333333334</v>
      </c>
      <c r="T260" s="78">
        <f t="shared" si="49"/>
        <v>144.66666666666666</v>
      </c>
      <c r="U260" s="78">
        <f t="shared" si="55"/>
        <v>212.2</v>
      </c>
      <c r="V260" s="78">
        <f>IFERROR(I260+O260, "")</f>
        <v>238.39999999999998</v>
      </c>
      <c r="W260" s="78">
        <f t="shared" si="56"/>
        <v>221</v>
      </c>
      <c r="X260" s="78">
        <f t="shared" si="57"/>
        <v>96.671999999999997</v>
      </c>
      <c r="Y260" s="78">
        <f t="shared" si="58"/>
        <v>90.93</v>
      </c>
      <c r="AA260" s="88">
        <f t="shared" si="59"/>
        <v>187.59333333333333</v>
      </c>
      <c r="AB260" s="77">
        <f t="shared" si="50"/>
        <v>-90.921333333333337</v>
      </c>
      <c r="AD260" s="88">
        <f t="shared" si="60"/>
        <v>90.93</v>
      </c>
      <c r="AE260" s="77">
        <f t="shared" si="61"/>
        <v>96.663333333333327</v>
      </c>
    </row>
    <row r="261" spans="2:31" x14ac:dyDescent="0.35">
      <c r="B261">
        <v>2020</v>
      </c>
      <c r="C261">
        <v>4</v>
      </c>
      <c r="D261">
        <v>10</v>
      </c>
      <c r="E261" s="78">
        <f>'CRU historical'!F238</f>
        <v>105</v>
      </c>
      <c r="F261" s="78">
        <f>'CRU historical'!I238</f>
        <v>200</v>
      </c>
      <c r="G261" s="78">
        <f>'CRU historical'!L238</f>
        <v>168</v>
      </c>
      <c r="H261" s="78" t="str">
        <f>'CRU historical'!O238</f>
        <v xml:space="preserve"> </v>
      </c>
      <c r="I261" s="78">
        <f>'CRU historical'!R238</f>
        <v>207.5</v>
      </c>
      <c r="J261" s="78">
        <f>AVERAGE('CRU historical'!U238, 'CRU historical'!X238, 'CRU historical'!AA238, 'CRU historical'!AD238)</f>
        <v>210</v>
      </c>
      <c r="L261" s="78" cm="1">
        <f t="array" ref="L261">IFERROR(SUMPRODUCT(('Sulphuric Acid freights'!$B$3:$B$513=B271)*('Sulphuric Acid freights'!$D$3:$D$513=D261)*('Sulphuric Acid freights'!$P$3:$P$513))/SUMPRODUCT(('Sulphuric Acid freights'!$B$3:$B$513=B271)*('Sulphuric Acid freights'!$D$3:$D$513=D261)*1), AVERAGE('Sulphuric Acid freights'!$P$3:$P$513))*2/3</f>
        <v>54.666666666666664</v>
      </c>
      <c r="M261" s="78" cm="1">
        <f t="array" ref="M261">IFERROR(SUMPRODUCT(('Sulphuric Acid freights'!$B$3:$B$513=B271)*('Sulphuric Acid freights'!$D$3:$D$513=D261)*('Sulphuric Acid freights'!$M$3:$M$513))/SUMPRODUCT(('Sulphuric Acid freights'!$B$3:$B$513=B271)*('Sulphuric Acid freights'!$D$3:$D$513=D261)*1)*2/3, AVERAGE('Sulphuric Acid freights'!$M$3:$M$513))</f>
        <v>10.333333333333334</v>
      </c>
      <c r="N261" s="78">
        <f t="shared" si="52"/>
        <v>49.199999999999996</v>
      </c>
      <c r="O261" s="78" cm="1">
        <f t="array" ref="O261">IF(SUMPRODUCT(('Sulphur freight'!$B$3:$B$1976=B271)*('Sulphur freight'!$D$3:$D$1976=D261)*('Sulphur freight'!$G$3:$G$1976))/SUMPRODUCT(('Sulphur freight'!$B$3:$B$1976=B271)*('Sulphur freight'!$D$3:$D$1976=D261)*1)=0, AVERAGE('Sulphur freight'!$G$3:$G$1976),SUMPRODUCT(('Sulphur freight'!$B$3:$B$1976=B271)*('Sulphur freight'!$D$3:$D$1976=D261)*('Sulphur freight'!$G$3:$G$1976))/SUMPRODUCT(('Sulphur freight'!$B$3:$B$1976=B271)*('Sulphur freight'!$D$3:$D$1976=D261)*1))</f>
        <v>52.5</v>
      </c>
      <c r="P261" s="78">
        <v>20</v>
      </c>
      <c r="R261" s="78" t="str">
        <f t="shared" si="53"/>
        <v xml:space="preserve"> </v>
      </c>
      <c r="S261" s="78">
        <f t="shared" si="54"/>
        <v>210.33333333333334</v>
      </c>
      <c r="T261" s="78">
        <f t="shared" si="49"/>
        <v>159.66666666666666</v>
      </c>
      <c r="U261" s="78">
        <f t="shared" si="55"/>
        <v>217.2</v>
      </c>
      <c r="V261" s="78">
        <f>IFERROR(I261+O261, "")</f>
        <v>260</v>
      </c>
      <c r="W261" s="78">
        <f t="shared" si="56"/>
        <v>230</v>
      </c>
      <c r="X261" s="78">
        <f t="shared" si="57"/>
        <v>103.8</v>
      </c>
      <c r="Y261" s="78">
        <f t="shared" si="58"/>
        <v>93.9</v>
      </c>
      <c r="AA261" s="88">
        <f t="shared" si="59"/>
        <v>197.19333333333333</v>
      </c>
      <c r="AB261" s="77">
        <f t="shared" si="50"/>
        <v>-93.393333333333331</v>
      </c>
      <c r="AD261" s="88">
        <f t="shared" si="60"/>
        <v>93.9</v>
      </c>
      <c r="AE261" s="77">
        <f t="shared" si="61"/>
        <v>103.29333333333332</v>
      </c>
    </row>
    <row r="262" spans="2:31" x14ac:dyDescent="0.35">
      <c r="B262">
        <v>2021</v>
      </c>
      <c r="C262">
        <v>4</v>
      </c>
      <c r="D262">
        <v>11</v>
      </c>
      <c r="E262" s="78">
        <f>'CRU historical'!F239</f>
        <v>105</v>
      </c>
      <c r="F262" s="78">
        <f>'CRU historical'!I239</f>
        <v>200</v>
      </c>
      <c r="G262" s="78">
        <f>'CRU historical'!L239</f>
        <v>158.75</v>
      </c>
      <c r="H262" s="78" t="str">
        <f>'CRU historical'!O239</f>
        <v xml:space="preserve"> </v>
      </c>
      <c r="I262" s="78">
        <f>'CRU historical'!R239</f>
        <v>245</v>
      </c>
      <c r="J262" s="78">
        <f>AVERAGE('CRU historical'!U239, 'CRU historical'!X239, 'CRU historical'!AA239, 'CRU historical'!AD239)</f>
        <v>213</v>
      </c>
      <c r="L262" s="78" cm="1">
        <f t="array" ref="L262">IFERROR(SUMPRODUCT(('Sulphuric Acid freights'!$B$3:$B$513=B272)*('Sulphuric Acid freights'!$D$3:$D$513=D262)*('Sulphuric Acid freights'!$P$3:$P$513))/SUMPRODUCT(('Sulphuric Acid freights'!$B$3:$B$513=B272)*('Sulphuric Acid freights'!$D$3:$D$513=D262)*1), AVERAGE('Sulphuric Acid freights'!$P$3:$P$513))*2/3</f>
        <v>56.666666666666664</v>
      </c>
      <c r="M262" s="78" cm="1">
        <f t="array" ref="M262">IFERROR(SUMPRODUCT(('Sulphuric Acid freights'!$B$3:$B$513=B272)*('Sulphuric Acid freights'!$D$3:$D$513=D262)*('Sulphuric Acid freights'!$M$3:$M$513))/SUMPRODUCT(('Sulphuric Acid freights'!$B$3:$B$513=B272)*('Sulphuric Acid freights'!$D$3:$D$513=D262)*1)*2/3, AVERAGE('Sulphuric Acid freights'!$M$3:$M$513))</f>
        <v>11.333333333333334</v>
      </c>
      <c r="N262" s="78">
        <f t="shared" si="52"/>
        <v>51</v>
      </c>
      <c r="O262" s="78" cm="1">
        <f t="array" ref="O262">IF(SUMPRODUCT(('Sulphur freight'!$B$3:$B$1976=B272)*('Sulphur freight'!$D$3:$D$1976=D262)*('Sulphur freight'!$G$3:$G$1976))/SUMPRODUCT(('Sulphur freight'!$B$3:$B$1976=B272)*('Sulphur freight'!$D$3:$D$1976=D262)*1)=0, AVERAGE('Sulphur freight'!$G$3:$G$1976),SUMPRODUCT(('Sulphur freight'!$B$3:$B$1976=B272)*('Sulphur freight'!$D$3:$D$1976=D262)*('Sulphur freight'!$G$3:$G$1976))/SUMPRODUCT(('Sulphur freight'!$B$3:$B$1976=B272)*('Sulphur freight'!$D$3:$D$1976=D262)*1))</f>
        <v>38.75</v>
      </c>
      <c r="P262" s="78">
        <v>20</v>
      </c>
      <c r="R262" s="78" t="str">
        <f t="shared" si="53"/>
        <v xml:space="preserve"> </v>
      </c>
      <c r="S262" s="78">
        <f t="shared" si="54"/>
        <v>211.33333333333334</v>
      </c>
      <c r="T262" s="78">
        <f t="shared" si="49"/>
        <v>161.66666666666666</v>
      </c>
      <c r="U262" s="78">
        <f t="shared" si="55"/>
        <v>209.75</v>
      </c>
      <c r="V262" s="78">
        <f>IFERROR(I262+O262, "")</f>
        <v>283.75</v>
      </c>
      <c r="W262" s="78">
        <f t="shared" si="56"/>
        <v>233</v>
      </c>
      <c r="X262" s="78">
        <f t="shared" si="57"/>
        <v>111.6375</v>
      </c>
      <c r="Y262" s="78">
        <f t="shared" si="58"/>
        <v>94.89</v>
      </c>
      <c r="AA262" s="88">
        <f t="shared" si="59"/>
        <v>195.95833333333331</v>
      </c>
      <c r="AB262" s="77">
        <f t="shared" si="50"/>
        <v>-84.320833333333312</v>
      </c>
      <c r="AD262" s="88">
        <f t="shared" si="60"/>
        <v>94.89</v>
      </c>
      <c r="AE262" s="77">
        <f t="shared" si="61"/>
        <v>101.06833333333331</v>
      </c>
    </row>
    <row r="263" spans="2:31" x14ac:dyDescent="0.35">
      <c r="B263">
        <v>2021</v>
      </c>
      <c r="C263">
        <v>4</v>
      </c>
      <c r="D263">
        <v>12</v>
      </c>
      <c r="E263" s="78">
        <f>'CRU historical'!F240</f>
        <v>103.5</v>
      </c>
      <c r="F263" s="78">
        <f>'CRU historical'!I240</f>
        <v>212.5</v>
      </c>
      <c r="G263" s="78">
        <f>'CRU historical'!L240</f>
        <v>141.25</v>
      </c>
      <c r="H263" s="78" t="str">
        <f>'CRU historical'!O240</f>
        <v xml:space="preserve"> </v>
      </c>
      <c r="I263" s="78">
        <f>'CRU historical'!R240</f>
        <v>273.25</v>
      </c>
      <c r="J263" s="78">
        <f>AVERAGE('CRU historical'!U240, 'CRU historical'!X240, 'CRU historical'!AA240, 'CRU historical'!AD240)</f>
        <v>213</v>
      </c>
      <c r="L263" s="78" cm="1">
        <f t="array" ref="L263">IFERROR(SUMPRODUCT(('Sulphuric Acid freights'!$B$3:$B$513=B273)*('Sulphuric Acid freights'!$D$3:$D$513=D263)*('Sulphuric Acid freights'!$P$3:$P$513))/SUMPRODUCT(('Sulphuric Acid freights'!$B$3:$B$513=B273)*('Sulphuric Acid freights'!$D$3:$D$513=D263)*1), AVERAGE('Sulphuric Acid freights'!$P$3:$P$513))*2/3</f>
        <v>50.133333333333333</v>
      </c>
      <c r="M263" s="78" cm="1">
        <f t="array" ref="M263">IFERROR(SUMPRODUCT(('Sulphuric Acid freights'!$B$3:$B$513=B273)*('Sulphuric Acid freights'!$D$3:$D$513=D263)*('Sulphuric Acid freights'!$M$3:$M$513))/SUMPRODUCT(('Sulphuric Acid freights'!$B$3:$B$513=B273)*('Sulphuric Acid freights'!$D$3:$D$513=D263)*1)*2/3, AVERAGE('Sulphuric Acid freights'!$M$3:$M$513))</f>
        <v>10.4</v>
      </c>
      <c r="N263" s="78">
        <f t="shared" si="52"/>
        <v>45.12</v>
      </c>
      <c r="O263" s="78" cm="1">
        <f t="array" ref="O263">IF(SUMPRODUCT(('Sulphur freight'!$B$3:$B$1976=B273)*('Sulphur freight'!$D$3:$D$1976=D263)*('Sulphur freight'!$G$3:$G$1976))/SUMPRODUCT(('Sulphur freight'!$B$3:$B$1976=B273)*('Sulphur freight'!$D$3:$D$1976=D263)*1)=0, AVERAGE('Sulphur freight'!$G$3:$G$1976),SUMPRODUCT(('Sulphur freight'!$B$3:$B$1976=B273)*('Sulphur freight'!$D$3:$D$1976=D263)*('Sulphur freight'!$G$3:$G$1976))/SUMPRODUCT(('Sulphur freight'!$B$3:$B$1976=B273)*('Sulphur freight'!$D$3:$D$1976=D263)*1))</f>
        <v>34</v>
      </c>
      <c r="P263" s="78">
        <v>20</v>
      </c>
      <c r="R263" s="78" t="str">
        <f t="shared" si="53"/>
        <v xml:space="preserve"> </v>
      </c>
      <c r="S263" s="78">
        <f t="shared" si="54"/>
        <v>222.9</v>
      </c>
      <c r="T263" s="78">
        <f t="shared" si="49"/>
        <v>153.63333333333333</v>
      </c>
      <c r="U263" s="78">
        <f t="shared" si="55"/>
        <v>186.37</v>
      </c>
      <c r="V263" s="78">
        <f>IFERROR(I263+O263, "")</f>
        <v>307.25</v>
      </c>
      <c r="W263" s="78">
        <f t="shared" si="56"/>
        <v>233</v>
      </c>
      <c r="X263" s="78">
        <f t="shared" si="57"/>
        <v>119.3925</v>
      </c>
      <c r="Y263" s="78">
        <f t="shared" si="58"/>
        <v>94.89</v>
      </c>
      <c r="AA263" s="88">
        <f t="shared" si="59"/>
        <v>191.161</v>
      </c>
      <c r="AB263" s="77">
        <f t="shared" si="50"/>
        <v>-71.768500000000003</v>
      </c>
      <c r="AD263" s="88">
        <f t="shared" si="60"/>
        <v>94.89</v>
      </c>
      <c r="AE263" s="77">
        <f t="shared" si="61"/>
        <v>96.271000000000001</v>
      </c>
    </row>
    <row r="264" spans="2:31" x14ac:dyDescent="0.35">
      <c r="B264">
        <v>2021</v>
      </c>
      <c r="C264">
        <v>1</v>
      </c>
      <c r="D264">
        <v>1</v>
      </c>
      <c r="E264" s="78">
        <f>'CRU historical'!F241</f>
        <v>87.25</v>
      </c>
      <c r="F264" s="78">
        <f>'CRU historical'!I241</f>
        <v>220</v>
      </c>
      <c r="G264" s="78">
        <f>'CRU historical'!L241</f>
        <v>140</v>
      </c>
      <c r="H264" s="78" t="str">
        <f>'CRU historical'!O241</f>
        <v xml:space="preserve"> </v>
      </c>
      <c r="I264" s="78">
        <f>'CRU historical'!R241</f>
        <v>303.75</v>
      </c>
      <c r="J264" s="78">
        <f>AVERAGE('CRU historical'!U241, 'CRU historical'!X241, 'CRU historical'!AA241, 'CRU historical'!AD241)</f>
        <v>279</v>
      </c>
      <c r="L264" s="78" cm="1">
        <f t="array" ref="L264">IFERROR(SUMPRODUCT(('Sulphuric Acid freights'!$B$3:$B$513=B274)*('Sulphuric Acid freights'!$D$3:$D$513=D264)*('Sulphuric Acid freights'!$P$3:$P$513))/SUMPRODUCT(('Sulphuric Acid freights'!$B$3:$B$513=B274)*('Sulphuric Acid freights'!$D$3:$D$513=D264)*1), AVERAGE('Sulphuric Acid freights'!$P$3:$P$513))*2/3</f>
        <v>63.333333333333336</v>
      </c>
      <c r="M264" s="78" cm="1">
        <f t="array" ref="M264">IFERROR(SUMPRODUCT(('Sulphuric Acid freights'!$B$3:$B$513=B274)*('Sulphuric Acid freights'!$D$3:$D$513=D264)*('Sulphuric Acid freights'!$M$3:$M$513))/SUMPRODUCT(('Sulphuric Acid freights'!$B$3:$B$513=B274)*('Sulphuric Acid freights'!$D$3:$D$513=D264)*1)*2/3, AVERAGE('Sulphuric Acid freights'!$M$3:$M$513))</f>
        <v>13.333333333333334</v>
      </c>
      <c r="N264" s="78">
        <f t="shared" si="52"/>
        <v>57</v>
      </c>
      <c r="O264" s="78" cm="1">
        <f t="array" ref="O264">IF(SUMPRODUCT(('Sulphur freight'!$B$3:$B$1976=B274)*('Sulphur freight'!$D$3:$D$1976=D264)*('Sulphur freight'!$G$3:$G$1976))/SUMPRODUCT(('Sulphur freight'!$B$3:$B$1976=B274)*('Sulphur freight'!$D$3:$D$1976=D264)*1)=0, AVERAGE('Sulphur freight'!$G$3:$G$1976),SUMPRODUCT(('Sulphur freight'!$B$3:$B$1976=B274)*('Sulphur freight'!$D$3:$D$1976=D264)*('Sulphur freight'!$G$3:$G$1976))/SUMPRODUCT(('Sulphur freight'!$B$3:$B$1976=B274)*('Sulphur freight'!$D$3:$D$1976=D264)*1))</f>
        <v>36.5</v>
      </c>
      <c r="P264" s="78">
        <v>20</v>
      </c>
      <c r="R264" s="78" t="str">
        <f t="shared" si="53"/>
        <v xml:space="preserve"> </v>
      </c>
      <c r="S264" s="78">
        <f t="shared" si="54"/>
        <v>233.33333333333334</v>
      </c>
      <c r="T264" s="78">
        <f t="shared" si="49"/>
        <v>150.58333333333334</v>
      </c>
      <c r="U264" s="78">
        <f t="shared" si="55"/>
        <v>197</v>
      </c>
      <c r="V264" s="78">
        <f>IFERROR(I264+O264, "")</f>
        <v>340.25</v>
      </c>
      <c r="W264" s="78">
        <f t="shared" si="56"/>
        <v>299</v>
      </c>
      <c r="X264" s="78">
        <f t="shared" si="57"/>
        <v>130.2825</v>
      </c>
      <c r="Y264" s="78">
        <f t="shared" si="58"/>
        <v>116.67</v>
      </c>
      <c r="AA264" s="88">
        <f t="shared" si="59"/>
        <v>197.60833333333335</v>
      </c>
      <c r="AB264" s="77">
        <f t="shared" si="50"/>
        <v>-67.32583333333335</v>
      </c>
      <c r="AD264" s="88">
        <f t="shared" si="60"/>
        <v>116.67</v>
      </c>
      <c r="AE264" s="77">
        <f t="shared" si="61"/>
        <v>80.938333333333347</v>
      </c>
    </row>
    <row r="265" spans="2:31" x14ac:dyDescent="0.35">
      <c r="B265">
        <v>2021</v>
      </c>
      <c r="C265">
        <v>1</v>
      </c>
      <c r="D265">
        <v>2</v>
      </c>
      <c r="E265" s="78">
        <f>'CRU historical'!F242</f>
        <v>83.5</v>
      </c>
      <c r="F265" s="78">
        <f>'CRU historical'!I242</f>
        <v>220</v>
      </c>
      <c r="G265" s="78">
        <f>'CRU historical'!L242</f>
        <v>135.75</v>
      </c>
      <c r="H265" s="78" t="str">
        <f>'CRU historical'!O242</f>
        <v xml:space="preserve"> </v>
      </c>
      <c r="I265" s="78">
        <f>'CRU historical'!R242</f>
        <v>313.75</v>
      </c>
      <c r="J265" s="78">
        <f>AVERAGE('CRU historical'!U242, 'CRU historical'!X242, 'CRU historical'!AA242, 'CRU historical'!AD242)</f>
        <v>301</v>
      </c>
      <c r="L265" s="78" cm="1">
        <f t="array" ref="L265">IFERROR(SUMPRODUCT(('Sulphuric Acid freights'!$B$3:$B$513=B275)*('Sulphuric Acid freights'!$D$3:$D$513=D265)*('Sulphuric Acid freights'!$P$3:$P$513))/SUMPRODUCT(('Sulphuric Acid freights'!$B$3:$B$513=B275)*('Sulphuric Acid freights'!$D$3:$D$513=D265)*1), AVERAGE('Sulphuric Acid freights'!$P$3:$P$513))*2/3</f>
        <v>62.666666666666664</v>
      </c>
      <c r="M265" s="78" cm="1">
        <f t="array" ref="M265">IFERROR(SUMPRODUCT(('Sulphuric Acid freights'!$B$3:$B$513=B275)*('Sulphuric Acid freights'!$D$3:$D$513=D265)*('Sulphuric Acid freights'!$M$3:$M$513))/SUMPRODUCT(('Sulphuric Acid freights'!$B$3:$B$513=B275)*('Sulphuric Acid freights'!$D$3:$D$513=D265)*1)*2/3, AVERAGE('Sulphuric Acid freights'!$M$3:$M$513))</f>
        <v>14</v>
      </c>
      <c r="N265" s="78">
        <f t="shared" si="52"/>
        <v>56.4</v>
      </c>
      <c r="O265" s="78" cm="1">
        <f t="array" ref="O265">IF(SUMPRODUCT(('Sulphur freight'!$B$3:$B$1976=B275)*('Sulphur freight'!$D$3:$D$1976=D265)*('Sulphur freight'!$G$3:$G$1976))/SUMPRODUCT(('Sulphur freight'!$B$3:$B$1976=B275)*('Sulphur freight'!$D$3:$D$1976=D265)*1)=0, AVERAGE('Sulphur freight'!$G$3:$G$1976),SUMPRODUCT(('Sulphur freight'!$B$3:$B$1976=B275)*('Sulphur freight'!$D$3:$D$1976=D265)*('Sulphur freight'!$G$3:$G$1976))/SUMPRODUCT(('Sulphur freight'!$B$3:$B$1976=B275)*('Sulphur freight'!$D$3:$D$1976=D265)*1))</f>
        <v>44.5</v>
      </c>
      <c r="P265" s="78">
        <v>20</v>
      </c>
      <c r="R265" s="78" t="str">
        <f t="shared" si="53"/>
        <v xml:space="preserve"> </v>
      </c>
      <c r="S265" s="78">
        <f t="shared" si="54"/>
        <v>234</v>
      </c>
      <c r="T265" s="78">
        <f t="shared" si="49"/>
        <v>146.16666666666666</v>
      </c>
      <c r="U265" s="78">
        <f t="shared" si="55"/>
        <v>192.15</v>
      </c>
      <c r="V265" s="78">
        <f>IFERROR(I265+O265, "")</f>
        <v>358.25</v>
      </c>
      <c r="W265" s="78">
        <f t="shared" si="56"/>
        <v>321</v>
      </c>
      <c r="X265" s="78">
        <f t="shared" si="57"/>
        <v>136.22250000000003</v>
      </c>
      <c r="Y265" s="78">
        <f t="shared" si="58"/>
        <v>123.93</v>
      </c>
      <c r="AA265" s="88">
        <f t="shared" si="59"/>
        <v>195.09499999999997</v>
      </c>
      <c r="AB265" s="77">
        <f t="shared" si="50"/>
        <v>-58.872499999999945</v>
      </c>
      <c r="AD265" s="88">
        <f t="shared" si="60"/>
        <v>123.93</v>
      </c>
      <c r="AE265" s="77">
        <f t="shared" si="61"/>
        <v>71.164999999999964</v>
      </c>
    </row>
    <row r="266" spans="2:31" x14ac:dyDescent="0.35">
      <c r="B266">
        <v>2021</v>
      </c>
      <c r="C266">
        <v>1</v>
      </c>
      <c r="D266">
        <v>3</v>
      </c>
      <c r="E266" s="78">
        <f>'CRU historical'!F243</f>
        <v>81.8</v>
      </c>
      <c r="F266" s="78">
        <f>'CRU historical'!I243</f>
        <v>220</v>
      </c>
      <c r="G266" s="78">
        <f>'CRU historical'!L243</f>
        <v>129.6</v>
      </c>
      <c r="H266" s="78" t="str">
        <f>'CRU historical'!O243</f>
        <v xml:space="preserve"> </v>
      </c>
      <c r="I266" s="78">
        <f>'CRU historical'!R243</f>
        <v>393</v>
      </c>
      <c r="J266" s="78">
        <f>AVERAGE('CRU historical'!U243, 'CRU historical'!X243, 'CRU historical'!AA243, 'CRU historical'!AD243)</f>
        <v>301</v>
      </c>
      <c r="L266" s="78" cm="1">
        <f t="array" ref="L266">IFERROR(SUMPRODUCT(('Sulphuric Acid freights'!$B$3:$B$513=B276)*('Sulphuric Acid freights'!$D$3:$D$513=D266)*('Sulphuric Acid freights'!$P$3:$P$513))/SUMPRODUCT(('Sulphuric Acid freights'!$B$3:$B$513=B276)*('Sulphuric Acid freights'!$D$3:$D$513=D266)*1), AVERAGE('Sulphuric Acid freights'!$P$3:$P$513))*2/3</f>
        <v>66.666666666666671</v>
      </c>
      <c r="M266" s="78" cm="1">
        <f t="array" ref="M266">IFERROR(SUMPRODUCT(('Sulphuric Acid freights'!$B$3:$B$513=B276)*('Sulphuric Acid freights'!$D$3:$D$513=D266)*('Sulphuric Acid freights'!$M$3:$M$513))/SUMPRODUCT(('Sulphuric Acid freights'!$B$3:$B$513=B276)*('Sulphuric Acid freights'!$D$3:$D$513=D266)*1)*2/3, AVERAGE('Sulphuric Acid freights'!$M$3:$M$513))</f>
        <v>16</v>
      </c>
      <c r="N266" s="78">
        <f t="shared" si="52"/>
        <v>60.000000000000007</v>
      </c>
      <c r="O266" s="78" cm="1">
        <f t="array" ref="O266">IF(SUMPRODUCT(('Sulphur freight'!$B$3:$B$1976=B276)*('Sulphur freight'!$D$3:$D$1976=D266)*('Sulphur freight'!$G$3:$G$1976))/SUMPRODUCT(('Sulphur freight'!$B$3:$B$1976=B276)*('Sulphur freight'!$D$3:$D$1976=D266)*1)=0, AVERAGE('Sulphur freight'!$G$3:$G$1976),SUMPRODUCT(('Sulphur freight'!$B$3:$B$1976=B276)*('Sulphur freight'!$D$3:$D$1976=D266)*('Sulphur freight'!$G$3:$G$1976))/SUMPRODUCT(('Sulphur freight'!$B$3:$B$1976=B276)*('Sulphur freight'!$D$3:$D$1976=D266)*1))</f>
        <v>67.599999999999994</v>
      </c>
      <c r="P266" s="78">
        <v>20</v>
      </c>
      <c r="R266" s="78" t="str">
        <f t="shared" si="53"/>
        <v xml:space="preserve"> </v>
      </c>
      <c r="S266" s="78">
        <f t="shared" si="54"/>
        <v>236</v>
      </c>
      <c r="T266" s="78">
        <f t="shared" si="49"/>
        <v>148.46666666666667</v>
      </c>
      <c r="U266" s="78">
        <f t="shared" si="55"/>
        <v>189.6</v>
      </c>
      <c r="V266" s="78">
        <f>IFERROR(I266+O266, "")</f>
        <v>460.6</v>
      </c>
      <c r="W266" s="78">
        <f t="shared" si="56"/>
        <v>321</v>
      </c>
      <c r="X266" s="78">
        <f t="shared" si="57"/>
        <v>169.99800000000002</v>
      </c>
      <c r="Y266" s="78">
        <f t="shared" si="58"/>
        <v>123.93</v>
      </c>
      <c r="AA266" s="88">
        <f t="shared" si="59"/>
        <v>195.82</v>
      </c>
      <c r="AB266" s="77">
        <f t="shared" si="50"/>
        <v>-25.821999999999974</v>
      </c>
      <c r="AD266" s="88">
        <f t="shared" si="60"/>
        <v>123.93</v>
      </c>
      <c r="AE266" s="77">
        <f t="shared" si="61"/>
        <v>71.889999999999986</v>
      </c>
    </row>
    <row r="267" spans="2:31" x14ac:dyDescent="0.35">
      <c r="B267">
        <v>2021</v>
      </c>
      <c r="C267">
        <v>2</v>
      </c>
      <c r="D267">
        <v>4</v>
      </c>
      <c r="E267" s="78">
        <f>'CRU historical'!F244</f>
        <v>89</v>
      </c>
      <c r="F267" s="78">
        <f>'CRU historical'!I244</f>
        <v>220</v>
      </c>
      <c r="G267" s="78">
        <f>'CRU historical'!L244</f>
        <v>137.5</v>
      </c>
      <c r="H267" s="78" t="str">
        <f>'CRU historical'!O244</f>
        <v xml:space="preserve"> </v>
      </c>
      <c r="I267" s="78">
        <f>'CRU historical'!R244</f>
        <v>453.75</v>
      </c>
      <c r="J267" s="78">
        <f>AVERAGE('CRU historical'!U244, 'CRU historical'!X244, 'CRU historical'!AA244, 'CRU historical'!AD244)</f>
        <v>420</v>
      </c>
      <c r="L267" s="78" cm="1">
        <f t="array" ref="L267">IFERROR(SUMPRODUCT(('Sulphuric Acid freights'!$B$3:$B$513=B277)*('Sulphuric Acid freights'!$D$3:$D$513=D267)*('Sulphuric Acid freights'!$P$3:$P$513))/SUMPRODUCT(('Sulphuric Acid freights'!$B$3:$B$513=B277)*('Sulphuric Acid freights'!$D$3:$D$513=D267)*1), AVERAGE('Sulphuric Acid freights'!$P$3:$P$513))*2/3</f>
        <v>70.666666666666671</v>
      </c>
      <c r="M267" s="78" cm="1">
        <f t="array" ref="M267">IFERROR(SUMPRODUCT(('Sulphuric Acid freights'!$B$3:$B$513=B277)*('Sulphuric Acid freights'!$D$3:$D$513=D267)*('Sulphuric Acid freights'!$M$3:$M$513))/SUMPRODUCT(('Sulphuric Acid freights'!$B$3:$B$513=B277)*('Sulphuric Acid freights'!$D$3:$D$513=D267)*1)*2/3, AVERAGE('Sulphuric Acid freights'!$M$3:$M$513))</f>
        <v>16.666666666666668</v>
      </c>
      <c r="N267" s="78">
        <f t="shared" si="52"/>
        <v>63.600000000000009</v>
      </c>
      <c r="O267" s="78" cm="1">
        <f t="array" ref="O267">IF(SUMPRODUCT(('Sulphur freight'!$B$3:$B$1976=B277)*('Sulphur freight'!$D$3:$D$1976=D267)*('Sulphur freight'!$G$3:$G$1976))/SUMPRODUCT(('Sulphur freight'!$B$3:$B$1976=B277)*('Sulphur freight'!$D$3:$D$1976=D267)*1)=0, AVERAGE('Sulphur freight'!$G$3:$G$1976),SUMPRODUCT(('Sulphur freight'!$B$3:$B$1976=B277)*('Sulphur freight'!$D$3:$D$1976=D267)*('Sulphur freight'!$G$3:$G$1976))/SUMPRODUCT(('Sulphur freight'!$B$3:$B$1976=B277)*('Sulphur freight'!$D$3:$D$1976=D267)*1))</f>
        <v>59.75</v>
      </c>
      <c r="P267" s="78">
        <v>20</v>
      </c>
      <c r="R267" s="78" t="str">
        <f t="shared" si="53"/>
        <v xml:space="preserve"> </v>
      </c>
      <c r="S267" s="78">
        <f t="shared" si="54"/>
        <v>236.66666666666666</v>
      </c>
      <c r="T267" s="78">
        <f t="shared" si="49"/>
        <v>159.66666666666669</v>
      </c>
      <c r="U267" s="78">
        <f t="shared" si="55"/>
        <v>201.10000000000002</v>
      </c>
      <c r="V267" s="78">
        <f>IFERROR(I267+O267, "")</f>
        <v>513.5</v>
      </c>
      <c r="W267" s="78">
        <f t="shared" si="56"/>
        <v>440</v>
      </c>
      <c r="X267" s="78">
        <f t="shared" si="57"/>
        <v>187.45500000000001</v>
      </c>
      <c r="Y267" s="78">
        <f t="shared" si="58"/>
        <v>163.20000000000002</v>
      </c>
      <c r="AA267" s="88">
        <f t="shared" si="59"/>
        <v>202.89666666666668</v>
      </c>
      <c r="AB267" s="77">
        <f t="shared" si="50"/>
        <v>-15.441666666666663</v>
      </c>
      <c r="AD267" s="88">
        <f t="shared" si="60"/>
        <v>163.20000000000002</v>
      </c>
      <c r="AE267" s="77">
        <f t="shared" si="61"/>
        <v>39.696666666666658</v>
      </c>
    </row>
    <row r="268" spans="2:31" x14ac:dyDescent="0.35">
      <c r="B268">
        <v>2021</v>
      </c>
      <c r="C268">
        <v>2</v>
      </c>
      <c r="D268">
        <v>5</v>
      </c>
      <c r="E268" s="78">
        <f>'CRU historical'!F245</f>
        <v>95.75</v>
      </c>
      <c r="F268" s="78">
        <f>'CRU historical'!I245</f>
        <v>220</v>
      </c>
      <c r="G268" s="78">
        <f>'CRU historical'!L245</f>
        <v>146.25</v>
      </c>
      <c r="H268" s="78" t="str">
        <f>'CRU historical'!O245</f>
        <v xml:space="preserve"> </v>
      </c>
      <c r="I268" s="78">
        <f>'CRU historical'!R245</f>
        <v>469.75</v>
      </c>
      <c r="J268" s="78">
        <f>AVERAGE('CRU historical'!U245, 'CRU historical'!X245, 'CRU historical'!AA245, 'CRU historical'!AD245)</f>
        <v>420</v>
      </c>
      <c r="L268" s="78" cm="1">
        <f t="array" ref="L268">IFERROR(SUMPRODUCT(('Sulphuric Acid freights'!$B$3:$B$513=B278)*('Sulphuric Acid freights'!$D$3:$D$513=D268)*('Sulphuric Acid freights'!$P$3:$P$513))/SUMPRODUCT(('Sulphuric Acid freights'!$B$3:$B$513=B278)*('Sulphuric Acid freights'!$D$3:$D$513=D268)*1), AVERAGE('Sulphuric Acid freights'!$P$3:$P$513))*2/3</f>
        <v>76</v>
      </c>
      <c r="M268" s="78" cm="1">
        <f t="array" ref="M268">IFERROR(SUMPRODUCT(('Sulphuric Acid freights'!$B$3:$B$513=B278)*('Sulphuric Acid freights'!$D$3:$D$513=D268)*('Sulphuric Acid freights'!$M$3:$M$513))/SUMPRODUCT(('Sulphuric Acid freights'!$B$3:$B$513=B278)*('Sulphuric Acid freights'!$D$3:$D$513=D268)*1)*2/3, AVERAGE('Sulphuric Acid freights'!$M$3:$M$513))</f>
        <v>16.666666666666668</v>
      </c>
      <c r="N268" s="78">
        <f t="shared" si="52"/>
        <v>68.400000000000006</v>
      </c>
      <c r="O268" s="78" cm="1">
        <f t="array" ref="O268">IF(SUMPRODUCT(('Sulphur freight'!$B$3:$B$1976=B278)*('Sulphur freight'!$D$3:$D$1976=D268)*('Sulphur freight'!$G$3:$G$1976))/SUMPRODUCT(('Sulphur freight'!$B$3:$B$1976=B278)*('Sulphur freight'!$D$3:$D$1976=D268)*1)=0, AVERAGE('Sulphur freight'!$G$3:$G$1976),SUMPRODUCT(('Sulphur freight'!$B$3:$B$1976=B278)*('Sulphur freight'!$D$3:$D$1976=D268)*('Sulphur freight'!$G$3:$G$1976))/SUMPRODUCT(('Sulphur freight'!$B$3:$B$1976=B278)*('Sulphur freight'!$D$3:$D$1976=D268)*1))</f>
        <v>61.75</v>
      </c>
      <c r="P268" s="78">
        <v>20</v>
      </c>
      <c r="R268" s="78" t="str">
        <f t="shared" si="53"/>
        <v xml:space="preserve"> </v>
      </c>
      <c r="S268" s="78">
        <f t="shared" si="54"/>
        <v>236.66666666666666</v>
      </c>
      <c r="T268" s="78">
        <f t="shared" si="49"/>
        <v>171.75</v>
      </c>
      <c r="U268" s="78">
        <f t="shared" si="55"/>
        <v>214.65</v>
      </c>
      <c r="V268" s="78">
        <f>IFERROR(I268+O268, "")</f>
        <v>531.5</v>
      </c>
      <c r="W268" s="78">
        <f t="shared" si="56"/>
        <v>440</v>
      </c>
      <c r="X268" s="78">
        <f t="shared" si="57"/>
        <v>193.39500000000001</v>
      </c>
      <c r="Y268" s="78">
        <f t="shared" si="58"/>
        <v>163.20000000000002</v>
      </c>
      <c r="AA268" s="88">
        <f t="shared" si="59"/>
        <v>210.58666666666664</v>
      </c>
      <c r="AB268" s="77">
        <f t="shared" si="50"/>
        <v>-17.191666666666634</v>
      </c>
      <c r="AD268" s="88">
        <f t="shared" si="60"/>
        <v>163.20000000000002</v>
      </c>
      <c r="AE268" s="77">
        <f t="shared" si="61"/>
        <v>47.386666666666628</v>
      </c>
    </row>
    <row r="269" spans="2:31" x14ac:dyDescent="0.35">
      <c r="B269">
        <v>2021</v>
      </c>
      <c r="C269">
        <v>2</v>
      </c>
      <c r="D269">
        <v>6</v>
      </c>
      <c r="E269" s="78">
        <f>'CRU historical'!F246</f>
        <v>96.8</v>
      </c>
      <c r="F269" s="78">
        <f>'CRU historical'!I246</f>
        <v>218</v>
      </c>
      <c r="G269" s="78">
        <f>'CRU historical'!L246</f>
        <v>143</v>
      </c>
      <c r="H269" s="78" t="str">
        <f>'CRU historical'!O246</f>
        <v xml:space="preserve"> </v>
      </c>
      <c r="I269" s="78">
        <f>'CRU historical'!R246</f>
        <v>463.8</v>
      </c>
      <c r="J269" s="78">
        <f>AVERAGE('CRU historical'!U246, 'CRU historical'!X246, 'CRU historical'!AA246, 'CRU historical'!AD246)</f>
        <v>420</v>
      </c>
      <c r="L269" s="78" cm="1">
        <f t="array" ref="L269">IFERROR(SUMPRODUCT(('Sulphuric Acid freights'!$B$3:$B$513=B279)*('Sulphuric Acid freights'!$D$3:$D$513=D269)*('Sulphuric Acid freights'!$P$3:$P$513))/SUMPRODUCT(('Sulphuric Acid freights'!$B$3:$B$513=B279)*('Sulphuric Acid freights'!$D$3:$D$513=D269)*1), AVERAGE('Sulphuric Acid freights'!$P$3:$P$513))*2/3</f>
        <v>79.2</v>
      </c>
      <c r="M269" s="78" cm="1">
        <f t="array" ref="M269">IFERROR(SUMPRODUCT(('Sulphuric Acid freights'!$B$3:$B$513=B279)*('Sulphuric Acid freights'!$D$3:$D$513=D269)*('Sulphuric Acid freights'!$M$3:$M$513))/SUMPRODUCT(('Sulphuric Acid freights'!$B$3:$B$513=B279)*('Sulphuric Acid freights'!$D$3:$D$513=D269)*1)*2/3, AVERAGE('Sulphuric Acid freights'!$M$3:$M$513))</f>
        <v>18.533333333333335</v>
      </c>
      <c r="N269" s="78">
        <f t="shared" si="52"/>
        <v>71.28</v>
      </c>
      <c r="O269" s="78" cm="1">
        <f t="array" ref="O269">IF(SUMPRODUCT(('Sulphur freight'!$B$3:$B$1976=B279)*('Sulphur freight'!$D$3:$D$1976=D269)*('Sulphur freight'!$G$3:$G$1976))/SUMPRODUCT(('Sulphur freight'!$B$3:$B$1976=B279)*('Sulphur freight'!$D$3:$D$1976=D269)*1)=0, AVERAGE('Sulphur freight'!$G$3:$G$1976),SUMPRODUCT(('Sulphur freight'!$B$3:$B$1976=B279)*('Sulphur freight'!$D$3:$D$1976=D269)*('Sulphur freight'!$G$3:$G$1976))/SUMPRODUCT(('Sulphur freight'!$B$3:$B$1976=B279)*('Sulphur freight'!$D$3:$D$1976=D269)*1))</f>
        <v>62.6</v>
      </c>
      <c r="P269" s="78">
        <v>20</v>
      </c>
      <c r="R269" s="78" t="str">
        <f t="shared" si="53"/>
        <v xml:space="preserve"> </v>
      </c>
      <c r="S269" s="78">
        <f t="shared" si="54"/>
        <v>236.53333333333333</v>
      </c>
      <c r="T269" s="78">
        <f t="shared" si="49"/>
        <v>176</v>
      </c>
      <c r="U269" s="78">
        <f t="shared" si="55"/>
        <v>214.28</v>
      </c>
      <c r="V269" s="78">
        <f>IFERROR(I269+O269, "")</f>
        <v>526.4</v>
      </c>
      <c r="W269" s="78">
        <f t="shared" si="56"/>
        <v>440</v>
      </c>
      <c r="X269" s="78">
        <f t="shared" si="57"/>
        <v>191.71199999999999</v>
      </c>
      <c r="Y269" s="78">
        <f t="shared" si="58"/>
        <v>163.20000000000002</v>
      </c>
      <c r="AA269" s="88">
        <f t="shared" si="59"/>
        <v>211.69733333333335</v>
      </c>
      <c r="AB269" s="77">
        <f t="shared" si="50"/>
        <v>-19.985333333333358</v>
      </c>
      <c r="AD269" s="88">
        <f t="shared" si="60"/>
        <v>163.20000000000002</v>
      </c>
      <c r="AE269" s="77">
        <f t="shared" si="61"/>
        <v>48.49733333333333</v>
      </c>
    </row>
    <row r="270" spans="2:31" x14ac:dyDescent="0.35">
      <c r="B270">
        <v>2021</v>
      </c>
      <c r="C270">
        <v>3</v>
      </c>
      <c r="D270">
        <v>7</v>
      </c>
      <c r="E270" s="78">
        <f>'CRU historical'!F247</f>
        <v>91.25</v>
      </c>
      <c r="F270" s="78">
        <f>'CRU historical'!I247</f>
        <v>198.75</v>
      </c>
      <c r="G270" s="78">
        <f>'CRU historical'!L247</f>
        <v>117.5</v>
      </c>
      <c r="H270" s="78" t="str">
        <f>'CRU historical'!O247</f>
        <v xml:space="preserve"> </v>
      </c>
      <c r="I270" s="78">
        <f>'CRU historical'!R247</f>
        <v>260</v>
      </c>
      <c r="J270" s="78">
        <f>AVERAGE('CRU historical'!U247, 'CRU historical'!X247, 'CRU historical'!AA247, 'CRU historical'!AD247)</f>
        <v>422.25</v>
      </c>
      <c r="L270" s="78" cm="1">
        <f t="array" ref="L270">IFERROR(SUMPRODUCT(('Sulphuric Acid freights'!$B$3:$B$513=B280)*('Sulphuric Acid freights'!$D$3:$D$513=D270)*('Sulphuric Acid freights'!$P$3:$P$513))/SUMPRODUCT(('Sulphuric Acid freights'!$B$3:$B$513=B280)*('Sulphuric Acid freights'!$D$3:$D$513=D270)*1), AVERAGE('Sulphuric Acid freights'!$P$3:$P$513))*2/3</f>
        <v>87.333333333333329</v>
      </c>
      <c r="M270" s="78" cm="1">
        <f t="array" ref="M270">IFERROR(SUMPRODUCT(('Sulphuric Acid freights'!$B$3:$B$513=B280)*('Sulphuric Acid freights'!$D$3:$D$513=D270)*('Sulphuric Acid freights'!$M$3:$M$513))/SUMPRODUCT(('Sulphuric Acid freights'!$B$3:$B$513=B280)*('Sulphuric Acid freights'!$D$3:$D$513=D270)*1)*2/3, AVERAGE('Sulphuric Acid freights'!$M$3:$M$513))</f>
        <v>21.333333333333332</v>
      </c>
      <c r="N270" s="78">
        <f t="shared" si="52"/>
        <v>78.599999999999994</v>
      </c>
      <c r="O270" s="78" cm="1">
        <f t="array" ref="O270">IF(SUMPRODUCT(('Sulphur freight'!$B$3:$B$1976=B280)*('Sulphur freight'!$D$3:$D$1976=D270)*('Sulphur freight'!$G$3:$G$1976))/SUMPRODUCT(('Sulphur freight'!$B$3:$B$1976=B280)*('Sulphur freight'!$D$3:$D$1976=D270)*1)=0, AVERAGE('Sulphur freight'!$G$3:$G$1976),SUMPRODUCT(('Sulphur freight'!$B$3:$B$1976=B280)*('Sulphur freight'!$D$3:$D$1976=D270)*('Sulphur freight'!$G$3:$G$1976))/SUMPRODUCT(('Sulphur freight'!$B$3:$B$1976=B280)*('Sulphur freight'!$D$3:$D$1976=D270)*1))</f>
        <v>52.25</v>
      </c>
      <c r="P270" s="78">
        <v>20</v>
      </c>
      <c r="R270" s="78" t="str">
        <f t="shared" si="53"/>
        <v xml:space="preserve"> </v>
      </c>
      <c r="S270" s="78">
        <f t="shared" si="54"/>
        <v>220.08333333333334</v>
      </c>
      <c r="T270" s="78">
        <f t="shared" si="49"/>
        <v>178.58333333333331</v>
      </c>
      <c r="U270" s="78">
        <f t="shared" si="55"/>
        <v>196.1</v>
      </c>
      <c r="V270" s="78">
        <f>IFERROR(I270+O270, "")</f>
        <v>312.25</v>
      </c>
      <c r="W270" s="78">
        <f t="shared" si="56"/>
        <v>442.25</v>
      </c>
      <c r="X270" s="78">
        <f t="shared" si="57"/>
        <v>121.0425</v>
      </c>
      <c r="Y270" s="78">
        <f t="shared" si="58"/>
        <v>163.9425</v>
      </c>
      <c r="AA270" s="88">
        <f t="shared" si="59"/>
        <v>200.43833333333333</v>
      </c>
      <c r="AB270" s="77">
        <f t="shared" si="50"/>
        <v>-36.495833333333337</v>
      </c>
      <c r="AD270" s="88">
        <f t="shared" si="60"/>
        <v>163.9425</v>
      </c>
      <c r="AE270" s="77">
        <f t="shared" si="61"/>
        <v>36.495833333333337</v>
      </c>
    </row>
    <row r="271" spans="2:31" x14ac:dyDescent="0.35">
      <c r="B271">
        <v>2021</v>
      </c>
      <c r="C271">
        <v>3</v>
      </c>
      <c r="D271">
        <v>8</v>
      </c>
      <c r="E271" s="78">
        <f>'CRU historical'!F248</f>
        <v>61.25</v>
      </c>
      <c r="F271" s="78">
        <f>'CRU historical'!I248</f>
        <v>153.75</v>
      </c>
      <c r="G271" s="78">
        <f>'CRU historical'!L248</f>
        <v>57.5</v>
      </c>
      <c r="H271" s="78" t="str">
        <f>'CRU historical'!O248</f>
        <v xml:space="preserve"> </v>
      </c>
      <c r="I271" s="78">
        <f>'CRU historical'!R248</f>
        <v>78.5</v>
      </c>
      <c r="J271" s="78">
        <f>AVERAGE('CRU historical'!U248, 'CRU historical'!X248, 'CRU historical'!AA248, 'CRU historical'!AD248)</f>
        <v>225.75</v>
      </c>
      <c r="L271" s="78" cm="1">
        <f t="array" ref="L271">IFERROR(SUMPRODUCT(('Sulphuric Acid freights'!$B$3:$B$513=B281)*('Sulphuric Acid freights'!$D$3:$D$513=D271)*('Sulphuric Acid freights'!$P$3:$P$513))/SUMPRODUCT(('Sulphuric Acid freights'!$B$3:$B$513=B281)*('Sulphuric Acid freights'!$D$3:$D$513=D271)*1), AVERAGE('Sulphuric Acid freights'!$P$3:$P$513))*2/3</f>
        <v>88</v>
      </c>
      <c r="M271" s="78" cm="1">
        <f t="array" ref="M271">IFERROR(SUMPRODUCT(('Sulphuric Acid freights'!$B$3:$B$513=B281)*('Sulphuric Acid freights'!$D$3:$D$513=D271)*('Sulphuric Acid freights'!$M$3:$M$513))/SUMPRODUCT(('Sulphuric Acid freights'!$B$3:$B$513=B281)*('Sulphuric Acid freights'!$D$3:$D$513=D271)*1)*2/3, AVERAGE('Sulphuric Acid freights'!$M$3:$M$513))</f>
        <v>22</v>
      </c>
      <c r="N271" s="78">
        <f t="shared" si="52"/>
        <v>79.2</v>
      </c>
      <c r="O271" s="78" cm="1">
        <f t="array" ref="O271">IF(SUMPRODUCT(('Sulphur freight'!$B$3:$B$1976=B281)*('Sulphur freight'!$D$3:$D$1976=D271)*('Sulphur freight'!$G$3:$G$1976))/SUMPRODUCT(('Sulphur freight'!$B$3:$B$1976=B281)*('Sulphur freight'!$D$3:$D$1976=D271)*1)=0, AVERAGE('Sulphur freight'!$G$3:$G$1976),SUMPRODUCT(('Sulphur freight'!$B$3:$B$1976=B281)*('Sulphur freight'!$D$3:$D$1976=D271)*('Sulphur freight'!$G$3:$G$1976))/SUMPRODUCT(('Sulphur freight'!$B$3:$B$1976=B281)*('Sulphur freight'!$D$3:$D$1976=D271)*1))</f>
        <v>43.25</v>
      </c>
      <c r="P271" s="78">
        <v>20</v>
      </c>
      <c r="R271" s="78" t="str">
        <f t="shared" si="53"/>
        <v xml:space="preserve"> </v>
      </c>
      <c r="S271" s="78">
        <f t="shared" si="54"/>
        <v>175.75</v>
      </c>
      <c r="T271" s="78">
        <f t="shared" si="49"/>
        <v>149.25</v>
      </c>
      <c r="U271" s="78">
        <f t="shared" si="55"/>
        <v>136.69999999999999</v>
      </c>
      <c r="V271" s="78">
        <f>IFERROR(I271+O271, "")</f>
        <v>121.75</v>
      </c>
      <c r="W271" s="78">
        <f t="shared" si="56"/>
        <v>245.75</v>
      </c>
      <c r="X271" s="78">
        <f t="shared" si="57"/>
        <v>58.177500000000002</v>
      </c>
      <c r="Y271" s="78">
        <f t="shared" si="58"/>
        <v>99.097500000000011</v>
      </c>
      <c r="AA271" s="88">
        <f t="shared" si="59"/>
        <v>156.08499999999998</v>
      </c>
      <c r="AB271" s="77">
        <f t="shared" si="50"/>
        <v>-56.987499999999969</v>
      </c>
      <c r="AD271" s="88">
        <f t="shared" si="60"/>
        <v>99.097500000000011</v>
      </c>
      <c r="AE271" s="77">
        <f t="shared" si="61"/>
        <v>56.987499999999969</v>
      </c>
    </row>
    <row r="272" spans="2:31" x14ac:dyDescent="0.35">
      <c r="B272">
        <v>2021</v>
      </c>
      <c r="C272">
        <v>3</v>
      </c>
      <c r="D272">
        <v>9</v>
      </c>
      <c r="E272" s="78">
        <f>'CRU historical'!F249</f>
        <v>32</v>
      </c>
      <c r="F272" s="78">
        <f>'CRU historical'!I249</f>
        <v>71.599999999999994</v>
      </c>
      <c r="G272" s="78">
        <f>'CRU historical'!L249</f>
        <v>14</v>
      </c>
      <c r="H272" s="78" t="str">
        <f>'CRU historical'!O249</f>
        <v xml:space="preserve"> </v>
      </c>
      <c r="I272" s="78">
        <f>'CRU historical'!R249</f>
        <v>95.8</v>
      </c>
      <c r="J272" s="78">
        <f>AVERAGE('CRU historical'!U249, 'CRU historical'!X249, 'CRU historical'!AA249, 'CRU historical'!AD249)</f>
        <v>160</v>
      </c>
      <c r="L272" s="78" cm="1">
        <f t="array" ref="L272">IFERROR(SUMPRODUCT(('Sulphuric Acid freights'!$B$3:$B$513=B282)*('Sulphuric Acid freights'!$D$3:$D$513=D272)*('Sulphuric Acid freights'!$P$3:$P$513))/SUMPRODUCT(('Sulphuric Acid freights'!$B$3:$B$513=B282)*('Sulphuric Acid freights'!$D$3:$D$513=D272)*1), AVERAGE('Sulphuric Acid freights'!$P$3:$P$513))*2/3</f>
        <v>89.066666666666663</v>
      </c>
      <c r="M272" s="78" cm="1">
        <f t="array" ref="M272">IFERROR(SUMPRODUCT(('Sulphuric Acid freights'!$B$3:$B$513=B282)*('Sulphuric Acid freights'!$D$3:$D$513=D272)*('Sulphuric Acid freights'!$M$3:$M$513))/SUMPRODUCT(('Sulphuric Acid freights'!$B$3:$B$513=B282)*('Sulphuric Acid freights'!$D$3:$D$513=D272)*1)*2/3, AVERAGE('Sulphuric Acid freights'!$M$3:$M$513))</f>
        <v>22</v>
      </c>
      <c r="N272" s="78">
        <f t="shared" si="52"/>
        <v>80.16</v>
      </c>
      <c r="O272" s="78" cm="1">
        <f t="array" ref="O272">IF(SUMPRODUCT(('Sulphur freight'!$B$3:$B$1976=B282)*('Sulphur freight'!$D$3:$D$1976=D272)*('Sulphur freight'!$G$3:$G$1976))/SUMPRODUCT(('Sulphur freight'!$B$3:$B$1976=B282)*('Sulphur freight'!$D$3:$D$1976=D272)*1)=0, AVERAGE('Sulphur freight'!$G$3:$G$1976),SUMPRODUCT(('Sulphur freight'!$B$3:$B$1976=B282)*('Sulphur freight'!$D$3:$D$1976=D272)*('Sulphur freight'!$G$3:$G$1976))/SUMPRODUCT(('Sulphur freight'!$B$3:$B$1976=B282)*('Sulphur freight'!$D$3:$D$1976=D272)*1))</f>
        <v>40</v>
      </c>
      <c r="P272" s="78">
        <v>20</v>
      </c>
      <c r="R272" s="78" t="str">
        <f t="shared" si="53"/>
        <v xml:space="preserve"> </v>
      </c>
      <c r="S272" s="78">
        <f t="shared" si="54"/>
        <v>93.6</v>
      </c>
      <c r="T272" s="78">
        <f t="shared" si="49"/>
        <v>121.06666666666666</v>
      </c>
      <c r="U272" s="78">
        <f t="shared" si="55"/>
        <v>94.16</v>
      </c>
      <c r="V272" s="78">
        <f>IFERROR(I272+O272, "")</f>
        <v>135.80000000000001</v>
      </c>
      <c r="W272" s="78">
        <f t="shared" si="56"/>
        <v>180</v>
      </c>
      <c r="X272" s="78">
        <f t="shared" si="57"/>
        <v>62.814000000000007</v>
      </c>
      <c r="Y272" s="78">
        <f t="shared" si="58"/>
        <v>77.400000000000006</v>
      </c>
      <c r="AA272" s="88">
        <f t="shared" si="59"/>
        <v>102.00799999999998</v>
      </c>
      <c r="AB272" s="77">
        <f t="shared" si="50"/>
        <v>-24.607999999999976</v>
      </c>
      <c r="AD272" s="88">
        <f t="shared" si="60"/>
        <v>77.400000000000006</v>
      </c>
      <c r="AE272" s="77">
        <f t="shared" si="61"/>
        <v>24.607999999999976</v>
      </c>
    </row>
    <row r="273" spans="2:31" x14ac:dyDescent="0.35">
      <c r="B273">
        <v>2021</v>
      </c>
      <c r="C273">
        <v>4</v>
      </c>
      <c r="D273">
        <v>10</v>
      </c>
      <c r="E273" s="78">
        <f>'CRU historical'!F250</f>
        <v>17.5</v>
      </c>
      <c r="F273" s="78">
        <f>'CRU historical'!I250</f>
        <v>48</v>
      </c>
      <c r="G273" s="78">
        <f>'CRU historical'!L250</f>
        <v>13.75</v>
      </c>
      <c r="H273" s="78" t="str">
        <f>'CRU historical'!O250</f>
        <v xml:space="preserve"> </v>
      </c>
      <c r="I273" s="78">
        <f>'CRU historical'!R250</f>
        <v>118.75</v>
      </c>
      <c r="J273" s="78">
        <f>AVERAGE('CRU historical'!U250, 'CRU historical'!X250, 'CRU historical'!AA250, 'CRU historical'!AD250)</f>
        <v>124.75</v>
      </c>
      <c r="L273" s="78" cm="1">
        <f t="array" ref="L273">IFERROR(SUMPRODUCT(('Sulphuric Acid freights'!$B$3:$B$513=B283)*('Sulphuric Acid freights'!$D$3:$D$513=D273)*('Sulphuric Acid freights'!$P$3:$P$513))/SUMPRODUCT(('Sulphuric Acid freights'!$B$3:$B$513=B283)*('Sulphuric Acid freights'!$D$3:$D$513=D273)*1), AVERAGE('Sulphuric Acid freights'!$P$3:$P$513))*2/3</f>
        <v>90.5</v>
      </c>
      <c r="M273" s="78" cm="1">
        <f t="array" ref="M273">IFERROR(SUMPRODUCT(('Sulphuric Acid freights'!$B$3:$B$513=B283)*('Sulphuric Acid freights'!$D$3:$D$513=D273)*('Sulphuric Acid freights'!$M$3:$M$513))/SUMPRODUCT(('Sulphuric Acid freights'!$B$3:$B$513=B283)*('Sulphuric Acid freights'!$D$3:$D$513=D273)*1)*2/3, AVERAGE('Sulphuric Acid freights'!$M$3:$M$513))</f>
        <v>22.833333333333332</v>
      </c>
      <c r="N273" s="78">
        <f t="shared" si="52"/>
        <v>81.45</v>
      </c>
      <c r="O273" s="78" cm="1">
        <f t="array" ref="O273">IF(SUMPRODUCT(('Sulphur freight'!$B$3:$B$1976=B283)*('Sulphur freight'!$D$3:$D$1976=D273)*('Sulphur freight'!$G$3:$G$1976))/SUMPRODUCT(('Sulphur freight'!$B$3:$B$1976=B283)*('Sulphur freight'!$D$3:$D$1976=D273)*1)=0, AVERAGE('Sulphur freight'!$G$3:$G$1976),SUMPRODUCT(('Sulphur freight'!$B$3:$B$1976=B283)*('Sulphur freight'!$D$3:$D$1976=D273)*('Sulphur freight'!$G$3:$G$1976))/SUMPRODUCT(('Sulphur freight'!$B$3:$B$1976=B283)*('Sulphur freight'!$D$3:$D$1976=D273)*1))</f>
        <v>38.75</v>
      </c>
      <c r="P273" s="78">
        <v>20</v>
      </c>
      <c r="R273" s="78" t="str">
        <f t="shared" si="53"/>
        <v xml:space="preserve"> </v>
      </c>
      <c r="S273" s="78">
        <f t="shared" si="54"/>
        <v>70.833333333333329</v>
      </c>
      <c r="T273" s="78">
        <f t="shared" si="49"/>
        <v>108</v>
      </c>
      <c r="U273" s="78">
        <f t="shared" si="55"/>
        <v>95.2</v>
      </c>
      <c r="V273" s="78">
        <f>IFERROR(I273+O273, "")</f>
        <v>157.5</v>
      </c>
      <c r="W273" s="78">
        <f t="shared" si="56"/>
        <v>144.75</v>
      </c>
      <c r="X273" s="78">
        <f t="shared" si="57"/>
        <v>69.974999999999994</v>
      </c>
      <c r="Y273" s="78">
        <f t="shared" si="58"/>
        <v>65.767500000000013</v>
      </c>
      <c r="AA273" s="88">
        <f t="shared" si="59"/>
        <v>89.293333333333337</v>
      </c>
      <c r="AB273" s="77">
        <f t="shared" si="50"/>
        <v>-19.318333333333342</v>
      </c>
      <c r="AD273" s="88">
        <f t="shared" si="60"/>
        <v>65.767500000000013</v>
      </c>
      <c r="AE273" s="77">
        <f t="shared" si="61"/>
        <v>23.525833333333324</v>
      </c>
    </row>
    <row r="274" spans="2:31" x14ac:dyDescent="0.35">
      <c r="B274">
        <v>2022</v>
      </c>
      <c r="C274">
        <v>4</v>
      </c>
      <c r="D274">
        <v>11</v>
      </c>
      <c r="E274" s="78">
        <f>'CRU historical'!F251</f>
        <v>15</v>
      </c>
      <c r="F274" s="78">
        <f>'CRU historical'!I251</f>
        <v>38.5</v>
      </c>
      <c r="G274" s="78">
        <f>'CRU historical'!L251</f>
        <v>17.25</v>
      </c>
      <c r="H274" s="78" t="str">
        <f>'CRU historical'!O251</f>
        <v xml:space="preserve"> </v>
      </c>
      <c r="I274" s="78">
        <f>'CRU historical'!R251</f>
        <v>168.75</v>
      </c>
      <c r="J274" s="78">
        <f>AVERAGE('CRU historical'!U251, 'CRU historical'!X251, 'CRU historical'!AA251, 'CRU historical'!AD251)</f>
        <v>113</v>
      </c>
      <c r="L274" s="78" cm="1">
        <f t="array" ref="L274">IFERROR(SUMPRODUCT(('Sulphuric Acid freights'!$B$3:$B$513=B284)*('Sulphuric Acid freights'!$D$3:$D$513=D274)*('Sulphuric Acid freights'!$P$3:$P$513))/SUMPRODUCT(('Sulphuric Acid freights'!$B$3:$B$513=B284)*('Sulphuric Acid freights'!$D$3:$D$513=D274)*1), AVERAGE('Sulphuric Acid freights'!$P$3:$P$513))*2/3</f>
        <v>91.666666666666671</v>
      </c>
      <c r="M274" s="78" cm="1">
        <f t="array" ref="M274">IFERROR(SUMPRODUCT(('Sulphuric Acid freights'!$B$3:$B$513=B284)*('Sulphuric Acid freights'!$D$3:$D$513=D274)*('Sulphuric Acid freights'!$M$3:$M$513))/SUMPRODUCT(('Sulphuric Acid freights'!$B$3:$B$513=B284)*('Sulphuric Acid freights'!$D$3:$D$513=D274)*1)*2/3, AVERAGE('Sulphuric Acid freights'!$M$3:$M$513))</f>
        <v>24.5</v>
      </c>
      <c r="N274" s="78">
        <f t="shared" si="52"/>
        <v>82.5</v>
      </c>
      <c r="O274" s="78" cm="1">
        <f t="array" ref="O274">IF(SUMPRODUCT(('Sulphur freight'!$B$3:$B$1976=B284)*('Sulphur freight'!$D$3:$D$1976=D274)*('Sulphur freight'!$G$3:$G$1976))/SUMPRODUCT(('Sulphur freight'!$B$3:$B$1976=B284)*('Sulphur freight'!$D$3:$D$1976=D274)*1)=0, AVERAGE('Sulphur freight'!$G$3:$G$1976),SUMPRODUCT(('Sulphur freight'!$B$3:$B$1976=B284)*('Sulphur freight'!$D$3:$D$1976=D274)*('Sulphur freight'!$G$3:$G$1976))/SUMPRODUCT(('Sulphur freight'!$B$3:$B$1976=B284)*('Sulphur freight'!$D$3:$D$1976=D274)*1))</f>
        <v>32.25</v>
      </c>
      <c r="P274" s="78">
        <v>20</v>
      </c>
      <c r="R274" s="78" t="str">
        <f t="shared" si="53"/>
        <v xml:space="preserve"> </v>
      </c>
      <c r="S274" s="78">
        <f t="shared" si="54"/>
        <v>63</v>
      </c>
      <c r="T274" s="78">
        <f t="shared" si="49"/>
        <v>106.66666666666667</v>
      </c>
      <c r="U274" s="78">
        <f t="shared" si="55"/>
        <v>99.75</v>
      </c>
      <c r="V274" s="78">
        <f>IFERROR(I274+O274, "")</f>
        <v>201</v>
      </c>
      <c r="W274" s="78">
        <f t="shared" si="56"/>
        <v>133</v>
      </c>
      <c r="X274" s="78">
        <f t="shared" si="57"/>
        <v>84.33</v>
      </c>
      <c r="Y274" s="78">
        <f t="shared" si="58"/>
        <v>61.89</v>
      </c>
      <c r="AA274" s="88">
        <f t="shared" si="59"/>
        <v>87.125</v>
      </c>
      <c r="AB274" s="77">
        <f t="shared" si="50"/>
        <v>-2.7950000000000017</v>
      </c>
      <c r="AD274" s="88">
        <f t="shared" si="60"/>
        <v>61.89</v>
      </c>
      <c r="AE274" s="77">
        <f t="shared" si="61"/>
        <v>25.234999999999999</v>
      </c>
    </row>
    <row r="275" spans="2:31" x14ac:dyDescent="0.35">
      <c r="B275">
        <v>2022</v>
      </c>
      <c r="C275">
        <v>4</v>
      </c>
      <c r="D275">
        <v>12</v>
      </c>
      <c r="E275" s="78">
        <f>'CRU historical'!F252</f>
        <v>15</v>
      </c>
      <c r="F275" s="78">
        <f>'CRU historical'!I252</f>
        <v>36.5</v>
      </c>
      <c r="G275" s="78">
        <f>'CRU historical'!L252</f>
        <v>16.5</v>
      </c>
      <c r="H275" s="78" t="str">
        <f>'CRU historical'!O252</f>
        <v xml:space="preserve"> </v>
      </c>
      <c r="I275" s="78">
        <f>'CRU historical'!R252</f>
        <v>177.75</v>
      </c>
      <c r="J275" s="78">
        <f>AVERAGE('CRU historical'!U252, 'CRU historical'!X252, 'CRU historical'!AA252, 'CRU historical'!AD252)</f>
        <v>113</v>
      </c>
      <c r="L275" s="78" cm="1">
        <f t="array" ref="L275">IFERROR(SUMPRODUCT(('Sulphuric Acid freights'!$B$3:$B$513=B285)*('Sulphuric Acid freights'!$D$3:$D$513=D275)*('Sulphuric Acid freights'!$P$3:$P$513))/SUMPRODUCT(('Sulphuric Acid freights'!$B$3:$B$513=B285)*('Sulphuric Acid freights'!$D$3:$D$513=D275)*1), AVERAGE('Sulphuric Acid freights'!$P$3:$P$513))*2/3</f>
        <v>73.333333333333329</v>
      </c>
      <c r="M275" s="78" cm="1">
        <f t="array" ref="M275">IFERROR(SUMPRODUCT(('Sulphuric Acid freights'!$B$3:$B$513=B285)*('Sulphuric Acid freights'!$D$3:$D$513=D275)*('Sulphuric Acid freights'!$M$3:$M$513))/SUMPRODUCT(('Sulphuric Acid freights'!$B$3:$B$513=B285)*('Sulphuric Acid freights'!$D$3:$D$513=D275)*1)*2/3, AVERAGE('Sulphuric Acid freights'!$M$3:$M$513))</f>
        <v>20.533333333333335</v>
      </c>
      <c r="N275" s="78">
        <f t="shared" si="52"/>
        <v>66</v>
      </c>
      <c r="O275" s="78" cm="1">
        <f t="array" ref="O275">IF(SUMPRODUCT(('Sulphur freight'!$B$3:$B$1976=B285)*('Sulphur freight'!$D$3:$D$1976=D275)*('Sulphur freight'!$G$3:$G$1976))/SUMPRODUCT(('Sulphur freight'!$B$3:$B$1976=B285)*('Sulphur freight'!$D$3:$D$1976=D275)*1)=0, AVERAGE('Sulphur freight'!$G$3:$G$1976),SUMPRODUCT(('Sulphur freight'!$B$3:$B$1976=B285)*('Sulphur freight'!$D$3:$D$1976=D275)*('Sulphur freight'!$G$3:$G$1976))/SUMPRODUCT(('Sulphur freight'!$B$3:$B$1976=B285)*('Sulphur freight'!$D$3:$D$1976=D275)*1))</f>
        <v>23</v>
      </c>
      <c r="P275" s="78">
        <v>20</v>
      </c>
      <c r="R275" s="78" t="str">
        <f t="shared" si="53"/>
        <v xml:space="preserve"> </v>
      </c>
      <c r="S275" s="78">
        <f t="shared" si="54"/>
        <v>57.033333333333331</v>
      </c>
      <c r="T275" s="78">
        <f t="shared" si="49"/>
        <v>88.333333333333329</v>
      </c>
      <c r="U275" s="78">
        <f t="shared" si="55"/>
        <v>82.5</v>
      </c>
      <c r="V275" s="78">
        <f>IFERROR(I275+O275, "")</f>
        <v>200.75</v>
      </c>
      <c r="W275" s="78">
        <f t="shared" si="56"/>
        <v>133</v>
      </c>
      <c r="X275" s="78">
        <f t="shared" si="57"/>
        <v>84.247500000000002</v>
      </c>
      <c r="Y275" s="78">
        <f t="shared" si="58"/>
        <v>61.89</v>
      </c>
      <c r="AA275" s="88">
        <f t="shared" si="59"/>
        <v>74.063333333333333</v>
      </c>
      <c r="AB275" s="77">
        <f t="shared" si="50"/>
        <v>10.18416666666667</v>
      </c>
      <c r="AD275" s="88">
        <f t="shared" si="60"/>
        <v>61.89</v>
      </c>
      <c r="AE275" s="77">
        <f t="shared" si="61"/>
        <v>12.173333333333332</v>
      </c>
    </row>
    <row r="276" spans="2:31" x14ac:dyDescent="0.35">
      <c r="B276">
        <v>2022</v>
      </c>
      <c r="C276">
        <v>1</v>
      </c>
      <c r="D276">
        <v>1</v>
      </c>
      <c r="E276" s="78">
        <f>'CRU historical'!F253</f>
        <v>10.75</v>
      </c>
      <c r="F276" s="78">
        <f>'CRU historical'!I253</f>
        <v>34</v>
      </c>
      <c r="G276" s="78">
        <f>'CRU historical'!L253</f>
        <v>15</v>
      </c>
      <c r="H276" s="78" t="str">
        <f>'CRU historical'!O253</f>
        <v xml:space="preserve"> </v>
      </c>
      <c r="I276" s="78">
        <f>'CRU historical'!R253</f>
        <v>141.25</v>
      </c>
      <c r="J276" s="78">
        <f>AVERAGE('CRU historical'!U253, 'CRU historical'!X253, 'CRU historical'!AA253, 'CRU historical'!AD253)</f>
        <v>149</v>
      </c>
      <c r="L276" s="78" cm="1">
        <f t="array" ref="L276">IFERROR(SUMPRODUCT(('Sulphuric Acid freights'!$B$3:$B$513=B286)*('Sulphuric Acid freights'!$D$3:$D$513=D276)*('Sulphuric Acid freights'!$P$3:$P$513))/SUMPRODUCT(('Sulphuric Acid freights'!$B$3:$B$513=B286)*('Sulphuric Acid freights'!$D$3:$D$513=D276)*1), AVERAGE('Sulphuric Acid freights'!$P$3:$P$513))*2/3</f>
        <v>89.666666666666671</v>
      </c>
      <c r="M276" s="78" cm="1">
        <f t="array" ref="M276">IFERROR(SUMPRODUCT(('Sulphuric Acid freights'!$B$3:$B$513=B286)*('Sulphuric Acid freights'!$D$3:$D$513=D276)*('Sulphuric Acid freights'!$M$3:$M$513))/SUMPRODUCT(('Sulphuric Acid freights'!$B$3:$B$513=B286)*('Sulphuric Acid freights'!$D$3:$D$513=D276)*1)*2/3, AVERAGE('Sulphuric Acid freights'!$M$3:$M$513))</f>
        <v>26</v>
      </c>
      <c r="N276" s="78">
        <f t="shared" si="52"/>
        <v>80.7</v>
      </c>
      <c r="O276" s="78" cm="1">
        <f t="array" ref="O276">IF(SUMPRODUCT(('Sulphur freight'!$B$3:$B$1976=B286)*('Sulphur freight'!$D$3:$D$1976=D276)*('Sulphur freight'!$G$3:$G$1976))/SUMPRODUCT(('Sulphur freight'!$B$3:$B$1976=B286)*('Sulphur freight'!$D$3:$D$1976=D276)*1)=0, AVERAGE('Sulphur freight'!$G$3:$G$1976),SUMPRODUCT(('Sulphur freight'!$B$3:$B$1976=B286)*('Sulphur freight'!$D$3:$D$1976=D276)*('Sulphur freight'!$G$3:$G$1976))/SUMPRODUCT(('Sulphur freight'!$B$3:$B$1976=B286)*('Sulphur freight'!$D$3:$D$1976=D276)*1))</f>
        <v>28</v>
      </c>
      <c r="P276" s="78">
        <v>20</v>
      </c>
      <c r="R276" s="78" t="str">
        <f t="shared" si="53"/>
        <v xml:space="preserve"> </v>
      </c>
      <c r="S276" s="78">
        <f t="shared" si="54"/>
        <v>60</v>
      </c>
      <c r="T276" s="78">
        <f t="shared" si="49"/>
        <v>100.41666666666667</v>
      </c>
      <c r="U276" s="78">
        <f t="shared" si="55"/>
        <v>95.7</v>
      </c>
      <c r="V276" s="78">
        <f>IFERROR(I276+O276, "")</f>
        <v>169.25</v>
      </c>
      <c r="W276" s="78">
        <f t="shared" si="56"/>
        <v>169</v>
      </c>
      <c r="X276" s="78">
        <f t="shared" si="57"/>
        <v>73.852499999999992</v>
      </c>
      <c r="Y276" s="78">
        <f t="shared" si="58"/>
        <v>73.77000000000001</v>
      </c>
      <c r="AA276" s="88">
        <f t="shared" si="59"/>
        <v>82.835000000000008</v>
      </c>
      <c r="AB276" s="77">
        <f t="shared" si="50"/>
        <v>-8.9825000000000159</v>
      </c>
      <c r="AD276" s="88">
        <f t="shared" si="60"/>
        <v>70.710000000000008</v>
      </c>
      <c r="AE276" s="77">
        <f t="shared" si="61"/>
        <v>12.125</v>
      </c>
    </row>
    <row r="277" spans="2:31" x14ac:dyDescent="0.35">
      <c r="B277">
        <v>2022</v>
      </c>
      <c r="C277">
        <v>1</v>
      </c>
      <c r="D277">
        <v>2</v>
      </c>
      <c r="E277" s="78">
        <f>'CRU historical'!F254</f>
        <v>6.75</v>
      </c>
      <c r="F277" s="78">
        <f>'CRU historical'!I254</f>
        <v>28</v>
      </c>
      <c r="G277" s="78">
        <f>'CRU historical'!L254</f>
        <v>7.75</v>
      </c>
      <c r="H277" s="78" t="str">
        <f>'CRU historical'!O254</f>
        <v xml:space="preserve"> </v>
      </c>
      <c r="I277" s="78">
        <f>'CRU historical'!R254</f>
        <v>128.25</v>
      </c>
      <c r="J277" s="78">
        <f>AVERAGE('CRU historical'!U254, 'CRU historical'!X254, 'CRU historical'!AA254, 'CRU historical'!AD254)</f>
        <v>161</v>
      </c>
      <c r="L277" s="78" cm="1">
        <f t="array" ref="L277">IFERROR(SUMPRODUCT(('Sulphuric Acid freights'!$B$3:$B$513=B287)*('Sulphuric Acid freights'!$D$3:$D$513=D277)*('Sulphuric Acid freights'!$P$3:$P$513))/SUMPRODUCT(('Sulphuric Acid freights'!$B$3:$B$513=B287)*('Sulphuric Acid freights'!$D$3:$D$513=D277)*1), AVERAGE('Sulphuric Acid freights'!$P$3:$P$513))*2/3</f>
        <v>86.333333333333329</v>
      </c>
      <c r="M277" s="78" cm="1">
        <f t="array" ref="M277">IFERROR(SUMPRODUCT(('Sulphuric Acid freights'!$B$3:$B$513=B287)*('Sulphuric Acid freights'!$D$3:$D$513=D277)*('Sulphuric Acid freights'!$M$3:$M$513))/SUMPRODUCT(('Sulphuric Acid freights'!$B$3:$B$513=B287)*('Sulphuric Acid freights'!$D$3:$D$513=D277)*1)*2/3, AVERAGE('Sulphuric Acid freights'!$M$3:$M$513))</f>
        <v>26.333333333333332</v>
      </c>
      <c r="N277" s="78">
        <f t="shared" si="52"/>
        <v>77.7</v>
      </c>
      <c r="O277" s="78" cm="1">
        <f t="array" ref="O277">IF(SUMPRODUCT(('Sulphur freight'!$B$3:$B$1976=B287)*('Sulphur freight'!$D$3:$D$1976=D277)*('Sulphur freight'!$G$3:$G$1976))/SUMPRODUCT(('Sulphur freight'!$B$3:$B$1976=B287)*('Sulphur freight'!$D$3:$D$1976=D277)*1)=0, AVERAGE('Sulphur freight'!$G$3:$G$1976),SUMPRODUCT(('Sulphur freight'!$B$3:$B$1976=B287)*('Sulphur freight'!$D$3:$D$1976=D277)*('Sulphur freight'!$G$3:$G$1976))/SUMPRODUCT(('Sulphur freight'!$B$3:$B$1976=B287)*('Sulphur freight'!$D$3:$D$1976=D277)*1))</f>
        <v>29.5</v>
      </c>
      <c r="P277" s="78">
        <v>20</v>
      </c>
      <c r="R277" s="78" t="str">
        <f t="shared" si="53"/>
        <v xml:space="preserve"> </v>
      </c>
      <c r="S277" s="78">
        <f t="shared" si="54"/>
        <v>54.333333333333329</v>
      </c>
      <c r="T277" s="78">
        <f t="shared" si="49"/>
        <v>93.083333333333329</v>
      </c>
      <c r="U277" s="78">
        <f t="shared" si="55"/>
        <v>85.45</v>
      </c>
      <c r="V277" s="78">
        <f>IFERROR(I277+O277, "")</f>
        <v>157.75</v>
      </c>
      <c r="W277" s="78">
        <f t="shared" si="56"/>
        <v>181</v>
      </c>
      <c r="X277" s="78">
        <f t="shared" si="57"/>
        <v>70.057500000000005</v>
      </c>
      <c r="Y277" s="78">
        <f t="shared" si="58"/>
        <v>77.73</v>
      </c>
      <c r="AA277" s="88">
        <f t="shared" si="59"/>
        <v>75.293333333333337</v>
      </c>
      <c r="AB277" s="77">
        <f t="shared" si="50"/>
        <v>2.4366666666666674</v>
      </c>
      <c r="AD277" s="88">
        <f t="shared" si="60"/>
        <v>63.668333333333322</v>
      </c>
      <c r="AE277" s="77">
        <f t="shared" si="61"/>
        <v>11.625000000000014</v>
      </c>
    </row>
    <row r="278" spans="2:31" x14ac:dyDescent="0.35">
      <c r="B278">
        <v>2022</v>
      </c>
      <c r="C278">
        <v>1</v>
      </c>
      <c r="D278">
        <v>3</v>
      </c>
      <c r="E278" s="78">
        <f>'CRU historical'!F255</f>
        <v>-4.8</v>
      </c>
      <c r="F278" s="78">
        <f>'CRU historical'!I255</f>
        <v>11.6</v>
      </c>
      <c r="G278" s="78">
        <f>'CRU historical'!L255</f>
        <v>0.6</v>
      </c>
      <c r="H278" s="78" t="str">
        <f>'CRU historical'!O255</f>
        <v xml:space="preserve"> </v>
      </c>
      <c r="I278" s="78">
        <f>'CRU historical'!R255</f>
        <v>125.6</v>
      </c>
      <c r="J278" s="78">
        <f>AVERAGE('CRU historical'!U255, 'CRU historical'!X255, 'CRU historical'!AA255, 'CRU historical'!AD255)</f>
        <v>161</v>
      </c>
      <c r="L278" s="78" cm="1">
        <f t="array" ref="L278">IFERROR(SUMPRODUCT(('Sulphuric Acid freights'!$B$3:$B$513=B288)*('Sulphuric Acid freights'!$D$3:$D$513=D278)*('Sulphuric Acid freights'!$P$3:$P$513))/SUMPRODUCT(('Sulphuric Acid freights'!$B$3:$B$513=B288)*('Sulphuric Acid freights'!$D$3:$D$513=D278)*1), AVERAGE('Sulphuric Acid freights'!$P$3:$P$513))*2/3</f>
        <v>83.733333333333334</v>
      </c>
      <c r="M278" s="78" cm="1">
        <f t="array" ref="M278">IFERROR(SUMPRODUCT(('Sulphuric Acid freights'!$B$3:$B$513=B288)*('Sulphuric Acid freights'!$D$3:$D$513=D278)*('Sulphuric Acid freights'!$M$3:$M$513))/SUMPRODUCT(('Sulphuric Acid freights'!$B$3:$B$513=B288)*('Sulphuric Acid freights'!$D$3:$D$513=D278)*1)*2/3, AVERAGE('Sulphuric Acid freights'!$M$3:$M$513))</f>
        <v>24.8</v>
      </c>
      <c r="N278" s="78">
        <f t="shared" si="52"/>
        <v>75.36</v>
      </c>
      <c r="O278" s="78" cm="1">
        <f t="array" ref="O278">IF(SUMPRODUCT(('Sulphur freight'!$B$3:$B$1976=B288)*('Sulphur freight'!$D$3:$D$1976=D278)*('Sulphur freight'!$G$3:$G$1976))/SUMPRODUCT(('Sulphur freight'!$B$3:$B$1976=B288)*('Sulphur freight'!$D$3:$D$1976=D278)*1)=0, AVERAGE('Sulphur freight'!$G$3:$G$1976),SUMPRODUCT(('Sulphur freight'!$B$3:$B$1976=B288)*('Sulphur freight'!$D$3:$D$1976=D278)*('Sulphur freight'!$G$3:$G$1976))/SUMPRODUCT(('Sulphur freight'!$B$3:$B$1976=B288)*('Sulphur freight'!$D$3:$D$1976=D278)*1))</f>
        <v>36</v>
      </c>
      <c r="P278" s="78">
        <v>20</v>
      </c>
      <c r="R278" s="78" t="str">
        <f t="shared" si="53"/>
        <v xml:space="preserve"> </v>
      </c>
      <c r="S278" s="78">
        <f t="shared" si="54"/>
        <v>36.4</v>
      </c>
      <c r="T278" s="78">
        <f t="shared" si="49"/>
        <v>78.933333333333337</v>
      </c>
      <c r="U278" s="78">
        <f t="shared" si="55"/>
        <v>75.959999999999994</v>
      </c>
      <c r="V278" s="78">
        <f>IFERROR(I278+O278, "")</f>
        <v>161.6</v>
      </c>
      <c r="W278" s="78">
        <f t="shared" si="56"/>
        <v>181</v>
      </c>
      <c r="X278" s="78">
        <f t="shared" si="57"/>
        <v>71.328000000000003</v>
      </c>
      <c r="Y278" s="78">
        <f t="shared" si="58"/>
        <v>77.73</v>
      </c>
      <c r="AA278" s="88">
        <f t="shared" si="59"/>
        <v>61.027999999999999</v>
      </c>
      <c r="AB278" s="77">
        <f t="shared" si="50"/>
        <v>16.702000000000005</v>
      </c>
      <c r="AD278" s="88">
        <f t="shared" si="60"/>
        <v>48.267999999999994</v>
      </c>
      <c r="AE278" s="77">
        <f t="shared" si="61"/>
        <v>12.760000000000005</v>
      </c>
    </row>
    <row r="279" spans="2:31" x14ac:dyDescent="0.35">
      <c r="B279">
        <v>2022</v>
      </c>
      <c r="C279">
        <v>2</v>
      </c>
      <c r="D279">
        <v>4</v>
      </c>
      <c r="E279" s="78">
        <f>'CRU historical'!F256</f>
        <v>-0.75</v>
      </c>
      <c r="F279" s="78">
        <f>'CRU historical'!I256</f>
        <v>10</v>
      </c>
      <c r="G279" s="78">
        <f>'CRU historical'!L256</f>
        <v>3</v>
      </c>
      <c r="H279" s="78" t="str">
        <f>'CRU historical'!O256</f>
        <v xml:space="preserve"> </v>
      </c>
      <c r="I279" s="78">
        <f>'CRU historical'!R256</f>
        <v>96.5</v>
      </c>
      <c r="J279" s="78">
        <f>AVERAGE('CRU historical'!U256, 'CRU historical'!X256, 'CRU historical'!AA256, 'CRU historical'!AD256)</f>
        <v>143</v>
      </c>
      <c r="L279" s="78" cm="1">
        <f t="array" ref="L279">IFERROR(SUMPRODUCT(('Sulphuric Acid freights'!$B$3:$B$513=B289)*('Sulphuric Acid freights'!$D$3:$D$513=D279)*('Sulphuric Acid freights'!$P$3:$P$513))/SUMPRODUCT(('Sulphuric Acid freights'!$B$3:$B$513=B289)*('Sulphuric Acid freights'!$D$3:$D$513=D279)*1), AVERAGE('Sulphuric Acid freights'!$P$3:$P$513))*2/3</f>
        <v>79</v>
      </c>
      <c r="M279" s="78" cm="1">
        <f t="array" ref="M279">IFERROR(SUMPRODUCT(('Sulphuric Acid freights'!$B$3:$B$513=B289)*('Sulphuric Acid freights'!$D$3:$D$513=D279)*('Sulphuric Acid freights'!$M$3:$M$513))/SUMPRODUCT(('Sulphuric Acid freights'!$B$3:$B$513=B289)*('Sulphuric Acid freights'!$D$3:$D$513=D279)*1)*2/3, AVERAGE('Sulphuric Acid freights'!$M$3:$M$513))</f>
        <v>24</v>
      </c>
      <c r="N279" s="78">
        <f t="shared" si="52"/>
        <v>71.100000000000009</v>
      </c>
      <c r="O279" s="78" cm="1">
        <f t="array" ref="O279">IF(SUMPRODUCT(('Sulphur freight'!$B$3:$B$1976=B289)*('Sulphur freight'!$D$3:$D$1976=D279)*('Sulphur freight'!$G$3:$G$1976))/SUMPRODUCT(('Sulphur freight'!$B$3:$B$1976=B289)*('Sulphur freight'!$D$3:$D$1976=D279)*1)=0, AVERAGE('Sulphur freight'!$G$3:$G$1976),SUMPRODUCT(('Sulphur freight'!$B$3:$B$1976=B289)*('Sulphur freight'!$D$3:$D$1976=D279)*('Sulphur freight'!$G$3:$G$1976))/SUMPRODUCT(('Sulphur freight'!$B$3:$B$1976=B289)*('Sulphur freight'!$D$3:$D$1976=D279)*1))</f>
        <v>32</v>
      </c>
      <c r="P279" s="78">
        <v>20</v>
      </c>
      <c r="R279" s="78" t="str">
        <f t="shared" si="53"/>
        <v xml:space="preserve"> </v>
      </c>
      <c r="S279" s="78">
        <f t="shared" si="54"/>
        <v>34</v>
      </c>
      <c r="T279" s="78">
        <f t="shared" si="49"/>
        <v>78.25</v>
      </c>
      <c r="U279" s="78">
        <f t="shared" si="55"/>
        <v>74.100000000000009</v>
      </c>
      <c r="V279" s="78">
        <f>IFERROR(I279+O279, "")</f>
        <v>128.5</v>
      </c>
      <c r="W279" s="78">
        <f t="shared" si="56"/>
        <v>163</v>
      </c>
      <c r="X279" s="78">
        <f t="shared" si="57"/>
        <v>60.405000000000001</v>
      </c>
      <c r="Y279" s="78">
        <f t="shared" si="58"/>
        <v>71.789999999999992</v>
      </c>
      <c r="AA279" s="88">
        <f t="shared" si="59"/>
        <v>59.305000000000007</v>
      </c>
      <c r="AB279" s="77">
        <f t="shared" si="50"/>
        <v>12.484999999999985</v>
      </c>
      <c r="AD279" s="88">
        <f t="shared" si="60"/>
        <v>46.03</v>
      </c>
      <c r="AE279" s="77">
        <f t="shared" si="61"/>
        <v>13.275000000000006</v>
      </c>
    </row>
    <row r="280" spans="2:31" x14ac:dyDescent="0.35">
      <c r="B280">
        <v>2022</v>
      </c>
      <c r="C280">
        <v>2</v>
      </c>
      <c r="D280">
        <v>5</v>
      </c>
      <c r="E280" s="78">
        <f>'CRU historical'!F257</f>
        <v>2.25</v>
      </c>
      <c r="F280" s="78">
        <f>'CRU historical'!I257</f>
        <v>13</v>
      </c>
      <c r="G280" s="78">
        <f>'CRU historical'!L257</f>
        <v>4.5</v>
      </c>
      <c r="H280" s="78" t="str">
        <f>'CRU historical'!O257</f>
        <v xml:space="preserve"> </v>
      </c>
      <c r="I280" s="78">
        <f>'CRU historical'!R257</f>
        <v>85</v>
      </c>
      <c r="J280" s="78">
        <f>AVERAGE('CRU historical'!U257, 'CRU historical'!X257, 'CRU historical'!AA257, 'CRU historical'!AD257)</f>
        <v>125</v>
      </c>
      <c r="L280" s="78" cm="1">
        <f t="array" ref="L280">IFERROR(SUMPRODUCT(('Sulphuric Acid freights'!$B$3:$B$513=B290)*('Sulphuric Acid freights'!$D$3:$D$513=D280)*('Sulphuric Acid freights'!$P$3:$P$513))/SUMPRODUCT(('Sulphuric Acid freights'!$B$3:$B$513=B290)*('Sulphuric Acid freights'!$D$3:$D$513=D280)*1), AVERAGE('Sulphuric Acid freights'!$P$3:$P$513))*2/3</f>
        <v>75.333333333333329</v>
      </c>
      <c r="M280" s="78" cm="1">
        <f t="array" ref="M280">IFERROR(SUMPRODUCT(('Sulphuric Acid freights'!$B$3:$B$513=B290)*('Sulphuric Acid freights'!$D$3:$D$513=D280)*('Sulphuric Acid freights'!$M$3:$M$513))/SUMPRODUCT(('Sulphuric Acid freights'!$B$3:$B$513=B290)*('Sulphuric Acid freights'!$D$3:$D$513=D280)*1)*2/3, AVERAGE('Sulphuric Acid freights'!$M$3:$M$513))</f>
        <v>24</v>
      </c>
      <c r="N280" s="78">
        <f t="shared" si="52"/>
        <v>67.8</v>
      </c>
      <c r="O280" s="78" cm="1">
        <f t="array" ref="O280">IF(SUMPRODUCT(('Sulphur freight'!$B$3:$B$1976=B290)*('Sulphur freight'!$D$3:$D$1976=D280)*('Sulphur freight'!$G$3:$G$1976))/SUMPRODUCT(('Sulphur freight'!$B$3:$B$1976=B290)*('Sulphur freight'!$D$3:$D$1976=D280)*1)=0, AVERAGE('Sulphur freight'!$G$3:$G$1976),SUMPRODUCT(('Sulphur freight'!$B$3:$B$1976=B290)*('Sulphur freight'!$D$3:$D$1976=D280)*('Sulphur freight'!$G$3:$G$1976))/SUMPRODUCT(('Sulphur freight'!$B$3:$B$1976=B290)*('Sulphur freight'!$D$3:$D$1976=D280)*1))</f>
        <v>30.5</v>
      </c>
      <c r="P280" s="78">
        <v>20</v>
      </c>
      <c r="R280" s="78" t="str">
        <f t="shared" si="53"/>
        <v xml:space="preserve"> </v>
      </c>
      <c r="S280" s="78">
        <f t="shared" si="54"/>
        <v>37</v>
      </c>
      <c r="T280" s="78">
        <f t="shared" si="49"/>
        <v>77.583333333333329</v>
      </c>
      <c r="U280" s="78">
        <f t="shared" si="55"/>
        <v>72.3</v>
      </c>
      <c r="V280" s="78">
        <f>IFERROR(I280+O280, "")</f>
        <v>115.5</v>
      </c>
      <c r="W280" s="78">
        <f t="shared" si="56"/>
        <v>145</v>
      </c>
      <c r="X280" s="78">
        <f t="shared" si="57"/>
        <v>56.115000000000002</v>
      </c>
      <c r="Y280" s="78">
        <f t="shared" si="58"/>
        <v>65.849999999999994</v>
      </c>
      <c r="AA280" s="88">
        <f t="shared" si="59"/>
        <v>59.765000000000001</v>
      </c>
      <c r="AB280" s="77">
        <f t="shared" si="50"/>
        <v>6.0849999999999937</v>
      </c>
      <c r="AD280" s="88">
        <f t="shared" si="60"/>
        <v>47.589999999999996</v>
      </c>
      <c r="AE280" s="77">
        <f t="shared" si="61"/>
        <v>12.175000000000004</v>
      </c>
    </row>
    <row r="281" spans="2:31" x14ac:dyDescent="0.35">
      <c r="B281">
        <v>2022</v>
      </c>
      <c r="C281">
        <v>2</v>
      </c>
      <c r="D281">
        <v>6</v>
      </c>
      <c r="E281" s="78">
        <f>'CRU historical'!F258</f>
        <v>0</v>
      </c>
      <c r="F281" s="78">
        <f>'CRU historical'!I258</f>
        <v>11.8</v>
      </c>
      <c r="G281" s="78">
        <f>'CRU historical'!L258</f>
        <v>3</v>
      </c>
      <c r="H281" s="78" t="str">
        <f>'CRU historical'!O258</f>
        <v xml:space="preserve"> </v>
      </c>
      <c r="I281" s="78">
        <f>'CRU historical'!R258</f>
        <v>73.8</v>
      </c>
      <c r="J281" s="78">
        <f>AVERAGE('CRU historical'!U258, 'CRU historical'!X258, 'CRU historical'!AA258, 'CRU historical'!AD258)</f>
        <v>125</v>
      </c>
      <c r="L281" s="78" cm="1">
        <f t="array" ref="L281">IFERROR(SUMPRODUCT(('Sulphuric Acid freights'!$B$3:$B$513=B291)*('Sulphuric Acid freights'!$D$3:$D$513=D281)*('Sulphuric Acid freights'!$P$3:$P$513))/SUMPRODUCT(('Sulphuric Acid freights'!$B$3:$B$513=B291)*('Sulphuric Acid freights'!$D$3:$D$513=D281)*1), AVERAGE('Sulphuric Acid freights'!$P$3:$P$513))*2/3</f>
        <v>70.666666666666671</v>
      </c>
      <c r="M281" s="78" cm="1">
        <f t="array" ref="M281">IFERROR(SUMPRODUCT(('Sulphuric Acid freights'!$B$3:$B$513=B291)*('Sulphuric Acid freights'!$D$3:$D$513=D281)*('Sulphuric Acid freights'!$M$3:$M$513))/SUMPRODUCT(('Sulphuric Acid freights'!$B$3:$B$513=B291)*('Sulphuric Acid freights'!$D$3:$D$513=D281)*1)*2/3, AVERAGE('Sulphuric Acid freights'!$M$3:$M$513))</f>
        <v>22.666666666666668</v>
      </c>
      <c r="N281" s="78">
        <f t="shared" si="52"/>
        <v>63.600000000000009</v>
      </c>
      <c r="O281" s="78" cm="1">
        <f t="array" ref="O281">IF(SUMPRODUCT(('Sulphur freight'!$B$3:$B$1976=B291)*('Sulphur freight'!$D$3:$D$1976=D281)*('Sulphur freight'!$G$3:$G$1976))/SUMPRODUCT(('Sulphur freight'!$B$3:$B$1976=B291)*('Sulphur freight'!$D$3:$D$1976=D281)*1)=0, AVERAGE('Sulphur freight'!$G$3:$G$1976),SUMPRODUCT(('Sulphur freight'!$B$3:$B$1976=B291)*('Sulphur freight'!$D$3:$D$1976=D281)*('Sulphur freight'!$G$3:$G$1976))/SUMPRODUCT(('Sulphur freight'!$B$3:$B$1976=B291)*('Sulphur freight'!$D$3:$D$1976=D281)*1))</f>
        <v>27.2</v>
      </c>
      <c r="P281" s="78">
        <v>20</v>
      </c>
      <c r="R281" s="78" t="str">
        <f t="shared" si="53"/>
        <v xml:space="preserve"> </v>
      </c>
      <c r="S281" s="78">
        <f t="shared" si="54"/>
        <v>34.466666666666669</v>
      </c>
      <c r="T281" s="78">
        <f t="shared" si="49"/>
        <v>70.666666666666671</v>
      </c>
      <c r="U281" s="78">
        <f t="shared" si="55"/>
        <v>66.600000000000009</v>
      </c>
      <c r="V281" s="78">
        <f>IFERROR(I281+O281, "")</f>
        <v>101</v>
      </c>
      <c r="W281" s="78">
        <f t="shared" si="56"/>
        <v>145</v>
      </c>
      <c r="X281" s="78">
        <f t="shared" si="57"/>
        <v>51.33</v>
      </c>
      <c r="Y281" s="78">
        <f t="shared" si="58"/>
        <v>65.849999999999994</v>
      </c>
      <c r="AA281" s="88">
        <f t="shared" si="59"/>
        <v>54.966666666666669</v>
      </c>
      <c r="AB281" s="77">
        <f t="shared" si="50"/>
        <v>10.883333333333326</v>
      </c>
      <c r="AD281" s="88">
        <f t="shared" si="60"/>
        <v>44.106666666666669</v>
      </c>
      <c r="AE281" s="77">
        <f t="shared" si="61"/>
        <v>10.86</v>
      </c>
    </row>
    <row r="282" spans="2:31" x14ac:dyDescent="0.35">
      <c r="B282">
        <v>2022</v>
      </c>
      <c r="C282">
        <v>3</v>
      </c>
      <c r="D282">
        <v>7</v>
      </c>
      <c r="E282" s="78">
        <f>'CRU historical'!F259</f>
        <v>-3.75</v>
      </c>
      <c r="F282" s="78">
        <f>'CRU historical'!I259</f>
        <v>10</v>
      </c>
      <c r="G282" s="78">
        <f>'CRU historical'!L259</f>
        <v>-3.75</v>
      </c>
      <c r="H282" s="78" t="str">
        <f>'CRU historical'!O259</f>
        <v xml:space="preserve"> </v>
      </c>
      <c r="I282" s="78">
        <f>'CRU historical'!R259</f>
        <v>69.5</v>
      </c>
      <c r="J282" s="78">
        <f>AVERAGE('CRU historical'!U259, 'CRU historical'!X259, 'CRU historical'!AA259, 'CRU historical'!AD259)</f>
        <v>89</v>
      </c>
      <c r="L282" s="78" cm="1">
        <f t="array" ref="L282">IFERROR(SUMPRODUCT(('Sulphuric Acid freights'!$B$3:$B$513=B292)*('Sulphuric Acid freights'!$D$3:$D$513=D282)*('Sulphuric Acid freights'!$P$3:$P$513))/SUMPRODUCT(('Sulphuric Acid freights'!$B$3:$B$513=B292)*('Sulphuric Acid freights'!$D$3:$D$513=D282)*1), AVERAGE('Sulphuric Acid freights'!$P$3:$P$513))*2/3</f>
        <v>71.666666666666671</v>
      </c>
      <c r="M282" s="78" cm="1">
        <f t="array" ref="M282">IFERROR(SUMPRODUCT(('Sulphuric Acid freights'!$B$3:$B$513=B292)*('Sulphuric Acid freights'!$D$3:$D$513=D282)*('Sulphuric Acid freights'!$M$3:$M$513))/SUMPRODUCT(('Sulphuric Acid freights'!$B$3:$B$513=B292)*('Sulphuric Acid freights'!$D$3:$D$513=D282)*1)*2/3, AVERAGE('Sulphuric Acid freights'!$M$3:$M$513))</f>
        <v>21.333333333333332</v>
      </c>
      <c r="N282" s="78">
        <f t="shared" si="52"/>
        <v>64.5</v>
      </c>
      <c r="O282" s="78" cm="1">
        <f t="array" ref="O282">IF(SUMPRODUCT(('Sulphur freight'!$B$3:$B$1976=B292)*('Sulphur freight'!$D$3:$D$1976=D282)*('Sulphur freight'!$G$3:$G$1976))/SUMPRODUCT(('Sulphur freight'!$B$3:$B$1976=B292)*('Sulphur freight'!$D$3:$D$1976=D282)*1)=0, AVERAGE('Sulphur freight'!$G$3:$G$1976),SUMPRODUCT(('Sulphur freight'!$B$3:$B$1976=B292)*('Sulphur freight'!$D$3:$D$1976=D282)*('Sulphur freight'!$G$3:$G$1976))/SUMPRODUCT(('Sulphur freight'!$B$3:$B$1976=B292)*('Sulphur freight'!$D$3:$D$1976=D282)*1))</f>
        <v>25.75</v>
      </c>
      <c r="P282" s="78">
        <v>20</v>
      </c>
      <c r="R282" s="78" t="str">
        <f t="shared" si="53"/>
        <v xml:space="preserve"> </v>
      </c>
      <c r="S282" s="78">
        <f t="shared" si="54"/>
        <v>31.333333333333332</v>
      </c>
      <c r="T282" s="78">
        <f t="shared" si="49"/>
        <v>67.916666666666671</v>
      </c>
      <c r="U282" s="78">
        <f t="shared" si="55"/>
        <v>60.75</v>
      </c>
      <c r="V282" s="78">
        <f>IFERROR(I282+O282, "")</f>
        <v>95.25</v>
      </c>
      <c r="W282" s="78">
        <f t="shared" si="56"/>
        <v>109</v>
      </c>
      <c r="X282" s="78">
        <f t="shared" si="57"/>
        <v>49.432500000000005</v>
      </c>
      <c r="Y282" s="78">
        <f t="shared" si="58"/>
        <v>53.97</v>
      </c>
      <c r="AA282" s="88">
        <f t="shared" si="59"/>
        <v>51.133333333333326</v>
      </c>
      <c r="AB282" s="77">
        <f t="shared" si="50"/>
        <v>2.8366666666666731</v>
      </c>
      <c r="AD282" s="88">
        <f t="shared" si="60"/>
        <v>40.158333333333331</v>
      </c>
      <c r="AE282" s="77">
        <f t="shared" si="61"/>
        <v>10.974999999999994</v>
      </c>
    </row>
    <row r="283" spans="2:31" x14ac:dyDescent="0.35">
      <c r="B283">
        <v>2022</v>
      </c>
      <c r="C283">
        <v>3</v>
      </c>
      <c r="D283">
        <v>8</v>
      </c>
      <c r="E283" s="78">
        <f>'CRU historical'!F260</f>
        <v>-1</v>
      </c>
      <c r="F283" s="78">
        <f>'CRU historical'!I260</f>
        <v>16</v>
      </c>
      <c r="G283" s="78">
        <f>'CRU historical'!L260</f>
        <v>7</v>
      </c>
      <c r="H283" s="78">
        <f>'CRU historical'!O260</f>
        <v>90</v>
      </c>
      <c r="I283" s="78">
        <f>'CRU historical'!R260</f>
        <v>91.6</v>
      </c>
      <c r="J283" s="78">
        <f>AVERAGE('CRU historical'!U260, 'CRU historical'!X260, 'CRU historical'!AA260, 'CRU historical'!AD260)</f>
        <v>77</v>
      </c>
      <c r="L283" s="78" cm="1">
        <f t="array" ref="L283">IFERROR(SUMPRODUCT(('Sulphuric Acid freights'!$B$3:$B$513=B293)*('Sulphuric Acid freights'!$D$3:$D$513=D283)*('Sulphuric Acid freights'!$P$3:$P$513))/SUMPRODUCT(('Sulphuric Acid freights'!$B$3:$B$513=B293)*('Sulphuric Acid freights'!$D$3:$D$513=D283)*1), AVERAGE('Sulphuric Acid freights'!$P$3:$P$513))*2/3</f>
        <v>72</v>
      </c>
      <c r="M283" s="78" cm="1">
        <f t="array" ref="M283">IFERROR(SUMPRODUCT(('Sulphuric Acid freights'!$B$3:$B$513=B293)*('Sulphuric Acid freights'!$D$3:$D$513=D283)*('Sulphuric Acid freights'!$M$3:$M$513))/SUMPRODUCT(('Sulphuric Acid freights'!$B$3:$B$513=B293)*('Sulphuric Acid freights'!$D$3:$D$513=D283)*1)*2/3, AVERAGE('Sulphuric Acid freights'!$M$3:$M$513))</f>
        <v>17.866666666666667</v>
      </c>
      <c r="N283" s="78">
        <f t="shared" si="52"/>
        <v>64.8</v>
      </c>
      <c r="O283" s="78" cm="1">
        <f t="array" ref="O283">IF(SUMPRODUCT(('Sulphur freight'!$B$3:$B$1976=B293)*('Sulphur freight'!$D$3:$D$1976=D283)*('Sulphur freight'!$G$3:$G$1976))/SUMPRODUCT(('Sulphur freight'!$B$3:$B$1976=B293)*('Sulphur freight'!$D$3:$D$1976=D283)*1)=0, AVERAGE('Sulphur freight'!$G$3:$G$1976),SUMPRODUCT(('Sulphur freight'!$B$3:$B$1976=B293)*('Sulphur freight'!$D$3:$D$1976=D283)*('Sulphur freight'!$G$3:$G$1976))/SUMPRODUCT(('Sulphur freight'!$B$3:$B$1976=B293)*('Sulphur freight'!$D$3:$D$1976=D283)*1))</f>
        <v>28.8</v>
      </c>
      <c r="P283" s="78">
        <v>20</v>
      </c>
      <c r="R283" s="78">
        <f t="shared" si="53"/>
        <v>90</v>
      </c>
      <c r="S283" s="78">
        <f>IF(F283=0, "", F283+M283)</f>
        <v>33.866666666666667</v>
      </c>
      <c r="T283" s="78">
        <f t="shared" si="49"/>
        <v>71</v>
      </c>
      <c r="U283" s="78">
        <f t="shared" si="55"/>
        <v>71.8</v>
      </c>
      <c r="V283" s="78">
        <f>IFERROR(I283+O283, "")</f>
        <v>120.39999999999999</v>
      </c>
      <c r="W283" s="78">
        <f t="shared" si="56"/>
        <v>97</v>
      </c>
      <c r="X283" s="78">
        <f t="shared" si="57"/>
        <v>57.731999999999999</v>
      </c>
      <c r="Y283" s="78">
        <f t="shared" si="58"/>
        <v>50.01</v>
      </c>
      <c r="AA283" s="88">
        <f t="shared" si="59"/>
        <v>78.84</v>
      </c>
      <c r="AB283" s="77">
        <f t="shared" si="50"/>
        <v>-21.108000000000004</v>
      </c>
      <c r="AD283" s="88">
        <f t="shared" si="60"/>
        <v>50.01</v>
      </c>
      <c r="AE283" s="77">
        <f t="shared" si="61"/>
        <v>28.830000000000005</v>
      </c>
    </row>
    <row r="284" spans="2:31" x14ac:dyDescent="0.35">
      <c r="B284">
        <v>2022</v>
      </c>
      <c r="C284">
        <v>3</v>
      </c>
      <c r="D284">
        <v>9</v>
      </c>
      <c r="E284" s="78">
        <f>'CRU historical'!F261</f>
        <v>12.75</v>
      </c>
      <c r="F284" s="78">
        <f>'CRU historical'!I261</f>
        <v>47</v>
      </c>
      <c r="G284" s="78">
        <f>'CRU historical'!L261</f>
        <v>34.5</v>
      </c>
      <c r="H284" s="78">
        <f>'CRU historical'!O261</f>
        <v>90</v>
      </c>
      <c r="I284" s="78">
        <f>'CRU historical'!R261</f>
        <v>107.25</v>
      </c>
      <c r="J284" s="78">
        <f>AVERAGE('CRU historical'!U261, 'CRU historical'!X261, 'CRU historical'!AA261, 'CRU historical'!AD261)</f>
        <v>77</v>
      </c>
      <c r="L284" s="78" cm="1">
        <f t="array" ref="L284">IFERROR(SUMPRODUCT(('Sulphuric Acid freights'!$B$3:$B$513=B294)*('Sulphuric Acid freights'!$D$3:$D$513=D284)*('Sulphuric Acid freights'!$P$3:$P$513))/SUMPRODUCT(('Sulphuric Acid freights'!$B$3:$B$513=B294)*('Sulphuric Acid freights'!$D$3:$D$513=D284)*1), AVERAGE('Sulphuric Acid freights'!$P$3:$P$513))*2/3</f>
        <v>68</v>
      </c>
      <c r="M284" s="78" cm="1">
        <f t="array" ref="M284">IFERROR(SUMPRODUCT(('Sulphuric Acid freights'!$B$3:$B$513=B294)*('Sulphuric Acid freights'!$D$3:$D$513=D284)*('Sulphuric Acid freights'!$M$3:$M$513))/SUMPRODUCT(('Sulphuric Acid freights'!$B$3:$B$513=B294)*('Sulphuric Acid freights'!$D$3:$D$513=D284)*1)*2/3, AVERAGE('Sulphuric Acid freights'!$M$3:$M$513))</f>
        <v>18</v>
      </c>
      <c r="N284" s="78">
        <f t="shared" si="52"/>
        <v>61.2</v>
      </c>
      <c r="O284" s="78" cm="1">
        <f t="array" ref="O284">IF(SUMPRODUCT(('Sulphur freight'!$B$3:$B$1976=B294)*('Sulphur freight'!$D$3:$D$1976=D284)*('Sulphur freight'!$G$3:$G$1976))/SUMPRODUCT(('Sulphur freight'!$B$3:$B$1976=B294)*('Sulphur freight'!$D$3:$D$1976=D284)*1)=0, AVERAGE('Sulphur freight'!$G$3:$G$1976),SUMPRODUCT(('Sulphur freight'!$B$3:$B$1976=B294)*('Sulphur freight'!$D$3:$D$1976=D284)*('Sulphur freight'!$G$3:$G$1976))/SUMPRODUCT(('Sulphur freight'!$B$3:$B$1976=B294)*('Sulphur freight'!$D$3:$D$1976=D284)*1))</f>
        <v>31.75</v>
      </c>
      <c r="P284" s="78">
        <v>20</v>
      </c>
      <c r="R284" s="78">
        <f t="shared" si="53"/>
        <v>90</v>
      </c>
      <c r="S284" s="78">
        <f t="shared" ref="S284:S347" si="62">IF(F284=0, "", F284+M284)</f>
        <v>65</v>
      </c>
      <c r="T284" s="78">
        <f t="shared" ref="T284:T311" si="63">IFERROR( E284+L284, "")</f>
        <v>80.75</v>
      </c>
      <c r="U284" s="78">
        <f t="shared" si="55"/>
        <v>95.7</v>
      </c>
      <c r="V284" s="78">
        <f>IFERROR(I284+O284, "")</f>
        <v>139</v>
      </c>
      <c r="W284" s="78">
        <f t="shared" si="56"/>
        <v>97</v>
      </c>
      <c r="X284" s="78">
        <f t="shared" si="57"/>
        <v>63.870000000000005</v>
      </c>
      <c r="Y284" s="78">
        <f t="shared" si="58"/>
        <v>50.01</v>
      </c>
      <c r="AA284" s="88">
        <f t="shared" si="59"/>
        <v>88.935000000000002</v>
      </c>
      <c r="AB284" s="77">
        <f t="shared" ref="AB284:AB285" si="64">IF(AA284="", "", MAX(X284, Y284)-AA284)</f>
        <v>-25.064999999999998</v>
      </c>
      <c r="AD284" s="88">
        <f t="shared" si="60"/>
        <v>50.01</v>
      </c>
      <c r="AE284" s="77">
        <f t="shared" si="61"/>
        <v>38.925000000000004</v>
      </c>
    </row>
    <row r="285" spans="2:31" x14ac:dyDescent="0.35">
      <c r="B285">
        <v>2022</v>
      </c>
      <c r="C285">
        <v>4</v>
      </c>
      <c r="D285">
        <v>10</v>
      </c>
      <c r="E285" s="78">
        <f>'CRU historical'!F262</f>
        <v>18</v>
      </c>
      <c r="F285" s="78">
        <f>'CRU historical'!I262</f>
        <v>68.75</v>
      </c>
      <c r="G285" s="78">
        <f>'CRU historical'!L262</f>
        <v>41.75</v>
      </c>
      <c r="H285" s="78">
        <f>'CRU historical'!O262</f>
        <v>100</v>
      </c>
      <c r="I285" s="78">
        <f>'CRU historical'!R262</f>
        <v>107.75</v>
      </c>
      <c r="J285" s="78">
        <f>AVERAGE('CRU historical'!U262, 'CRU historical'!X262, 'CRU historical'!AA262, 'CRU historical'!AD262)</f>
        <v>96</v>
      </c>
      <c r="L285" s="78" cm="1">
        <f t="array" ref="L285">IFERROR(SUMPRODUCT(('Sulphuric Acid freights'!$B$3:$B$513=B295)*('Sulphuric Acid freights'!$D$3:$D$513=D285)*('Sulphuric Acid freights'!$P$3:$P$513))/SUMPRODUCT(('Sulphuric Acid freights'!$B$3:$B$513=B295)*('Sulphuric Acid freights'!$D$3:$D$513=D285)*1), AVERAGE('Sulphuric Acid freights'!$P$3:$P$513))*2/3</f>
        <v>69.666666666666671</v>
      </c>
      <c r="M285" s="78" cm="1">
        <f t="array" ref="M285">IFERROR(SUMPRODUCT(('Sulphuric Acid freights'!$B$3:$B$513=B295)*('Sulphuric Acid freights'!$D$3:$D$513=D285)*('Sulphuric Acid freights'!$M$3:$M$513))/SUMPRODUCT(('Sulphuric Acid freights'!$B$3:$B$513=B295)*('Sulphuric Acid freights'!$D$3:$D$513=D285)*1)*2/3, AVERAGE('Sulphuric Acid freights'!$M$3:$M$513))</f>
        <v>20.166666666666668</v>
      </c>
      <c r="N285" s="78">
        <f t="shared" ref="N285:N311" si="65">IFERROR(L285*0.9, "")</f>
        <v>62.7</v>
      </c>
      <c r="O285" s="78" cm="1">
        <f t="array" ref="O285">IF(SUMPRODUCT(('Sulphur freight'!$B$3:$B$1976=B295)*('Sulphur freight'!$D$3:$D$1976=D285)*('Sulphur freight'!$G$3:$G$1976))/SUMPRODUCT(('Sulphur freight'!$B$3:$B$1976=B295)*('Sulphur freight'!$D$3:$D$1976=D285)*1)=0, AVERAGE('Sulphur freight'!$G$3:$G$1976),SUMPRODUCT(('Sulphur freight'!$B$3:$B$1976=B295)*('Sulphur freight'!$D$3:$D$1976=D285)*('Sulphur freight'!$G$3:$G$1976))/SUMPRODUCT(('Sulphur freight'!$B$3:$B$1976=B295)*('Sulphur freight'!$D$3:$D$1976=D285)*1))</f>
        <v>30</v>
      </c>
      <c r="P285" s="78">
        <v>20</v>
      </c>
      <c r="R285" s="78">
        <f t="shared" ref="R285:R311" si="66">H285</f>
        <v>100</v>
      </c>
      <c r="S285" s="78">
        <f t="shared" si="62"/>
        <v>88.916666666666671</v>
      </c>
      <c r="T285" s="78">
        <f t="shared" si="63"/>
        <v>87.666666666666671</v>
      </c>
      <c r="U285" s="78">
        <f t="shared" ref="U285:U311" si="67">IFERROR( G285+N285, "")</f>
        <v>104.45</v>
      </c>
      <c r="V285" s="78">
        <f>IFERROR(I285+O285, "")</f>
        <v>137.75</v>
      </c>
      <c r="W285" s="78">
        <f t="shared" ref="W285:W311" si="68">J285+P285</f>
        <v>116</v>
      </c>
      <c r="X285" s="78">
        <f t="shared" ref="X285:X311" si="69">IFERROR((I285+O285)*0.33+18, "")</f>
        <v>63.457500000000003</v>
      </c>
      <c r="Y285" s="78">
        <f t="shared" ref="Y285:Y311" si="70">IF(J285=0,0,(J285+P285)*0.33+18)</f>
        <v>56.28</v>
      </c>
      <c r="AA285" s="88">
        <f t="shared" ref="AA285:AA311" si="71">IF(OR(S285="", T285="", U285=""), "", MAX(R285,S285)*40%+T285*30%+U285*30%)</f>
        <v>97.634999999999991</v>
      </c>
      <c r="AB285" s="77">
        <f t="shared" si="64"/>
        <v>-34.177499999999988</v>
      </c>
      <c r="AD285" s="88">
        <f t="shared" ref="AD285:AD311" si="72">IFERROR(MIN((MAX(R285,S285)*70%+U285*30%), Y285), "")</f>
        <v>56.28</v>
      </c>
      <c r="AE285" s="77">
        <f t="shared" si="61"/>
        <v>41.35499999999999</v>
      </c>
    </row>
    <row r="286" spans="2:31" x14ac:dyDescent="0.35">
      <c r="B286">
        <v>2023</v>
      </c>
      <c r="C286">
        <v>4</v>
      </c>
      <c r="D286">
        <v>11</v>
      </c>
      <c r="E286" s="78">
        <f>'CRU historical'!F263</f>
        <v>14.4</v>
      </c>
      <c r="F286" s="78">
        <f>'CRU historical'!I263</f>
        <v>58</v>
      </c>
      <c r="G286" s="78">
        <f>'CRU historical'!L263</f>
        <v>34.4</v>
      </c>
      <c r="H286" s="78">
        <f>'CRU historical'!O263</f>
        <v>100</v>
      </c>
      <c r="I286" s="78">
        <f>'CRU historical'!R263</f>
        <v>92.8</v>
      </c>
      <c r="J286" s="78">
        <f>AVERAGE('CRU historical'!U263, 'CRU historical'!X263, 'CRU historical'!AA263, 'CRU historical'!AD263)</f>
        <v>115</v>
      </c>
      <c r="L286" s="78" cm="1">
        <f t="array" ref="L286">IFERROR(SUMPRODUCT(('Sulphuric Acid freights'!$B$3:$B$513=B296)*('Sulphuric Acid freights'!$D$3:$D$513=D286)*('Sulphuric Acid freights'!$P$3:$P$513))/SUMPRODUCT(('Sulphuric Acid freights'!$B$3:$B$513=B296)*('Sulphuric Acid freights'!$D$3:$D$513=D286)*1), AVERAGE('Sulphuric Acid freights'!$P$3:$P$513))*2/3</f>
        <v>70.933333333333337</v>
      </c>
      <c r="M286" s="78" cm="1">
        <f t="array" ref="M286">IFERROR(SUMPRODUCT(('Sulphuric Acid freights'!$B$3:$B$513=B296)*('Sulphuric Acid freights'!$D$3:$D$513=D286)*('Sulphuric Acid freights'!$M$3:$M$513))/SUMPRODUCT(('Sulphuric Acid freights'!$B$3:$B$513=B296)*('Sulphuric Acid freights'!$D$3:$D$513=D286)*1)*2/3, AVERAGE('Sulphuric Acid freights'!$M$3:$M$513))</f>
        <v>21.333333333333332</v>
      </c>
      <c r="N286" s="78">
        <f t="shared" si="65"/>
        <v>63.84</v>
      </c>
      <c r="O286" s="78" cm="1">
        <f t="array" ref="O286">IF(SUMPRODUCT(('Sulphur freight'!$B$3:$B$1976=B296)*('Sulphur freight'!$D$3:$D$1976=D286)*('Sulphur freight'!$G$3:$G$1976))/SUMPRODUCT(('Sulphur freight'!$B$3:$B$1976=B296)*('Sulphur freight'!$D$3:$D$1976=D286)*1)=0, AVERAGE('Sulphur freight'!$G$3:$G$1976),SUMPRODUCT(('Sulphur freight'!$B$3:$B$1976=B296)*('Sulphur freight'!$D$3:$D$1976=D286)*('Sulphur freight'!$G$3:$G$1976))/SUMPRODUCT(('Sulphur freight'!$B$3:$B$1976=B296)*('Sulphur freight'!$D$3:$D$1976=D286)*1))</f>
        <v>29.4</v>
      </c>
      <c r="P286" s="78">
        <v>20</v>
      </c>
      <c r="R286" s="78">
        <f t="shared" si="66"/>
        <v>100</v>
      </c>
      <c r="S286" s="78">
        <f t="shared" si="62"/>
        <v>79.333333333333329</v>
      </c>
      <c r="T286" s="78">
        <f t="shared" si="63"/>
        <v>85.333333333333343</v>
      </c>
      <c r="U286" s="78">
        <f t="shared" si="67"/>
        <v>98.240000000000009</v>
      </c>
      <c r="V286" s="78">
        <f>IFERROR(I286+O286, "")</f>
        <v>122.19999999999999</v>
      </c>
      <c r="W286" s="78">
        <f t="shared" si="68"/>
        <v>135</v>
      </c>
      <c r="X286" s="78">
        <f t="shared" si="69"/>
        <v>58.326000000000001</v>
      </c>
      <c r="Y286" s="78">
        <f t="shared" si="70"/>
        <v>62.550000000000004</v>
      </c>
      <c r="AA286" s="88">
        <f t="shared" si="71"/>
        <v>95.072000000000003</v>
      </c>
      <c r="AB286" s="77">
        <f>IF(AA286="", "", MAX(X286, Y286)-AA286)</f>
        <v>-32.521999999999998</v>
      </c>
      <c r="AD286" s="88">
        <f t="shared" si="72"/>
        <v>62.550000000000004</v>
      </c>
      <c r="AE286" s="77">
        <f>IF(AD286="", "", MAX(AA286, AB286)-AD286)</f>
        <v>32.521999999999998</v>
      </c>
    </row>
    <row r="287" spans="2:31" x14ac:dyDescent="0.35">
      <c r="B287">
        <v>2023</v>
      </c>
      <c r="C287">
        <v>4</v>
      </c>
      <c r="D287">
        <v>12</v>
      </c>
      <c r="E287" s="78">
        <f>'CRU historical'!F264</f>
        <v>6.666666666666667</v>
      </c>
      <c r="F287" s="78">
        <f>'CRU historical'!I264</f>
        <v>49.333333333333336</v>
      </c>
      <c r="G287" s="78">
        <f>'CRU historical'!L264</f>
        <v>23</v>
      </c>
      <c r="H287" s="78">
        <f>'CRU historical'!O264</f>
        <v>95</v>
      </c>
      <c r="I287" s="78">
        <f>'CRU historical'!R264</f>
        <v>79.666666666666671</v>
      </c>
      <c r="J287" s="78">
        <f>AVERAGE('CRU historical'!U264, 'CRU historical'!X264, 'CRU historical'!AA264, 'CRU historical'!AD264)</f>
        <v>115</v>
      </c>
      <c r="L287" s="78" cm="1">
        <f t="array" ref="L287">IFERROR(SUMPRODUCT(('Sulphuric Acid freights'!$B$3:$B$513=B297)*('Sulphuric Acid freights'!$D$3:$D$513=D287)*('Sulphuric Acid freights'!$P$3:$P$513))/SUMPRODUCT(('Sulphuric Acid freights'!$B$3:$B$513=B297)*('Sulphuric Acid freights'!$D$3:$D$513=D287)*1), AVERAGE('Sulphuric Acid freights'!$P$3:$P$513))*2/3</f>
        <v>56.666666666666664</v>
      </c>
      <c r="M287" s="78" cm="1">
        <f t="array" ref="M287">IFERROR(SUMPRODUCT(('Sulphuric Acid freights'!$B$3:$B$513=B297)*('Sulphuric Acid freights'!$D$3:$D$513=D287)*('Sulphuric Acid freights'!$M$3:$M$513))/SUMPRODUCT(('Sulphuric Acid freights'!$B$3:$B$513=B297)*('Sulphuric Acid freights'!$D$3:$D$513=D287)*1)*2/3, AVERAGE('Sulphuric Acid freights'!$M$3:$M$513))</f>
        <v>16</v>
      </c>
      <c r="N287" s="78">
        <f t="shared" si="65"/>
        <v>51</v>
      </c>
      <c r="O287" s="78" cm="1">
        <f t="array" ref="O287">IF(SUMPRODUCT(('Sulphur freight'!$B$3:$B$1976=B297)*('Sulphur freight'!$D$3:$D$1976=D287)*('Sulphur freight'!$G$3:$G$1976))/SUMPRODUCT(('Sulphur freight'!$B$3:$B$1976=B297)*('Sulphur freight'!$D$3:$D$1976=D287)*1)=0, AVERAGE('Sulphur freight'!$G$3:$G$1976),SUMPRODUCT(('Sulphur freight'!$B$3:$B$1976=B297)*('Sulphur freight'!$D$3:$D$1976=D287)*('Sulphur freight'!$G$3:$G$1976))/SUMPRODUCT(('Sulphur freight'!$B$3:$B$1976=B297)*('Sulphur freight'!$D$3:$D$1976=D287)*1))</f>
        <v>23.25</v>
      </c>
      <c r="P287" s="78">
        <v>20</v>
      </c>
      <c r="R287" s="78">
        <f t="shared" si="66"/>
        <v>95</v>
      </c>
      <c r="S287" s="78">
        <f t="shared" si="62"/>
        <v>65.333333333333343</v>
      </c>
      <c r="T287" s="78">
        <f t="shared" si="63"/>
        <v>63.333333333333329</v>
      </c>
      <c r="U287" s="78">
        <f t="shared" si="67"/>
        <v>74</v>
      </c>
      <c r="V287" s="78">
        <f>IFERROR(I287+O287, "")</f>
        <v>102.91666666666667</v>
      </c>
      <c r="W287" s="78">
        <f t="shared" si="68"/>
        <v>135</v>
      </c>
      <c r="X287" s="78">
        <f t="shared" si="69"/>
        <v>51.962500000000006</v>
      </c>
      <c r="Y287" s="78">
        <f t="shared" si="70"/>
        <v>62.550000000000004</v>
      </c>
      <c r="AA287" s="88">
        <f t="shared" si="71"/>
        <v>79.2</v>
      </c>
      <c r="AB287" s="77">
        <f t="shared" ref="AB287:AB311" si="73">IF(AA287="", "", MAX(X287, Y287)-AA287)</f>
        <v>-16.649999999999999</v>
      </c>
      <c r="AD287" s="88">
        <f t="shared" si="72"/>
        <v>62.550000000000004</v>
      </c>
      <c r="AE287" s="77">
        <f t="shared" ref="AE287:AE311" si="74">IF(AD287="", "", MAX(AA287, AB287)-AD287)</f>
        <v>16.649999999999999</v>
      </c>
    </row>
    <row r="288" spans="2:31" x14ac:dyDescent="0.35">
      <c r="B288">
        <v>2023</v>
      </c>
      <c r="C288">
        <v>1</v>
      </c>
      <c r="D288">
        <v>1</v>
      </c>
      <c r="E288" s="78">
        <f>'CRU historical'!F265</f>
        <v>2.75</v>
      </c>
      <c r="F288" s="78">
        <f>'CRU historical'!I265</f>
        <v>41.5</v>
      </c>
      <c r="G288" s="78">
        <f>'CRU historical'!L265</f>
        <v>14.75</v>
      </c>
      <c r="H288" s="78">
        <f>'CRU historical'!O265</f>
        <v>83.5</v>
      </c>
      <c r="I288" s="78">
        <f>'CRU historical'!R265</f>
        <v>72.75</v>
      </c>
      <c r="J288" s="78">
        <f>AVERAGE('CRU historical'!U265, 'CRU historical'!X265, 'CRU historical'!AA265, 'CRU historical'!AD265)</f>
        <v>105</v>
      </c>
      <c r="L288" s="78" cm="1">
        <f t="array" ref="L288">IFERROR(SUMPRODUCT(('Sulphuric Acid freights'!$B$3:$B$513=B298)*('Sulphuric Acid freights'!$D$3:$D$513=D288)*('Sulphuric Acid freights'!$P$3:$P$513))/SUMPRODUCT(('Sulphuric Acid freights'!$B$3:$B$513=B298)*('Sulphuric Acid freights'!$D$3:$D$513=D288)*1), AVERAGE('Sulphuric Acid freights'!$P$3:$P$513))*2/3</f>
        <v>82.666666666666671</v>
      </c>
      <c r="M288" s="78" cm="1">
        <f t="array" ref="M288">IFERROR(SUMPRODUCT(('Sulphuric Acid freights'!$B$3:$B$513=B298)*('Sulphuric Acid freights'!$D$3:$D$513=D288)*('Sulphuric Acid freights'!$M$3:$M$513))/SUMPRODUCT(('Sulphuric Acid freights'!$B$3:$B$513=B298)*('Sulphuric Acid freights'!$D$3:$D$513=D288)*1)*2/3, AVERAGE('Sulphuric Acid freights'!$M$3:$M$513))</f>
        <v>21.333333333333332</v>
      </c>
      <c r="N288" s="78">
        <f t="shared" si="65"/>
        <v>74.400000000000006</v>
      </c>
      <c r="O288" s="78" cm="1">
        <f t="array" ref="O288">IF(SUMPRODUCT(('Sulphur freight'!$B$3:$B$1976=B298)*('Sulphur freight'!$D$3:$D$1976=D288)*('Sulphur freight'!$G$3:$G$1976))/SUMPRODUCT(('Sulphur freight'!$B$3:$B$1976=B298)*('Sulphur freight'!$D$3:$D$1976=D288)*1)=0, AVERAGE('Sulphur freight'!$G$3:$G$1976),SUMPRODUCT(('Sulphur freight'!$B$3:$B$1976=B298)*('Sulphur freight'!$D$3:$D$1976=D288)*('Sulphur freight'!$G$3:$G$1976))/SUMPRODUCT(('Sulphur freight'!$B$3:$B$1976=B298)*('Sulphur freight'!$D$3:$D$1976=D288)*1))</f>
        <v>36</v>
      </c>
      <c r="P288" s="78">
        <v>20</v>
      </c>
      <c r="R288" s="78">
        <f t="shared" si="66"/>
        <v>83.5</v>
      </c>
      <c r="S288" s="78">
        <f t="shared" si="62"/>
        <v>62.833333333333329</v>
      </c>
      <c r="T288" s="78">
        <f t="shared" si="63"/>
        <v>85.416666666666671</v>
      </c>
      <c r="U288" s="78">
        <f t="shared" si="67"/>
        <v>89.15</v>
      </c>
      <c r="V288" s="78">
        <f>IFERROR(I288+O288, "")</f>
        <v>108.75</v>
      </c>
      <c r="W288" s="78">
        <f t="shared" si="68"/>
        <v>125</v>
      </c>
      <c r="X288" s="78">
        <f t="shared" si="69"/>
        <v>53.887500000000003</v>
      </c>
      <c r="Y288" s="78">
        <f t="shared" si="70"/>
        <v>59.25</v>
      </c>
      <c r="AA288" s="88">
        <f t="shared" si="71"/>
        <v>85.77</v>
      </c>
      <c r="AB288" s="77">
        <f t="shared" si="73"/>
        <v>-26.519999999999996</v>
      </c>
      <c r="AD288" s="88">
        <f t="shared" si="72"/>
        <v>59.25</v>
      </c>
      <c r="AE288" s="77">
        <f t="shared" si="74"/>
        <v>26.519999999999996</v>
      </c>
    </row>
    <row r="289" spans="2:31" x14ac:dyDescent="0.35">
      <c r="B289">
        <v>2023</v>
      </c>
      <c r="C289">
        <v>1</v>
      </c>
      <c r="D289">
        <v>2</v>
      </c>
      <c r="E289" s="78">
        <f>'CRU historical'!F266</f>
        <v>-2.4</v>
      </c>
      <c r="F289" s="78">
        <f>'CRU historical'!I266</f>
        <v>42</v>
      </c>
      <c r="G289" s="78">
        <f>'CRU historical'!L266</f>
        <v>10.6</v>
      </c>
      <c r="H289" s="78">
        <f>'CRU historical'!O266</f>
        <v>80</v>
      </c>
      <c r="I289" s="78">
        <f>'CRU historical'!R266</f>
        <v>71</v>
      </c>
      <c r="J289" s="78">
        <f>AVERAGE('CRU historical'!U266, 'CRU historical'!X266, 'CRU historical'!AA266, 'CRU historical'!AD266)</f>
        <v>95</v>
      </c>
      <c r="L289" s="78" cm="1">
        <f t="array" ref="L289">IFERROR(SUMPRODUCT(('Sulphuric Acid freights'!$B$3:$B$513=B299)*('Sulphuric Acid freights'!$D$3:$D$513=D289)*('Sulphuric Acid freights'!$P$3:$P$513))/SUMPRODUCT(('Sulphuric Acid freights'!$B$3:$B$513=B299)*('Sulphuric Acid freights'!$D$3:$D$513=D289)*1), AVERAGE('Sulphuric Acid freights'!$P$3:$P$513))*2/3</f>
        <v>83.733333333333334</v>
      </c>
      <c r="M289" s="78" cm="1">
        <f t="array" ref="M289">IFERROR(SUMPRODUCT(('Sulphuric Acid freights'!$B$3:$B$513=B299)*('Sulphuric Acid freights'!$D$3:$D$513=D289)*('Sulphuric Acid freights'!$M$3:$M$513))/SUMPRODUCT(('Sulphuric Acid freights'!$B$3:$B$513=B299)*('Sulphuric Acid freights'!$D$3:$D$513=D289)*1)*2/3, AVERAGE('Sulphuric Acid freights'!$M$3:$M$513))</f>
        <v>22.400000000000002</v>
      </c>
      <c r="N289" s="78">
        <f t="shared" si="65"/>
        <v>75.36</v>
      </c>
      <c r="O289" s="78" cm="1">
        <f t="array" ref="O289">IF(SUMPRODUCT(('Sulphur freight'!$B$3:$B$1976=B299)*('Sulphur freight'!$D$3:$D$1976=D289)*('Sulphur freight'!$G$3:$G$1976))/SUMPRODUCT(('Sulphur freight'!$B$3:$B$1976=B299)*('Sulphur freight'!$D$3:$D$1976=D289)*1)=0, AVERAGE('Sulphur freight'!$G$3:$G$1976),SUMPRODUCT(('Sulphur freight'!$B$3:$B$1976=B299)*('Sulphur freight'!$D$3:$D$1976=D289)*('Sulphur freight'!$G$3:$G$1976))/SUMPRODUCT(('Sulphur freight'!$B$3:$B$1976=B299)*('Sulphur freight'!$D$3:$D$1976=D289)*1))</f>
        <v>39.200000000000003</v>
      </c>
      <c r="P289" s="78">
        <v>20</v>
      </c>
      <c r="R289" s="78">
        <f t="shared" si="66"/>
        <v>80</v>
      </c>
      <c r="S289" s="78">
        <f t="shared" si="62"/>
        <v>64.400000000000006</v>
      </c>
      <c r="T289" s="78">
        <f t="shared" si="63"/>
        <v>81.333333333333329</v>
      </c>
      <c r="U289" s="78">
        <f t="shared" si="67"/>
        <v>85.96</v>
      </c>
      <c r="V289" s="78">
        <f>IFERROR(I289+O289, "")</f>
        <v>110.2</v>
      </c>
      <c r="W289" s="78">
        <f t="shared" si="68"/>
        <v>115</v>
      </c>
      <c r="X289" s="78">
        <f t="shared" si="69"/>
        <v>54.366</v>
      </c>
      <c r="Y289" s="78">
        <f t="shared" si="70"/>
        <v>55.95</v>
      </c>
      <c r="AA289" s="88">
        <f t="shared" si="71"/>
        <v>82.187999999999988</v>
      </c>
      <c r="AB289" s="77">
        <f t="shared" si="73"/>
        <v>-26.237999999999985</v>
      </c>
      <c r="AD289" s="88">
        <f t="shared" si="72"/>
        <v>55.95</v>
      </c>
      <c r="AE289" s="77">
        <f t="shared" si="74"/>
        <v>26.237999999999985</v>
      </c>
    </row>
    <row r="290" spans="2:31" x14ac:dyDescent="0.35">
      <c r="B290">
        <v>2023</v>
      </c>
      <c r="C290">
        <v>1</v>
      </c>
      <c r="D290">
        <v>3</v>
      </c>
      <c r="E290" s="78">
        <f>'CRU historical'!F267</f>
        <v>0</v>
      </c>
      <c r="F290" s="78">
        <f>'CRU historical'!I267</f>
        <v>51</v>
      </c>
      <c r="G290" s="78">
        <f>'CRU historical'!L267</f>
        <v>13</v>
      </c>
      <c r="H290" s="78">
        <f>'CRU historical'!O267</f>
        <v>81.5</v>
      </c>
      <c r="I290" s="78">
        <f>'CRU historical'!R267</f>
        <v>81</v>
      </c>
      <c r="J290" s="78">
        <f>AVERAGE('CRU historical'!U267, 'CRU historical'!X267, 'CRU historical'!AA267, 'CRU historical'!AD267)</f>
        <v>95</v>
      </c>
      <c r="L290" s="78" cm="1">
        <f t="array" ref="L290">IFERROR(SUMPRODUCT(('Sulphuric Acid freights'!$B$3:$B$513=B300)*('Sulphuric Acid freights'!$D$3:$D$513=D290)*('Sulphuric Acid freights'!$P$3:$P$513))/SUMPRODUCT(('Sulphuric Acid freights'!$B$3:$B$513=B300)*('Sulphuric Acid freights'!$D$3:$D$513=D290)*1), AVERAGE('Sulphuric Acid freights'!$P$3:$P$513))*2/3</f>
        <v>84</v>
      </c>
      <c r="M290" s="78" cm="1">
        <f t="array" ref="M290">IFERROR(SUMPRODUCT(('Sulphuric Acid freights'!$B$3:$B$513=B300)*('Sulphuric Acid freights'!$D$3:$D$513=D290)*('Sulphuric Acid freights'!$M$3:$M$513))/SUMPRODUCT(('Sulphuric Acid freights'!$B$3:$B$513=B300)*('Sulphuric Acid freights'!$D$3:$D$513=D290)*1)*2/3, AVERAGE('Sulphuric Acid freights'!$M$3:$M$513))</f>
        <v>22.666666666666668</v>
      </c>
      <c r="N290" s="78">
        <f t="shared" si="65"/>
        <v>75.600000000000009</v>
      </c>
      <c r="O290" s="78" cm="1">
        <f t="array" ref="O290">IF(SUMPRODUCT(('Sulphur freight'!$B$3:$B$1976=B300)*('Sulphur freight'!$D$3:$D$1976=D290)*('Sulphur freight'!$G$3:$G$1976))/SUMPRODUCT(('Sulphur freight'!$B$3:$B$1976=B300)*('Sulphur freight'!$D$3:$D$1976=D290)*1)=0, AVERAGE('Sulphur freight'!$G$3:$G$1976),SUMPRODUCT(('Sulphur freight'!$B$3:$B$1976=B300)*('Sulphur freight'!$D$3:$D$1976=D290)*('Sulphur freight'!$G$3:$G$1976))/SUMPRODUCT(('Sulphur freight'!$B$3:$B$1976=B300)*('Sulphur freight'!$D$3:$D$1976=D290)*1))</f>
        <v>39.25</v>
      </c>
      <c r="P290" s="78">
        <v>20</v>
      </c>
      <c r="R290" s="78">
        <f t="shared" si="66"/>
        <v>81.5</v>
      </c>
      <c r="S290" s="78">
        <f t="shared" si="62"/>
        <v>73.666666666666671</v>
      </c>
      <c r="T290" s="78">
        <f t="shared" si="63"/>
        <v>84</v>
      </c>
      <c r="U290" s="78">
        <f t="shared" si="67"/>
        <v>88.600000000000009</v>
      </c>
      <c r="V290" s="78">
        <f>IFERROR(I290+O290, "")</f>
        <v>120.25</v>
      </c>
      <c r="W290" s="78">
        <f t="shared" si="68"/>
        <v>115</v>
      </c>
      <c r="X290" s="78">
        <f t="shared" si="69"/>
        <v>57.682500000000005</v>
      </c>
      <c r="Y290" s="78">
        <f t="shared" si="70"/>
        <v>55.95</v>
      </c>
      <c r="AA290" s="88">
        <f t="shared" si="71"/>
        <v>84.38</v>
      </c>
      <c r="AB290" s="77">
        <f t="shared" si="73"/>
        <v>-26.697499999999991</v>
      </c>
      <c r="AD290" s="88">
        <f t="shared" si="72"/>
        <v>55.95</v>
      </c>
      <c r="AE290" s="77">
        <f t="shared" si="74"/>
        <v>28.429999999999993</v>
      </c>
    </row>
    <row r="291" spans="2:31" x14ac:dyDescent="0.35">
      <c r="B291">
        <v>2023</v>
      </c>
      <c r="C291">
        <v>2</v>
      </c>
      <c r="D291">
        <v>4</v>
      </c>
      <c r="E291" s="78">
        <f>'CRU historical'!F268</f>
        <v>2.5</v>
      </c>
      <c r="F291" s="78">
        <f>'CRU historical'!I268</f>
        <v>60.5</v>
      </c>
      <c r="G291" s="78">
        <f>'CRU historical'!L268</f>
        <v>24</v>
      </c>
      <c r="H291" s="78">
        <f>'CRU historical'!O268</f>
        <v>105</v>
      </c>
      <c r="I291" s="78">
        <f>'CRU historical'!R268</f>
        <v>86.25</v>
      </c>
      <c r="J291" s="78">
        <f>AVERAGE('CRU historical'!U268, 'CRU historical'!X268, 'CRU historical'!AA268, 'CRU historical'!AD268)</f>
        <v>100</v>
      </c>
      <c r="L291" s="78" cm="1">
        <f t="array" ref="L291">IFERROR(SUMPRODUCT(('Sulphuric Acid freights'!$B$3:$B$513=B301)*('Sulphuric Acid freights'!$D$3:$D$513=D291)*('Sulphuric Acid freights'!$P$3:$P$513))/SUMPRODUCT(('Sulphuric Acid freights'!$B$3:$B$513=B301)*('Sulphuric Acid freights'!$D$3:$D$513=D291)*1), AVERAGE('Sulphuric Acid freights'!$P$3:$P$513))*2/3</f>
        <v>85.333333333333329</v>
      </c>
      <c r="M291" s="78" cm="1">
        <f t="array" ref="M291">IFERROR(SUMPRODUCT(('Sulphuric Acid freights'!$B$3:$B$513=B301)*('Sulphuric Acid freights'!$D$3:$D$513=D291)*('Sulphuric Acid freights'!$M$3:$M$513))/SUMPRODUCT(('Sulphuric Acid freights'!$B$3:$B$513=B301)*('Sulphuric Acid freights'!$D$3:$D$513=D291)*1)*2/3, AVERAGE('Sulphuric Acid freights'!$M$3:$M$513))</f>
        <v>21.333333333333332</v>
      </c>
      <c r="N291" s="78">
        <f t="shared" si="65"/>
        <v>76.8</v>
      </c>
      <c r="O291" s="78" cm="1">
        <f t="array" ref="O291">IF(SUMPRODUCT(('Sulphur freight'!$B$3:$B$1976=B301)*('Sulphur freight'!$D$3:$D$1976=D291)*('Sulphur freight'!$G$3:$G$1976))/SUMPRODUCT(('Sulphur freight'!$B$3:$B$1976=B301)*('Sulphur freight'!$D$3:$D$1976=D291)*1)=0, AVERAGE('Sulphur freight'!$G$3:$G$1976),SUMPRODUCT(('Sulphur freight'!$B$3:$B$1976=B301)*('Sulphur freight'!$D$3:$D$1976=D291)*('Sulphur freight'!$G$3:$G$1976))/SUMPRODUCT(('Sulphur freight'!$B$3:$B$1976=B301)*('Sulphur freight'!$D$3:$D$1976=D291)*1))</f>
        <v>39</v>
      </c>
      <c r="P291" s="78">
        <v>20</v>
      </c>
      <c r="R291" s="78">
        <f t="shared" si="66"/>
        <v>105</v>
      </c>
      <c r="S291" s="78">
        <f t="shared" si="62"/>
        <v>81.833333333333329</v>
      </c>
      <c r="T291" s="78">
        <f t="shared" si="63"/>
        <v>87.833333333333329</v>
      </c>
      <c r="U291" s="78">
        <f t="shared" si="67"/>
        <v>100.8</v>
      </c>
      <c r="V291" s="78">
        <f>IFERROR(I291+O291, "")</f>
        <v>125.25</v>
      </c>
      <c r="W291" s="78">
        <f t="shared" si="68"/>
        <v>120</v>
      </c>
      <c r="X291" s="78">
        <f t="shared" si="69"/>
        <v>59.332500000000003</v>
      </c>
      <c r="Y291" s="78">
        <f t="shared" si="70"/>
        <v>57.6</v>
      </c>
      <c r="AA291" s="88">
        <f t="shared" si="71"/>
        <v>98.589999999999989</v>
      </c>
      <c r="AB291" s="77">
        <f t="shared" si="73"/>
        <v>-39.257499999999986</v>
      </c>
      <c r="AD291" s="88">
        <f t="shared" si="72"/>
        <v>57.6</v>
      </c>
      <c r="AE291" s="77">
        <f t="shared" si="74"/>
        <v>40.989999999999988</v>
      </c>
    </row>
    <row r="292" spans="2:31" x14ac:dyDescent="0.35">
      <c r="B292">
        <v>2023</v>
      </c>
      <c r="C292">
        <v>2</v>
      </c>
      <c r="D292">
        <v>5</v>
      </c>
      <c r="E292" s="78">
        <f>'CRU historical'!F269</f>
        <v>3.4</v>
      </c>
      <c r="F292" s="78">
        <f>'CRU historical'!I269</f>
        <v>72.2</v>
      </c>
      <c r="G292" s="78">
        <f>'CRU historical'!L269</f>
        <v>24.4</v>
      </c>
      <c r="H292" s="78">
        <f>'CRU historical'!O269</f>
        <v>120</v>
      </c>
      <c r="I292" s="78">
        <f>'CRU historical'!R269</f>
        <v>83.2</v>
      </c>
      <c r="J292" s="78">
        <f>AVERAGE('CRU historical'!U269, 'CRU historical'!X269, 'CRU historical'!AA269, 'CRU historical'!AD269)</f>
        <v>100</v>
      </c>
      <c r="L292" s="78" cm="1">
        <f t="array" ref="L292">IFERROR(SUMPRODUCT(('Sulphuric Acid freights'!$B$3:$B$513=B302)*('Sulphuric Acid freights'!$D$3:$D$513=D292)*('Sulphuric Acid freights'!$P$3:$P$513))/SUMPRODUCT(('Sulphuric Acid freights'!$B$3:$B$513=B302)*('Sulphuric Acid freights'!$D$3:$D$513=D292)*1), AVERAGE('Sulphuric Acid freights'!$P$3:$P$513))*2/3</f>
        <v>86.133333333333326</v>
      </c>
      <c r="M292" s="78" cm="1">
        <f t="array" ref="M292">IFERROR(SUMPRODUCT(('Sulphuric Acid freights'!$B$3:$B$513=B302)*('Sulphuric Acid freights'!$D$3:$D$513=D292)*('Sulphuric Acid freights'!$M$3:$M$513))/SUMPRODUCT(('Sulphuric Acid freights'!$B$3:$B$513=B302)*('Sulphuric Acid freights'!$D$3:$D$513=D292)*1)*2/3, AVERAGE('Sulphuric Acid freights'!$M$3:$M$513))</f>
        <v>21.333333333333332</v>
      </c>
      <c r="N292" s="78">
        <f t="shared" si="65"/>
        <v>77.52</v>
      </c>
      <c r="O292" s="78" cm="1">
        <f t="array" ref="O292">IF(SUMPRODUCT(('Sulphur freight'!$B$3:$B$1976=B302)*('Sulphur freight'!$D$3:$D$1976=D292)*('Sulphur freight'!$G$3:$G$1976))/SUMPRODUCT(('Sulphur freight'!$B$3:$B$1976=B302)*('Sulphur freight'!$D$3:$D$1976=D292)*1)=0, AVERAGE('Sulphur freight'!$G$3:$G$1976),SUMPRODUCT(('Sulphur freight'!$B$3:$B$1976=B302)*('Sulphur freight'!$D$3:$D$1976=D292)*('Sulphur freight'!$G$3:$G$1976))/SUMPRODUCT(('Sulphur freight'!$B$3:$B$1976=B302)*('Sulphur freight'!$D$3:$D$1976=D292)*1))</f>
        <v>41</v>
      </c>
      <c r="P292" s="78">
        <v>20</v>
      </c>
      <c r="R292" s="78">
        <f t="shared" si="66"/>
        <v>120</v>
      </c>
      <c r="S292" s="78">
        <f t="shared" si="62"/>
        <v>93.533333333333331</v>
      </c>
      <c r="T292" s="78">
        <f t="shared" si="63"/>
        <v>89.533333333333331</v>
      </c>
      <c r="U292" s="78">
        <f t="shared" si="67"/>
        <v>101.91999999999999</v>
      </c>
      <c r="V292" s="78">
        <f>IFERROR(I292+O292, "")</f>
        <v>124.2</v>
      </c>
      <c r="W292" s="78">
        <f t="shared" si="68"/>
        <v>120</v>
      </c>
      <c r="X292" s="78">
        <f t="shared" si="69"/>
        <v>58.986000000000004</v>
      </c>
      <c r="Y292" s="78">
        <f t="shared" si="70"/>
        <v>57.6</v>
      </c>
      <c r="AA292" s="88">
        <f t="shared" si="71"/>
        <v>105.43599999999999</v>
      </c>
      <c r="AB292" s="77">
        <f t="shared" si="73"/>
        <v>-46.449999999999989</v>
      </c>
      <c r="AD292" s="88">
        <f t="shared" si="72"/>
        <v>57.6</v>
      </c>
      <c r="AE292" s="77">
        <f t="shared" si="74"/>
        <v>47.835999999999991</v>
      </c>
    </row>
    <row r="293" spans="2:31" x14ac:dyDescent="0.35">
      <c r="B293">
        <v>2023</v>
      </c>
      <c r="C293">
        <v>2</v>
      </c>
      <c r="D293">
        <v>6</v>
      </c>
      <c r="E293" s="78">
        <f>'CRU historical'!F270</f>
        <v>4</v>
      </c>
      <c r="F293" s="78">
        <f>'CRU historical'!I270</f>
        <v>75</v>
      </c>
      <c r="G293" s="78">
        <f>'CRU historical'!L270</f>
        <v>29</v>
      </c>
      <c r="H293" s="78">
        <f>'CRU historical'!O270</f>
        <v>122.5</v>
      </c>
      <c r="I293" s="78">
        <f>'CRU historical'!R270</f>
        <v>79</v>
      </c>
      <c r="J293" s="78">
        <f>AVERAGE('CRU historical'!U270, 'CRU historical'!X270, 'CRU historical'!AA270, 'CRU historical'!AD270)</f>
        <v>100</v>
      </c>
      <c r="L293" s="78" cm="1">
        <f t="array" ref="L293">IFERROR(SUMPRODUCT(('Sulphuric Acid freights'!$B$3:$B$513=B303)*('Sulphuric Acid freights'!$D$3:$D$513=D293)*('Sulphuric Acid freights'!$P$3:$P$513))/SUMPRODUCT(('Sulphuric Acid freights'!$B$3:$B$513=B303)*('Sulphuric Acid freights'!$D$3:$D$513=D293)*1), AVERAGE('Sulphuric Acid freights'!$P$3:$P$513))*2/3</f>
        <v>86.666666666666671</v>
      </c>
      <c r="M293" s="78" cm="1">
        <f t="array" ref="M293">IFERROR(SUMPRODUCT(('Sulphuric Acid freights'!$B$3:$B$513=B303)*('Sulphuric Acid freights'!$D$3:$D$513=D293)*('Sulphuric Acid freights'!$M$3:$M$513))/SUMPRODUCT(('Sulphuric Acid freights'!$B$3:$B$513=B303)*('Sulphuric Acid freights'!$D$3:$D$513=D293)*1)*2/3, AVERAGE('Sulphuric Acid freights'!$M$3:$M$513))</f>
        <v>21.333333333333332</v>
      </c>
      <c r="N293" s="78">
        <f t="shared" si="65"/>
        <v>78</v>
      </c>
      <c r="O293" s="78" cm="1">
        <f t="array" ref="O293">IF(SUMPRODUCT(('Sulphur freight'!$B$3:$B$1976=B303)*('Sulphur freight'!$D$3:$D$1976=D293)*('Sulphur freight'!$G$3:$G$1976))/SUMPRODUCT(('Sulphur freight'!$B$3:$B$1976=B303)*('Sulphur freight'!$D$3:$D$1976=D293)*1)=0, AVERAGE('Sulphur freight'!$G$3:$G$1976),SUMPRODUCT(('Sulphur freight'!$B$3:$B$1976=B303)*('Sulphur freight'!$D$3:$D$1976=D293)*('Sulphur freight'!$G$3:$G$1976))/SUMPRODUCT(('Sulphur freight'!$B$3:$B$1976=B303)*('Sulphur freight'!$D$3:$D$1976=D293)*1))</f>
        <v>42.25</v>
      </c>
      <c r="P293" s="78">
        <v>20</v>
      </c>
      <c r="R293" s="78">
        <f t="shared" si="66"/>
        <v>122.5</v>
      </c>
      <c r="S293" s="78">
        <f t="shared" si="62"/>
        <v>96.333333333333329</v>
      </c>
      <c r="T293" s="78">
        <f t="shared" si="63"/>
        <v>90.666666666666671</v>
      </c>
      <c r="U293" s="78">
        <f t="shared" si="67"/>
        <v>107</v>
      </c>
      <c r="V293" s="78">
        <f>IFERROR(I293+O293, "")</f>
        <v>121.25</v>
      </c>
      <c r="W293" s="78">
        <f t="shared" si="68"/>
        <v>120</v>
      </c>
      <c r="X293" s="78">
        <f t="shared" si="69"/>
        <v>58.012500000000003</v>
      </c>
      <c r="Y293" s="78">
        <f t="shared" si="70"/>
        <v>57.6</v>
      </c>
      <c r="AA293" s="88">
        <f t="shared" si="71"/>
        <v>108.30000000000001</v>
      </c>
      <c r="AB293" s="77">
        <f t="shared" si="73"/>
        <v>-50.287500000000009</v>
      </c>
      <c r="AD293" s="88">
        <f t="shared" si="72"/>
        <v>57.6</v>
      </c>
      <c r="AE293" s="77">
        <f t="shared" si="74"/>
        <v>50.70000000000001</v>
      </c>
    </row>
    <row r="294" spans="2:31" x14ac:dyDescent="0.35">
      <c r="B294">
        <v>2023</v>
      </c>
      <c r="C294">
        <v>3</v>
      </c>
      <c r="D294">
        <v>7</v>
      </c>
      <c r="E294" s="78">
        <f>'CRU historical'!F271</f>
        <v>9</v>
      </c>
      <c r="F294" s="78">
        <f>'CRU historical'!I271</f>
        <v>80</v>
      </c>
      <c r="G294" s="78">
        <f>'CRU historical'!L271</f>
        <v>38.75</v>
      </c>
      <c r="H294" s="78">
        <f>'CRU historical'!O271</f>
        <v>125</v>
      </c>
      <c r="I294" s="78">
        <f>'CRU historical'!R271</f>
        <v>89.25</v>
      </c>
      <c r="J294" s="78">
        <f>AVERAGE('CRU historical'!U271, 'CRU historical'!X271, 'CRU historical'!AA271, 'CRU historical'!AD271)</f>
        <v>99.5</v>
      </c>
      <c r="L294" s="78" cm="1">
        <f t="array" ref="L294">IFERROR(SUMPRODUCT(('Sulphuric Acid freights'!$B$3:$B$513=B304)*('Sulphuric Acid freights'!$D$3:$D$513=D294)*('Sulphuric Acid freights'!$P$3:$P$513))/SUMPRODUCT(('Sulphuric Acid freights'!$B$3:$B$513=B304)*('Sulphuric Acid freights'!$D$3:$D$513=D294)*1), AVERAGE('Sulphuric Acid freights'!$P$3:$P$513))*2/3</f>
        <v>86.666666666666671</v>
      </c>
      <c r="M294" s="78" cm="1">
        <f t="array" ref="M294">IFERROR(SUMPRODUCT(('Sulphuric Acid freights'!$B$3:$B$513=B304)*('Sulphuric Acid freights'!$D$3:$D$513=D294)*('Sulphuric Acid freights'!$M$3:$M$513))/SUMPRODUCT(('Sulphuric Acid freights'!$B$3:$B$513=B304)*('Sulphuric Acid freights'!$D$3:$D$513=D294)*1)*2/3, AVERAGE('Sulphuric Acid freights'!$M$3:$M$513))</f>
        <v>20</v>
      </c>
      <c r="N294" s="78">
        <f t="shared" si="65"/>
        <v>78</v>
      </c>
      <c r="O294" s="78" cm="1">
        <f t="array" ref="O294">IF(SUMPRODUCT(('Sulphur freight'!$B$3:$B$1976=B304)*('Sulphur freight'!$D$3:$D$1976=D294)*('Sulphur freight'!$G$3:$G$1976))/SUMPRODUCT(('Sulphur freight'!$B$3:$B$1976=B304)*('Sulphur freight'!$D$3:$D$1976=D294)*1)=0, AVERAGE('Sulphur freight'!$G$3:$G$1976),SUMPRODUCT(('Sulphur freight'!$B$3:$B$1976=B304)*('Sulphur freight'!$D$3:$D$1976=D294)*('Sulphur freight'!$G$3:$G$1976))/SUMPRODUCT(('Sulphur freight'!$B$3:$B$1976=B304)*('Sulphur freight'!$D$3:$D$1976=D294)*1))</f>
        <v>39.75</v>
      </c>
      <c r="P294" s="78">
        <v>20</v>
      </c>
      <c r="R294" s="78">
        <f t="shared" si="66"/>
        <v>125</v>
      </c>
      <c r="S294" s="78">
        <f t="shared" si="62"/>
        <v>100</v>
      </c>
      <c r="T294" s="78">
        <f t="shared" si="63"/>
        <v>95.666666666666671</v>
      </c>
      <c r="U294" s="78">
        <f t="shared" si="67"/>
        <v>116.75</v>
      </c>
      <c r="V294" s="78">
        <f>IFERROR(I294+O294, "")</f>
        <v>129</v>
      </c>
      <c r="W294" s="78">
        <f t="shared" si="68"/>
        <v>119.5</v>
      </c>
      <c r="X294" s="78">
        <f t="shared" si="69"/>
        <v>60.57</v>
      </c>
      <c r="Y294" s="78">
        <f t="shared" si="70"/>
        <v>57.435000000000002</v>
      </c>
      <c r="AA294" s="88">
        <f t="shared" si="71"/>
        <v>113.72499999999999</v>
      </c>
      <c r="AB294" s="77">
        <f t="shared" si="73"/>
        <v>-53.154999999999994</v>
      </c>
      <c r="AD294" s="88">
        <f t="shared" si="72"/>
        <v>57.435000000000002</v>
      </c>
      <c r="AE294" s="77">
        <f t="shared" si="74"/>
        <v>56.289999999999992</v>
      </c>
    </row>
    <row r="295" spans="2:31" x14ac:dyDescent="0.35">
      <c r="B295">
        <v>2023</v>
      </c>
      <c r="C295">
        <v>3</v>
      </c>
      <c r="D295">
        <v>8</v>
      </c>
      <c r="E295" s="78">
        <f>'CRU historical'!F272</f>
        <v>17</v>
      </c>
      <c r="F295" s="78">
        <f>'CRU historical'!I272</f>
        <v>84</v>
      </c>
      <c r="G295" s="78">
        <f>'CRU historical'!L272</f>
        <v>53</v>
      </c>
      <c r="H295" s="78">
        <f>'CRU historical'!O272</f>
        <v>125</v>
      </c>
      <c r="I295" s="78">
        <f>'CRU historical'!R272</f>
        <v>116.8</v>
      </c>
      <c r="J295" s="78">
        <f>AVERAGE('CRU historical'!U272, 'CRU historical'!X272, 'CRU historical'!AA272, 'CRU historical'!AD272)</f>
        <v>99</v>
      </c>
      <c r="L295" s="78" cm="1">
        <f t="array" ref="L295">IFERROR(SUMPRODUCT(('Sulphuric Acid freights'!$B$3:$B$513=B305)*('Sulphuric Acid freights'!$D$3:$D$513=D295)*('Sulphuric Acid freights'!$P$3:$P$513))/SUMPRODUCT(('Sulphuric Acid freights'!$B$3:$B$513=B305)*('Sulphuric Acid freights'!$D$3:$D$513=D295)*1), AVERAGE('Sulphuric Acid freights'!$P$3:$P$513))*2/3</f>
        <v>86.133333333333326</v>
      </c>
      <c r="M295" s="78" cm="1">
        <f t="array" ref="M295">IFERROR(SUMPRODUCT(('Sulphuric Acid freights'!$B$3:$B$513=B305)*('Sulphuric Acid freights'!$D$3:$D$513=D295)*('Sulphuric Acid freights'!$M$3:$M$513))/SUMPRODUCT(('Sulphuric Acid freights'!$B$3:$B$513=B305)*('Sulphuric Acid freights'!$D$3:$D$513=D295)*1)*2/3, AVERAGE('Sulphuric Acid freights'!$M$3:$M$513))</f>
        <v>20</v>
      </c>
      <c r="N295" s="78">
        <f t="shared" si="65"/>
        <v>77.52</v>
      </c>
      <c r="O295" s="78" cm="1">
        <f t="array" ref="O295">IF(SUMPRODUCT(('Sulphur freight'!$B$3:$B$1976=B305)*('Sulphur freight'!$D$3:$D$1976=D295)*('Sulphur freight'!$G$3:$G$1976))/SUMPRODUCT(('Sulphur freight'!$B$3:$B$1976=B305)*('Sulphur freight'!$D$3:$D$1976=D295)*1)=0, AVERAGE('Sulphur freight'!$G$3:$G$1976),SUMPRODUCT(('Sulphur freight'!$B$3:$B$1976=B305)*('Sulphur freight'!$D$3:$D$1976=D295)*('Sulphur freight'!$G$3:$G$1976))/SUMPRODUCT(('Sulphur freight'!$B$3:$B$1976=B305)*('Sulphur freight'!$D$3:$D$1976=D295)*1))</f>
        <v>38.4</v>
      </c>
      <c r="P295" s="78">
        <v>20</v>
      </c>
      <c r="R295" s="78">
        <f t="shared" si="66"/>
        <v>125</v>
      </c>
      <c r="S295" s="78">
        <f t="shared" si="62"/>
        <v>104</v>
      </c>
      <c r="T295" s="78">
        <f t="shared" si="63"/>
        <v>103.13333333333333</v>
      </c>
      <c r="U295" s="78">
        <f t="shared" si="67"/>
        <v>130.51999999999998</v>
      </c>
      <c r="V295" s="78">
        <f>IFERROR(I295+O295, "")</f>
        <v>155.19999999999999</v>
      </c>
      <c r="W295" s="78">
        <f t="shared" si="68"/>
        <v>119</v>
      </c>
      <c r="X295" s="78">
        <f t="shared" si="69"/>
        <v>69.216000000000008</v>
      </c>
      <c r="Y295" s="78">
        <f t="shared" si="70"/>
        <v>57.27</v>
      </c>
      <c r="AA295" s="88">
        <f t="shared" si="71"/>
        <v>120.09599999999999</v>
      </c>
      <c r="AB295" s="77">
        <f t="shared" si="73"/>
        <v>-50.879999999999981</v>
      </c>
      <c r="AD295" s="88">
        <f t="shared" si="72"/>
        <v>57.27</v>
      </c>
      <c r="AE295" s="77">
        <f t="shared" si="74"/>
        <v>62.825999999999986</v>
      </c>
    </row>
    <row r="296" spans="2:31" x14ac:dyDescent="0.35">
      <c r="B296">
        <v>2023</v>
      </c>
      <c r="C296">
        <v>3</v>
      </c>
      <c r="D296">
        <v>9</v>
      </c>
      <c r="E296" s="78">
        <f>'CRU historical'!F273</f>
        <v>20</v>
      </c>
      <c r="F296" s="78">
        <f>'CRU historical'!I273</f>
        <v>85</v>
      </c>
      <c r="G296" s="78">
        <f>'CRU historical'!L273</f>
        <v>50.25</v>
      </c>
      <c r="H296" s="78">
        <f>'CRU historical'!O273</f>
        <v>127.5</v>
      </c>
      <c r="I296" s="78">
        <f>'CRU historical'!R273</f>
        <v>127</v>
      </c>
      <c r="J296" s="78">
        <f>AVERAGE('CRU historical'!U273, 'CRU historical'!X273, 'CRU historical'!AA273, 'CRU historical'!AD273)</f>
        <v>99</v>
      </c>
      <c r="L296" s="78" cm="1">
        <f t="array" ref="L296">IFERROR(SUMPRODUCT(('Sulphuric Acid freights'!$B$3:$B$513=B306)*('Sulphuric Acid freights'!$D$3:$D$513=D296)*('Sulphuric Acid freights'!$P$3:$P$513))/SUMPRODUCT(('Sulphuric Acid freights'!$B$3:$B$513=B306)*('Sulphuric Acid freights'!$D$3:$D$513=D296)*1), AVERAGE('Sulphuric Acid freights'!$P$3:$P$513))*2/3</f>
        <v>86</v>
      </c>
      <c r="M296" s="78" cm="1">
        <f t="array" ref="M296">IFERROR(SUMPRODUCT(('Sulphuric Acid freights'!$B$3:$B$513=B306)*('Sulphuric Acid freights'!$D$3:$D$513=D296)*('Sulphuric Acid freights'!$M$3:$M$513))/SUMPRODUCT(('Sulphuric Acid freights'!$B$3:$B$513=B306)*('Sulphuric Acid freights'!$D$3:$D$513=D296)*1)*2/3, AVERAGE('Sulphuric Acid freights'!$M$3:$M$513))</f>
        <v>18.666666666666668</v>
      </c>
      <c r="N296" s="78">
        <f t="shared" si="65"/>
        <v>77.400000000000006</v>
      </c>
      <c r="O296" s="78" cm="1">
        <f t="array" ref="O296">IF(SUMPRODUCT(('Sulphur freight'!$B$3:$B$1976=B306)*('Sulphur freight'!$D$3:$D$1976=D296)*('Sulphur freight'!$G$3:$G$1976))/SUMPRODUCT(('Sulphur freight'!$B$3:$B$1976=B306)*('Sulphur freight'!$D$3:$D$1976=D296)*1)=0, AVERAGE('Sulphur freight'!$G$3:$G$1976),SUMPRODUCT(('Sulphur freight'!$B$3:$B$1976=B306)*('Sulphur freight'!$D$3:$D$1976=D296)*('Sulphur freight'!$G$3:$G$1976))/SUMPRODUCT(('Sulphur freight'!$B$3:$B$1976=B306)*('Sulphur freight'!$D$3:$D$1976=D296)*1))</f>
        <v>37.5</v>
      </c>
      <c r="P296" s="78">
        <v>20</v>
      </c>
      <c r="R296" s="78">
        <f t="shared" si="66"/>
        <v>127.5</v>
      </c>
      <c r="S296" s="78">
        <f t="shared" si="62"/>
        <v>103.66666666666667</v>
      </c>
      <c r="T296" s="78">
        <f t="shared" si="63"/>
        <v>106</v>
      </c>
      <c r="U296" s="78">
        <f t="shared" si="67"/>
        <v>127.65</v>
      </c>
      <c r="V296" s="78">
        <f>IFERROR(I296+O296, "")</f>
        <v>164.5</v>
      </c>
      <c r="W296" s="78">
        <f t="shared" si="68"/>
        <v>119</v>
      </c>
      <c r="X296" s="78">
        <f t="shared" si="69"/>
        <v>72.284999999999997</v>
      </c>
      <c r="Y296" s="78">
        <f t="shared" si="70"/>
        <v>57.27</v>
      </c>
      <c r="AA296" s="88">
        <f t="shared" si="71"/>
        <v>121.095</v>
      </c>
      <c r="AB296" s="77">
        <f t="shared" si="73"/>
        <v>-48.81</v>
      </c>
      <c r="AD296" s="88">
        <f t="shared" si="72"/>
        <v>57.27</v>
      </c>
      <c r="AE296" s="77">
        <f t="shared" si="74"/>
        <v>63.824999999999996</v>
      </c>
    </row>
    <row r="297" spans="2:31" x14ac:dyDescent="0.35">
      <c r="B297">
        <v>2023</v>
      </c>
      <c r="C297">
        <v>4</v>
      </c>
      <c r="D297">
        <v>10</v>
      </c>
      <c r="E297" s="78">
        <f>'CRU historical'!F274</f>
        <v>20.6</v>
      </c>
      <c r="F297" s="78">
        <f>'CRU historical'!I274</f>
        <v>102</v>
      </c>
      <c r="G297" s="78">
        <f>'CRU historical'!L274</f>
        <v>51.6</v>
      </c>
      <c r="H297" s="78">
        <f>'CRU historical'!O274</f>
        <v>138</v>
      </c>
      <c r="I297" s="78">
        <f>'CRU historical'!R274</f>
        <v>132.4</v>
      </c>
      <c r="J297" s="78">
        <f>AVERAGE('CRU historical'!U274, 'CRU historical'!X274, 'CRU historical'!AA274, 'CRU historical'!AD274)</f>
        <v>99</v>
      </c>
      <c r="L297" s="78" cm="1">
        <f t="array" ref="L297">IFERROR(SUMPRODUCT(('Sulphuric Acid freights'!$B$3:$B$513=B307)*('Sulphuric Acid freights'!$D$3:$D$513=D297)*('Sulphuric Acid freights'!$P$3:$P$513))/SUMPRODUCT(('Sulphuric Acid freights'!$B$3:$B$513=B307)*('Sulphuric Acid freights'!$D$3:$D$513=D297)*1), AVERAGE('Sulphuric Acid freights'!$P$3:$P$513))*2/3</f>
        <v>87.333333333333329</v>
      </c>
      <c r="M297" s="78" cm="1">
        <f t="array" ref="M297">IFERROR(SUMPRODUCT(('Sulphuric Acid freights'!$B$3:$B$513=B307)*('Sulphuric Acid freights'!$D$3:$D$513=D297)*('Sulphuric Acid freights'!$M$3:$M$513))/SUMPRODUCT(('Sulphuric Acid freights'!$B$3:$B$513=B307)*('Sulphuric Acid freights'!$D$3:$D$513=D297)*1)*2/3, AVERAGE('Sulphuric Acid freights'!$M$3:$M$513))</f>
        <v>18.666666666666668</v>
      </c>
      <c r="N297" s="78">
        <f t="shared" si="65"/>
        <v>78.599999999999994</v>
      </c>
      <c r="O297" s="78" cm="1">
        <f t="array" ref="O297">IF(SUMPRODUCT(('Sulphur freight'!$B$3:$B$1976=B307)*('Sulphur freight'!$D$3:$D$1976=D297)*('Sulphur freight'!$G$3:$G$1976))/SUMPRODUCT(('Sulphur freight'!$B$3:$B$1976=B307)*('Sulphur freight'!$D$3:$D$1976=D297)*1)=0, AVERAGE('Sulphur freight'!$G$3:$G$1976),SUMPRODUCT(('Sulphur freight'!$B$3:$B$1976=B307)*('Sulphur freight'!$D$3:$D$1976=D297)*('Sulphur freight'!$G$3:$G$1976))/SUMPRODUCT(('Sulphur freight'!$B$3:$B$1976=B307)*('Sulphur freight'!$D$3:$D$1976=D297)*1))</f>
        <v>38.200000000000003</v>
      </c>
      <c r="P297" s="78">
        <v>20</v>
      </c>
      <c r="R297" s="78">
        <f t="shared" si="66"/>
        <v>138</v>
      </c>
      <c r="S297" s="78">
        <f t="shared" si="62"/>
        <v>120.66666666666667</v>
      </c>
      <c r="T297" s="78">
        <f t="shared" si="63"/>
        <v>107.93333333333334</v>
      </c>
      <c r="U297" s="78">
        <f t="shared" si="67"/>
        <v>130.19999999999999</v>
      </c>
      <c r="V297" s="78">
        <f>IFERROR(I297+O297, "")</f>
        <v>170.60000000000002</v>
      </c>
      <c r="W297" s="78">
        <f t="shared" si="68"/>
        <v>119</v>
      </c>
      <c r="X297" s="78">
        <f t="shared" si="69"/>
        <v>74.298000000000002</v>
      </c>
      <c r="Y297" s="78">
        <f t="shared" si="70"/>
        <v>57.27</v>
      </c>
      <c r="AA297" s="88">
        <f t="shared" si="71"/>
        <v>126.64000000000001</v>
      </c>
      <c r="AB297" s="77">
        <f t="shared" si="73"/>
        <v>-52.342000000000013</v>
      </c>
      <c r="AD297" s="88">
        <f t="shared" si="72"/>
        <v>57.27</v>
      </c>
      <c r="AE297" s="77">
        <f t="shared" si="74"/>
        <v>69.37</v>
      </c>
    </row>
    <row r="298" spans="2:31" x14ac:dyDescent="0.35">
      <c r="B298">
        <v>2024</v>
      </c>
      <c r="C298">
        <v>4</v>
      </c>
      <c r="D298">
        <v>11</v>
      </c>
      <c r="E298" s="78">
        <f>'CRU historical'!F275</f>
        <v>24.5</v>
      </c>
      <c r="F298" s="78">
        <f>'CRU historical'!I275</f>
        <v>105</v>
      </c>
      <c r="G298" s="78">
        <f>'CRU historical'!L275</f>
        <v>54.5</v>
      </c>
      <c r="H298" s="78">
        <f>'CRU historical'!O275</f>
        <v>150</v>
      </c>
      <c r="I298" s="78">
        <f>'CRU historical'!R275</f>
        <v>147</v>
      </c>
      <c r="J298" s="78">
        <f>AVERAGE('CRU historical'!U275, 'CRU historical'!X275, 'CRU historical'!AA275, 'CRU historical'!AD275)</f>
        <v>130</v>
      </c>
      <c r="L298" s="78" cm="1">
        <f t="array" ref="L298">IFERROR(SUMPRODUCT(('Sulphuric Acid freights'!$B$3:$B$513=B308)*('Sulphuric Acid freights'!$D$3:$D$513=D298)*('Sulphuric Acid freights'!$P$3:$P$513))/SUMPRODUCT(('Sulphuric Acid freights'!$B$3:$B$513=B308)*('Sulphuric Acid freights'!$D$3:$D$513=D298)*1), AVERAGE('Sulphuric Acid freights'!$P$3:$P$513))*2/3</f>
        <v>89.5</v>
      </c>
      <c r="M298" s="78" cm="1">
        <f t="array" ref="M298">IFERROR(SUMPRODUCT(('Sulphuric Acid freights'!$B$3:$B$513=B308)*('Sulphuric Acid freights'!$D$3:$D$513=D298)*('Sulphuric Acid freights'!$M$3:$M$513))/SUMPRODUCT(('Sulphuric Acid freights'!$B$3:$B$513=B308)*('Sulphuric Acid freights'!$D$3:$D$513=D298)*1)*2/3, AVERAGE('Sulphuric Acid freights'!$M$3:$M$513))</f>
        <v>18.333333333333332</v>
      </c>
      <c r="N298" s="78">
        <f t="shared" si="65"/>
        <v>80.55</v>
      </c>
      <c r="O298" s="78" cm="1">
        <f t="array" ref="O298">IF(SUMPRODUCT(('Sulphur freight'!$B$3:$B$1976=B308)*('Sulphur freight'!$D$3:$D$1976=D298)*('Sulphur freight'!$G$3:$G$1976))/SUMPRODUCT(('Sulphur freight'!$B$3:$B$1976=B308)*('Sulphur freight'!$D$3:$D$1976=D298)*1)=0, AVERAGE('Sulphur freight'!$G$3:$G$1976),SUMPRODUCT(('Sulphur freight'!$B$3:$B$1976=B308)*('Sulphur freight'!$D$3:$D$1976=D298)*('Sulphur freight'!$G$3:$G$1976))/SUMPRODUCT(('Sulphur freight'!$B$3:$B$1976=B308)*('Sulphur freight'!$D$3:$D$1976=D298)*1))</f>
        <v>36</v>
      </c>
      <c r="P298" s="78">
        <v>20</v>
      </c>
      <c r="R298" s="78">
        <f t="shared" si="66"/>
        <v>150</v>
      </c>
      <c r="S298" s="78">
        <f t="shared" si="62"/>
        <v>123.33333333333333</v>
      </c>
      <c r="T298" s="78">
        <f t="shared" si="63"/>
        <v>114</v>
      </c>
      <c r="U298" s="78">
        <f t="shared" si="67"/>
        <v>135.05000000000001</v>
      </c>
      <c r="V298" s="78">
        <f>IFERROR(I298+O298, "")</f>
        <v>183</v>
      </c>
      <c r="W298" s="78">
        <f t="shared" si="68"/>
        <v>150</v>
      </c>
      <c r="X298" s="78">
        <f t="shared" si="69"/>
        <v>78.39</v>
      </c>
      <c r="Y298" s="78">
        <f t="shared" si="70"/>
        <v>67.5</v>
      </c>
      <c r="AA298" s="88">
        <f t="shared" si="71"/>
        <v>134.71499999999997</v>
      </c>
      <c r="AB298" s="77">
        <f t="shared" si="73"/>
        <v>-56.324999999999974</v>
      </c>
      <c r="AD298" s="88">
        <f t="shared" si="72"/>
        <v>67.5</v>
      </c>
      <c r="AE298" s="77">
        <f t="shared" si="74"/>
        <v>67.214999999999975</v>
      </c>
    </row>
    <row r="299" spans="2:31" x14ac:dyDescent="0.35">
      <c r="B299">
        <v>2024</v>
      </c>
      <c r="C299">
        <v>4</v>
      </c>
      <c r="D299">
        <v>12</v>
      </c>
      <c r="E299" s="78">
        <f>'CRU historical'!F276</f>
        <v>24.333333333333332</v>
      </c>
      <c r="F299" s="78">
        <f>'CRU historical'!I276</f>
        <v>105</v>
      </c>
      <c r="G299" s="78">
        <f>'CRU historical'!L276</f>
        <v>51.666666666666664</v>
      </c>
      <c r="H299" s="78">
        <f>'CRU historical'!O276</f>
        <v>150</v>
      </c>
      <c r="I299" s="78">
        <f>'CRU historical'!R276</f>
        <v>165.33333333333334</v>
      </c>
      <c r="J299" s="78">
        <f>AVERAGE('CRU historical'!U276, 'CRU historical'!X276, 'CRU historical'!AA276, 'CRU historical'!AD276)</f>
        <v>130</v>
      </c>
      <c r="L299" s="78" cm="1">
        <f t="array" ref="L299">IFERROR(SUMPRODUCT(('Sulphuric Acid freights'!$B$3:$B$513=B309)*('Sulphuric Acid freights'!$D$3:$D$513=D299)*('Sulphuric Acid freights'!$P$3:$P$513))/SUMPRODUCT(('Sulphuric Acid freights'!$B$3:$B$513=B309)*('Sulphuric Acid freights'!$D$3:$D$513=D299)*1), AVERAGE('Sulphuric Acid freights'!$P$3:$P$513))*2/3</f>
        <v>67.5</v>
      </c>
      <c r="M299" s="78" cm="1">
        <f t="array" ref="M299">IFERROR(SUMPRODUCT(('Sulphuric Acid freights'!$B$3:$B$513=B309)*('Sulphuric Acid freights'!$D$3:$D$513=D299)*('Sulphuric Acid freights'!$M$3:$M$513))/SUMPRODUCT(('Sulphuric Acid freights'!$B$3:$B$513=B309)*('Sulphuric Acid freights'!$D$3:$D$513=D299)*1)*2/3, AVERAGE('Sulphuric Acid freights'!$M$3:$M$513))</f>
        <v>13</v>
      </c>
      <c r="N299" s="78">
        <f t="shared" si="65"/>
        <v>60.75</v>
      </c>
      <c r="O299" s="78" cm="1">
        <f t="array" ref="O299">IF(SUMPRODUCT(('Sulphur freight'!$B$3:$B$1976=B309)*('Sulphur freight'!$D$3:$D$1976=D299)*('Sulphur freight'!$G$3:$G$1976))/SUMPRODUCT(('Sulphur freight'!$B$3:$B$1976=B309)*('Sulphur freight'!$D$3:$D$1976=D299)*1)=0, AVERAGE('Sulphur freight'!$G$3:$G$1976),SUMPRODUCT(('Sulphur freight'!$B$3:$B$1976=B309)*('Sulphur freight'!$D$3:$D$1976=D299)*('Sulphur freight'!$G$3:$G$1976))/SUMPRODUCT(('Sulphur freight'!$B$3:$B$1976=B309)*('Sulphur freight'!$D$3:$D$1976=D299)*1))</f>
        <v>26.5</v>
      </c>
      <c r="P299" s="78">
        <v>20</v>
      </c>
      <c r="R299" s="78">
        <f t="shared" si="66"/>
        <v>150</v>
      </c>
      <c r="S299" s="78">
        <f t="shared" si="62"/>
        <v>118</v>
      </c>
      <c r="T299" s="78">
        <f t="shared" si="63"/>
        <v>91.833333333333329</v>
      </c>
      <c r="U299" s="78">
        <f t="shared" si="67"/>
        <v>112.41666666666666</v>
      </c>
      <c r="V299" s="78">
        <f>IFERROR(I299+O299, "")</f>
        <v>191.83333333333334</v>
      </c>
      <c r="W299" s="78">
        <f t="shared" si="68"/>
        <v>150</v>
      </c>
      <c r="X299" s="78">
        <f t="shared" si="69"/>
        <v>81.305000000000007</v>
      </c>
      <c r="Y299" s="78">
        <f t="shared" si="70"/>
        <v>67.5</v>
      </c>
      <c r="AA299" s="88">
        <f t="shared" si="71"/>
        <v>121.27499999999999</v>
      </c>
      <c r="AB299" s="77">
        <f t="shared" si="73"/>
        <v>-39.969999999999985</v>
      </c>
      <c r="AD299" s="88">
        <f t="shared" si="72"/>
        <v>67.5</v>
      </c>
      <c r="AE299" s="77">
        <f t="shared" si="74"/>
        <v>53.774999999999991</v>
      </c>
    </row>
    <row r="300" spans="2:31" x14ac:dyDescent="0.35">
      <c r="B300">
        <v>2024</v>
      </c>
      <c r="C300">
        <v>1</v>
      </c>
      <c r="D300">
        <v>1</v>
      </c>
      <c r="E300" s="78">
        <f>'CRU historical'!F277</f>
        <v>29.4</v>
      </c>
      <c r="F300" s="78">
        <f>'CRU historical'!I277</f>
        <v>115</v>
      </c>
      <c r="G300" s="78">
        <f>'CRU historical'!L277</f>
        <v>52.4</v>
      </c>
      <c r="H300" s="78">
        <f>'CRU historical'!O277</f>
        <v>150</v>
      </c>
      <c r="I300" s="78">
        <f>'CRU historical'!R277</f>
        <v>165</v>
      </c>
      <c r="J300" s="78">
        <f>AVERAGE('CRU historical'!U277, 'CRU historical'!X277, 'CRU historical'!AA277, 'CRU historical'!AD277)</f>
        <v>151</v>
      </c>
      <c r="L300" s="78" cm="1">
        <f t="array" ref="L300">IFERROR(SUMPRODUCT(('Sulphuric Acid freights'!$B$3:$B$513=B310)*('Sulphuric Acid freights'!$D$3:$D$513=D300)*('Sulphuric Acid freights'!$P$3:$P$513))/SUMPRODUCT(('Sulphuric Acid freights'!$B$3:$B$513=B310)*('Sulphuric Acid freights'!$D$3:$D$513=D300)*1), AVERAGE('Sulphuric Acid freights'!$P$3:$P$513))*2/3</f>
        <v>88.666666666666671</v>
      </c>
      <c r="M300" s="78" cm="1">
        <f t="array" ref="M300">IFERROR(SUMPRODUCT(('Sulphuric Acid freights'!$B$3:$B$513=B310)*('Sulphuric Acid freights'!$D$3:$D$513=D300)*('Sulphuric Acid freights'!$M$3:$M$513))/SUMPRODUCT(('Sulphuric Acid freights'!$B$3:$B$513=B310)*('Sulphuric Acid freights'!$D$3:$D$513=D300)*1)*2/3, AVERAGE('Sulphuric Acid freights'!$M$3:$M$513))</f>
        <v>17.333333333333332</v>
      </c>
      <c r="N300" s="78">
        <f t="shared" si="65"/>
        <v>79.800000000000011</v>
      </c>
      <c r="O300" s="78" cm="1">
        <f t="array" ref="O300">IF(SUMPRODUCT(('Sulphur freight'!$B$3:$B$1976=B310)*('Sulphur freight'!$D$3:$D$1976=D300)*('Sulphur freight'!$G$3:$G$1976))/SUMPRODUCT(('Sulphur freight'!$B$3:$B$1976=B310)*('Sulphur freight'!$D$3:$D$1976=D300)*1)=0, AVERAGE('Sulphur freight'!$G$3:$G$1976),SUMPRODUCT(('Sulphur freight'!$B$3:$B$1976=B310)*('Sulphur freight'!$D$3:$D$1976=D300)*('Sulphur freight'!$G$3:$G$1976))/SUMPRODUCT(('Sulphur freight'!$B$3:$B$1976=B310)*('Sulphur freight'!$D$3:$D$1976=D300)*1))</f>
        <v>32.799999999999997</v>
      </c>
      <c r="P300" s="78">
        <v>20</v>
      </c>
      <c r="R300" s="78">
        <f t="shared" si="66"/>
        <v>150</v>
      </c>
      <c r="S300" s="78">
        <f t="shared" si="62"/>
        <v>132.33333333333334</v>
      </c>
      <c r="T300" s="78">
        <f t="shared" si="63"/>
        <v>118.06666666666666</v>
      </c>
      <c r="U300" s="78">
        <f t="shared" si="67"/>
        <v>132.20000000000002</v>
      </c>
      <c r="V300" s="78">
        <f>IFERROR(I300+O300, "")</f>
        <v>197.8</v>
      </c>
      <c r="W300" s="78">
        <f t="shared" si="68"/>
        <v>171</v>
      </c>
      <c r="X300" s="78">
        <f t="shared" si="69"/>
        <v>83.274000000000001</v>
      </c>
      <c r="Y300" s="78">
        <f t="shared" si="70"/>
        <v>74.430000000000007</v>
      </c>
      <c r="AA300" s="88">
        <f t="shared" si="71"/>
        <v>135.07999999999998</v>
      </c>
      <c r="AB300" s="77">
        <f t="shared" si="73"/>
        <v>-51.805999999999983</v>
      </c>
      <c r="AD300" s="88">
        <f t="shared" si="72"/>
        <v>74.430000000000007</v>
      </c>
      <c r="AE300" s="77">
        <f t="shared" si="74"/>
        <v>60.649999999999977</v>
      </c>
    </row>
    <row r="301" spans="2:31" x14ac:dyDescent="0.35">
      <c r="B301">
        <v>2024</v>
      </c>
      <c r="C301">
        <v>1</v>
      </c>
      <c r="D301">
        <v>2</v>
      </c>
      <c r="E301" s="78">
        <f>'CRU historical'!F278</f>
        <v>33</v>
      </c>
      <c r="F301" s="78">
        <f>'CRU historical'!I278</f>
        <v>108.75</v>
      </c>
      <c r="G301" s="78">
        <f>'CRU historical'!L278</f>
        <v>53</v>
      </c>
      <c r="H301" s="78">
        <f>'CRU historical'!O278</f>
        <v>150</v>
      </c>
      <c r="I301" s="78">
        <f>'CRU historical'!R278</f>
        <v>183</v>
      </c>
      <c r="J301" s="78">
        <f>AVERAGE('CRU historical'!U278, 'CRU historical'!X278, 'CRU historical'!AA278, 'CRU historical'!AD278)</f>
        <v>165</v>
      </c>
      <c r="L301" s="78" cm="1">
        <f t="array" ref="L301">IFERROR(SUMPRODUCT(('Sulphuric Acid freights'!$B$3:$B$513=B311)*('Sulphuric Acid freights'!$D$3:$D$513=D301)*('Sulphuric Acid freights'!$P$3:$P$513))/SUMPRODUCT(('Sulphuric Acid freights'!$B$3:$B$513=B311)*('Sulphuric Acid freights'!$D$3:$D$513=D301)*1), AVERAGE('Sulphuric Acid freights'!$P$3:$P$513))*2/3</f>
        <v>81</v>
      </c>
      <c r="M301" s="78" cm="1">
        <f t="array" ref="M301">IFERROR(SUMPRODUCT(('Sulphuric Acid freights'!$B$3:$B$513=B311)*('Sulphuric Acid freights'!$D$3:$D$513=D301)*('Sulphuric Acid freights'!$M$3:$M$513))/SUMPRODUCT(('Sulphuric Acid freights'!$B$3:$B$513=B311)*('Sulphuric Acid freights'!$D$3:$D$513=D301)*1)*2/3, AVERAGE('Sulphuric Acid freights'!$M$3:$M$513))</f>
        <v>16.666666666666668</v>
      </c>
      <c r="N301" s="78">
        <f t="shared" si="65"/>
        <v>72.900000000000006</v>
      </c>
      <c r="O301" s="78" cm="1">
        <f t="array" ref="O301">IF(SUMPRODUCT(('Sulphur freight'!$B$3:$B$1976=B311)*('Sulphur freight'!$D$3:$D$1976=D301)*('Sulphur freight'!$G$3:$G$1976))/SUMPRODUCT(('Sulphur freight'!$B$3:$B$1976=B311)*('Sulphur freight'!$D$3:$D$1976=D301)*1)=0, AVERAGE('Sulphur freight'!$G$3:$G$1976),SUMPRODUCT(('Sulphur freight'!$B$3:$B$1976=B311)*('Sulphur freight'!$D$3:$D$1976=D301)*('Sulphur freight'!$G$3:$G$1976))/SUMPRODUCT(('Sulphur freight'!$B$3:$B$1976=B311)*('Sulphur freight'!$D$3:$D$1976=D301)*1))</f>
        <v>31</v>
      </c>
      <c r="P301" s="78">
        <v>20</v>
      </c>
      <c r="R301" s="78">
        <f t="shared" si="66"/>
        <v>150</v>
      </c>
      <c r="S301" s="78">
        <f t="shared" si="62"/>
        <v>125.41666666666667</v>
      </c>
      <c r="T301" s="78">
        <f t="shared" si="63"/>
        <v>114</v>
      </c>
      <c r="U301" s="78">
        <f t="shared" si="67"/>
        <v>125.9</v>
      </c>
      <c r="V301" s="78">
        <f>IFERROR(I301+O301, "")</f>
        <v>214</v>
      </c>
      <c r="W301" s="78">
        <f t="shared" si="68"/>
        <v>185</v>
      </c>
      <c r="X301" s="78">
        <f t="shared" si="69"/>
        <v>88.62</v>
      </c>
      <c r="Y301" s="78">
        <f t="shared" si="70"/>
        <v>79.050000000000011</v>
      </c>
      <c r="AA301" s="88">
        <f t="shared" si="71"/>
        <v>131.97</v>
      </c>
      <c r="AB301" s="77">
        <f t="shared" si="73"/>
        <v>-43.349999999999994</v>
      </c>
      <c r="AD301" s="88">
        <f t="shared" si="72"/>
        <v>79.050000000000011</v>
      </c>
      <c r="AE301" s="77">
        <f t="shared" si="74"/>
        <v>52.919999999999987</v>
      </c>
    </row>
    <row r="302" spans="2:31" x14ac:dyDescent="0.35">
      <c r="B302">
        <v>2024</v>
      </c>
      <c r="C302">
        <v>1</v>
      </c>
      <c r="D302">
        <v>3</v>
      </c>
      <c r="E302" s="78">
        <f>'CRU historical'!F279</f>
        <v>34.5</v>
      </c>
      <c r="F302" s="78">
        <f>'CRU historical'!I279</f>
        <v>69.75</v>
      </c>
      <c r="G302" s="78">
        <f>'CRU historical'!L279</f>
        <v>65.5</v>
      </c>
      <c r="H302" s="78">
        <f>'CRU historical'!O279</f>
        <v>117.5</v>
      </c>
      <c r="I302" s="78">
        <f>'CRU historical'!R279</f>
        <v>256.5</v>
      </c>
      <c r="J302" s="78">
        <f>AVERAGE('CRU historical'!U279, 'CRU historical'!X279, 'CRU historical'!AA279, 'CRU historical'!AD279)</f>
        <v>165</v>
      </c>
      <c r="L302" s="78" cm="1">
        <f t="array" ref="L302">IFERROR(SUMPRODUCT(('Sulphuric Acid freights'!$B$3:$B$513=B312)*('Sulphuric Acid freights'!$D$3:$D$513=D302)*('Sulphuric Acid freights'!$P$3:$P$513))/SUMPRODUCT(('Sulphuric Acid freights'!$B$3:$B$513=B312)*('Sulphuric Acid freights'!$D$3:$D$513=D302)*1), AVERAGE('Sulphuric Acid freights'!$P$3:$P$513))*2/3</f>
        <v>75.333333333333329</v>
      </c>
      <c r="M302" s="78" cm="1">
        <f t="array" ref="M302">IFERROR(SUMPRODUCT(('Sulphuric Acid freights'!$B$3:$B$513=B312)*('Sulphuric Acid freights'!$D$3:$D$513=D302)*('Sulphuric Acid freights'!$M$3:$M$513))/SUMPRODUCT(('Sulphuric Acid freights'!$B$3:$B$513=B312)*('Sulphuric Acid freights'!$D$3:$D$513=D302)*1)*2/3, AVERAGE('Sulphuric Acid freights'!$M$3:$M$513))</f>
        <v>16</v>
      </c>
      <c r="N302" s="78">
        <f t="shared" si="65"/>
        <v>67.8</v>
      </c>
      <c r="O302" s="78" cm="1">
        <f t="array" ref="O302">IF(SUMPRODUCT(('Sulphur freight'!$B$3:$B$1976=B312)*('Sulphur freight'!$D$3:$D$1976=D302)*('Sulphur freight'!$G$3:$G$1976))/SUMPRODUCT(('Sulphur freight'!$B$3:$B$1976=B312)*('Sulphur freight'!$D$3:$D$1976=D302)*1)=0, AVERAGE('Sulphur freight'!$G$3:$G$1976),SUMPRODUCT(('Sulphur freight'!$B$3:$B$1976=B312)*('Sulphur freight'!$D$3:$D$1976=D302)*('Sulphur freight'!$G$3:$G$1976))/SUMPRODUCT(('Sulphur freight'!$B$3:$B$1976=B312)*('Sulphur freight'!$D$3:$D$1976=D302)*1))</f>
        <v>32.25</v>
      </c>
      <c r="P302" s="78">
        <v>20</v>
      </c>
      <c r="R302" s="78">
        <f t="shared" si="66"/>
        <v>117.5</v>
      </c>
      <c r="S302" s="78">
        <f t="shared" si="62"/>
        <v>85.75</v>
      </c>
      <c r="T302" s="78">
        <f t="shared" si="63"/>
        <v>109.83333333333333</v>
      </c>
      <c r="U302" s="78">
        <f t="shared" si="67"/>
        <v>133.30000000000001</v>
      </c>
      <c r="V302" s="78">
        <f>IFERROR(I302+O302, "")</f>
        <v>288.75</v>
      </c>
      <c r="W302" s="78">
        <f t="shared" si="68"/>
        <v>185</v>
      </c>
      <c r="X302" s="78">
        <f t="shared" si="69"/>
        <v>113.28750000000001</v>
      </c>
      <c r="Y302" s="78">
        <f t="shared" si="70"/>
        <v>79.050000000000011</v>
      </c>
      <c r="AA302" s="88">
        <f t="shared" si="71"/>
        <v>119.94</v>
      </c>
      <c r="AB302" s="77">
        <f t="shared" si="73"/>
        <v>-6.6524999999999892</v>
      </c>
      <c r="AD302" s="88">
        <f t="shared" si="72"/>
        <v>79.050000000000011</v>
      </c>
      <c r="AE302" s="77">
        <f t="shared" si="74"/>
        <v>40.889999999999986</v>
      </c>
    </row>
    <row r="303" spans="2:31" x14ac:dyDescent="0.35">
      <c r="B303">
        <v>2024</v>
      </c>
      <c r="C303">
        <v>2</v>
      </c>
      <c r="D303">
        <v>4</v>
      </c>
      <c r="E303" s="78">
        <f>'CRU historical'!F280</f>
        <v>38.25</v>
      </c>
      <c r="F303" s="78">
        <f>'CRU historical'!I280</f>
        <v>94.5</v>
      </c>
      <c r="G303" s="78">
        <f>'CRU historical'!L280</f>
        <v>72.75</v>
      </c>
      <c r="H303" s="78">
        <f>'CRU historical'!O280</f>
        <v>121.25</v>
      </c>
      <c r="I303" s="78">
        <f>'CRU historical'!R280</f>
        <v>280</v>
      </c>
      <c r="J303" s="78">
        <f>AVERAGE('CRU historical'!U280, 'CRU historical'!X280, 'CRU historical'!AA280, 'CRU historical'!AD280)</f>
        <v>248</v>
      </c>
      <c r="L303" s="78" cm="1">
        <f t="array" ref="L303">IFERROR(SUMPRODUCT(('Sulphuric Acid freights'!$B$3:$B$513=B313)*('Sulphuric Acid freights'!$D$3:$D$513=D303)*('Sulphuric Acid freights'!$P$3:$P$513))/SUMPRODUCT(('Sulphuric Acid freights'!$B$3:$B$513=B313)*('Sulphuric Acid freights'!$D$3:$D$513=D303)*1), AVERAGE('Sulphuric Acid freights'!$P$3:$P$513))*2/3</f>
        <v>74.333333333333329</v>
      </c>
      <c r="M303" s="78" cm="1">
        <f t="array" ref="M303">IFERROR(SUMPRODUCT(('Sulphuric Acid freights'!$B$3:$B$513=B313)*('Sulphuric Acid freights'!$D$3:$D$513=D303)*('Sulphuric Acid freights'!$M$3:$M$513))/SUMPRODUCT(('Sulphuric Acid freights'!$B$3:$B$513=B313)*('Sulphuric Acid freights'!$D$3:$D$513=D303)*1)*2/3, AVERAGE('Sulphuric Acid freights'!$M$3:$M$513))</f>
        <v>16</v>
      </c>
      <c r="N303" s="78">
        <f t="shared" si="65"/>
        <v>66.899999999999991</v>
      </c>
      <c r="O303" s="78" cm="1">
        <f t="array" ref="O303">IF(SUMPRODUCT(('Sulphur freight'!$B$3:$B$1976=B313)*('Sulphur freight'!$D$3:$D$1976=D303)*('Sulphur freight'!$G$3:$G$1976))/SUMPRODUCT(('Sulphur freight'!$B$3:$B$1976=B313)*('Sulphur freight'!$D$3:$D$1976=D303)*1)=0, AVERAGE('Sulphur freight'!$G$3:$G$1976),SUMPRODUCT(('Sulphur freight'!$B$3:$B$1976=B313)*('Sulphur freight'!$D$3:$D$1976=D303)*('Sulphur freight'!$G$3:$G$1976))/SUMPRODUCT(('Sulphur freight'!$B$3:$B$1976=B313)*('Sulphur freight'!$D$3:$D$1976=D303)*1))</f>
        <v>32</v>
      </c>
      <c r="P303" s="78">
        <v>20</v>
      </c>
      <c r="R303" s="78">
        <f t="shared" si="66"/>
        <v>121.25</v>
      </c>
      <c r="S303" s="78">
        <f t="shared" si="62"/>
        <v>110.5</v>
      </c>
      <c r="T303" s="78">
        <f t="shared" si="63"/>
        <v>112.58333333333333</v>
      </c>
      <c r="U303" s="78">
        <f t="shared" si="67"/>
        <v>139.64999999999998</v>
      </c>
      <c r="V303" s="78">
        <f>IFERROR(I303+O303, "")</f>
        <v>312</v>
      </c>
      <c r="W303" s="78">
        <f t="shared" si="68"/>
        <v>268</v>
      </c>
      <c r="X303" s="78">
        <f t="shared" si="69"/>
        <v>120.96000000000001</v>
      </c>
      <c r="Y303" s="78">
        <f t="shared" si="70"/>
        <v>106.44</v>
      </c>
      <c r="AA303" s="88">
        <f t="shared" si="71"/>
        <v>124.16999999999999</v>
      </c>
      <c r="AB303" s="77">
        <f t="shared" si="73"/>
        <v>-3.2099999999999795</v>
      </c>
      <c r="AD303" s="88">
        <f t="shared" si="72"/>
        <v>106.44</v>
      </c>
      <c r="AE303" s="77">
        <f t="shared" si="74"/>
        <v>17.72999999999999</v>
      </c>
    </row>
    <row r="304" spans="2:31" x14ac:dyDescent="0.35">
      <c r="B304">
        <v>2024</v>
      </c>
      <c r="C304">
        <v>2</v>
      </c>
      <c r="D304">
        <v>5</v>
      </c>
      <c r="E304" s="78">
        <f>'CRU historical'!F281</f>
        <v>43.8</v>
      </c>
      <c r="F304" s="78">
        <f>'CRU historical'!I281</f>
        <v>111.2</v>
      </c>
      <c r="G304" s="78">
        <f>'CRU historical'!L281</f>
        <v>74.2</v>
      </c>
      <c r="H304" s="78">
        <f>'CRU historical'!O281</f>
        <v>153</v>
      </c>
      <c r="I304" s="78">
        <f>'CRU historical'!R281</f>
        <v>295</v>
      </c>
      <c r="J304" s="78">
        <f>AVERAGE('CRU historical'!U281, 'CRU historical'!X281, 'CRU historical'!AA281, 'CRU historical'!AD281)</f>
        <v>248</v>
      </c>
      <c r="L304" s="78" cm="1">
        <f t="array" ref="L304">IFERROR(SUMPRODUCT(('Sulphuric Acid freights'!$B$3:$B$513=B314)*('Sulphuric Acid freights'!$D$3:$D$513=D304)*('Sulphuric Acid freights'!$P$3:$P$513))/SUMPRODUCT(('Sulphuric Acid freights'!$B$3:$B$513=B314)*('Sulphuric Acid freights'!$D$3:$D$513=D304)*1), AVERAGE('Sulphuric Acid freights'!$P$3:$P$513))*2/3</f>
        <v>73.333333333333329</v>
      </c>
      <c r="M304" s="78" cm="1">
        <f t="array" ref="M304">IFERROR(SUMPRODUCT(('Sulphuric Acid freights'!$B$3:$B$513=B314)*('Sulphuric Acid freights'!$D$3:$D$513=D304)*('Sulphuric Acid freights'!$M$3:$M$513))/SUMPRODUCT(('Sulphuric Acid freights'!$B$3:$B$513=B314)*('Sulphuric Acid freights'!$D$3:$D$513=D304)*1)*2/3, AVERAGE('Sulphuric Acid freights'!$M$3:$M$513))</f>
        <v>16</v>
      </c>
      <c r="N304" s="78">
        <f t="shared" si="65"/>
        <v>66</v>
      </c>
      <c r="O304" s="78" cm="1">
        <f t="array" ref="O304">IF(SUMPRODUCT(('Sulphur freight'!$B$3:$B$1976=B314)*('Sulphur freight'!$D$3:$D$1976=D304)*('Sulphur freight'!$G$3:$G$1976))/SUMPRODUCT(('Sulphur freight'!$B$3:$B$1976=B314)*('Sulphur freight'!$D$3:$D$1976=D304)*1)=0, AVERAGE('Sulphur freight'!$G$3:$G$1976),SUMPRODUCT(('Sulphur freight'!$B$3:$B$1976=B314)*('Sulphur freight'!$D$3:$D$1976=D304)*('Sulphur freight'!$G$3:$G$1976))/SUMPRODUCT(('Sulphur freight'!$B$3:$B$1976=B314)*('Sulphur freight'!$D$3:$D$1976=D304)*1))</f>
        <v>31.8</v>
      </c>
      <c r="P304" s="78">
        <v>20</v>
      </c>
      <c r="R304" s="78">
        <f t="shared" si="66"/>
        <v>153</v>
      </c>
      <c r="S304" s="78">
        <f t="shared" si="62"/>
        <v>127.2</v>
      </c>
      <c r="T304" s="78">
        <f t="shared" si="63"/>
        <v>117.13333333333333</v>
      </c>
      <c r="U304" s="78">
        <f t="shared" si="67"/>
        <v>140.19999999999999</v>
      </c>
      <c r="V304" s="78">
        <f>IFERROR(I304+O304, "")</f>
        <v>326.8</v>
      </c>
      <c r="W304" s="78">
        <f t="shared" si="68"/>
        <v>268</v>
      </c>
      <c r="X304" s="78">
        <f t="shared" si="69"/>
        <v>125.84400000000001</v>
      </c>
      <c r="Y304" s="78">
        <f t="shared" si="70"/>
        <v>106.44</v>
      </c>
      <c r="AA304" s="88">
        <f t="shared" si="71"/>
        <v>138.4</v>
      </c>
      <c r="AB304" s="77">
        <f t="shared" si="73"/>
        <v>-12.555999999999997</v>
      </c>
      <c r="AD304" s="88">
        <f t="shared" si="72"/>
        <v>106.44</v>
      </c>
      <c r="AE304" s="77">
        <f t="shared" si="74"/>
        <v>31.960000000000008</v>
      </c>
    </row>
    <row r="305" spans="2:31" x14ac:dyDescent="0.35">
      <c r="B305">
        <v>2024</v>
      </c>
      <c r="C305">
        <v>2</v>
      </c>
      <c r="D305">
        <v>6</v>
      </c>
      <c r="E305" s="78">
        <f>'CRU historical'!F282</f>
        <v>47</v>
      </c>
      <c r="F305" s="78">
        <f>'CRU historical'!I282</f>
        <v>131.25</v>
      </c>
      <c r="G305" s="78">
        <f>'CRU historical'!L282</f>
        <v>89.75</v>
      </c>
      <c r="H305" s="78">
        <f>'CRU historical'!O282</f>
        <v>160</v>
      </c>
      <c r="I305" s="78">
        <f>'CRU historical'!R282</f>
        <v>276.25</v>
      </c>
      <c r="J305" s="78">
        <f>AVERAGE('CRU historical'!U282, 'CRU historical'!X282, 'CRU historical'!AA282, 'CRU historical'!AD282)</f>
        <v>248</v>
      </c>
      <c r="L305" s="78" cm="1">
        <f t="array" ref="L305">IFERROR(SUMPRODUCT(('Sulphuric Acid freights'!$B$3:$B$513=B315)*('Sulphuric Acid freights'!$D$3:$D$513=D305)*('Sulphuric Acid freights'!$P$3:$P$513))/SUMPRODUCT(('Sulphuric Acid freights'!$B$3:$B$513=B315)*('Sulphuric Acid freights'!$D$3:$D$513=D305)*1), AVERAGE('Sulphuric Acid freights'!$P$3:$P$513))*2/3</f>
        <v>69.166666666666671</v>
      </c>
      <c r="M305" s="78" cm="1">
        <f t="array" ref="M305">IFERROR(SUMPRODUCT(('Sulphuric Acid freights'!$B$3:$B$513=B315)*('Sulphuric Acid freights'!$D$3:$D$513=D305)*('Sulphuric Acid freights'!$M$3:$M$513))/SUMPRODUCT(('Sulphuric Acid freights'!$B$3:$B$513=B315)*('Sulphuric Acid freights'!$D$3:$D$513=D305)*1)*2/3, AVERAGE('Sulphuric Acid freights'!$M$3:$M$513))</f>
        <v>15</v>
      </c>
      <c r="N305" s="78">
        <f t="shared" si="65"/>
        <v>62.250000000000007</v>
      </c>
      <c r="O305" s="78" cm="1">
        <f t="array" ref="O305">IF(SUMPRODUCT(('Sulphur freight'!$B$3:$B$1976=B315)*('Sulphur freight'!$D$3:$D$1976=D305)*('Sulphur freight'!$G$3:$G$1976))/SUMPRODUCT(('Sulphur freight'!$B$3:$B$1976=B315)*('Sulphur freight'!$D$3:$D$1976=D305)*1)=0, AVERAGE('Sulphur freight'!$G$3:$G$1976),SUMPRODUCT(('Sulphur freight'!$B$3:$B$1976=B315)*('Sulphur freight'!$D$3:$D$1976=D305)*('Sulphur freight'!$G$3:$G$1976))/SUMPRODUCT(('Sulphur freight'!$B$3:$B$1976=B315)*('Sulphur freight'!$D$3:$D$1976=D305)*1))</f>
        <v>30.75</v>
      </c>
      <c r="P305" s="78">
        <v>20</v>
      </c>
      <c r="R305" s="78">
        <f t="shared" si="66"/>
        <v>160</v>
      </c>
      <c r="S305" s="78">
        <f t="shared" si="62"/>
        <v>146.25</v>
      </c>
      <c r="T305" s="78">
        <f t="shared" si="63"/>
        <v>116.16666666666667</v>
      </c>
      <c r="U305" s="78">
        <f t="shared" si="67"/>
        <v>152</v>
      </c>
      <c r="V305" s="78">
        <f>IFERROR(I305+O305, "")</f>
        <v>307</v>
      </c>
      <c r="W305" s="78">
        <f t="shared" si="68"/>
        <v>268</v>
      </c>
      <c r="X305" s="78">
        <f t="shared" si="69"/>
        <v>119.31</v>
      </c>
      <c r="Y305" s="78">
        <f t="shared" si="70"/>
        <v>106.44</v>
      </c>
      <c r="AA305" s="88">
        <f t="shared" si="71"/>
        <v>144.44999999999999</v>
      </c>
      <c r="AB305" s="77">
        <f t="shared" si="73"/>
        <v>-25.139999999999986</v>
      </c>
      <c r="AD305" s="88">
        <f t="shared" si="72"/>
        <v>106.44</v>
      </c>
      <c r="AE305" s="77">
        <f t="shared" si="74"/>
        <v>38.009999999999991</v>
      </c>
    </row>
    <row r="306" spans="2:31" x14ac:dyDescent="0.35">
      <c r="B306">
        <v>2024</v>
      </c>
      <c r="C306">
        <v>3</v>
      </c>
      <c r="D306">
        <v>7</v>
      </c>
      <c r="E306" s="78">
        <f>'CRU historical'!F283</f>
        <v>52</v>
      </c>
      <c r="F306" s="78">
        <f>'CRU historical'!I283</f>
        <v>124</v>
      </c>
      <c r="G306" s="78">
        <f>'CRU historical'!L283</f>
        <v>94.2</v>
      </c>
      <c r="H306" s="78">
        <f>'CRU historical'!O283</f>
        <v>170</v>
      </c>
      <c r="I306" s="78">
        <f>'CRU historical'!R283</f>
        <v>260</v>
      </c>
      <c r="J306" s="78">
        <f>AVERAGE('CRU historical'!U283, 'CRU historical'!X283, 'CRU historical'!AA283, 'CRU historical'!AD283)</f>
        <v>256</v>
      </c>
      <c r="L306" s="78" cm="1">
        <f t="array" ref="L306">IFERROR(SUMPRODUCT(('Sulphuric Acid freights'!$B$3:$B$513=B316)*('Sulphuric Acid freights'!$D$3:$D$513=D306)*('Sulphuric Acid freights'!$P$3:$P$513))/SUMPRODUCT(('Sulphuric Acid freights'!$B$3:$B$513=B316)*('Sulphuric Acid freights'!$D$3:$D$513=D306)*1), AVERAGE('Sulphuric Acid freights'!$P$3:$P$513))*2/3</f>
        <v>67.600000000000009</v>
      </c>
      <c r="M306" s="78" cm="1">
        <f t="array" ref="M306">IFERROR(SUMPRODUCT(('Sulphuric Acid freights'!$B$3:$B$513=B316)*('Sulphuric Acid freights'!$D$3:$D$513=D306)*('Sulphuric Acid freights'!$M$3:$M$513))/SUMPRODUCT(('Sulphuric Acid freights'!$B$3:$B$513=B316)*('Sulphuric Acid freights'!$D$3:$D$513=D306)*1)*2/3, AVERAGE('Sulphuric Acid freights'!$M$3:$M$513))</f>
        <v>14.666666666666666</v>
      </c>
      <c r="N306" s="78">
        <f t="shared" si="65"/>
        <v>60.840000000000011</v>
      </c>
      <c r="O306" s="78" cm="1">
        <f t="array" ref="O306">IF(SUMPRODUCT(('Sulphur freight'!$B$3:$B$1976=B316)*('Sulphur freight'!$D$3:$D$1976=D306)*('Sulphur freight'!$G$3:$G$1976))/SUMPRODUCT(('Sulphur freight'!$B$3:$B$1976=B316)*('Sulphur freight'!$D$3:$D$1976=D306)*1)=0, AVERAGE('Sulphur freight'!$G$3:$G$1976),SUMPRODUCT(('Sulphur freight'!$B$3:$B$1976=B316)*('Sulphur freight'!$D$3:$D$1976=D306)*('Sulphur freight'!$G$3:$G$1976))/SUMPRODUCT(('Sulphur freight'!$B$3:$B$1976=B316)*('Sulphur freight'!$D$3:$D$1976=D306)*1))</f>
        <v>35</v>
      </c>
      <c r="P306" s="78">
        <v>20</v>
      </c>
      <c r="R306" s="78">
        <f t="shared" si="66"/>
        <v>170</v>
      </c>
      <c r="S306" s="78">
        <f t="shared" si="62"/>
        <v>138.66666666666666</v>
      </c>
      <c r="T306" s="78">
        <f t="shared" si="63"/>
        <v>119.60000000000001</v>
      </c>
      <c r="U306" s="78">
        <f t="shared" si="67"/>
        <v>155.04000000000002</v>
      </c>
      <c r="V306" s="78">
        <f>IFERROR(I306+O306, "")</f>
        <v>295</v>
      </c>
      <c r="W306" s="78">
        <f t="shared" si="68"/>
        <v>276</v>
      </c>
      <c r="X306" s="78">
        <f t="shared" si="69"/>
        <v>115.35000000000001</v>
      </c>
      <c r="Y306" s="78">
        <f t="shared" si="70"/>
        <v>109.08</v>
      </c>
      <c r="AA306" s="88">
        <f t="shared" si="71"/>
        <v>150.392</v>
      </c>
      <c r="AB306" s="77">
        <f t="shared" si="73"/>
        <v>-35.041999999999987</v>
      </c>
      <c r="AD306" s="88">
        <f t="shared" si="72"/>
        <v>109.08</v>
      </c>
      <c r="AE306" s="77">
        <f t="shared" si="74"/>
        <v>41.311999999999998</v>
      </c>
    </row>
    <row r="307" spans="2:31" x14ac:dyDescent="0.35">
      <c r="B307">
        <v>2024</v>
      </c>
      <c r="C307">
        <v>3</v>
      </c>
      <c r="D307">
        <v>8</v>
      </c>
      <c r="E307" s="94">
        <f>E306*G307/G306</f>
        <v>52.993630573248403</v>
      </c>
      <c r="F307" s="78">
        <f>'CRU historical'!I284</f>
        <v>116.25</v>
      </c>
      <c r="G307" s="78">
        <f>'CRU historical'!L284</f>
        <v>96</v>
      </c>
      <c r="H307" s="78">
        <f>'CRU historical'!O284</f>
        <v>165</v>
      </c>
      <c r="I307" s="78">
        <f>'CRU historical'!R284</f>
        <v>274.75</v>
      </c>
      <c r="J307" s="78">
        <f>AVERAGE('CRU historical'!U284, 'CRU historical'!X284, 'CRU historical'!AA284, 'CRU historical'!AD284)</f>
        <v>268</v>
      </c>
      <c r="L307" s="78" cm="1">
        <f t="array" ref="L307">IFERROR(SUMPRODUCT(('Sulphuric Acid freights'!$B$3:$B$513=B317)*('Sulphuric Acid freights'!$D$3:$D$513=D307)*('Sulphuric Acid freights'!$P$3:$P$513))/SUMPRODUCT(('Sulphuric Acid freights'!$B$3:$B$513=B317)*('Sulphuric Acid freights'!$D$3:$D$513=D307)*1), AVERAGE('Sulphuric Acid freights'!$P$3:$P$513))*2/3</f>
        <v>66</v>
      </c>
      <c r="M307" s="78" cm="1">
        <f t="array" ref="M307">IFERROR(SUMPRODUCT(('Sulphuric Acid freights'!$B$3:$B$513=B317)*('Sulphuric Acid freights'!$D$3:$D$513=D307)*('Sulphuric Acid freights'!$M$3:$M$513))/SUMPRODUCT(('Sulphuric Acid freights'!$B$3:$B$513=B317)*('Sulphuric Acid freights'!$D$3:$D$513=D307)*1)*2/3, AVERAGE('Sulphuric Acid freights'!$M$3:$M$513))</f>
        <v>14.666666666666666</v>
      </c>
      <c r="N307" s="78">
        <f t="shared" si="65"/>
        <v>59.4</v>
      </c>
      <c r="O307" s="78" cm="1">
        <f t="array" ref="O307">IF(SUMPRODUCT(('Sulphur freight'!$B$3:$B$1976=B317)*('Sulphur freight'!$D$3:$D$1976=D307)*('Sulphur freight'!$G$3:$G$1976))/SUMPRODUCT(('Sulphur freight'!$B$3:$B$1976=B317)*('Sulphur freight'!$D$3:$D$1976=D307)*1)=0, AVERAGE('Sulphur freight'!$G$3:$G$1976),SUMPRODUCT(('Sulphur freight'!$B$3:$B$1976=B317)*('Sulphur freight'!$D$3:$D$1976=D307)*('Sulphur freight'!$G$3:$G$1976))/SUMPRODUCT(('Sulphur freight'!$B$3:$B$1976=B317)*('Sulphur freight'!$D$3:$D$1976=D307)*1))</f>
        <v>35.75</v>
      </c>
      <c r="P307" s="78">
        <v>20</v>
      </c>
      <c r="R307" s="78">
        <f t="shared" si="66"/>
        <v>165</v>
      </c>
      <c r="S307" s="78">
        <f t="shared" si="62"/>
        <v>130.91666666666666</v>
      </c>
      <c r="T307" s="94">
        <f>T306*(U307/U306)</f>
        <v>119.87770897832816</v>
      </c>
      <c r="U307" s="78">
        <f t="shared" si="67"/>
        <v>155.4</v>
      </c>
      <c r="V307" s="78">
        <f>IFERROR(I307+O307, "")</f>
        <v>310.5</v>
      </c>
      <c r="W307" s="78">
        <f t="shared" si="68"/>
        <v>288</v>
      </c>
      <c r="X307" s="78">
        <f t="shared" si="69"/>
        <v>120.465</v>
      </c>
      <c r="Y307" s="78">
        <f t="shared" si="70"/>
        <v>113.04</v>
      </c>
      <c r="AA307" s="88">
        <f t="shared" si="71"/>
        <v>148.58331269349844</v>
      </c>
      <c r="AB307" s="77">
        <f t="shared" si="73"/>
        <v>-28.118312693498439</v>
      </c>
      <c r="AD307" s="88">
        <f t="shared" si="72"/>
        <v>113.04</v>
      </c>
      <c r="AE307" s="77">
        <f t="shared" si="74"/>
        <v>35.543312693498436</v>
      </c>
    </row>
    <row r="308" spans="2:31" x14ac:dyDescent="0.35">
      <c r="B308">
        <v>2024</v>
      </c>
      <c r="C308">
        <v>3</v>
      </c>
      <c r="D308">
        <v>9</v>
      </c>
      <c r="E308" s="94">
        <f t="shared" ref="E308:E311" si="75">E307*G308/G307</f>
        <v>41.953290870488317</v>
      </c>
      <c r="F308" s="78">
        <f>'CRU historical'!I285</f>
        <v>79.5</v>
      </c>
      <c r="G308" s="78">
        <f>'CRU historical'!L285</f>
        <v>76</v>
      </c>
      <c r="H308" s="78">
        <f>'CRU historical'!O285</f>
        <v>130</v>
      </c>
      <c r="I308" s="78">
        <f>'CRU historical'!R285</f>
        <v>307.75</v>
      </c>
      <c r="J308" s="78">
        <f>AVERAGE('CRU historical'!U285, 'CRU historical'!X285, 'CRU historical'!AA285, 'CRU historical'!AD285)</f>
        <v>268</v>
      </c>
      <c r="L308" s="78" cm="1">
        <f t="array" ref="L308">IFERROR(SUMPRODUCT(('Sulphuric Acid freights'!$B$3:$B$513=B318)*('Sulphuric Acid freights'!$D$3:$D$513=D308)*('Sulphuric Acid freights'!$P$3:$P$513))/SUMPRODUCT(('Sulphuric Acid freights'!$B$3:$B$513=B318)*('Sulphuric Acid freights'!$D$3:$D$513=D308)*1), AVERAGE('Sulphuric Acid freights'!$P$3:$P$513))*2/3</f>
        <v>66</v>
      </c>
      <c r="M308" s="78" cm="1">
        <f t="array" ref="M308">IFERROR(SUMPRODUCT(('Sulphuric Acid freights'!$B$3:$B$513=B318)*('Sulphuric Acid freights'!$D$3:$D$513=D308)*('Sulphuric Acid freights'!$M$3:$M$513))/SUMPRODUCT(('Sulphuric Acid freights'!$B$3:$B$513=B318)*('Sulphuric Acid freights'!$D$3:$D$513=D308)*1)*2/3, AVERAGE('Sulphuric Acid freights'!$M$3:$M$513))</f>
        <v>14.666666666666666</v>
      </c>
      <c r="N308" s="78">
        <f t="shared" si="65"/>
        <v>59.4</v>
      </c>
      <c r="O308" s="78" cm="1">
        <f t="array" ref="O308">IF(SUMPRODUCT(('Sulphur freight'!$B$3:$B$1976=B318)*('Sulphur freight'!$D$3:$D$1976=D308)*('Sulphur freight'!$G$3:$G$1976))/SUMPRODUCT(('Sulphur freight'!$B$3:$B$1976=B318)*('Sulphur freight'!$D$3:$D$1976=D308)*1)=0, AVERAGE('Sulphur freight'!$G$3:$G$1976),SUMPRODUCT(('Sulphur freight'!$B$3:$B$1976=B318)*('Sulphur freight'!$D$3:$D$1976=D308)*('Sulphur freight'!$G$3:$G$1976))/SUMPRODUCT(('Sulphur freight'!$B$3:$B$1976=B318)*('Sulphur freight'!$D$3:$D$1976=D308)*1))</f>
        <v>35.5</v>
      </c>
      <c r="P308" s="78">
        <v>20</v>
      </c>
      <c r="R308" s="78">
        <f t="shared" si="66"/>
        <v>130</v>
      </c>
      <c r="S308" s="78">
        <f t="shared" si="62"/>
        <v>94.166666666666671</v>
      </c>
      <c r="T308" s="94">
        <f t="shared" ref="T308:T311" si="76">T307*(U308/U307)</f>
        <v>104.44943240454074</v>
      </c>
      <c r="U308" s="78">
        <f t="shared" si="67"/>
        <v>135.4</v>
      </c>
      <c r="V308" s="78">
        <f>IFERROR(I308+O308, "")</f>
        <v>343.25</v>
      </c>
      <c r="W308" s="78">
        <f t="shared" si="68"/>
        <v>288</v>
      </c>
      <c r="X308" s="78">
        <f t="shared" si="69"/>
        <v>131.27250000000001</v>
      </c>
      <c r="Y308" s="78">
        <f t="shared" si="70"/>
        <v>113.04</v>
      </c>
      <c r="AA308" s="88">
        <f t="shared" si="71"/>
        <v>123.95482972136222</v>
      </c>
      <c r="AB308" s="77">
        <f t="shared" si="73"/>
        <v>7.3176702786377916</v>
      </c>
      <c r="AD308" s="88">
        <f t="shared" si="72"/>
        <v>113.04</v>
      </c>
      <c r="AE308" s="77">
        <f t="shared" si="74"/>
        <v>10.91482972136221</v>
      </c>
    </row>
    <row r="309" spans="2:31" x14ac:dyDescent="0.35">
      <c r="B309">
        <v>2024</v>
      </c>
      <c r="C309">
        <v>4</v>
      </c>
      <c r="D309">
        <v>10</v>
      </c>
      <c r="E309" s="94">
        <f t="shared" si="75"/>
        <v>43.71974522292993</v>
      </c>
      <c r="F309" s="78">
        <f>'CRU historical'!I286</f>
        <v>80.2</v>
      </c>
      <c r="G309" s="78">
        <f>'CRU historical'!L286</f>
        <v>79.2</v>
      </c>
      <c r="H309" s="78">
        <f>'CRU historical'!O286</f>
        <v>130</v>
      </c>
      <c r="I309" s="78">
        <f>'CRU historical'!R286</f>
        <v>359.8</v>
      </c>
      <c r="J309" s="78">
        <f>AVERAGE('CRU historical'!U286, 'CRU historical'!X286, 'CRU historical'!AA286, 'CRU historical'!AD286)</f>
        <v>301.60000000000002</v>
      </c>
      <c r="L309" s="78" cm="1">
        <f t="array" ref="L309">IFERROR(SUMPRODUCT(('Sulphuric Acid freights'!$B$3:$B$513=B319)*('Sulphuric Acid freights'!$D$3:$D$513=D309)*('Sulphuric Acid freights'!$P$3:$P$513))/SUMPRODUCT(('Sulphuric Acid freights'!$B$3:$B$513=B319)*('Sulphuric Acid freights'!$D$3:$D$513=D309)*1), AVERAGE('Sulphuric Acid freights'!$P$3:$P$513))*2/3</f>
        <v>66</v>
      </c>
      <c r="M309" s="78" cm="1">
        <f t="array" ref="M309">IFERROR(SUMPRODUCT(('Sulphuric Acid freights'!$B$3:$B$513=B319)*('Sulphuric Acid freights'!$D$3:$D$513=D309)*('Sulphuric Acid freights'!$M$3:$M$513))/SUMPRODUCT(('Sulphuric Acid freights'!$B$3:$B$513=B319)*('Sulphuric Acid freights'!$D$3:$D$513=D309)*1)*2/3, AVERAGE('Sulphuric Acid freights'!$M$3:$M$513))</f>
        <v>13.6</v>
      </c>
      <c r="N309" s="78">
        <f t="shared" si="65"/>
        <v>59.4</v>
      </c>
      <c r="O309" s="78" cm="1">
        <f t="array" ref="O309">IF(SUMPRODUCT(('Sulphur freight'!$B$3:$B$1976=B319)*('Sulphur freight'!$D$3:$D$1976=D309)*('Sulphur freight'!$G$3:$G$1976))/SUMPRODUCT(('Sulphur freight'!$B$3:$B$1976=B319)*('Sulphur freight'!$D$3:$D$1976=D309)*1)=0, AVERAGE('Sulphur freight'!$G$3:$G$1976),SUMPRODUCT(('Sulphur freight'!$B$3:$B$1976=B319)*('Sulphur freight'!$D$3:$D$1976=D309)*('Sulphur freight'!$G$3:$G$1976))/SUMPRODUCT(('Sulphur freight'!$B$3:$B$1976=B319)*('Sulphur freight'!$D$3:$D$1976=D309)*1))</f>
        <v>31</v>
      </c>
      <c r="P309" s="78">
        <v>20</v>
      </c>
      <c r="R309" s="78">
        <f t="shared" si="66"/>
        <v>130</v>
      </c>
      <c r="S309" s="78">
        <f t="shared" si="62"/>
        <v>93.8</v>
      </c>
      <c r="T309" s="94">
        <f t="shared" si="76"/>
        <v>106.91795665634672</v>
      </c>
      <c r="U309" s="78">
        <f t="shared" si="67"/>
        <v>138.6</v>
      </c>
      <c r="V309" s="78">
        <f>IFERROR(I309+O309, "")</f>
        <v>390.8</v>
      </c>
      <c r="W309" s="78">
        <f t="shared" si="68"/>
        <v>321.60000000000002</v>
      </c>
      <c r="X309" s="78">
        <f t="shared" si="69"/>
        <v>146.964</v>
      </c>
      <c r="Y309" s="78">
        <f t="shared" si="70"/>
        <v>124.12800000000001</v>
      </c>
      <c r="AA309" s="88">
        <f t="shared" si="71"/>
        <v>125.65538699690401</v>
      </c>
      <c r="AB309" s="77">
        <f t="shared" si="73"/>
        <v>21.308613003095985</v>
      </c>
      <c r="AD309" s="88">
        <f t="shared" si="72"/>
        <v>124.12800000000001</v>
      </c>
      <c r="AE309" s="77">
        <f t="shared" si="74"/>
        <v>1.5273869969039993</v>
      </c>
    </row>
    <row r="310" spans="2:31" x14ac:dyDescent="0.35">
      <c r="B310">
        <v>2025</v>
      </c>
      <c r="C310">
        <v>4</v>
      </c>
      <c r="D310">
        <v>11</v>
      </c>
      <c r="E310" s="94">
        <f t="shared" si="75"/>
        <v>58.37579617834394</v>
      </c>
      <c r="F310" s="78">
        <f>'CRU historical'!I287</f>
        <v>97.75</v>
      </c>
      <c r="G310" s="78">
        <f>'CRU historical'!L287</f>
        <v>105.75</v>
      </c>
      <c r="H310" s="78">
        <f>'CRU historical'!O287</f>
        <v>132.5</v>
      </c>
      <c r="I310" s="78">
        <f>'CRU historical'!R287</f>
        <v>452</v>
      </c>
      <c r="J310" s="78">
        <f>AVERAGE('CRU historical'!U287, 'CRU historical'!X287, 'CRU historical'!AA287, 'CRU historical'!AD287)</f>
        <v>310</v>
      </c>
      <c r="L310" s="78" cm="1">
        <f t="array" ref="L310">IFERROR(SUMPRODUCT(('Sulphuric Acid freights'!$B$3:$B$513=B320)*('Sulphuric Acid freights'!$D$3:$D$513=D310)*('Sulphuric Acid freights'!$P$3:$P$513))/SUMPRODUCT(('Sulphuric Acid freights'!$B$3:$B$513=B320)*('Sulphuric Acid freights'!$D$3:$D$513=D310)*1), AVERAGE('Sulphuric Acid freights'!$P$3:$P$513))*2/3</f>
        <v>66</v>
      </c>
      <c r="M310" s="78" cm="1">
        <f t="array" ref="M310">IFERROR(SUMPRODUCT(('Sulphuric Acid freights'!$B$3:$B$513=B320)*('Sulphuric Acid freights'!$D$3:$D$513=D310)*('Sulphuric Acid freights'!$M$3:$M$513))/SUMPRODUCT(('Sulphuric Acid freights'!$B$3:$B$513=B320)*('Sulphuric Acid freights'!$D$3:$D$513=D310)*1)*2/3, AVERAGE('Sulphuric Acid freights'!$M$3:$M$513))</f>
        <v>14.666666666666666</v>
      </c>
      <c r="N310" s="78">
        <f t="shared" si="65"/>
        <v>59.4</v>
      </c>
      <c r="O310" s="78" cm="1">
        <f t="array" ref="O310">IF(SUMPRODUCT(('Sulphur freight'!$B$3:$B$1976=B320)*('Sulphur freight'!$D$3:$D$1976=D310)*('Sulphur freight'!$G$3:$G$1976))/SUMPRODUCT(('Sulphur freight'!$B$3:$B$1976=B320)*('Sulphur freight'!$D$3:$D$1976=D310)*1)=0, AVERAGE('Sulphur freight'!$G$3:$G$1976),SUMPRODUCT(('Sulphur freight'!$B$3:$B$1976=B320)*('Sulphur freight'!$D$3:$D$1976=D310)*('Sulphur freight'!$G$3:$G$1976))/SUMPRODUCT(('Sulphur freight'!$B$3:$B$1976=B320)*('Sulphur freight'!$D$3:$D$1976=D310)*1))</f>
        <v>32</v>
      </c>
      <c r="P310" s="78">
        <v>20</v>
      </c>
      <c r="R310" s="78">
        <f t="shared" si="66"/>
        <v>132.5</v>
      </c>
      <c r="S310" s="78">
        <f t="shared" si="62"/>
        <v>112.41666666666667</v>
      </c>
      <c r="T310" s="94">
        <f t="shared" si="76"/>
        <v>127.39899380804951</v>
      </c>
      <c r="U310" s="78">
        <f t="shared" si="67"/>
        <v>165.15</v>
      </c>
      <c r="V310" s="78">
        <f>IFERROR(I310+O310, "")</f>
        <v>484</v>
      </c>
      <c r="W310" s="78">
        <f t="shared" si="68"/>
        <v>330</v>
      </c>
      <c r="X310" s="78">
        <f t="shared" si="69"/>
        <v>177.72</v>
      </c>
      <c r="Y310" s="78">
        <f t="shared" si="70"/>
        <v>126.9</v>
      </c>
      <c r="AA310" s="88">
        <f t="shared" si="71"/>
        <v>140.76469814241483</v>
      </c>
      <c r="AB310" s="77">
        <f t="shared" si="73"/>
        <v>36.95530185758517</v>
      </c>
      <c r="AD310" s="88">
        <f t="shared" si="72"/>
        <v>126.9</v>
      </c>
      <c r="AE310" s="77">
        <f t="shared" si="74"/>
        <v>13.864698142414824</v>
      </c>
    </row>
    <row r="311" spans="2:31" x14ac:dyDescent="0.35">
      <c r="B311">
        <v>2025</v>
      </c>
      <c r="C311">
        <v>4</v>
      </c>
      <c r="D311">
        <v>12</v>
      </c>
      <c r="E311" s="94">
        <f t="shared" si="75"/>
        <v>62.377919320594472</v>
      </c>
      <c r="F311" s="78">
        <f>'CRU historical'!I288</f>
        <v>106</v>
      </c>
      <c r="G311" s="78">
        <f>'CRU historical'!L288</f>
        <v>113</v>
      </c>
      <c r="H311" s="78">
        <f>'CRU historical'!O288</f>
        <v>136</v>
      </c>
      <c r="I311" s="78">
        <f>'CRU historical'!R288</f>
        <v>507</v>
      </c>
      <c r="J311" s="78">
        <f>AVERAGE('CRU historical'!U288, 'CRU historical'!X288, 'CRU historical'!AA288, 'CRU historical'!AD288)</f>
        <v>310</v>
      </c>
      <c r="L311" s="78" cm="1">
        <f t="array" ref="L311">IFERROR(SUMPRODUCT(('Sulphuric Acid freights'!$B$3:$B$513=B321)*('Sulphuric Acid freights'!$D$3:$D$513=D311)*('Sulphuric Acid freights'!$P$3:$P$513))/SUMPRODUCT(('Sulphuric Acid freights'!$B$3:$B$513=B321)*('Sulphuric Acid freights'!$D$3:$D$513=D311)*1), AVERAGE('Sulphuric Acid freights'!$P$3:$P$513))*2/3</f>
        <v>66</v>
      </c>
      <c r="M311" s="78" cm="1">
        <f t="array" ref="M311">IFERROR(SUMPRODUCT(('Sulphuric Acid freights'!$B$3:$B$513=B321)*('Sulphuric Acid freights'!$D$3:$D$513=D311)*('Sulphuric Acid freights'!$M$3:$M$513))/SUMPRODUCT(('Sulphuric Acid freights'!$B$3:$B$513=B321)*('Sulphuric Acid freights'!$D$3:$D$513=D311)*1)*2/3, AVERAGE('Sulphuric Acid freights'!$M$3:$M$513))</f>
        <v>14.666666666666666</v>
      </c>
      <c r="N311" s="78">
        <f t="shared" si="65"/>
        <v>59.4</v>
      </c>
      <c r="O311" s="78" cm="1">
        <f t="array" ref="O311">IF(SUMPRODUCT(('Sulphur freight'!$B$3:$B$1976=B321)*('Sulphur freight'!$D$3:$D$1976=D311)*('Sulphur freight'!$G$3:$G$1976))/SUMPRODUCT(('Sulphur freight'!$B$3:$B$1976=B321)*('Sulphur freight'!$D$3:$D$1976=D311)*1)=0, AVERAGE('Sulphur freight'!$G$3:$G$1976),SUMPRODUCT(('Sulphur freight'!$B$3:$B$1976=B321)*('Sulphur freight'!$D$3:$D$1976=D311)*('Sulphur freight'!$G$3:$G$1976))/SUMPRODUCT(('Sulphur freight'!$B$3:$B$1976=B321)*('Sulphur freight'!$D$3:$D$1976=D311)*1))</f>
        <v>32.666666666666664</v>
      </c>
      <c r="P311" s="78">
        <v>20</v>
      </c>
      <c r="R311" s="78">
        <f t="shared" si="66"/>
        <v>136</v>
      </c>
      <c r="S311" s="78">
        <f t="shared" si="62"/>
        <v>120.66666666666667</v>
      </c>
      <c r="T311" s="94">
        <f t="shared" si="76"/>
        <v>132.99174406604743</v>
      </c>
      <c r="U311" s="78">
        <f t="shared" si="67"/>
        <v>172.4</v>
      </c>
      <c r="V311" s="78">
        <f>IFERROR(I311+O311, "")</f>
        <v>539.66666666666663</v>
      </c>
      <c r="W311" s="78">
        <f t="shared" si="68"/>
        <v>330</v>
      </c>
      <c r="X311" s="78">
        <f>IFERROR(V311*0.33+18, "")</f>
        <v>196.09</v>
      </c>
      <c r="Y311" s="78">
        <f>IF(J311=0,0,W311*0.33+18)</f>
        <v>126.9</v>
      </c>
      <c r="AA311" s="88">
        <f t="shared" si="71"/>
        <v>146.01752321981422</v>
      </c>
      <c r="AB311" s="77">
        <f t="shared" si="73"/>
        <v>50.072476780185781</v>
      </c>
      <c r="AD311" s="88">
        <f t="shared" si="72"/>
        <v>126.9</v>
      </c>
      <c r="AE311" s="77">
        <f t="shared" si="74"/>
        <v>19.117523219814217</v>
      </c>
    </row>
    <row r="312" spans="2:31" x14ac:dyDescent="0.35">
      <c r="B312">
        <v>2025</v>
      </c>
      <c r="C312">
        <v>1</v>
      </c>
      <c r="D312">
        <v>1</v>
      </c>
      <c r="E312" s="78">
        <f ca="1">INDEX(E$13:E$17, MATCH($B322, $B$13:$B$17, 0), 1)*$D$2*(1+RANDBETWEEN(-0.8, 0.8))</f>
        <v>71.736666666666665</v>
      </c>
      <c r="F312" s="78">
        <f ca="1">INDEX(F$13:F$17, MATCH($B322, $B$13:$B$17, 0), 1)*$D$2*(1+RANDBETWEEN(-0.8, 0.8))</f>
        <v>66.785714285714292</v>
      </c>
      <c r="G312" s="78">
        <f ca="1">INDEX(G$13:G$17, MATCH($B322, $B$13:$B$17, 0), 1)*$D$2*(1+RANDBETWEEN(-0.8, 0.8))</f>
        <v>67.40333333333335</v>
      </c>
      <c r="H312" s="78">
        <f ca="1">INDEX(H$13:H$17, MATCH($B322, $B$13:$B$17, 0), 1)*$D$2*(1+RANDBETWEEN(-0.8, 0.8))</f>
        <v>86.785714285714292</v>
      </c>
      <c r="I312" s="78">
        <f ca="1">INDEX(I$13:I$17, MATCH($B322, $B$13:$B$17, 0), 1)*$D$2*(1+RANDBETWEEN(-1, 1))</f>
        <v>281.83447818936696</v>
      </c>
      <c r="J312" s="78">
        <f ca="1">INDEX(J$13:J$17, MATCH($B322, $B$13:$B$17, 0), 1)*$D$2*(1+RANDBETWEEN(-1, 1))</f>
        <v>291.4505744621859</v>
      </c>
    </row>
    <row r="313" spans="2:31" x14ac:dyDescent="0.35">
      <c r="B313">
        <v>2025</v>
      </c>
      <c r="C313">
        <v>1</v>
      </c>
      <c r="D313">
        <v>2</v>
      </c>
      <c r="E313" s="78">
        <f ca="1">INDEX(E$13:E$17, MATCH($B323, $B$13:$B$17, 0), 1)*$D$2*(1+RANDBETWEEN(-0.8, 0.8))</f>
        <v>71.736666666666665</v>
      </c>
      <c r="F313" s="78">
        <f ca="1">INDEX(F$13:F$17, MATCH($B323, $B$13:$B$17, 0), 1)*$D$2*(1+RANDBETWEEN(-0.8, 0.8))</f>
        <v>66.785714285714292</v>
      </c>
      <c r="G313" s="78">
        <f ca="1">INDEX(G$13:G$17, MATCH($B323, $B$13:$B$17, 0), 1)*$D$2*(1+RANDBETWEEN(-0.8, 0.8))</f>
        <v>67.40333333333335</v>
      </c>
      <c r="H313" s="78">
        <f ca="1">INDEX(H$13:H$17, MATCH($B323, $B$13:$B$17, 0), 1)*$D$2*(1+RANDBETWEEN(-0.8, 0.8))</f>
        <v>86.785714285714292</v>
      </c>
      <c r="I313" s="78">
        <f ca="1">INDEX(I$13:I$17, MATCH($B323, $B$13:$B$17, 0), 1)*$D$2*(1+RANDBETWEEN(-1, 1))</f>
        <v>281.83447818936696</v>
      </c>
      <c r="J313" s="78">
        <f ca="1">INDEX(J$13:J$17, MATCH($B323, $B$13:$B$17, 0), 1)*$D$2*(1+RANDBETWEEN(-1, 1))</f>
        <v>291.4505744621859</v>
      </c>
      <c r="S313" s="78">
        <f>'ACS - CRU Outlook'!D18</f>
        <v>83.482142857142861</v>
      </c>
      <c r="T313" s="78">
        <f>'ACS - CRU Outlook'!H18+'Simulateur furu'!$L$311</f>
        <v>155.67083333333335</v>
      </c>
      <c r="U313" s="78">
        <f>'ACS - CRU Outlook'!I18+'Simulateur furu'!$N$311</f>
        <v>143.65416666666667</v>
      </c>
      <c r="V313" s="78">
        <f>'S - CRU Outlook'!C18+$O$311</f>
        <v>384.95976440337535</v>
      </c>
      <c r="W313" s="78">
        <f>'S - CRU Outlook'!J18+$P$311</f>
        <v>384.31321807773236</v>
      </c>
      <c r="X313" s="78">
        <f>V313*0.33+18</f>
        <v>145.03672225311385</v>
      </c>
      <c r="Y313" s="78">
        <f>W313*0.33+18</f>
        <v>144.82336196565169</v>
      </c>
      <c r="AA313" s="88">
        <f t="shared" ref="AA313:AA317" si="77">IF(OR(S313="", T313="", U313=""), "", MAX(R313,S313)*40%+T313*30%+U313*30%)</f>
        <v>123.19035714285715</v>
      </c>
      <c r="AB313" s="77">
        <f t="shared" ref="AB313:AB317" si="78">IF(AA313="", "", MAX(X313, Y313)-AA313)</f>
        <v>21.846365110256698</v>
      </c>
      <c r="AD313" s="88">
        <f t="shared" ref="AD313:AD317" si="79">IFERROR(MIN((MAX(R313,S313)*70%+U313*30%), Y313), "")</f>
        <v>101.53375</v>
      </c>
      <c r="AE313" s="77">
        <f t="shared" ref="AE313:AE317" si="80">IF(AD313="", "", MAX(AA313, AB313)-AD313)</f>
        <v>21.656607142857155</v>
      </c>
    </row>
    <row r="314" spans="2:31" x14ac:dyDescent="0.35">
      <c r="B314">
        <v>2025</v>
      </c>
      <c r="C314">
        <v>1</v>
      </c>
      <c r="D314">
        <v>3</v>
      </c>
      <c r="E314" s="78">
        <f ca="1">INDEX(E$13:E$17, MATCH($B324, $B$13:$B$17, 0), 1)*$D$2*(1+RANDBETWEEN(-0.8, 0.8))</f>
        <v>71.736666666666665</v>
      </c>
      <c r="F314" s="78">
        <f ca="1">INDEX(F$13:F$17, MATCH($B324, $B$13:$B$17, 0), 1)*$D$2*(1+RANDBETWEEN(-0.8, 0.8))</f>
        <v>66.785714285714292</v>
      </c>
      <c r="G314" s="78">
        <f ca="1">INDEX(G$13:G$17, MATCH($B324, $B$13:$B$17, 0), 1)*$D$2*(1+RANDBETWEEN(-0.8, 0.8))</f>
        <v>67.40333333333335</v>
      </c>
      <c r="H314" s="78">
        <f ca="1">INDEX(H$13:H$17, MATCH($B324, $B$13:$B$17, 0), 1)*$D$2*(1+RANDBETWEEN(-0.8, 0.8))</f>
        <v>86.785714285714292</v>
      </c>
      <c r="I314" s="78">
        <f ca="1">INDEX(I$13:I$17, MATCH($B324, $B$13:$B$17, 0), 1)*$D$2*(1+RANDBETWEEN(-1, 1))</f>
        <v>0</v>
      </c>
      <c r="J314" s="78">
        <f ca="1">INDEX(J$13:J$17, MATCH($B324, $B$13:$B$17, 0), 1)*$D$2*(1+RANDBETWEEN(-1, 1))</f>
        <v>582.9011489243718</v>
      </c>
      <c r="S314" s="78">
        <f>'ACS - CRU Outlook'!D19</f>
        <v>80.929218649967368</v>
      </c>
      <c r="T314" s="78">
        <f>'ACS - CRU Outlook'!H19+'Simulateur furu'!$L$311</f>
        <v>125.92921864996737</v>
      </c>
      <c r="U314" s="78">
        <f>'ACS - CRU Outlook'!I19+'Simulateur furu'!$N$311</f>
        <v>125.32921864996737</v>
      </c>
      <c r="V314" s="78">
        <f>'S - CRU Outlook'!C19+$O$311</f>
        <v>274.13202850127527</v>
      </c>
      <c r="W314" s="78">
        <f>'S - CRU Outlook'!J19+$P$311</f>
        <v>273.30843515472282</v>
      </c>
      <c r="X314" s="78">
        <f t="shared" ref="X314:Y317" si="81">V314*0.33+18</f>
        <v>108.46356940542084</v>
      </c>
      <c r="Y314" s="78">
        <f t="shared" si="81"/>
        <v>108.19178360105853</v>
      </c>
      <c r="AA314" s="88">
        <f t="shared" si="77"/>
        <v>107.74921864996737</v>
      </c>
      <c r="AB314" s="77">
        <f t="shared" si="78"/>
        <v>0.71435075545346649</v>
      </c>
      <c r="AD314" s="88">
        <f t="shared" si="79"/>
        <v>94.249218649967361</v>
      </c>
      <c r="AE314" s="77">
        <f t="shared" si="80"/>
        <v>13.500000000000014</v>
      </c>
    </row>
    <row r="315" spans="2:31" x14ac:dyDescent="0.35">
      <c r="B315">
        <v>2025</v>
      </c>
      <c r="C315">
        <v>2</v>
      </c>
      <c r="D315">
        <v>4</v>
      </c>
      <c r="E315" s="78">
        <f ca="1">INDEX(E$13:E$17, MATCH($B325, $B$13:$B$17, 0), 1)*$D$2*(1+RANDBETWEEN(-0.8, 0.8))</f>
        <v>71.736666666666665</v>
      </c>
      <c r="F315" s="78">
        <f ca="1">INDEX(F$13:F$17, MATCH($B325, $B$13:$B$17, 0), 1)*$D$2*(1+RANDBETWEEN(-0.8, 0.8))</f>
        <v>66.785714285714292</v>
      </c>
      <c r="G315" s="78">
        <f ca="1">INDEX(G$13:G$17, MATCH($B325, $B$13:$B$17, 0), 1)*$D$2*(1+RANDBETWEEN(-0.8, 0.8))</f>
        <v>67.40333333333335</v>
      </c>
      <c r="H315" s="78">
        <f ca="1">INDEX(H$13:H$17, MATCH($B325, $B$13:$B$17, 0), 1)*$D$2*(1+RANDBETWEEN(-0.8, 0.8))</f>
        <v>86.785714285714292</v>
      </c>
      <c r="I315" s="78">
        <f ca="1">INDEX(I$13:I$17, MATCH($B325, $B$13:$B$17, 0), 1)*$D$2*(1+RANDBETWEEN(-1, 1))</f>
        <v>563.66895637873392</v>
      </c>
      <c r="J315" s="78">
        <f ca="1">INDEX(J$13:J$17, MATCH($B325, $B$13:$B$17, 0), 1)*$D$2*(1+RANDBETWEEN(-1, 1))</f>
        <v>291.4505744621859</v>
      </c>
      <c r="S315" s="78">
        <f>'ACS - CRU Outlook'!D20</f>
        <v>66.644459411765922</v>
      </c>
      <c r="T315" s="78">
        <f>'ACS - CRU Outlook'!H20+'Simulateur furu'!$L$311</f>
        <v>120.64445941176592</v>
      </c>
      <c r="U315" s="78">
        <f>'ACS - CRU Outlook'!I20+'Simulateur furu'!$N$311</f>
        <v>120.04445941176593</v>
      </c>
      <c r="V315" s="78">
        <f>'S - CRU Outlook'!C20+$O$311</f>
        <v>246.84319993513944</v>
      </c>
      <c r="W315" s="78">
        <f>'S - CRU Outlook'!J20+$P$311</f>
        <v>246.2354260592351</v>
      </c>
      <c r="X315" s="78">
        <f t="shared" si="81"/>
        <v>99.458255978596014</v>
      </c>
      <c r="Y315" s="78">
        <f t="shared" si="81"/>
        <v>99.257690599547587</v>
      </c>
      <c r="AA315" s="88">
        <f t="shared" si="77"/>
        <v>98.864459411765921</v>
      </c>
      <c r="AB315" s="77">
        <f t="shared" si="78"/>
        <v>0.5937965668300933</v>
      </c>
      <c r="AD315" s="88">
        <f t="shared" si="79"/>
        <v>82.664459411765918</v>
      </c>
      <c r="AE315" s="77">
        <f t="shared" si="80"/>
        <v>16.200000000000003</v>
      </c>
    </row>
    <row r="316" spans="2:31" x14ac:dyDescent="0.35">
      <c r="B316">
        <v>2025</v>
      </c>
      <c r="C316">
        <v>2</v>
      </c>
      <c r="D316">
        <v>5</v>
      </c>
      <c r="E316" s="78">
        <f ca="1">INDEX(E$13:E$17, MATCH($B326, $B$13:$B$17, 0), 1)*$D$2*(1+RANDBETWEEN(-0.8, 0.8))</f>
        <v>71.736666666666665</v>
      </c>
      <c r="F316" s="78">
        <f ca="1">INDEX(F$13:F$17, MATCH($B326, $B$13:$B$17, 0), 1)*$D$2*(1+RANDBETWEEN(-0.8, 0.8))</f>
        <v>66.785714285714292</v>
      </c>
      <c r="G316" s="78">
        <f ca="1">INDEX(G$13:G$17, MATCH($B326, $B$13:$B$17, 0), 1)*$D$2*(1+RANDBETWEEN(-0.8, 0.8))</f>
        <v>67.40333333333335</v>
      </c>
      <c r="H316" s="78">
        <f ca="1">INDEX(H$13:H$17, MATCH($B326, $B$13:$B$17, 0), 1)*$D$2*(1+RANDBETWEEN(-0.8, 0.8))</f>
        <v>86.785714285714292</v>
      </c>
      <c r="I316" s="78">
        <f ca="1">INDEX(I$13:I$17, MATCH($B326, $B$13:$B$17, 0), 1)*$D$2*(1+RANDBETWEEN(-1, 1))</f>
        <v>281.83447818936696</v>
      </c>
      <c r="J316" s="78">
        <f ca="1">INDEX(J$13:J$17, MATCH($B326, $B$13:$B$17, 0), 1)*$D$2*(1+RANDBETWEEN(-1, 1))</f>
        <v>0</v>
      </c>
      <c r="S316" s="78">
        <f>'ACS - CRU Outlook'!D21</f>
        <v>65.394434091179392</v>
      </c>
      <c r="T316" s="78">
        <f>'ACS - CRU Outlook'!H21+'Simulateur furu'!$L$311</f>
        <v>114.39443409117939</v>
      </c>
      <c r="U316" s="78">
        <f>'ACS - CRU Outlook'!I21+'Simulateur furu'!$N$311</f>
        <v>113.7944340911794</v>
      </c>
      <c r="V316" s="78">
        <f>'S - CRU Outlook'!C21+$O$311</f>
        <v>239.17879229225824</v>
      </c>
      <c r="W316" s="78">
        <f>'S - CRU Outlook'!J21+$P$311</f>
        <v>238.64586806118723</v>
      </c>
      <c r="X316" s="78">
        <f t="shared" si="81"/>
        <v>96.929001456445221</v>
      </c>
      <c r="Y316" s="78">
        <f t="shared" si="81"/>
        <v>96.753136460191783</v>
      </c>
      <c r="AA316" s="88">
        <f t="shared" si="77"/>
        <v>94.61443409117939</v>
      </c>
      <c r="AB316" s="77">
        <f t="shared" si="78"/>
        <v>2.3145673652658303</v>
      </c>
      <c r="AD316" s="88">
        <f t="shared" si="79"/>
        <v>79.914434091179388</v>
      </c>
      <c r="AE316" s="77">
        <f t="shared" si="80"/>
        <v>14.700000000000003</v>
      </c>
    </row>
    <row r="317" spans="2:31" x14ac:dyDescent="0.35">
      <c r="B317">
        <v>2025</v>
      </c>
      <c r="C317">
        <v>2</v>
      </c>
      <c r="D317">
        <v>6</v>
      </c>
      <c r="E317" s="78">
        <f ca="1">INDEX(E$13:E$17, MATCH($B327, $B$13:$B$17, 0), 1)*$D$2*(1+RANDBETWEEN(-0.8, 0.8))</f>
        <v>71.736666666666665</v>
      </c>
      <c r="F317" s="78">
        <f ca="1">INDEX(F$13:F$17, MATCH($B327, $B$13:$B$17, 0), 1)*$D$2*(1+RANDBETWEEN(-0.8, 0.8))</f>
        <v>66.785714285714292</v>
      </c>
      <c r="G317" s="78">
        <f ca="1">INDEX(G$13:G$17, MATCH($B327, $B$13:$B$17, 0), 1)*$D$2*(1+RANDBETWEEN(-0.8, 0.8))</f>
        <v>67.40333333333335</v>
      </c>
      <c r="H317" s="78">
        <f ca="1">INDEX(H$13:H$17, MATCH($B327, $B$13:$B$17, 0), 1)*$D$2*(1+RANDBETWEEN(-0.8, 0.8))</f>
        <v>86.785714285714292</v>
      </c>
      <c r="I317" s="78">
        <f ca="1">INDEX(I$13:I$17, MATCH($B327, $B$13:$B$17, 0), 1)*$D$2*(1+RANDBETWEEN(-1, 1))</f>
        <v>563.66895637873392</v>
      </c>
      <c r="J317" s="78">
        <f ca="1">INDEX(J$13:J$17, MATCH($B327, $B$13:$B$17, 0), 1)*$D$2*(1+RANDBETWEEN(-1, 1))</f>
        <v>0</v>
      </c>
      <c r="S317" s="78">
        <f>'ACS - CRU Outlook'!D22</f>
        <v>61.438116229710772</v>
      </c>
      <c r="T317" s="78">
        <f>'ACS - CRU Outlook'!H22+'Simulateur furu'!$L$311</f>
        <v>108.43811622971077</v>
      </c>
      <c r="U317" s="78">
        <f>'ACS - CRU Outlook'!I22+'Simulateur furu'!$N$311</f>
        <v>107.83811622971078</v>
      </c>
      <c r="V317" s="78">
        <f>'S - CRU Outlook'!C22+$O$311</f>
        <v>243.75993644569931</v>
      </c>
      <c r="W317" s="78">
        <f>'S - CRU Outlook'!J22+$P$311</f>
        <v>243.21408778790359</v>
      </c>
      <c r="X317" s="78">
        <f t="shared" si="81"/>
        <v>98.440779027080779</v>
      </c>
      <c r="Y317" s="78">
        <f t="shared" si="81"/>
        <v>98.260648970008191</v>
      </c>
      <c r="AA317" s="88">
        <f t="shared" si="77"/>
        <v>89.458116229710768</v>
      </c>
      <c r="AB317" s="77">
        <f t="shared" si="78"/>
        <v>8.9826627973700113</v>
      </c>
      <c r="AD317" s="88">
        <f t="shared" si="79"/>
        <v>75.35811622971076</v>
      </c>
      <c r="AE317" s="77">
        <f t="shared" si="80"/>
        <v>14.100000000000009</v>
      </c>
    </row>
    <row r="318" spans="2:31" x14ac:dyDescent="0.35">
      <c r="B318">
        <v>2025</v>
      </c>
      <c r="C318">
        <v>3</v>
      </c>
      <c r="D318">
        <v>7</v>
      </c>
      <c r="E318" s="78">
        <f ca="1">INDEX(E$13:E$17, MATCH($B328, $B$13:$B$17, 0), 1)*$D$2*(1+RANDBETWEEN(-0.8, 0.8))</f>
        <v>71.736666666666665</v>
      </c>
      <c r="F318" s="78">
        <f ca="1">INDEX(F$13:F$17, MATCH($B328, $B$13:$B$17, 0), 1)*$D$2*(1+RANDBETWEEN(-0.8, 0.8))</f>
        <v>66.785714285714292</v>
      </c>
      <c r="G318" s="78">
        <f ca="1">INDEX(G$13:G$17, MATCH($B328, $B$13:$B$17, 0), 1)*$D$2*(1+RANDBETWEEN(-0.8, 0.8))</f>
        <v>67.40333333333335</v>
      </c>
      <c r="H318" s="78">
        <f ca="1">INDEX(H$13:H$17, MATCH($B328, $B$13:$B$17, 0), 1)*$D$2*(1+RANDBETWEEN(-0.8, 0.8))</f>
        <v>86.785714285714292</v>
      </c>
      <c r="I318" s="78">
        <f ca="1">INDEX(I$13:I$17, MATCH($B328, $B$13:$B$17, 0), 1)*$D$2*(1+RANDBETWEEN(-1, 1))</f>
        <v>0</v>
      </c>
      <c r="J318" s="78">
        <f ca="1">INDEX(J$13:J$17, MATCH($B328, $B$13:$B$17, 0), 1)*$D$2*(1+RANDBETWEEN(-1, 1))</f>
        <v>0</v>
      </c>
    </row>
    <row r="319" spans="2:31" x14ac:dyDescent="0.35">
      <c r="B319">
        <v>2025</v>
      </c>
      <c r="C319">
        <v>3</v>
      </c>
      <c r="D319">
        <v>8</v>
      </c>
      <c r="E319" s="78">
        <f ca="1">INDEX(E$13:E$17, MATCH($B329, $B$13:$B$17, 0), 1)*$D$2*(1+RANDBETWEEN(-0.8, 0.8))</f>
        <v>71.736666666666665</v>
      </c>
      <c r="F319" s="78">
        <f ca="1">INDEX(F$13:F$17, MATCH($B329, $B$13:$B$17, 0), 1)*$D$2*(1+RANDBETWEEN(-0.8, 0.8))</f>
        <v>66.785714285714292</v>
      </c>
      <c r="G319" s="78">
        <f ca="1">INDEX(G$13:G$17, MATCH($B329, $B$13:$B$17, 0), 1)*$D$2*(1+RANDBETWEEN(-0.8, 0.8))</f>
        <v>67.40333333333335</v>
      </c>
      <c r="H319" s="78">
        <f ca="1">INDEX(H$13:H$17, MATCH($B329, $B$13:$B$17, 0), 1)*$D$2*(1+RANDBETWEEN(-0.8, 0.8))</f>
        <v>86.785714285714292</v>
      </c>
      <c r="I319" s="78">
        <f ca="1">INDEX(I$13:I$17, MATCH($B329, $B$13:$B$17, 0), 1)*$D$2*(1+RANDBETWEEN(-1, 1))</f>
        <v>281.83447818936696</v>
      </c>
      <c r="J319" s="78">
        <f ca="1">INDEX(J$13:J$17, MATCH($B329, $B$13:$B$17, 0), 1)*$D$2*(1+RANDBETWEEN(-1, 1))</f>
        <v>0</v>
      </c>
    </row>
    <row r="320" spans="2:31" x14ac:dyDescent="0.35">
      <c r="B320">
        <v>2025</v>
      </c>
      <c r="C320">
        <v>3</v>
      </c>
      <c r="D320">
        <v>9</v>
      </c>
      <c r="E320" s="78">
        <f ca="1">INDEX(E$13:E$17, MATCH($B330, $B$13:$B$17, 0), 1)*$D$2*(1+RANDBETWEEN(-0.8, 0.8))</f>
        <v>71.736666666666665</v>
      </c>
      <c r="F320" s="78">
        <f ca="1">INDEX(F$13:F$17, MATCH($B330, $B$13:$B$17, 0), 1)*$D$2*(1+RANDBETWEEN(-0.8, 0.8))</f>
        <v>66.785714285714292</v>
      </c>
      <c r="G320" s="78">
        <f ca="1">INDEX(G$13:G$17, MATCH($B330, $B$13:$B$17, 0), 1)*$D$2*(1+RANDBETWEEN(-0.8, 0.8))</f>
        <v>67.40333333333335</v>
      </c>
      <c r="H320" s="78">
        <f ca="1">INDEX(H$13:H$17, MATCH($B330, $B$13:$B$17, 0), 1)*$D$2*(1+RANDBETWEEN(-0.8, 0.8))</f>
        <v>86.785714285714292</v>
      </c>
      <c r="I320" s="78">
        <f ca="1">INDEX(I$13:I$17, MATCH($B330, $B$13:$B$17, 0), 1)*$D$2*(1+RANDBETWEEN(-1, 1))</f>
        <v>563.66895637873392</v>
      </c>
      <c r="J320" s="78">
        <f ca="1">INDEX(J$13:J$17, MATCH($B330, $B$13:$B$17, 0), 1)*$D$2*(1+RANDBETWEEN(-1, 1))</f>
        <v>0</v>
      </c>
    </row>
    <row r="321" spans="2:10" x14ac:dyDescent="0.35">
      <c r="B321">
        <v>2025</v>
      </c>
      <c r="C321">
        <v>4</v>
      </c>
      <c r="D321">
        <v>10</v>
      </c>
      <c r="E321" s="78">
        <f ca="1">INDEX(E$13:E$17, MATCH($B331, $B$13:$B$17, 0), 1)*$D$2*(1+RANDBETWEEN(-0.8, 0.8))</f>
        <v>71.736666666666665</v>
      </c>
      <c r="F321" s="78">
        <f ca="1">INDEX(F$13:F$17, MATCH($B331, $B$13:$B$17, 0), 1)*$D$2*(1+RANDBETWEEN(-0.8, 0.8))</f>
        <v>66.785714285714292</v>
      </c>
      <c r="G321" s="78">
        <f ca="1">INDEX(G$13:G$17, MATCH($B331, $B$13:$B$17, 0), 1)*$D$2*(1+RANDBETWEEN(-0.8, 0.8))</f>
        <v>67.40333333333335</v>
      </c>
      <c r="H321" s="78">
        <f ca="1">INDEX(H$13:H$17, MATCH($B331, $B$13:$B$17, 0), 1)*$D$2*(1+RANDBETWEEN(-0.8, 0.8))</f>
        <v>86.785714285714292</v>
      </c>
      <c r="I321" s="78">
        <f ca="1">INDEX(I$13:I$17, MATCH($B331, $B$13:$B$17, 0), 1)*$D$2*(1+RANDBETWEEN(-1, 1))</f>
        <v>563.66895637873392</v>
      </c>
      <c r="J321" s="78">
        <f ca="1">INDEX(J$13:J$17, MATCH($B331, $B$13:$B$17, 0), 1)*$D$2*(1+RANDBETWEEN(-1, 1))</f>
        <v>291.4505744621859</v>
      </c>
    </row>
    <row r="322" spans="2:10" x14ac:dyDescent="0.35">
      <c r="B322">
        <v>2026</v>
      </c>
      <c r="C322">
        <v>4</v>
      </c>
      <c r="D322">
        <v>11</v>
      </c>
      <c r="E322" s="78">
        <f ca="1">INDEX(E$13:E$17, MATCH($B332, $B$13:$B$17, 0), 1)*$D$2*(1+RANDBETWEEN(-0.8, 0.8))</f>
        <v>71.736666666666665</v>
      </c>
      <c r="F322" s="78">
        <f ca="1">INDEX(F$13:F$17, MATCH($B332, $B$13:$B$17, 0), 1)*$D$2*(1+RANDBETWEEN(-0.8, 0.8))</f>
        <v>66.785714285714292</v>
      </c>
      <c r="G322" s="78">
        <f ca="1">INDEX(G$13:G$17, MATCH($B332, $B$13:$B$17, 0), 1)*$D$2*(1+RANDBETWEEN(-0.8, 0.8))</f>
        <v>67.40333333333335</v>
      </c>
      <c r="H322" s="78">
        <f ca="1">INDEX(H$13:H$17, MATCH($B332, $B$13:$B$17, 0), 1)*$D$2*(1+RANDBETWEEN(-0.8, 0.8))</f>
        <v>86.785714285714292</v>
      </c>
      <c r="I322" s="78">
        <f ca="1">INDEX(I$13:I$17, MATCH($B332, $B$13:$B$17, 0), 1)*$D$2*(1+RANDBETWEEN(-1, 1))</f>
        <v>0</v>
      </c>
      <c r="J322" s="78">
        <f ca="1">INDEX(J$13:J$17, MATCH($B332, $B$13:$B$17, 0), 1)*$D$2*(1+RANDBETWEEN(-1, 1))</f>
        <v>291.4505744621859</v>
      </c>
    </row>
    <row r="323" spans="2:10" x14ac:dyDescent="0.35">
      <c r="B323">
        <v>2026</v>
      </c>
      <c r="C323">
        <v>4</v>
      </c>
      <c r="D323">
        <v>12</v>
      </c>
      <c r="E323" s="78">
        <f ca="1">INDEX(E$13:E$17, MATCH($B333, $B$13:$B$17, 0), 1)*$D$2*(1+RANDBETWEEN(-0.8, 0.8))</f>
        <v>71.736666666666665</v>
      </c>
      <c r="F323" s="78">
        <f ca="1">INDEX(F$13:F$17, MATCH($B333, $B$13:$B$17, 0), 1)*$D$2*(1+RANDBETWEEN(-0.8, 0.8))</f>
        <v>66.785714285714292</v>
      </c>
      <c r="G323" s="78">
        <f ca="1">INDEX(G$13:G$17, MATCH($B333, $B$13:$B$17, 0), 1)*$D$2*(1+RANDBETWEEN(-0.8, 0.8))</f>
        <v>67.40333333333335</v>
      </c>
      <c r="H323" s="78">
        <f ca="1">INDEX(H$13:H$17, MATCH($B333, $B$13:$B$17, 0), 1)*$D$2*(1+RANDBETWEEN(-0.8, 0.8))</f>
        <v>86.785714285714292</v>
      </c>
      <c r="I323" s="78">
        <f ca="1">INDEX(I$13:I$17, MATCH($B333, $B$13:$B$17, 0), 1)*$D$2*(1+RANDBETWEEN(-1, 1))</f>
        <v>281.83447818936696</v>
      </c>
      <c r="J323" s="78">
        <f ca="1">INDEX(J$13:J$17, MATCH($B333, $B$13:$B$17, 0), 1)*$D$2*(1+RANDBETWEEN(-1, 1))</f>
        <v>291.4505744621859</v>
      </c>
    </row>
    <row r="324" spans="2:10" x14ac:dyDescent="0.35">
      <c r="B324">
        <v>2026</v>
      </c>
      <c r="C324">
        <v>1</v>
      </c>
      <c r="D324">
        <v>1</v>
      </c>
      <c r="E324" s="78">
        <f ca="1">INDEX(E$13:E$17, MATCH($B334, $B$13:$B$17, 0), 1)*$D$2*(1+RANDBETWEEN(-0.8, 0.8))</f>
        <v>47.943374919973898</v>
      </c>
      <c r="F324" s="78">
        <f ca="1">INDEX(F$13:F$17, MATCH($B334, $B$13:$B$17, 0), 1)*$D$2*(1+RANDBETWEEN(-0.8, 0.8))</f>
        <v>64.743374919973903</v>
      </c>
      <c r="G324" s="78">
        <f ca="1">INDEX(G$13:G$17, MATCH($B334, $B$13:$B$17, 0), 1)*$D$2*(1+RANDBETWEEN(-0.8, 0.8))</f>
        <v>52.743374919973895</v>
      </c>
      <c r="H324" s="78">
        <f ca="1">INDEX(H$13:H$17, MATCH($B334, $B$13:$B$17, 0), 1)*$D$2*(1+RANDBETWEEN(-0.8, 0.8))</f>
        <v>84.743374919973903</v>
      </c>
      <c r="I324" s="78">
        <f ca="1">INDEX(I$13:I$17, MATCH($B334, $B$13:$B$17, 0), 1)*$D$2*(1+RANDBETWEEN(-1, 1))</f>
        <v>193.17228946768688</v>
      </c>
      <c r="J324" s="78">
        <f ca="1">INDEX(J$13:J$17, MATCH($B334, $B$13:$B$17, 0), 1)*$D$2*(1+RANDBETWEEN(-1, 1))</f>
        <v>405.2934962475565</v>
      </c>
    </row>
    <row r="325" spans="2:10" x14ac:dyDescent="0.35">
      <c r="B325">
        <v>2026</v>
      </c>
      <c r="C325">
        <v>1</v>
      </c>
      <c r="D325">
        <v>2</v>
      </c>
      <c r="E325" s="78">
        <f ca="1">INDEX(E$13:E$17, MATCH($B335, $B$13:$B$17, 0), 1)*$D$2*(1+RANDBETWEEN(-0.8, 0.8))</f>
        <v>47.943374919973898</v>
      </c>
      <c r="F325" s="78">
        <f ca="1">INDEX(F$13:F$17, MATCH($B335, $B$13:$B$17, 0), 1)*$D$2*(1+RANDBETWEEN(-0.8, 0.8))</f>
        <v>64.743374919973903</v>
      </c>
      <c r="G325" s="78">
        <f ca="1">INDEX(G$13:G$17, MATCH($B335, $B$13:$B$17, 0), 1)*$D$2*(1+RANDBETWEEN(-0.8, 0.8))</f>
        <v>52.743374919973895</v>
      </c>
      <c r="H325" s="78">
        <f ca="1">INDEX(H$13:H$17, MATCH($B335, $B$13:$B$17, 0), 1)*$D$2*(1+RANDBETWEEN(-0.8, 0.8))</f>
        <v>84.743374919973903</v>
      </c>
      <c r="I325" s="78">
        <f ca="1">INDEX(I$13:I$17, MATCH($B335, $B$13:$B$17, 0), 1)*$D$2*(1+RANDBETWEEN(-1, 1))</f>
        <v>386.34457893537376</v>
      </c>
      <c r="J325" s="78">
        <f ca="1">INDEX(J$13:J$17, MATCH($B335, $B$13:$B$17, 0), 1)*$D$2*(1+RANDBETWEEN(-1, 1))</f>
        <v>0</v>
      </c>
    </row>
    <row r="326" spans="2:10" x14ac:dyDescent="0.35">
      <c r="B326">
        <v>2026</v>
      </c>
      <c r="C326">
        <v>1</v>
      </c>
      <c r="D326">
        <v>3</v>
      </c>
      <c r="E326" s="78">
        <f ca="1">INDEX(E$13:E$17, MATCH($B336, $B$13:$B$17, 0), 1)*$D$2*(1+RANDBETWEEN(-0.8, 0.8))</f>
        <v>47.943374919973898</v>
      </c>
      <c r="F326" s="78">
        <f ca="1">INDEX(F$13:F$17, MATCH($B336, $B$13:$B$17, 0), 1)*$D$2*(1+RANDBETWEEN(-0.8, 0.8))</f>
        <v>64.743374919973903</v>
      </c>
      <c r="G326" s="78">
        <f ca="1">INDEX(G$13:G$17, MATCH($B336, $B$13:$B$17, 0), 1)*$D$2*(1+RANDBETWEEN(-0.8, 0.8))</f>
        <v>52.743374919973895</v>
      </c>
      <c r="H326" s="78">
        <f ca="1">INDEX(H$13:H$17, MATCH($B336, $B$13:$B$17, 0), 1)*$D$2*(1+RANDBETWEEN(-0.8, 0.8))</f>
        <v>84.743374919973903</v>
      </c>
      <c r="I326" s="78">
        <f ca="1">INDEX(I$13:I$17, MATCH($B336, $B$13:$B$17, 0), 1)*$D$2*(1+RANDBETWEEN(-1, 1))</f>
        <v>386.34457893537376</v>
      </c>
      <c r="J326" s="78">
        <f ca="1">INDEX(J$13:J$17, MATCH($B336, $B$13:$B$17, 0), 1)*$D$2*(1+RANDBETWEEN(-1, 1))</f>
        <v>202.64674812377825</v>
      </c>
    </row>
    <row r="327" spans="2:10" x14ac:dyDescent="0.35">
      <c r="B327">
        <v>2026</v>
      </c>
      <c r="C327">
        <v>2</v>
      </c>
      <c r="D327">
        <v>4</v>
      </c>
      <c r="E327" s="78">
        <f ca="1">INDEX(E$13:E$17, MATCH($B337, $B$13:$B$17, 0), 1)*$D$2*(1+RANDBETWEEN(-0.8, 0.8))</f>
        <v>47.943374919973898</v>
      </c>
      <c r="F327" s="78">
        <f ca="1">INDEX(F$13:F$17, MATCH($B337, $B$13:$B$17, 0), 1)*$D$2*(1+RANDBETWEEN(-0.8, 0.8))</f>
        <v>64.743374919973903</v>
      </c>
      <c r="G327" s="78">
        <f ca="1">INDEX(G$13:G$17, MATCH($B337, $B$13:$B$17, 0), 1)*$D$2*(1+RANDBETWEEN(-0.8, 0.8))</f>
        <v>52.743374919973895</v>
      </c>
      <c r="H327" s="78">
        <f ca="1">INDEX(H$13:H$17, MATCH($B337, $B$13:$B$17, 0), 1)*$D$2*(1+RANDBETWEEN(-0.8, 0.8))</f>
        <v>84.743374919973903</v>
      </c>
      <c r="I327" s="78">
        <f ca="1">INDEX(I$13:I$17, MATCH($B337, $B$13:$B$17, 0), 1)*$D$2*(1+RANDBETWEEN(-1, 1))</f>
        <v>386.34457893537376</v>
      </c>
      <c r="J327" s="78">
        <f ca="1">INDEX(J$13:J$17, MATCH($B337, $B$13:$B$17, 0), 1)*$D$2*(1+RANDBETWEEN(-1, 1))</f>
        <v>0</v>
      </c>
    </row>
    <row r="328" spans="2:10" x14ac:dyDescent="0.35">
      <c r="B328">
        <v>2026</v>
      </c>
      <c r="C328">
        <v>2</v>
      </c>
      <c r="D328">
        <v>5</v>
      </c>
      <c r="E328" s="78">
        <f ca="1">INDEX(E$13:E$17, MATCH($B338, $B$13:$B$17, 0), 1)*$D$2*(1+RANDBETWEEN(-0.8, 0.8))</f>
        <v>47.943374919973898</v>
      </c>
      <c r="F328" s="78">
        <f ca="1">INDEX(F$13:F$17, MATCH($B338, $B$13:$B$17, 0), 1)*$D$2*(1+RANDBETWEEN(-0.8, 0.8))</f>
        <v>64.743374919973903</v>
      </c>
      <c r="G328" s="78">
        <f ca="1">INDEX(G$13:G$17, MATCH($B338, $B$13:$B$17, 0), 1)*$D$2*(1+RANDBETWEEN(-0.8, 0.8))</f>
        <v>52.743374919973895</v>
      </c>
      <c r="H328" s="78">
        <f ca="1">INDEX(H$13:H$17, MATCH($B338, $B$13:$B$17, 0), 1)*$D$2*(1+RANDBETWEEN(-0.8, 0.8))</f>
        <v>84.743374919973903</v>
      </c>
      <c r="I328" s="78">
        <f ca="1">INDEX(I$13:I$17, MATCH($B338, $B$13:$B$17, 0), 1)*$D$2*(1+RANDBETWEEN(-1, 1))</f>
        <v>193.17228946768688</v>
      </c>
      <c r="J328" s="78">
        <f ca="1">INDEX(J$13:J$17, MATCH($B338, $B$13:$B$17, 0), 1)*$D$2*(1+RANDBETWEEN(-1, 1))</f>
        <v>405.2934962475565</v>
      </c>
    </row>
    <row r="329" spans="2:10" x14ac:dyDescent="0.35">
      <c r="B329">
        <v>2026</v>
      </c>
      <c r="C329">
        <v>2</v>
      </c>
      <c r="D329">
        <v>6</v>
      </c>
      <c r="E329" s="78">
        <f ca="1">INDEX(E$13:E$17, MATCH($B339, $B$13:$B$17, 0), 1)*$D$2*(1+RANDBETWEEN(-0.8, 0.8))</f>
        <v>47.943374919973898</v>
      </c>
      <c r="F329" s="78">
        <f ca="1">INDEX(F$13:F$17, MATCH($B339, $B$13:$B$17, 0), 1)*$D$2*(1+RANDBETWEEN(-0.8, 0.8))</f>
        <v>64.743374919973903</v>
      </c>
      <c r="G329" s="78">
        <f ca="1">INDEX(G$13:G$17, MATCH($B339, $B$13:$B$17, 0), 1)*$D$2*(1+RANDBETWEEN(-0.8, 0.8))</f>
        <v>52.743374919973895</v>
      </c>
      <c r="H329" s="78">
        <f ca="1">INDEX(H$13:H$17, MATCH($B339, $B$13:$B$17, 0), 1)*$D$2*(1+RANDBETWEEN(-0.8, 0.8))</f>
        <v>84.743374919973903</v>
      </c>
      <c r="I329" s="78">
        <f ca="1">INDEX(I$13:I$17, MATCH($B339, $B$13:$B$17, 0), 1)*$D$2*(1+RANDBETWEEN(-1, 1))</f>
        <v>193.17228946768688</v>
      </c>
      <c r="J329" s="78">
        <f ca="1">INDEX(J$13:J$17, MATCH($B339, $B$13:$B$17, 0), 1)*$D$2*(1+RANDBETWEEN(-1, 1))</f>
        <v>202.64674812377825</v>
      </c>
    </row>
    <row r="330" spans="2:10" x14ac:dyDescent="0.35">
      <c r="B330">
        <v>2026</v>
      </c>
      <c r="C330">
        <v>3</v>
      </c>
      <c r="D330">
        <v>7</v>
      </c>
      <c r="E330" s="78">
        <f ca="1">INDEX(E$13:E$17, MATCH($B340, $B$13:$B$17, 0), 1)*$D$2*(1+RANDBETWEEN(-0.8, 0.8))</f>
        <v>47.943374919973898</v>
      </c>
      <c r="F330" s="78">
        <f ca="1">INDEX(F$13:F$17, MATCH($B340, $B$13:$B$17, 0), 1)*$D$2*(1+RANDBETWEEN(-0.8, 0.8))</f>
        <v>64.743374919973903</v>
      </c>
      <c r="G330" s="78">
        <f ca="1">INDEX(G$13:G$17, MATCH($B340, $B$13:$B$17, 0), 1)*$D$2*(1+RANDBETWEEN(-0.8, 0.8))</f>
        <v>52.743374919973895</v>
      </c>
      <c r="H330" s="78">
        <f ca="1">INDEX(H$13:H$17, MATCH($B340, $B$13:$B$17, 0), 1)*$D$2*(1+RANDBETWEEN(-0.8, 0.8))</f>
        <v>84.743374919973903</v>
      </c>
      <c r="I330" s="78">
        <f ca="1">INDEX(I$13:I$17, MATCH($B340, $B$13:$B$17, 0), 1)*$D$2*(1+RANDBETWEEN(-1, 1))</f>
        <v>386.34457893537376</v>
      </c>
      <c r="J330" s="78">
        <f ca="1">INDEX(J$13:J$17, MATCH($B340, $B$13:$B$17, 0), 1)*$D$2*(1+RANDBETWEEN(-1, 1))</f>
        <v>202.64674812377825</v>
      </c>
    </row>
    <row r="331" spans="2:10" x14ac:dyDescent="0.35">
      <c r="B331">
        <v>2026</v>
      </c>
      <c r="C331">
        <v>3</v>
      </c>
      <c r="D331">
        <v>8</v>
      </c>
      <c r="E331" s="78">
        <f ca="1">INDEX(E$13:E$17, MATCH($B341, $B$13:$B$17, 0), 1)*$D$2*(1+RANDBETWEEN(-0.8, 0.8))</f>
        <v>47.943374919973898</v>
      </c>
      <c r="F331" s="78">
        <f ca="1">INDEX(F$13:F$17, MATCH($B341, $B$13:$B$17, 0), 1)*$D$2*(1+RANDBETWEEN(-0.8, 0.8))</f>
        <v>64.743374919973903</v>
      </c>
      <c r="G331" s="78">
        <f ca="1">INDEX(G$13:G$17, MATCH($B341, $B$13:$B$17, 0), 1)*$D$2*(1+RANDBETWEEN(-0.8, 0.8))</f>
        <v>52.743374919973895</v>
      </c>
      <c r="H331" s="78">
        <f ca="1">INDEX(H$13:H$17, MATCH($B341, $B$13:$B$17, 0), 1)*$D$2*(1+RANDBETWEEN(-0.8, 0.8))</f>
        <v>84.743374919973903</v>
      </c>
      <c r="I331" s="78">
        <f ca="1">INDEX(I$13:I$17, MATCH($B341, $B$13:$B$17, 0), 1)*$D$2*(1+RANDBETWEEN(-1, 1))</f>
        <v>0</v>
      </c>
      <c r="J331" s="78">
        <f ca="1">INDEX(J$13:J$17, MATCH($B341, $B$13:$B$17, 0), 1)*$D$2*(1+RANDBETWEEN(-1, 1))</f>
        <v>405.2934962475565</v>
      </c>
    </row>
    <row r="332" spans="2:10" x14ac:dyDescent="0.35">
      <c r="B332">
        <v>2026</v>
      </c>
      <c r="C332">
        <v>3</v>
      </c>
      <c r="D332">
        <v>9</v>
      </c>
      <c r="E332" s="78">
        <f ca="1">INDEX(E$13:E$17, MATCH($B342, $B$13:$B$17, 0), 1)*$D$2*(1+RANDBETWEEN(-0.8, 0.8))</f>
        <v>47.943374919973898</v>
      </c>
      <c r="F332" s="78">
        <f ca="1">INDEX(F$13:F$17, MATCH($B342, $B$13:$B$17, 0), 1)*$D$2*(1+RANDBETWEEN(-0.8, 0.8))</f>
        <v>64.743374919973903</v>
      </c>
      <c r="G332" s="78">
        <f ca="1">INDEX(G$13:G$17, MATCH($B342, $B$13:$B$17, 0), 1)*$D$2*(1+RANDBETWEEN(-0.8, 0.8))</f>
        <v>52.743374919973895</v>
      </c>
      <c r="H332" s="78">
        <f ca="1">INDEX(H$13:H$17, MATCH($B342, $B$13:$B$17, 0), 1)*$D$2*(1+RANDBETWEEN(-0.8, 0.8))</f>
        <v>84.743374919973903</v>
      </c>
      <c r="I332" s="78">
        <f ca="1">INDEX(I$13:I$17, MATCH($B342, $B$13:$B$17, 0), 1)*$D$2*(1+RANDBETWEEN(-1, 1))</f>
        <v>0</v>
      </c>
      <c r="J332" s="78">
        <f ca="1">INDEX(J$13:J$17, MATCH($B342, $B$13:$B$17, 0), 1)*$D$2*(1+RANDBETWEEN(-1, 1))</f>
        <v>405.2934962475565</v>
      </c>
    </row>
    <row r="333" spans="2:10" x14ac:dyDescent="0.35">
      <c r="B333">
        <v>2026</v>
      </c>
      <c r="C333">
        <v>4</v>
      </c>
      <c r="D333">
        <v>10</v>
      </c>
      <c r="E333" s="78">
        <f ca="1">INDEX(E$13:E$17, MATCH($B343, $B$13:$B$17, 0), 1)*$D$2*(1+RANDBETWEEN(-0.8, 0.8))</f>
        <v>47.943374919973898</v>
      </c>
      <c r="F333" s="78">
        <f ca="1">INDEX(F$13:F$17, MATCH($B343, $B$13:$B$17, 0), 1)*$D$2*(1+RANDBETWEEN(-0.8, 0.8))</f>
        <v>64.743374919973903</v>
      </c>
      <c r="G333" s="78">
        <f ca="1">INDEX(G$13:G$17, MATCH($B343, $B$13:$B$17, 0), 1)*$D$2*(1+RANDBETWEEN(-0.8, 0.8))</f>
        <v>52.743374919973895</v>
      </c>
      <c r="H333" s="78">
        <f ca="1">INDEX(H$13:H$17, MATCH($B343, $B$13:$B$17, 0), 1)*$D$2*(1+RANDBETWEEN(-0.8, 0.8))</f>
        <v>84.743374919973903</v>
      </c>
      <c r="I333" s="78">
        <f ca="1">INDEX(I$13:I$17, MATCH($B343, $B$13:$B$17, 0), 1)*$D$2*(1+RANDBETWEEN(-1, 1))</f>
        <v>386.34457893537376</v>
      </c>
      <c r="J333" s="78">
        <f ca="1">INDEX(J$13:J$17, MATCH($B343, $B$13:$B$17, 0), 1)*$D$2*(1+RANDBETWEEN(-1, 1))</f>
        <v>405.2934962475565</v>
      </c>
    </row>
    <row r="334" spans="2:10" x14ac:dyDescent="0.35">
      <c r="B334">
        <v>2027</v>
      </c>
      <c r="C334">
        <v>4</v>
      </c>
      <c r="D334">
        <v>11</v>
      </c>
      <c r="E334" s="78">
        <f ca="1">INDEX(E$13:E$17, MATCH($B344, $B$13:$B$17, 0), 1)*$D$2*(1+RANDBETWEEN(-0.8, 0.8))</f>
        <v>47.943374919973898</v>
      </c>
      <c r="F334" s="78">
        <f ca="1">INDEX(F$13:F$17, MATCH($B344, $B$13:$B$17, 0), 1)*$D$2*(1+RANDBETWEEN(-0.8, 0.8))</f>
        <v>64.743374919973903</v>
      </c>
      <c r="G334" s="78">
        <f ca="1">INDEX(G$13:G$17, MATCH($B344, $B$13:$B$17, 0), 1)*$D$2*(1+RANDBETWEEN(-0.8, 0.8))</f>
        <v>52.743374919973895</v>
      </c>
      <c r="H334" s="78">
        <f ca="1">INDEX(H$13:H$17, MATCH($B344, $B$13:$B$17, 0), 1)*$D$2*(1+RANDBETWEEN(-0.8, 0.8))</f>
        <v>84.743374919973903</v>
      </c>
      <c r="I334" s="78">
        <f ca="1">INDEX(I$13:I$17, MATCH($B344, $B$13:$B$17, 0), 1)*$D$2*(1+RANDBETWEEN(-1, 1))</f>
        <v>0</v>
      </c>
      <c r="J334" s="78">
        <f ca="1">INDEX(J$13:J$17, MATCH($B344, $B$13:$B$17, 0), 1)*$D$2*(1+RANDBETWEEN(-1, 1))</f>
        <v>405.2934962475565</v>
      </c>
    </row>
    <row r="335" spans="2:10" x14ac:dyDescent="0.35">
      <c r="B335">
        <v>2027</v>
      </c>
      <c r="C335">
        <v>4</v>
      </c>
      <c r="D335">
        <v>12</v>
      </c>
      <c r="E335" s="78">
        <f ca="1">INDEX(E$13:E$17, MATCH($B345, $B$13:$B$17, 0), 1)*$D$2*(1+RANDBETWEEN(-0.8, 0.8))</f>
        <v>47.943374919973898</v>
      </c>
      <c r="F335" s="78">
        <f ca="1">INDEX(F$13:F$17, MATCH($B345, $B$13:$B$17, 0), 1)*$D$2*(1+RANDBETWEEN(-0.8, 0.8))</f>
        <v>64.743374919973903</v>
      </c>
      <c r="G335" s="78">
        <f ca="1">INDEX(G$13:G$17, MATCH($B345, $B$13:$B$17, 0), 1)*$D$2*(1+RANDBETWEEN(-0.8, 0.8))</f>
        <v>52.743374919973895</v>
      </c>
      <c r="H335" s="78">
        <f ca="1">INDEX(H$13:H$17, MATCH($B345, $B$13:$B$17, 0), 1)*$D$2*(1+RANDBETWEEN(-0.8, 0.8))</f>
        <v>84.743374919973903</v>
      </c>
      <c r="I335" s="78">
        <f ca="1">INDEX(I$13:I$17, MATCH($B345, $B$13:$B$17, 0), 1)*$D$2*(1+RANDBETWEEN(-1, 1))</f>
        <v>193.17228946768688</v>
      </c>
      <c r="J335" s="78">
        <f ca="1">INDEX(J$13:J$17, MATCH($B345, $B$13:$B$17, 0), 1)*$D$2*(1+RANDBETWEEN(-1, 1))</f>
        <v>202.64674812377825</v>
      </c>
    </row>
    <row r="336" spans="2:10" x14ac:dyDescent="0.35">
      <c r="B336">
        <v>2027</v>
      </c>
      <c r="C336">
        <f>C324</f>
        <v>1</v>
      </c>
      <c r="D336">
        <f>D324</f>
        <v>1</v>
      </c>
      <c r="E336" s="78">
        <f ca="1">INDEX(E$13:E$17, MATCH($B346, $B$13:$B$17, 0), 1)*$D$2*(1+RANDBETWEEN(-0.8, 0.8))</f>
        <v>43.715567529412738</v>
      </c>
      <c r="F336" s="78">
        <f ca="1">INDEX(F$13:F$17, MATCH($B346, $B$13:$B$17, 0), 1)*$D$2*(1+RANDBETWEEN(-0.8, 0.8))</f>
        <v>53.315567529412739</v>
      </c>
      <c r="G336" s="78">
        <f ca="1">INDEX(G$13:G$17, MATCH($B346, $B$13:$B$17, 0), 1)*$D$2*(1+RANDBETWEEN(-0.8, 0.8))</f>
        <v>48.515567529412742</v>
      </c>
      <c r="H336" s="78">
        <f ca="1">INDEX(H$13:H$17, MATCH($B346, $B$13:$B$17, 0), 1)*$D$2*(1+RANDBETWEEN(-0.8, 0.8))</f>
        <v>73.315567529412746</v>
      </c>
      <c r="I336" s="78">
        <f ca="1">INDEX(I$13:I$17, MATCH($B346, $B$13:$B$17, 0), 1)*$D$2*(1+RANDBETWEEN(-1, 1))</f>
        <v>171.34122661477824</v>
      </c>
      <c r="J336" s="78">
        <f ca="1">INDEX(J$13:J$17, MATCH($B346, $B$13:$B$17, 0), 1)*$D$2*(1+RANDBETWEEN(-1, 1))</f>
        <v>361.97668169477618</v>
      </c>
    </row>
    <row r="337" spans="2:10" x14ac:dyDescent="0.35">
      <c r="B337">
        <v>2027</v>
      </c>
      <c r="C337">
        <f t="shared" ref="C337:D337" si="82">C325</f>
        <v>1</v>
      </c>
      <c r="D337">
        <f t="shared" si="82"/>
        <v>2</v>
      </c>
      <c r="E337" s="78">
        <f ca="1">INDEX(E$13:E$17, MATCH($B347, $B$13:$B$17, 0), 1)*$D$2*(1+RANDBETWEEN(-0.8, 0.8))</f>
        <v>43.715567529412738</v>
      </c>
      <c r="F337" s="78">
        <f ca="1">INDEX(F$13:F$17, MATCH($B347, $B$13:$B$17, 0), 1)*$D$2*(1+RANDBETWEEN(-0.8, 0.8))</f>
        <v>53.315567529412739</v>
      </c>
      <c r="G337" s="78">
        <f ca="1">INDEX(G$13:G$17, MATCH($B347, $B$13:$B$17, 0), 1)*$D$2*(1+RANDBETWEEN(-0.8, 0.8))</f>
        <v>48.515567529412742</v>
      </c>
      <c r="H337" s="78">
        <f ca="1">INDEX(H$13:H$17, MATCH($B347, $B$13:$B$17, 0), 1)*$D$2*(1+RANDBETWEEN(-0.8, 0.8))</f>
        <v>73.315567529412746</v>
      </c>
      <c r="I337" s="78">
        <f ca="1">INDEX(I$13:I$17, MATCH($B347, $B$13:$B$17, 0), 1)*$D$2*(1+RANDBETWEEN(-1, 1))</f>
        <v>171.34122661477824</v>
      </c>
      <c r="J337" s="78">
        <f ca="1">INDEX(J$13:J$17, MATCH($B347, $B$13:$B$17, 0), 1)*$D$2*(1+RANDBETWEEN(-1, 1))</f>
        <v>180.98834084738809</v>
      </c>
    </row>
    <row r="338" spans="2:10" x14ac:dyDescent="0.35">
      <c r="B338">
        <v>2027</v>
      </c>
      <c r="C338">
        <f t="shared" ref="C338:D338" si="83">C326</f>
        <v>1</v>
      </c>
      <c r="D338">
        <f t="shared" si="83"/>
        <v>3</v>
      </c>
      <c r="E338" s="78">
        <f ca="1">INDEX(E$13:E$17, MATCH($B348, $B$13:$B$17, 0), 1)*$D$2*(1+RANDBETWEEN(-0.8, 0.8))</f>
        <v>43.715567529412738</v>
      </c>
      <c r="F338" s="78">
        <f ca="1">INDEX(F$13:F$17, MATCH($B348, $B$13:$B$17, 0), 1)*$D$2*(1+RANDBETWEEN(-0.8, 0.8))</f>
        <v>53.315567529412739</v>
      </c>
      <c r="G338" s="78">
        <f ca="1">INDEX(G$13:G$17, MATCH($B348, $B$13:$B$17, 0), 1)*$D$2*(1+RANDBETWEEN(-0.8, 0.8))</f>
        <v>48.515567529412742</v>
      </c>
      <c r="H338" s="78">
        <f ca="1">INDEX(H$13:H$17, MATCH($B348, $B$13:$B$17, 0), 1)*$D$2*(1+RANDBETWEEN(-0.8, 0.8))</f>
        <v>73.315567529412746</v>
      </c>
      <c r="I338" s="78">
        <f ca="1">INDEX(I$13:I$17, MATCH($B348, $B$13:$B$17, 0), 1)*$D$2*(1+RANDBETWEEN(-1, 1))</f>
        <v>342.68245322955647</v>
      </c>
      <c r="J338" s="78">
        <f ca="1">INDEX(J$13:J$17, MATCH($B348, $B$13:$B$17, 0), 1)*$D$2*(1+RANDBETWEEN(-1, 1))</f>
        <v>361.97668169477618</v>
      </c>
    </row>
    <row r="339" spans="2:10" x14ac:dyDescent="0.35">
      <c r="B339">
        <v>2027</v>
      </c>
      <c r="C339">
        <f t="shared" ref="C339:D339" si="84">C327</f>
        <v>2</v>
      </c>
      <c r="D339">
        <f t="shared" si="84"/>
        <v>4</v>
      </c>
      <c r="E339" s="78">
        <f ca="1">INDEX(E$13:E$17, MATCH($B349, $B$13:$B$17, 0), 1)*$D$2*(1+RANDBETWEEN(-0.8, 0.8))</f>
        <v>43.715567529412738</v>
      </c>
      <c r="F339" s="78">
        <f ca="1">INDEX(F$13:F$17, MATCH($B349, $B$13:$B$17, 0), 1)*$D$2*(1+RANDBETWEEN(-0.8, 0.8))</f>
        <v>53.315567529412739</v>
      </c>
      <c r="G339" s="78">
        <f ca="1">INDEX(G$13:G$17, MATCH($B349, $B$13:$B$17, 0), 1)*$D$2*(1+RANDBETWEEN(-0.8, 0.8))</f>
        <v>48.515567529412742</v>
      </c>
      <c r="H339" s="78">
        <f ca="1">INDEX(H$13:H$17, MATCH($B349, $B$13:$B$17, 0), 1)*$D$2*(1+RANDBETWEEN(-0.8, 0.8))</f>
        <v>73.315567529412746</v>
      </c>
      <c r="I339" s="78">
        <f ca="1">INDEX(I$13:I$17, MATCH($B349, $B$13:$B$17, 0), 1)*$D$2*(1+RANDBETWEEN(-1, 1))</f>
        <v>171.34122661477824</v>
      </c>
      <c r="J339" s="78">
        <f ca="1">INDEX(J$13:J$17, MATCH($B349, $B$13:$B$17, 0), 1)*$D$2*(1+RANDBETWEEN(-1, 1))</f>
        <v>0</v>
      </c>
    </row>
    <row r="340" spans="2:10" x14ac:dyDescent="0.35">
      <c r="B340">
        <v>2027</v>
      </c>
      <c r="C340">
        <f t="shared" ref="C340:D340" si="85">C328</f>
        <v>2</v>
      </c>
      <c r="D340">
        <f t="shared" si="85"/>
        <v>5</v>
      </c>
      <c r="E340" s="78">
        <f ca="1">INDEX(E$13:E$17, MATCH($B350, $B$13:$B$17, 0), 1)*$D$2*(1+RANDBETWEEN(-0.8, 0.8))</f>
        <v>43.715567529412738</v>
      </c>
      <c r="F340" s="78">
        <f ca="1">INDEX(F$13:F$17, MATCH($B350, $B$13:$B$17, 0), 1)*$D$2*(1+RANDBETWEEN(-0.8, 0.8))</f>
        <v>53.315567529412739</v>
      </c>
      <c r="G340" s="78">
        <f ca="1">INDEX(G$13:G$17, MATCH($B350, $B$13:$B$17, 0), 1)*$D$2*(1+RANDBETWEEN(-0.8, 0.8))</f>
        <v>48.515567529412742</v>
      </c>
      <c r="H340" s="78">
        <f ca="1">INDEX(H$13:H$17, MATCH($B350, $B$13:$B$17, 0), 1)*$D$2*(1+RANDBETWEEN(-0.8, 0.8))</f>
        <v>73.315567529412746</v>
      </c>
      <c r="I340" s="78">
        <f ca="1">INDEX(I$13:I$17, MATCH($B350, $B$13:$B$17, 0), 1)*$D$2*(1+RANDBETWEEN(-1, 1))</f>
        <v>171.34122661477824</v>
      </c>
      <c r="J340" s="78">
        <f ca="1">INDEX(J$13:J$17, MATCH($B350, $B$13:$B$17, 0), 1)*$D$2*(1+RANDBETWEEN(-1, 1))</f>
        <v>180.98834084738809</v>
      </c>
    </row>
    <row r="341" spans="2:10" x14ac:dyDescent="0.35">
      <c r="B341">
        <v>2027</v>
      </c>
      <c r="C341">
        <f t="shared" ref="C341:D341" si="86">C329</f>
        <v>2</v>
      </c>
      <c r="D341">
        <f t="shared" si="86"/>
        <v>6</v>
      </c>
      <c r="E341" s="78">
        <f ca="1">INDEX(E$13:E$17, MATCH($B351, $B$13:$B$17, 0), 1)*$D$2*(1+RANDBETWEEN(-0.8, 0.8))</f>
        <v>43.715567529412738</v>
      </c>
      <c r="F341" s="78">
        <f ca="1">INDEX(F$13:F$17, MATCH($B351, $B$13:$B$17, 0), 1)*$D$2*(1+RANDBETWEEN(-0.8, 0.8))</f>
        <v>53.315567529412739</v>
      </c>
      <c r="G341" s="78">
        <f ca="1">INDEX(G$13:G$17, MATCH($B351, $B$13:$B$17, 0), 1)*$D$2*(1+RANDBETWEEN(-0.8, 0.8))</f>
        <v>48.515567529412742</v>
      </c>
      <c r="H341" s="78">
        <f ca="1">INDEX(H$13:H$17, MATCH($B351, $B$13:$B$17, 0), 1)*$D$2*(1+RANDBETWEEN(-0.8, 0.8))</f>
        <v>73.315567529412746</v>
      </c>
      <c r="I341" s="78">
        <f ca="1">INDEX(I$13:I$17, MATCH($B351, $B$13:$B$17, 0), 1)*$D$2*(1+RANDBETWEEN(-1, 1))</f>
        <v>342.68245322955647</v>
      </c>
      <c r="J341" s="78">
        <f ca="1">INDEX(J$13:J$17, MATCH($B351, $B$13:$B$17, 0), 1)*$D$2*(1+RANDBETWEEN(-1, 1))</f>
        <v>180.98834084738809</v>
      </c>
    </row>
    <row r="342" spans="2:10" x14ac:dyDescent="0.35">
      <c r="B342">
        <v>2027</v>
      </c>
      <c r="C342">
        <f t="shared" ref="C342:D342" si="87">C330</f>
        <v>3</v>
      </c>
      <c r="D342">
        <f t="shared" si="87"/>
        <v>7</v>
      </c>
      <c r="E342" s="78">
        <f ca="1">INDEX(E$13:E$17, MATCH($B352, $B$13:$B$17, 0), 1)*$D$2*(1+RANDBETWEEN(-0.8, 0.8))</f>
        <v>43.715567529412738</v>
      </c>
      <c r="F342" s="78">
        <f ca="1">INDEX(F$13:F$17, MATCH($B352, $B$13:$B$17, 0), 1)*$D$2*(1+RANDBETWEEN(-0.8, 0.8))</f>
        <v>53.315567529412739</v>
      </c>
      <c r="G342" s="78">
        <f ca="1">INDEX(G$13:G$17, MATCH($B352, $B$13:$B$17, 0), 1)*$D$2*(1+RANDBETWEEN(-0.8, 0.8))</f>
        <v>48.515567529412742</v>
      </c>
      <c r="H342" s="78">
        <f ca="1">INDEX(H$13:H$17, MATCH($B352, $B$13:$B$17, 0), 1)*$D$2*(1+RANDBETWEEN(-0.8, 0.8))</f>
        <v>73.315567529412746</v>
      </c>
      <c r="I342" s="78">
        <f ca="1">INDEX(I$13:I$17, MATCH($B352, $B$13:$B$17, 0), 1)*$D$2*(1+RANDBETWEEN(-1, 1))</f>
        <v>0</v>
      </c>
      <c r="J342" s="78">
        <f ca="1">INDEX(J$13:J$17, MATCH($B352, $B$13:$B$17, 0), 1)*$D$2*(1+RANDBETWEEN(-1, 1))</f>
        <v>180.98834084738809</v>
      </c>
    </row>
    <row r="343" spans="2:10" x14ac:dyDescent="0.35">
      <c r="B343">
        <v>2027</v>
      </c>
      <c r="C343">
        <f t="shared" ref="C343:D343" si="88">C331</f>
        <v>3</v>
      </c>
      <c r="D343">
        <f t="shared" si="88"/>
        <v>8</v>
      </c>
      <c r="E343" s="78">
        <f ca="1">INDEX(E$13:E$17, MATCH($B353, $B$13:$B$17, 0), 1)*$D$2*(1+RANDBETWEEN(-0.8, 0.8))</f>
        <v>43.715567529412738</v>
      </c>
      <c r="F343" s="78">
        <f ca="1">INDEX(F$13:F$17, MATCH($B353, $B$13:$B$17, 0), 1)*$D$2*(1+RANDBETWEEN(-0.8, 0.8))</f>
        <v>53.315567529412739</v>
      </c>
      <c r="G343" s="78">
        <f ca="1">INDEX(G$13:G$17, MATCH($B353, $B$13:$B$17, 0), 1)*$D$2*(1+RANDBETWEEN(-0.8, 0.8))</f>
        <v>48.515567529412742</v>
      </c>
      <c r="H343" s="78">
        <f ca="1">INDEX(H$13:H$17, MATCH($B353, $B$13:$B$17, 0), 1)*$D$2*(1+RANDBETWEEN(-0.8, 0.8))</f>
        <v>73.315567529412746</v>
      </c>
      <c r="I343" s="78">
        <f ca="1">INDEX(I$13:I$17, MATCH($B353, $B$13:$B$17, 0), 1)*$D$2*(1+RANDBETWEEN(-1, 1))</f>
        <v>0</v>
      </c>
      <c r="J343" s="78">
        <f ca="1">INDEX(J$13:J$17, MATCH($B353, $B$13:$B$17, 0), 1)*$D$2*(1+RANDBETWEEN(-1, 1))</f>
        <v>0</v>
      </c>
    </row>
    <row r="344" spans="2:10" x14ac:dyDescent="0.35">
      <c r="B344">
        <v>2027</v>
      </c>
      <c r="C344">
        <f t="shared" ref="C344:D344" si="89">C332</f>
        <v>3</v>
      </c>
      <c r="D344">
        <f t="shared" si="89"/>
        <v>9</v>
      </c>
      <c r="E344" s="78">
        <f ca="1">INDEX(E$13:E$17, MATCH($B354, $B$13:$B$17, 0), 1)*$D$2*(1+RANDBETWEEN(-0.8, 0.8))</f>
        <v>43.715567529412738</v>
      </c>
      <c r="F344" s="78">
        <f ca="1">INDEX(F$13:F$17, MATCH($B354, $B$13:$B$17, 0), 1)*$D$2*(1+RANDBETWEEN(-0.8, 0.8))</f>
        <v>53.315567529412739</v>
      </c>
      <c r="G344" s="78">
        <f ca="1">INDEX(G$13:G$17, MATCH($B354, $B$13:$B$17, 0), 1)*$D$2*(1+RANDBETWEEN(-0.8, 0.8))</f>
        <v>48.515567529412742</v>
      </c>
      <c r="H344" s="78">
        <f ca="1">INDEX(H$13:H$17, MATCH($B354, $B$13:$B$17, 0), 1)*$D$2*(1+RANDBETWEEN(-0.8, 0.8))</f>
        <v>73.315567529412746</v>
      </c>
      <c r="I344" s="78">
        <f ca="1">INDEX(I$13:I$17, MATCH($B354, $B$13:$B$17, 0), 1)*$D$2*(1+RANDBETWEEN(-1, 1))</f>
        <v>342.68245322955647</v>
      </c>
      <c r="J344" s="78">
        <f ca="1">INDEX(J$13:J$17, MATCH($B354, $B$13:$B$17, 0), 1)*$D$2*(1+RANDBETWEEN(-1, 1))</f>
        <v>180.98834084738809</v>
      </c>
    </row>
    <row r="345" spans="2:10" x14ac:dyDescent="0.35">
      <c r="B345">
        <v>2027</v>
      </c>
      <c r="C345">
        <f t="shared" ref="C345:D345" si="90">C333</f>
        <v>4</v>
      </c>
      <c r="D345">
        <f t="shared" si="90"/>
        <v>10</v>
      </c>
      <c r="E345" s="78">
        <f ca="1">INDEX(E$13:E$17, MATCH($B355, $B$13:$B$17, 0), 1)*$D$2*(1+RANDBETWEEN(-0.8, 0.8))</f>
        <v>43.715567529412738</v>
      </c>
      <c r="F345" s="78">
        <f ca="1">INDEX(F$13:F$17, MATCH($B355, $B$13:$B$17, 0), 1)*$D$2*(1+RANDBETWEEN(-0.8, 0.8))</f>
        <v>53.315567529412739</v>
      </c>
      <c r="G345" s="78">
        <f ca="1">INDEX(G$13:G$17, MATCH($B355, $B$13:$B$17, 0), 1)*$D$2*(1+RANDBETWEEN(-0.8, 0.8))</f>
        <v>48.515567529412742</v>
      </c>
      <c r="H345" s="78">
        <f ca="1">INDEX(H$13:H$17, MATCH($B355, $B$13:$B$17, 0), 1)*$D$2*(1+RANDBETWEEN(-0.8, 0.8))</f>
        <v>73.315567529412746</v>
      </c>
      <c r="I345" s="78">
        <f ca="1">INDEX(I$13:I$17, MATCH($B355, $B$13:$B$17, 0), 1)*$D$2*(1+RANDBETWEEN(-1, 1))</f>
        <v>171.34122661477824</v>
      </c>
      <c r="J345" s="78">
        <f ca="1">INDEX(J$13:J$17, MATCH($B355, $B$13:$B$17, 0), 1)*$D$2*(1+RANDBETWEEN(-1, 1))</f>
        <v>361.97668169477618</v>
      </c>
    </row>
    <row r="346" spans="2:10" x14ac:dyDescent="0.35">
      <c r="B346">
        <f>B334+1</f>
        <v>2028</v>
      </c>
      <c r="C346">
        <f t="shared" ref="C346:D346" si="91">C334</f>
        <v>4</v>
      </c>
      <c r="D346">
        <f t="shared" si="91"/>
        <v>11</v>
      </c>
      <c r="E346" s="78">
        <f ca="1">INDEX(E$13:E$17, MATCH($B356, $B$13:$B$17, 0), 1)*$D$2*(1+RANDBETWEEN(-0.8, 0.8))</f>
        <v>43.715567529412738</v>
      </c>
      <c r="F346" s="78">
        <f ca="1">INDEX(F$13:F$17, MATCH($B356, $B$13:$B$17, 0), 1)*$D$2*(1+RANDBETWEEN(-0.8, 0.8))</f>
        <v>53.315567529412739</v>
      </c>
      <c r="G346" s="78">
        <f ca="1">INDEX(G$13:G$17, MATCH($B356, $B$13:$B$17, 0), 1)*$D$2*(1+RANDBETWEEN(-0.8, 0.8))</f>
        <v>48.515567529412742</v>
      </c>
      <c r="H346" s="78">
        <f ca="1">INDEX(H$13:H$17, MATCH($B356, $B$13:$B$17, 0), 1)*$D$2*(1+RANDBETWEEN(-0.8, 0.8))</f>
        <v>73.315567529412746</v>
      </c>
      <c r="I346" s="78">
        <f ca="1">INDEX(I$13:I$17, MATCH($B356, $B$13:$B$17, 0), 1)*$D$2*(1+RANDBETWEEN(-1, 1))</f>
        <v>0</v>
      </c>
      <c r="J346" s="78">
        <f ca="1">INDEX(J$13:J$17, MATCH($B356, $B$13:$B$17, 0), 1)*$D$2*(1+RANDBETWEEN(-1, 1))</f>
        <v>361.97668169477618</v>
      </c>
    </row>
    <row r="347" spans="2:10" x14ac:dyDescent="0.35">
      <c r="B347">
        <f t="shared" ref="B347:B410" si="92">B335+1</f>
        <v>2028</v>
      </c>
      <c r="C347">
        <f t="shared" ref="C347:D347" si="93">C335</f>
        <v>4</v>
      </c>
      <c r="D347">
        <f t="shared" si="93"/>
        <v>12</v>
      </c>
      <c r="E347" s="78">
        <f ca="1">INDEX(E$13:E$17, MATCH($B357, $B$13:$B$17, 0), 1)*$D$2*(1+RANDBETWEEN(-0.8, 0.8))</f>
        <v>43.715567529412738</v>
      </c>
      <c r="F347" s="78">
        <f ca="1">INDEX(F$13:F$17, MATCH($B357, $B$13:$B$17, 0), 1)*$D$2*(1+RANDBETWEEN(-0.8, 0.8))</f>
        <v>53.315567529412739</v>
      </c>
      <c r="G347" s="78">
        <f ca="1">INDEX(G$13:G$17, MATCH($B357, $B$13:$B$17, 0), 1)*$D$2*(1+RANDBETWEEN(-0.8, 0.8))</f>
        <v>48.515567529412742</v>
      </c>
      <c r="H347" s="78">
        <f ca="1">INDEX(H$13:H$17, MATCH($B357, $B$13:$B$17, 0), 1)*$D$2*(1+RANDBETWEEN(-0.8, 0.8))</f>
        <v>73.315567529412746</v>
      </c>
      <c r="I347" s="78">
        <f ca="1">INDEX(I$13:I$17, MATCH($B357, $B$13:$B$17, 0), 1)*$D$2*(1+RANDBETWEEN(-1, 1))</f>
        <v>171.34122661477824</v>
      </c>
      <c r="J347" s="78">
        <f ca="1">INDEX(J$13:J$17, MATCH($B357, $B$13:$B$17, 0), 1)*$D$2*(1+RANDBETWEEN(-1, 1))</f>
        <v>361.97668169477618</v>
      </c>
    </row>
    <row r="348" spans="2:10" x14ac:dyDescent="0.35">
      <c r="B348">
        <f t="shared" si="92"/>
        <v>2028</v>
      </c>
      <c r="C348">
        <f t="shared" ref="C348:D348" si="94">C336</f>
        <v>1</v>
      </c>
      <c r="D348">
        <f t="shared" si="94"/>
        <v>1</v>
      </c>
      <c r="E348" s="78">
        <f ca="1">INDEX(E$13:E$17, MATCH($B358, $B$13:$B$17, 0), 1)*$D$2*(1+RANDBETWEEN(-0.8, 0.8))</f>
        <v>38.715547272943517</v>
      </c>
      <c r="F348" s="78">
        <f ca="1">INDEX(F$13:F$17, MATCH($B358, $B$13:$B$17, 0), 1)*$D$2*(1+RANDBETWEEN(-0.8, 0.8))</f>
        <v>52.315547272943519</v>
      </c>
      <c r="G348" s="78">
        <f ca="1">INDEX(G$13:G$17, MATCH($B358, $B$13:$B$17, 0), 1)*$D$2*(1+RANDBETWEEN(-0.8, 0.8))</f>
        <v>43.515547272943515</v>
      </c>
      <c r="H348" s="78">
        <f ca="1">INDEX(H$13:H$17, MATCH($B358, $B$13:$B$17, 0), 1)*$D$2*(1+RANDBETWEEN(-0.8, 0.8))</f>
        <v>72.315547272943519</v>
      </c>
      <c r="I348" s="78">
        <f ca="1">INDEX(I$13:I$17, MATCH($B358, $B$13:$B$17, 0), 1)*$D$2*(1+RANDBETWEEN(-1, 1))</f>
        <v>0</v>
      </c>
      <c r="J348" s="78">
        <f ca="1">INDEX(J$13:J$17, MATCH($B358, $B$13:$B$17, 0), 1)*$D$2*(1+RANDBETWEEN(-1, 1))</f>
        <v>0</v>
      </c>
    </row>
    <row r="349" spans="2:10" x14ac:dyDescent="0.35">
      <c r="B349">
        <f t="shared" si="92"/>
        <v>2028</v>
      </c>
      <c r="C349">
        <f t="shared" ref="C349:D349" si="95">C337</f>
        <v>1</v>
      </c>
      <c r="D349">
        <f t="shared" si="95"/>
        <v>2</v>
      </c>
      <c r="E349" s="78">
        <f ca="1">INDEX(E$13:E$17, MATCH($B359, $B$13:$B$17, 0), 1)*$D$2*(1+RANDBETWEEN(-0.8, 0.8))</f>
        <v>38.715547272943517</v>
      </c>
      <c r="F349" s="78">
        <f ca="1">INDEX(F$13:F$17, MATCH($B359, $B$13:$B$17, 0), 1)*$D$2*(1+RANDBETWEEN(-0.8, 0.8))</f>
        <v>52.315547272943519</v>
      </c>
      <c r="G349" s="78">
        <f ca="1">INDEX(G$13:G$17, MATCH($B359, $B$13:$B$17, 0), 1)*$D$2*(1+RANDBETWEEN(-0.8, 0.8))</f>
        <v>43.515547272943515</v>
      </c>
      <c r="H349" s="78">
        <f ca="1">INDEX(H$13:H$17, MATCH($B359, $B$13:$B$17, 0), 1)*$D$2*(1+RANDBETWEEN(-0.8, 0.8))</f>
        <v>72.315547272943519</v>
      </c>
      <c r="I349" s="78">
        <f ca="1">INDEX(I$13:I$17, MATCH($B359, $B$13:$B$17, 0), 1)*$D$2*(1+RANDBETWEEN(-1, 1))</f>
        <v>0</v>
      </c>
      <c r="J349" s="78">
        <f ca="1">INDEX(J$13:J$17, MATCH($B359, $B$13:$B$17, 0), 1)*$D$2*(1+RANDBETWEEN(-1, 1))</f>
        <v>174.91669444894978</v>
      </c>
    </row>
    <row r="350" spans="2:10" x14ac:dyDescent="0.35">
      <c r="B350">
        <f t="shared" si="92"/>
        <v>2028</v>
      </c>
      <c r="C350">
        <f t="shared" ref="C350:D350" si="96">C338</f>
        <v>1</v>
      </c>
      <c r="D350">
        <f t="shared" si="96"/>
        <v>3</v>
      </c>
      <c r="E350" s="78">
        <f ca="1">INDEX(E$13:E$17, MATCH($B360, $B$13:$B$17, 0), 1)*$D$2*(1+RANDBETWEEN(-0.8, 0.8))</f>
        <v>38.715547272943517</v>
      </c>
      <c r="F350" s="78">
        <f ca="1">INDEX(F$13:F$17, MATCH($B360, $B$13:$B$17, 0), 1)*$D$2*(1+RANDBETWEEN(-0.8, 0.8))</f>
        <v>52.315547272943519</v>
      </c>
      <c r="G350" s="78">
        <f ca="1">INDEX(G$13:G$17, MATCH($B360, $B$13:$B$17, 0), 1)*$D$2*(1+RANDBETWEEN(-0.8, 0.8))</f>
        <v>43.515547272943515</v>
      </c>
      <c r="H350" s="78">
        <f ca="1">INDEX(H$13:H$17, MATCH($B360, $B$13:$B$17, 0), 1)*$D$2*(1+RANDBETWEEN(-0.8, 0.8))</f>
        <v>72.315547272943519</v>
      </c>
      <c r="I350" s="78">
        <f ca="1">INDEX(I$13:I$17, MATCH($B360, $B$13:$B$17, 0), 1)*$D$2*(1+RANDBETWEEN(-1, 1))</f>
        <v>330.41940100094655</v>
      </c>
      <c r="J350" s="78">
        <f ca="1">INDEX(J$13:J$17, MATCH($B360, $B$13:$B$17, 0), 1)*$D$2*(1+RANDBETWEEN(-1, 1))</f>
        <v>174.91669444894978</v>
      </c>
    </row>
    <row r="351" spans="2:10" x14ac:dyDescent="0.35">
      <c r="B351">
        <f t="shared" si="92"/>
        <v>2028</v>
      </c>
      <c r="C351">
        <f t="shared" ref="C351:D351" si="97">C339</f>
        <v>2</v>
      </c>
      <c r="D351">
        <f t="shared" si="97"/>
        <v>4</v>
      </c>
      <c r="E351" s="78">
        <f ca="1">INDEX(E$13:E$17, MATCH($B361, $B$13:$B$17, 0), 1)*$D$2*(1+RANDBETWEEN(-0.8, 0.8))</f>
        <v>38.715547272943517</v>
      </c>
      <c r="F351" s="78">
        <f ca="1">INDEX(F$13:F$17, MATCH($B361, $B$13:$B$17, 0), 1)*$D$2*(1+RANDBETWEEN(-0.8, 0.8))</f>
        <v>52.315547272943519</v>
      </c>
      <c r="G351" s="78">
        <f ca="1">INDEX(G$13:G$17, MATCH($B361, $B$13:$B$17, 0), 1)*$D$2*(1+RANDBETWEEN(-0.8, 0.8))</f>
        <v>43.515547272943515</v>
      </c>
      <c r="H351" s="78">
        <f ca="1">INDEX(H$13:H$17, MATCH($B361, $B$13:$B$17, 0), 1)*$D$2*(1+RANDBETWEEN(-0.8, 0.8))</f>
        <v>72.315547272943519</v>
      </c>
      <c r="I351" s="78">
        <f ca="1">INDEX(I$13:I$17, MATCH($B361, $B$13:$B$17, 0), 1)*$D$2*(1+RANDBETWEEN(-1, 1))</f>
        <v>0</v>
      </c>
      <c r="J351" s="78">
        <f ca="1">INDEX(J$13:J$17, MATCH($B361, $B$13:$B$17, 0), 1)*$D$2*(1+RANDBETWEEN(-1, 1))</f>
        <v>349.83338889789957</v>
      </c>
    </row>
    <row r="352" spans="2:10" x14ac:dyDescent="0.35">
      <c r="B352">
        <f t="shared" si="92"/>
        <v>2028</v>
      </c>
      <c r="C352">
        <f t="shared" ref="C352:D352" si="98">C340</f>
        <v>2</v>
      </c>
      <c r="D352">
        <f t="shared" si="98"/>
        <v>5</v>
      </c>
      <c r="E352" s="78">
        <f ca="1">INDEX(E$13:E$17, MATCH($B362, $B$13:$B$17, 0), 1)*$D$2*(1+RANDBETWEEN(-0.8, 0.8))</f>
        <v>38.715547272943517</v>
      </c>
      <c r="F352" s="78">
        <f ca="1">INDEX(F$13:F$17, MATCH($B362, $B$13:$B$17, 0), 1)*$D$2*(1+RANDBETWEEN(-0.8, 0.8))</f>
        <v>52.315547272943519</v>
      </c>
      <c r="G352" s="78">
        <f ca="1">INDEX(G$13:G$17, MATCH($B362, $B$13:$B$17, 0), 1)*$D$2*(1+RANDBETWEEN(-0.8, 0.8))</f>
        <v>43.515547272943515</v>
      </c>
      <c r="H352" s="78">
        <f ca="1">INDEX(H$13:H$17, MATCH($B362, $B$13:$B$17, 0), 1)*$D$2*(1+RANDBETWEEN(-0.8, 0.8))</f>
        <v>72.315547272943519</v>
      </c>
      <c r="I352" s="78">
        <f ca="1">INDEX(I$13:I$17, MATCH($B362, $B$13:$B$17, 0), 1)*$D$2*(1+RANDBETWEEN(-1, 1))</f>
        <v>165.20970050047328</v>
      </c>
      <c r="J352" s="78">
        <f ca="1">INDEX(J$13:J$17, MATCH($B362, $B$13:$B$17, 0), 1)*$D$2*(1+RANDBETWEEN(-1, 1))</f>
        <v>174.91669444894978</v>
      </c>
    </row>
    <row r="353" spans="2:10" x14ac:dyDescent="0.35">
      <c r="B353">
        <f t="shared" si="92"/>
        <v>2028</v>
      </c>
      <c r="C353">
        <f t="shared" ref="C353:D353" si="99">C341</f>
        <v>2</v>
      </c>
      <c r="D353">
        <f t="shared" si="99"/>
        <v>6</v>
      </c>
      <c r="E353" s="78">
        <f ca="1">INDEX(E$13:E$17, MATCH($B363, $B$13:$B$17, 0), 1)*$D$2*(1+RANDBETWEEN(-0.8, 0.8))</f>
        <v>38.715547272943517</v>
      </c>
      <c r="F353" s="78">
        <f ca="1">INDEX(F$13:F$17, MATCH($B363, $B$13:$B$17, 0), 1)*$D$2*(1+RANDBETWEEN(-0.8, 0.8))</f>
        <v>52.315547272943519</v>
      </c>
      <c r="G353" s="78">
        <f ca="1">INDEX(G$13:G$17, MATCH($B363, $B$13:$B$17, 0), 1)*$D$2*(1+RANDBETWEEN(-0.8, 0.8))</f>
        <v>43.515547272943515</v>
      </c>
      <c r="H353" s="78">
        <f ca="1">INDEX(H$13:H$17, MATCH($B363, $B$13:$B$17, 0), 1)*$D$2*(1+RANDBETWEEN(-0.8, 0.8))</f>
        <v>72.315547272943519</v>
      </c>
      <c r="I353" s="78">
        <f ca="1">INDEX(I$13:I$17, MATCH($B363, $B$13:$B$17, 0), 1)*$D$2*(1+RANDBETWEEN(-1, 1))</f>
        <v>330.41940100094655</v>
      </c>
      <c r="J353" s="78">
        <f ca="1">INDEX(J$13:J$17, MATCH($B363, $B$13:$B$17, 0), 1)*$D$2*(1+RANDBETWEEN(-1, 1))</f>
        <v>0</v>
      </c>
    </row>
    <row r="354" spans="2:10" x14ac:dyDescent="0.35">
      <c r="B354">
        <f t="shared" si="92"/>
        <v>2028</v>
      </c>
      <c r="C354">
        <f t="shared" ref="C354:D354" si="100">C342</f>
        <v>3</v>
      </c>
      <c r="D354">
        <f t="shared" si="100"/>
        <v>7</v>
      </c>
      <c r="E354" s="78">
        <f ca="1">INDEX(E$13:E$17, MATCH($B364, $B$13:$B$17, 0), 1)*$D$2*(1+RANDBETWEEN(-0.8, 0.8))</f>
        <v>38.715547272943517</v>
      </c>
      <c r="F354" s="78">
        <f ca="1">INDEX(F$13:F$17, MATCH($B364, $B$13:$B$17, 0), 1)*$D$2*(1+RANDBETWEEN(-0.8, 0.8))</f>
        <v>52.315547272943519</v>
      </c>
      <c r="G354" s="78">
        <f ca="1">INDEX(G$13:G$17, MATCH($B364, $B$13:$B$17, 0), 1)*$D$2*(1+RANDBETWEEN(-0.8, 0.8))</f>
        <v>43.515547272943515</v>
      </c>
      <c r="H354" s="78">
        <f ca="1">INDEX(H$13:H$17, MATCH($B364, $B$13:$B$17, 0), 1)*$D$2*(1+RANDBETWEEN(-0.8, 0.8))</f>
        <v>72.315547272943519</v>
      </c>
      <c r="I354" s="78">
        <f ca="1">INDEX(I$13:I$17, MATCH($B364, $B$13:$B$17, 0), 1)*$D$2*(1+RANDBETWEEN(-1, 1))</f>
        <v>165.20970050047328</v>
      </c>
      <c r="J354" s="78">
        <f ca="1">INDEX(J$13:J$17, MATCH($B364, $B$13:$B$17, 0), 1)*$D$2*(1+RANDBETWEEN(-1, 1))</f>
        <v>0</v>
      </c>
    </row>
    <row r="355" spans="2:10" x14ac:dyDescent="0.35">
      <c r="B355">
        <f t="shared" si="92"/>
        <v>2028</v>
      </c>
      <c r="C355">
        <f t="shared" ref="C355:D355" si="101">C343</f>
        <v>3</v>
      </c>
      <c r="D355">
        <f t="shared" si="101"/>
        <v>8</v>
      </c>
      <c r="E355" s="78">
        <f ca="1">INDEX(E$13:E$17, MATCH($B365, $B$13:$B$17, 0), 1)*$D$2*(1+RANDBETWEEN(-0.8, 0.8))</f>
        <v>38.715547272943517</v>
      </c>
      <c r="F355" s="78">
        <f ca="1">INDEX(F$13:F$17, MATCH($B365, $B$13:$B$17, 0), 1)*$D$2*(1+RANDBETWEEN(-0.8, 0.8))</f>
        <v>52.315547272943519</v>
      </c>
      <c r="G355" s="78">
        <f ca="1">INDEX(G$13:G$17, MATCH($B365, $B$13:$B$17, 0), 1)*$D$2*(1+RANDBETWEEN(-0.8, 0.8))</f>
        <v>43.515547272943515</v>
      </c>
      <c r="H355" s="78">
        <f ca="1">INDEX(H$13:H$17, MATCH($B365, $B$13:$B$17, 0), 1)*$D$2*(1+RANDBETWEEN(-0.8, 0.8))</f>
        <v>72.315547272943519</v>
      </c>
      <c r="I355" s="78">
        <f ca="1">INDEX(I$13:I$17, MATCH($B365, $B$13:$B$17, 0), 1)*$D$2*(1+RANDBETWEEN(-1, 1))</f>
        <v>0</v>
      </c>
      <c r="J355" s="78">
        <f ca="1">INDEX(J$13:J$17, MATCH($B365, $B$13:$B$17, 0), 1)*$D$2*(1+RANDBETWEEN(-1, 1))</f>
        <v>174.91669444894978</v>
      </c>
    </row>
    <row r="356" spans="2:10" x14ac:dyDescent="0.35">
      <c r="B356">
        <f t="shared" si="92"/>
        <v>2028</v>
      </c>
      <c r="C356">
        <f t="shared" ref="C356:D356" si="102">C344</f>
        <v>3</v>
      </c>
      <c r="D356">
        <f t="shared" si="102"/>
        <v>9</v>
      </c>
      <c r="E356" s="78">
        <f ca="1">INDEX(E$13:E$17, MATCH($B366, $B$13:$B$17, 0), 1)*$D$2*(1+RANDBETWEEN(-0.8, 0.8))</f>
        <v>38.715547272943517</v>
      </c>
      <c r="F356" s="78">
        <f ca="1">INDEX(F$13:F$17, MATCH($B366, $B$13:$B$17, 0), 1)*$D$2*(1+RANDBETWEEN(-0.8, 0.8))</f>
        <v>52.315547272943519</v>
      </c>
      <c r="G356" s="78">
        <f ca="1">INDEX(G$13:G$17, MATCH($B366, $B$13:$B$17, 0), 1)*$D$2*(1+RANDBETWEEN(-0.8, 0.8))</f>
        <v>43.515547272943515</v>
      </c>
      <c r="H356" s="78">
        <f ca="1">INDEX(H$13:H$17, MATCH($B366, $B$13:$B$17, 0), 1)*$D$2*(1+RANDBETWEEN(-0.8, 0.8))</f>
        <v>72.315547272943519</v>
      </c>
      <c r="I356" s="78">
        <f ca="1">INDEX(I$13:I$17, MATCH($B366, $B$13:$B$17, 0), 1)*$D$2*(1+RANDBETWEEN(-1, 1))</f>
        <v>0</v>
      </c>
      <c r="J356" s="78">
        <f ca="1">INDEX(J$13:J$17, MATCH($B366, $B$13:$B$17, 0), 1)*$D$2*(1+RANDBETWEEN(-1, 1))</f>
        <v>0</v>
      </c>
    </row>
    <row r="357" spans="2:10" x14ac:dyDescent="0.35">
      <c r="B357">
        <f t="shared" si="92"/>
        <v>2028</v>
      </c>
      <c r="C357">
        <f t="shared" ref="C357:D357" si="103">C345</f>
        <v>4</v>
      </c>
      <c r="D357">
        <f t="shared" si="103"/>
        <v>10</v>
      </c>
      <c r="E357" s="78">
        <f ca="1">INDEX(E$13:E$17, MATCH($B367, $B$13:$B$17, 0), 1)*$D$2*(1+RANDBETWEEN(-0.8, 0.8))</f>
        <v>38.715547272943517</v>
      </c>
      <c r="F357" s="78">
        <f ca="1">INDEX(F$13:F$17, MATCH($B367, $B$13:$B$17, 0), 1)*$D$2*(1+RANDBETWEEN(-0.8, 0.8))</f>
        <v>52.315547272943519</v>
      </c>
      <c r="G357" s="78">
        <f ca="1">INDEX(G$13:G$17, MATCH($B367, $B$13:$B$17, 0), 1)*$D$2*(1+RANDBETWEEN(-0.8, 0.8))</f>
        <v>43.515547272943515</v>
      </c>
      <c r="H357" s="78">
        <f ca="1">INDEX(H$13:H$17, MATCH($B367, $B$13:$B$17, 0), 1)*$D$2*(1+RANDBETWEEN(-0.8, 0.8))</f>
        <v>72.315547272943519</v>
      </c>
      <c r="I357" s="78">
        <f ca="1">INDEX(I$13:I$17, MATCH($B367, $B$13:$B$17, 0), 1)*$D$2*(1+RANDBETWEEN(-1, 1))</f>
        <v>330.41940100094655</v>
      </c>
      <c r="J357" s="78">
        <f ca="1">INDEX(J$13:J$17, MATCH($B367, $B$13:$B$17, 0), 1)*$D$2*(1+RANDBETWEEN(-1, 1))</f>
        <v>0</v>
      </c>
    </row>
    <row r="358" spans="2:10" x14ac:dyDescent="0.35">
      <c r="B358">
        <f t="shared" si="92"/>
        <v>2029</v>
      </c>
      <c r="C358">
        <f t="shared" ref="C358:D358" si="104">C346</f>
        <v>4</v>
      </c>
      <c r="D358">
        <f t="shared" si="104"/>
        <v>11</v>
      </c>
      <c r="E358" s="78">
        <f ca="1">INDEX(E$13:E$17, MATCH($B368, $B$13:$B$17, 0), 1)*$D$2*(1+RANDBETWEEN(-0.8, 0.8))</f>
        <v>38.715547272943517</v>
      </c>
      <c r="F358" s="78">
        <f ca="1">INDEX(F$13:F$17, MATCH($B368, $B$13:$B$17, 0), 1)*$D$2*(1+RANDBETWEEN(-0.8, 0.8))</f>
        <v>52.315547272943519</v>
      </c>
      <c r="G358" s="78">
        <f ca="1">INDEX(G$13:G$17, MATCH($B368, $B$13:$B$17, 0), 1)*$D$2*(1+RANDBETWEEN(-0.8, 0.8))</f>
        <v>43.515547272943515</v>
      </c>
      <c r="H358" s="78">
        <f ca="1">INDEX(H$13:H$17, MATCH($B368, $B$13:$B$17, 0), 1)*$D$2*(1+RANDBETWEEN(-0.8, 0.8))</f>
        <v>72.315547272943519</v>
      </c>
      <c r="I358" s="78">
        <f ca="1">INDEX(I$13:I$17, MATCH($B368, $B$13:$B$17, 0), 1)*$D$2*(1+RANDBETWEEN(-1, 1))</f>
        <v>165.20970050047328</v>
      </c>
      <c r="J358" s="78">
        <f ca="1">INDEX(J$13:J$17, MATCH($B368, $B$13:$B$17, 0), 1)*$D$2*(1+RANDBETWEEN(-1, 1))</f>
        <v>174.91669444894978</v>
      </c>
    </row>
    <row r="359" spans="2:10" x14ac:dyDescent="0.35">
      <c r="B359">
        <f t="shared" si="92"/>
        <v>2029</v>
      </c>
      <c r="C359">
        <f t="shared" ref="C359:D359" si="105">C347</f>
        <v>4</v>
      </c>
      <c r="D359">
        <f t="shared" si="105"/>
        <v>12</v>
      </c>
      <c r="E359" s="78">
        <f ca="1">INDEX(E$13:E$17, MATCH($B369, $B$13:$B$17, 0), 1)*$D$2*(1+RANDBETWEEN(-0.8, 0.8))</f>
        <v>38.715547272943517</v>
      </c>
      <c r="F359" s="78">
        <f ca="1">INDEX(F$13:F$17, MATCH($B369, $B$13:$B$17, 0), 1)*$D$2*(1+RANDBETWEEN(-0.8, 0.8))</f>
        <v>52.315547272943519</v>
      </c>
      <c r="G359" s="78">
        <f ca="1">INDEX(G$13:G$17, MATCH($B369, $B$13:$B$17, 0), 1)*$D$2*(1+RANDBETWEEN(-0.8, 0.8))</f>
        <v>43.515547272943515</v>
      </c>
      <c r="H359" s="78">
        <f ca="1">INDEX(H$13:H$17, MATCH($B369, $B$13:$B$17, 0), 1)*$D$2*(1+RANDBETWEEN(-0.8, 0.8))</f>
        <v>72.315547272943519</v>
      </c>
      <c r="I359" s="78">
        <f ca="1">INDEX(I$13:I$17, MATCH($B369, $B$13:$B$17, 0), 1)*$D$2*(1+RANDBETWEEN(-1, 1))</f>
        <v>165.20970050047328</v>
      </c>
      <c r="J359" s="78">
        <f ca="1">INDEX(J$13:J$17, MATCH($B369, $B$13:$B$17, 0), 1)*$D$2*(1+RANDBETWEEN(-1, 1))</f>
        <v>174.91669444894978</v>
      </c>
    </row>
    <row r="360" spans="2:10" x14ac:dyDescent="0.35">
      <c r="B360">
        <f t="shared" si="92"/>
        <v>2029</v>
      </c>
      <c r="C360">
        <f t="shared" ref="C360:D360" si="106">C348</f>
        <v>1</v>
      </c>
      <c r="D360">
        <f t="shared" si="106"/>
        <v>1</v>
      </c>
      <c r="E360" s="78">
        <f ca="1">INDEX(E$13:E$17, MATCH($B370, $B$13:$B$17, 0), 1)*$D$2*(1+RANDBETWEEN(-0.8, 0.8))</f>
        <v>33.950492983768619</v>
      </c>
      <c r="F360" s="78">
        <f ca="1">INDEX(F$13:F$17, MATCH($B370, $B$13:$B$17, 0), 1)*$D$2*(1+RANDBETWEEN(-0.8, 0.8))</f>
        <v>49.150492983768622</v>
      </c>
      <c r="G360" s="78">
        <f ca="1">INDEX(G$13:G$17, MATCH($B370, $B$13:$B$17, 0), 1)*$D$2*(1+RANDBETWEEN(-0.8, 0.8))</f>
        <v>38.750492983768623</v>
      </c>
      <c r="H360" s="78">
        <f ca="1">INDEX(H$13:H$17, MATCH($B370, $B$13:$B$17, 0), 1)*$D$2*(1+RANDBETWEEN(-0.8, 0.8))</f>
        <v>69.150492983768615</v>
      </c>
      <c r="I360" s="78">
        <f ca="1">INDEX(I$13:I$17, MATCH($B370, $B$13:$B$17, 0), 1)*$D$2*(1+RANDBETWEEN(-1, 1))</f>
        <v>0</v>
      </c>
      <c r="J360" s="78">
        <f ca="1">INDEX(J$13:J$17, MATCH($B370, $B$13:$B$17, 0), 1)*$D$2*(1+RANDBETWEEN(-1, 1))</f>
        <v>357.14254046064576</v>
      </c>
    </row>
    <row r="361" spans="2:10" x14ac:dyDescent="0.35">
      <c r="B361">
        <f t="shared" si="92"/>
        <v>2029</v>
      </c>
      <c r="C361">
        <f t="shared" ref="C361:D361" si="107">C349</f>
        <v>1</v>
      </c>
      <c r="D361">
        <f t="shared" si="107"/>
        <v>2</v>
      </c>
      <c r="E361" s="78">
        <f ca="1">INDEX(E$13:E$17, MATCH($B371, $B$13:$B$17, 0), 1)*$D$2*(1+RANDBETWEEN(-0.8, 0.8))</f>
        <v>33.950492983768619</v>
      </c>
      <c r="F361" s="78">
        <f ca="1">INDEX(F$13:F$17, MATCH($B371, $B$13:$B$17, 0), 1)*$D$2*(1+RANDBETWEEN(-0.8, 0.8))</f>
        <v>49.150492983768622</v>
      </c>
      <c r="G361" s="78">
        <f ca="1">INDEX(G$13:G$17, MATCH($B371, $B$13:$B$17, 0), 1)*$D$2*(1+RANDBETWEEN(-0.8, 0.8))</f>
        <v>38.750492983768623</v>
      </c>
      <c r="H361" s="78">
        <f ca="1">INDEX(H$13:H$17, MATCH($B371, $B$13:$B$17, 0), 1)*$D$2*(1+RANDBETWEEN(-0.8, 0.8))</f>
        <v>69.150492983768615</v>
      </c>
      <c r="I361" s="78">
        <f ca="1">INDEX(I$13:I$17, MATCH($B371, $B$13:$B$17, 0), 1)*$D$2*(1+RANDBETWEEN(-1, 1))</f>
        <v>0</v>
      </c>
      <c r="J361" s="78">
        <f ca="1">INDEX(J$13:J$17, MATCH($B371, $B$13:$B$17, 0), 1)*$D$2*(1+RANDBETWEEN(-1, 1))</f>
        <v>0</v>
      </c>
    </row>
    <row r="362" spans="2:10" x14ac:dyDescent="0.35">
      <c r="B362">
        <f t="shared" si="92"/>
        <v>2029</v>
      </c>
      <c r="C362">
        <f t="shared" ref="C362:D362" si="108">C350</f>
        <v>1</v>
      </c>
      <c r="D362">
        <f t="shared" si="108"/>
        <v>3</v>
      </c>
      <c r="E362" s="78">
        <f ca="1">INDEX(E$13:E$17, MATCH($B372, $B$13:$B$17, 0), 1)*$D$2*(1+RANDBETWEEN(-0.8, 0.8))</f>
        <v>33.950492983768619</v>
      </c>
      <c r="F362" s="78">
        <f ca="1">INDEX(F$13:F$17, MATCH($B372, $B$13:$B$17, 0), 1)*$D$2*(1+RANDBETWEEN(-0.8, 0.8))</f>
        <v>49.150492983768622</v>
      </c>
      <c r="G362" s="78">
        <f ca="1">INDEX(G$13:G$17, MATCH($B372, $B$13:$B$17, 0), 1)*$D$2*(1+RANDBETWEEN(-0.8, 0.8))</f>
        <v>38.750492983768623</v>
      </c>
      <c r="H362" s="78">
        <f ca="1">INDEX(H$13:H$17, MATCH($B372, $B$13:$B$17, 0), 1)*$D$2*(1+RANDBETWEEN(-0.8, 0.8))</f>
        <v>69.150492983768615</v>
      </c>
      <c r="I362" s="78">
        <f ca="1">INDEX(I$13:I$17, MATCH($B372, $B$13:$B$17, 0), 1)*$D$2*(1+RANDBETWEEN(-1, 1))</f>
        <v>168.87461582322612</v>
      </c>
      <c r="J362" s="78">
        <f ca="1">INDEX(J$13:J$17, MATCH($B372, $B$13:$B$17, 0), 1)*$D$2*(1+RANDBETWEEN(-1, 1))</f>
        <v>0</v>
      </c>
    </row>
    <row r="363" spans="2:10" x14ac:dyDescent="0.35">
      <c r="B363">
        <f t="shared" si="92"/>
        <v>2029</v>
      </c>
      <c r="C363">
        <f t="shared" ref="C363:D363" si="109">C351</f>
        <v>2</v>
      </c>
      <c r="D363">
        <f t="shared" si="109"/>
        <v>4</v>
      </c>
      <c r="E363" s="78">
        <f ca="1">INDEX(E$13:E$17, MATCH($B373, $B$13:$B$17, 0), 1)*$D$2*(1+RANDBETWEEN(-0.8, 0.8))</f>
        <v>33.950492983768619</v>
      </c>
      <c r="F363" s="78">
        <f ca="1">INDEX(F$13:F$17, MATCH($B373, $B$13:$B$17, 0), 1)*$D$2*(1+RANDBETWEEN(-0.8, 0.8))</f>
        <v>49.150492983768622</v>
      </c>
      <c r="G363" s="78">
        <f ca="1">INDEX(G$13:G$17, MATCH($B373, $B$13:$B$17, 0), 1)*$D$2*(1+RANDBETWEEN(-0.8, 0.8))</f>
        <v>38.750492983768623</v>
      </c>
      <c r="H363" s="78">
        <f ca="1">INDEX(H$13:H$17, MATCH($B373, $B$13:$B$17, 0), 1)*$D$2*(1+RANDBETWEEN(-0.8, 0.8))</f>
        <v>69.150492983768615</v>
      </c>
      <c r="I363" s="78">
        <f ca="1">INDEX(I$13:I$17, MATCH($B373, $B$13:$B$17, 0), 1)*$D$2*(1+RANDBETWEEN(-1, 1))</f>
        <v>0</v>
      </c>
      <c r="J363" s="78">
        <f ca="1">INDEX(J$13:J$17, MATCH($B373, $B$13:$B$17, 0), 1)*$D$2*(1+RANDBETWEEN(-1, 1))</f>
        <v>178.57127023032288</v>
      </c>
    </row>
    <row r="364" spans="2:10" x14ac:dyDescent="0.35">
      <c r="B364">
        <f t="shared" si="92"/>
        <v>2029</v>
      </c>
      <c r="C364">
        <f t="shared" ref="C364:D364" si="110">C352</f>
        <v>2</v>
      </c>
      <c r="D364">
        <f t="shared" si="110"/>
        <v>5</v>
      </c>
      <c r="E364" s="78">
        <f ca="1">INDEX(E$13:E$17, MATCH($B374, $B$13:$B$17, 0), 1)*$D$2*(1+RANDBETWEEN(-0.8, 0.8))</f>
        <v>33.950492983768619</v>
      </c>
      <c r="F364" s="78">
        <f ca="1">INDEX(F$13:F$17, MATCH($B374, $B$13:$B$17, 0), 1)*$D$2*(1+RANDBETWEEN(-0.8, 0.8))</f>
        <v>49.150492983768622</v>
      </c>
      <c r="G364" s="78">
        <f ca="1">INDEX(G$13:G$17, MATCH($B374, $B$13:$B$17, 0), 1)*$D$2*(1+RANDBETWEEN(-0.8, 0.8))</f>
        <v>38.750492983768623</v>
      </c>
      <c r="H364" s="78">
        <f ca="1">INDEX(H$13:H$17, MATCH($B374, $B$13:$B$17, 0), 1)*$D$2*(1+RANDBETWEEN(-0.8, 0.8))</f>
        <v>69.150492983768615</v>
      </c>
      <c r="I364" s="78">
        <f ca="1">INDEX(I$13:I$17, MATCH($B374, $B$13:$B$17, 0), 1)*$D$2*(1+RANDBETWEEN(-1, 1))</f>
        <v>0</v>
      </c>
      <c r="J364" s="78">
        <f ca="1">INDEX(J$13:J$17, MATCH($B374, $B$13:$B$17, 0), 1)*$D$2*(1+RANDBETWEEN(-1, 1))</f>
        <v>357.14254046064576</v>
      </c>
    </row>
    <row r="365" spans="2:10" x14ac:dyDescent="0.35">
      <c r="B365">
        <f t="shared" si="92"/>
        <v>2029</v>
      </c>
      <c r="C365">
        <f t="shared" ref="C365:D365" si="111">C353</f>
        <v>2</v>
      </c>
      <c r="D365">
        <f t="shared" si="111"/>
        <v>6</v>
      </c>
      <c r="E365" s="78">
        <f ca="1">INDEX(E$13:E$17, MATCH($B375, $B$13:$B$17, 0), 1)*$D$2*(1+RANDBETWEEN(-0.8, 0.8))</f>
        <v>33.950492983768619</v>
      </c>
      <c r="F365" s="78">
        <f ca="1">INDEX(F$13:F$17, MATCH($B375, $B$13:$B$17, 0), 1)*$D$2*(1+RANDBETWEEN(-0.8, 0.8))</f>
        <v>49.150492983768622</v>
      </c>
      <c r="G365" s="78">
        <f ca="1">INDEX(G$13:G$17, MATCH($B375, $B$13:$B$17, 0), 1)*$D$2*(1+RANDBETWEEN(-0.8, 0.8))</f>
        <v>38.750492983768623</v>
      </c>
      <c r="H365" s="78">
        <f ca="1">INDEX(H$13:H$17, MATCH($B375, $B$13:$B$17, 0), 1)*$D$2*(1+RANDBETWEEN(-0.8, 0.8))</f>
        <v>69.150492983768615</v>
      </c>
      <c r="I365" s="78">
        <f ca="1">INDEX(I$13:I$17, MATCH($B375, $B$13:$B$17, 0), 1)*$D$2*(1+RANDBETWEEN(-1, 1))</f>
        <v>337.74923164645224</v>
      </c>
      <c r="J365" s="78">
        <f ca="1">INDEX(J$13:J$17, MATCH($B375, $B$13:$B$17, 0), 1)*$D$2*(1+RANDBETWEEN(-1, 1))</f>
        <v>0</v>
      </c>
    </row>
    <row r="366" spans="2:10" x14ac:dyDescent="0.35">
      <c r="B366">
        <f t="shared" si="92"/>
        <v>2029</v>
      </c>
      <c r="C366">
        <f t="shared" ref="C366:D366" si="112">C354</f>
        <v>3</v>
      </c>
      <c r="D366">
        <f t="shared" si="112"/>
        <v>7</v>
      </c>
      <c r="E366" s="78">
        <f ca="1">INDEX(E$13:E$17, MATCH($B376, $B$13:$B$17, 0), 1)*$D$2*(1+RANDBETWEEN(-0.8, 0.8))</f>
        <v>33.950492983768619</v>
      </c>
      <c r="F366" s="78">
        <f ca="1">INDEX(F$13:F$17, MATCH($B376, $B$13:$B$17, 0), 1)*$D$2*(1+RANDBETWEEN(-0.8, 0.8))</f>
        <v>49.150492983768622</v>
      </c>
      <c r="G366" s="78">
        <f ca="1">INDEX(G$13:G$17, MATCH($B376, $B$13:$B$17, 0), 1)*$D$2*(1+RANDBETWEEN(-0.8, 0.8))</f>
        <v>38.750492983768623</v>
      </c>
      <c r="H366" s="78">
        <f ca="1">INDEX(H$13:H$17, MATCH($B376, $B$13:$B$17, 0), 1)*$D$2*(1+RANDBETWEEN(-0.8, 0.8))</f>
        <v>69.150492983768615</v>
      </c>
      <c r="I366" s="78">
        <f ca="1">INDEX(I$13:I$17, MATCH($B376, $B$13:$B$17, 0), 1)*$D$2*(1+RANDBETWEEN(-1, 1))</f>
        <v>0</v>
      </c>
      <c r="J366" s="78">
        <f ca="1">INDEX(J$13:J$17, MATCH($B376, $B$13:$B$17, 0), 1)*$D$2*(1+RANDBETWEEN(-1, 1))</f>
        <v>357.14254046064576</v>
      </c>
    </row>
    <row r="367" spans="2:10" x14ac:dyDescent="0.35">
      <c r="B367">
        <f t="shared" si="92"/>
        <v>2029</v>
      </c>
      <c r="C367">
        <f t="shared" ref="C367:D367" si="113">C355</f>
        <v>3</v>
      </c>
      <c r="D367">
        <f t="shared" si="113"/>
        <v>8</v>
      </c>
      <c r="E367" s="78">
        <f ca="1">INDEX(E$13:E$17, MATCH($B377, $B$13:$B$17, 0), 1)*$D$2*(1+RANDBETWEEN(-0.8, 0.8))</f>
        <v>33.950492983768619</v>
      </c>
      <c r="F367" s="78">
        <f ca="1">INDEX(F$13:F$17, MATCH($B377, $B$13:$B$17, 0), 1)*$D$2*(1+RANDBETWEEN(-0.8, 0.8))</f>
        <v>49.150492983768622</v>
      </c>
      <c r="G367" s="78">
        <f ca="1">INDEX(G$13:G$17, MATCH($B377, $B$13:$B$17, 0), 1)*$D$2*(1+RANDBETWEEN(-0.8, 0.8))</f>
        <v>38.750492983768623</v>
      </c>
      <c r="H367" s="78">
        <f ca="1">INDEX(H$13:H$17, MATCH($B377, $B$13:$B$17, 0), 1)*$D$2*(1+RANDBETWEEN(-0.8, 0.8))</f>
        <v>69.150492983768615</v>
      </c>
      <c r="I367" s="78">
        <f ca="1">INDEX(I$13:I$17, MATCH($B377, $B$13:$B$17, 0), 1)*$D$2*(1+RANDBETWEEN(-1, 1))</f>
        <v>168.87461582322612</v>
      </c>
      <c r="J367" s="78">
        <f ca="1">INDEX(J$13:J$17, MATCH($B377, $B$13:$B$17, 0), 1)*$D$2*(1+RANDBETWEEN(-1, 1))</f>
        <v>178.57127023032288</v>
      </c>
    </row>
    <row r="368" spans="2:10" x14ac:dyDescent="0.35">
      <c r="B368">
        <f t="shared" si="92"/>
        <v>2029</v>
      </c>
      <c r="C368">
        <f t="shared" ref="C368:D368" si="114">C356</f>
        <v>3</v>
      </c>
      <c r="D368">
        <f t="shared" si="114"/>
        <v>9</v>
      </c>
      <c r="E368" s="78">
        <f ca="1">INDEX(E$13:E$17, MATCH($B378, $B$13:$B$17, 0), 1)*$D$2*(1+RANDBETWEEN(-0.8, 0.8))</f>
        <v>33.950492983768619</v>
      </c>
      <c r="F368" s="78">
        <f ca="1">INDEX(F$13:F$17, MATCH($B378, $B$13:$B$17, 0), 1)*$D$2*(1+RANDBETWEEN(-0.8, 0.8))</f>
        <v>49.150492983768622</v>
      </c>
      <c r="G368" s="78">
        <f ca="1">INDEX(G$13:G$17, MATCH($B378, $B$13:$B$17, 0), 1)*$D$2*(1+RANDBETWEEN(-0.8, 0.8))</f>
        <v>38.750492983768623</v>
      </c>
      <c r="H368" s="78">
        <f ca="1">INDEX(H$13:H$17, MATCH($B378, $B$13:$B$17, 0), 1)*$D$2*(1+RANDBETWEEN(-0.8, 0.8))</f>
        <v>69.150492983768615</v>
      </c>
      <c r="I368" s="78">
        <f ca="1">INDEX(I$13:I$17, MATCH($B378, $B$13:$B$17, 0), 1)*$D$2*(1+RANDBETWEEN(-1, 1))</f>
        <v>168.87461582322612</v>
      </c>
      <c r="J368" s="78">
        <f ca="1">INDEX(J$13:J$17, MATCH($B378, $B$13:$B$17, 0), 1)*$D$2*(1+RANDBETWEEN(-1, 1))</f>
        <v>357.14254046064576</v>
      </c>
    </row>
    <row r="369" spans="2:10" x14ac:dyDescent="0.35">
      <c r="B369">
        <f t="shared" si="92"/>
        <v>2029</v>
      </c>
      <c r="C369">
        <f t="shared" ref="C369:D369" si="115">C357</f>
        <v>4</v>
      </c>
      <c r="D369">
        <f t="shared" si="115"/>
        <v>10</v>
      </c>
      <c r="E369" s="78">
        <f ca="1">INDEX(E$13:E$17, MATCH($B379, $B$13:$B$17, 0), 1)*$D$2*(1+RANDBETWEEN(-0.8, 0.8))</f>
        <v>33.950492983768619</v>
      </c>
      <c r="F369" s="78">
        <f ca="1">INDEX(F$13:F$17, MATCH($B379, $B$13:$B$17, 0), 1)*$D$2*(1+RANDBETWEEN(-0.8, 0.8))</f>
        <v>49.150492983768622</v>
      </c>
      <c r="G369" s="78">
        <f ca="1">INDEX(G$13:G$17, MATCH($B379, $B$13:$B$17, 0), 1)*$D$2*(1+RANDBETWEEN(-0.8, 0.8))</f>
        <v>38.750492983768623</v>
      </c>
      <c r="H369" s="78">
        <f ca="1">INDEX(H$13:H$17, MATCH($B379, $B$13:$B$17, 0), 1)*$D$2*(1+RANDBETWEEN(-0.8, 0.8))</f>
        <v>69.150492983768615</v>
      </c>
      <c r="I369" s="78">
        <f ca="1">INDEX(I$13:I$17, MATCH($B379, $B$13:$B$17, 0), 1)*$D$2*(1+RANDBETWEEN(-1, 1))</f>
        <v>168.87461582322612</v>
      </c>
      <c r="J369" s="78">
        <f ca="1">INDEX(J$13:J$17, MATCH($B379, $B$13:$B$17, 0), 1)*$D$2*(1+RANDBETWEEN(-1, 1))</f>
        <v>357.14254046064576</v>
      </c>
    </row>
    <row r="370" spans="2:10" x14ac:dyDescent="0.35">
      <c r="B370">
        <f t="shared" si="92"/>
        <v>2030</v>
      </c>
      <c r="C370">
        <f t="shared" ref="C370:D370" si="116">C358</f>
        <v>4</v>
      </c>
      <c r="D370">
        <f t="shared" si="116"/>
        <v>11</v>
      </c>
      <c r="E370" s="78">
        <f ca="1">INDEX(E$13:E$17, MATCH($B380, $B$13:$B$17, 0), 1)*$D$2*(1+RANDBETWEEN(-0.8, 0.8))</f>
        <v>33.950492983768619</v>
      </c>
      <c r="F370" s="78">
        <f ca="1">INDEX(F$13:F$17, MATCH($B380, $B$13:$B$17, 0), 1)*$D$2*(1+RANDBETWEEN(-0.8, 0.8))</f>
        <v>49.150492983768622</v>
      </c>
      <c r="G370" s="78">
        <f ca="1">INDEX(G$13:G$17, MATCH($B380, $B$13:$B$17, 0), 1)*$D$2*(1+RANDBETWEEN(-0.8, 0.8))</f>
        <v>38.750492983768623</v>
      </c>
      <c r="H370" s="78">
        <f ca="1">INDEX(H$13:H$17, MATCH($B380, $B$13:$B$17, 0), 1)*$D$2*(1+RANDBETWEEN(-0.8, 0.8))</f>
        <v>69.150492983768615</v>
      </c>
      <c r="I370" s="78">
        <f ca="1">INDEX(I$13:I$17, MATCH($B380, $B$13:$B$17, 0), 1)*$D$2*(1+RANDBETWEEN(-1, 1))</f>
        <v>168.87461582322612</v>
      </c>
      <c r="J370" s="78">
        <f ca="1">INDEX(J$13:J$17, MATCH($B380, $B$13:$B$17, 0), 1)*$D$2*(1+RANDBETWEEN(-1, 1))</f>
        <v>0</v>
      </c>
    </row>
    <row r="371" spans="2:10" x14ac:dyDescent="0.35">
      <c r="B371">
        <f t="shared" si="92"/>
        <v>2030</v>
      </c>
      <c r="C371">
        <f t="shared" ref="C371:D371" si="117">C359</f>
        <v>4</v>
      </c>
      <c r="D371">
        <f t="shared" si="117"/>
        <v>12</v>
      </c>
      <c r="E371" s="78">
        <f ca="1">INDEX(E$13:E$17, MATCH($B381, $B$13:$B$17, 0), 1)*$D$2*(1+RANDBETWEEN(-0.8, 0.8))</f>
        <v>33.950492983768619</v>
      </c>
      <c r="F371" s="78">
        <f ca="1">INDEX(F$13:F$17, MATCH($B381, $B$13:$B$17, 0), 1)*$D$2*(1+RANDBETWEEN(-0.8, 0.8))</f>
        <v>49.150492983768622</v>
      </c>
      <c r="G371" s="78">
        <f ca="1">INDEX(G$13:G$17, MATCH($B381, $B$13:$B$17, 0), 1)*$D$2*(1+RANDBETWEEN(-0.8, 0.8))</f>
        <v>38.750492983768623</v>
      </c>
      <c r="H371" s="78">
        <f ca="1">INDEX(H$13:H$17, MATCH($B381, $B$13:$B$17, 0), 1)*$D$2*(1+RANDBETWEEN(-0.8, 0.8))</f>
        <v>69.150492983768615</v>
      </c>
      <c r="I371" s="78">
        <f ca="1">INDEX(I$13:I$17, MATCH($B381, $B$13:$B$17, 0), 1)*$D$2*(1+RANDBETWEEN(-1, 1))</f>
        <v>0</v>
      </c>
      <c r="J371" s="78">
        <f ca="1">INDEX(J$13:J$17, MATCH($B381, $B$13:$B$17, 0), 1)*$D$2*(1+RANDBETWEEN(-1, 1))</f>
        <v>0</v>
      </c>
    </row>
    <row r="372" spans="2:10" x14ac:dyDescent="0.35">
      <c r="B372">
        <f t="shared" si="92"/>
        <v>2030</v>
      </c>
      <c r="C372">
        <f t="shared" ref="C372:D372" si="118">C360</f>
        <v>1</v>
      </c>
      <c r="D372">
        <f t="shared" si="118"/>
        <v>1</v>
      </c>
      <c r="E372" s="78" t="e">
        <f ca="1">INDEX(E$13:E$17, MATCH($B382, $B$13:$B$17, 0), 1)*$D$2*(1+RANDBETWEEN(-0.8, 0.8))</f>
        <v>#N/A</v>
      </c>
      <c r="F372" s="78" t="e">
        <f ca="1">INDEX(F$13:F$17, MATCH($B382, $B$13:$B$17, 0), 1)*$D$2*(1+RANDBETWEEN(-0.8, 0.8))</f>
        <v>#N/A</v>
      </c>
      <c r="G372" s="78" t="e">
        <f ca="1">INDEX(G$13:G$17, MATCH($B382, $B$13:$B$17, 0), 1)*$D$2*(1+RANDBETWEEN(-0.8, 0.8))</f>
        <v>#N/A</v>
      </c>
      <c r="H372" s="78" t="e">
        <f ca="1">INDEX(H$13:H$17, MATCH($B382, $B$13:$B$17, 0), 1)*$D$2*(1+RANDBETWEEN(-0.8, 0.8))</f>
        <v>#N/A</v>
      </c>
      <c r="I372" s="78" t="e">
        <f ca="1">INDEX(I$13:I$17, MATCH($B382, $B$13:$B$17, 0), 1)*$D$2*(1+RANDBETWEEN(-1, 1))</f>
        <v>#N/A</v>
      </c>
      <c r="J372" s="78" t="e">
        <f ca="1">INDEX(J$13:J$17, MATCH($B382, $B$13:$B$17, 0), 1)*$D$2*(1+RANDBETWEEN(-1, 1))</f>
        <v>#N/A</v>
      </c>
    </row>
    <row r="373" spans="2:10" x14ac:dyDescent="0.35">
      <c r="B373">
        <f t="shared" si="92"/>
        <v>2030</v>
      </c>
      <c r="C373">
        <f t="shared" ref="C373:D373" si="119">C361</f>
        <v>1</v>
      </c>
      <c r="D373">
        <f t="shared" si="119"/>
        <v>2</v>
      </c>
      <c r="E373" s="78" t="e">
        <f ca="1">INDEX(E$13:E$17, MATCH($B383, $B$13:$B$17, 0), 1)*$D$2*(1+RANDBETWEEN(-0.8, 0.8))</f>
        <v>#N/A</v>
      </c>
      <c r="F373" s="78" t="e">
        <f ca="1">INDEX(F$13:F$17, MATCH($B383, $B$13:$B$17, 0), 1)*$D$2*(1+RANDBETWEEN(-0.8, 0.8))</f>
        <v>#N/A</v>
      </c>
      <c r="G373" s="78" t="e">
        <f ca="1">INDEX(G$13:G$17, MATCH($B383, $B$13:$B$17, 0), 1)*$D$2*(1+RANDBETWEEN(-0.8, 0.8))</f>
        <v>#N/A</v>
      </c>
      <c r="H373" s="78" t="e">
        <f ca="1">INDEX(H$13:H$17, MATCH($B383, $B$13:$B$17, 0), 1)*$D$2*(1+RANDBETWEEN(-0.8, 0.8))</f>
        <v>#N/A</v>
      </c>
      <c r="I373" s="78" t="e">
        <f ca="1">INDEX(I$13:I$17, MATCH($B383, $B$13:$B$17, 0), 1)*$D$2*(1+RANDBETWEEN(-1, 1))</f>
        <v>#N/A</v>
      </c>
      <c r="J373" s="78" t="e">
        <f ca="1">INDEX(J$13:J$17, MATCH($B383, $B$13:$B$17, 0), 1)*$D$2*(1+RANDBETWEEN(-1, 1))</f>
        <v>#N/A</v>
      </c>
    </row>
    <row r="374" spans="2:10" x14ac:dyDescent="0.35">
      <c r="B374">
        <f t="shared" si="92"/>
        <v>2030</v>
      </c>
      <c r="C374">
        <f t="shared" ref="C374:D374" si="120">C362</f>
        <v>1</v>
      </c>
      <c r="D374">
        <f t="shared" si="120"/>
        <v>3</v>
      </c>
      <c r="E374" s="78" t="e">
        <f ca="1">INDEX(E$13:E$17, MATCH($B384, $B$13:$B$17, 0), 1)*$D$2*(1+RANDBETWEEN(-0.8, 0.8))</f>
        <v>#N/A</v>
      </c>
      <c r="F374" s="78" t="e">
        <f ca="1">INDEX(F$13:F$17, MATCH($B384, $B$13:$B$17, 0), 1)*$D$2*(1+RANDBETWEEN(-0.8, 0.8))</f>
        <v>#N/A</v>
      </c>
      <c r="G374" s="78" t="e">
        <f ca="1">INDEX(G$13:G$17, MATCH($B384, $B$13:$B$17, 0), 1)*$D$2*(1+RANDBETWEEN(-0.8, 0.8))</f>
        <v>#N/A</v>
      </c>
      <c r="H374" s="78" t="e">
        <f ca="1">INDEX(H$13:H$17, MATCH($B384, $B$13:$B$17, 0), 1)*$D$2*(1+RANDBETWEEN(-0.8, 0.8))</f>
        <v>#N/A</v>
      </c>
      <c r="I374" s="78" t="e">
        <f ca="1">INDEX(I$13:I$17, MATCH($B384, $B$13:$B$17, 0), 1)*$D$2*(1+RANDBETWEEN(-1, 1))</f>
        <v>#N/A</v>
      </c>
      <c r="J374" s="78" t="e">
        <f ca="1">INDEX(J$13:J$17, MATCH($B384, $B$13:$B$17, 0), 1)*$D$2*(1+RANDBETWEEN(-1, 1))</f>
        <v>#N/A</v>
      </c>
    </row>
    <row r="375" spans="2:10" x14ac:dyDescent="0.35">
      <c r="B375">
        <f t="shared" si="92"/>
        <v>2030</v>
      </c>
      <c r="C375">
        <f t="shared" ref="C375:D375" si="121">C363</f>
        <v>2</v>
      </c>
      <c r="D375">
        <f t="shared" si="121"/>
        <v>4</v>
      </c>
      <c r="E375" s="78" t="e">
        <f ca="1">INDEX(E$13:E$17, MATCH($B385, $B$13:$B$17, 0), 1)*$D$2*(1+RANDBETWEEN(-0.8, 0.8))</f>
        <v>#N/A</v>
      </c>
      <c r="F375" s="78" t="e">
        <f ca="1">INDEX(F$13:F$17, MATCH($B385, $B$13:$B$17, 0), 1)*$D$2*(1+RANDBETWEEN(-0.8, 0.8))</f>
        <v>#N/A</v>
      </c>
      <c r="G375" s="78" t="e">
        <f ca="1">INDEX(G$13:G$17, MATCH($B385, $B$13:$B$17, 0), 1)*$D$2*(1+RANDBETWEEN(-0.8, 0.8))</f>
        <v>#N/A</v>
      </c>
      <c r="H375" s="78" t="e">
        <f ca="1">INDEX(H$13:H$17, MATCH($B385, $B$13:$B$17, 0), 1)*$D$2*(1+RANDBETWEEN(-0.8, 0.8))</f>
        <v>#N/A</v>
      </c>
      <c r="I375" s="78" t="e">
        <f ca="1">INDEX(I$13:I$17, MATCH($B385, $B$13:$B$17, 0), 1)*$D$2*(1+RANDBETWEEN(-1, 1))</f>
        <v>#N/A</v>
      </c>
      <c r="J375" s="78" t="e">
        <f ca="1">INDEX(J$13:J$17, MATCH($B385, $B$13:$B$17, 0), 1)*$D$2*(1+RANDBETWEEN(-1, 1))</f>
        <v>#N/A</v>
      </c>
    </row>
    <row r="376" spans="2:10" x14ac:dyDescent="0.35">
      <c r="B376">
        <f t="shared" si="92"/>
        <v>2030</v>
      </c>
      <c r="C376">
        <f t="shared" ref="C376:D376" si="122">C364</f>
        <v>2</v>
      </c>
      <c r="D376">
        <f t="shared" si="122"/>
        <v>5</v>
      </c>
      <c r="E376" s="78" t="e">
        <f ca="1">INDEX(E$13:E$17, MATCH($B386, $B$13:$B$17, 0), 1)*$D$2*(1+RANDBETWEEN(-0.8, 0.8))</f>
        <v>#N/A</v>
      </c>
      <c r="F376" s="78" t="e">
        <f ca="1">INDEX(F$13:F$17, MATCH($B386, $B$13:$B$17, 0), 1)*$D$2*(1+RANDBETWEEN(-0.8, 0.8))</f>
        <v>#N/A</v>
      </c>
      <c r="G376" s="78" t="e">
        <f ca="1">INDEX(G$13:G$17, MATCH($B386, $B$13:$B$17, 0), 1)*$D$2*(1+RANDBETWEEN(-0.8, 0.8))</f>
        <v>#N/A</v>
      </c>
      <c r="H376" s="78" t="e">
        <f ca="1">INDEX(H$13:H$17, MATCH($B386, $B$13:$B$17, 0), 1)*$D$2*(1+RANDBETWEEN(-0.8, 0.8))</f>
        <v>#N/A</v>
      </c>
      <c r="I376" s="78" t="e">
        <f ca="1">INDEX(I$13:I$17, MATCH($B386, $B$13:$B$17, 0), 1)*$D$2*(1+RANDBETWEEN(-1, 1))</f>
        <v>#N/A</v>
      </c>
      <c r="J376" s="78" t="e">
        <f ca="1">INDEX(J$13:J$17, MATCH($B386, $B$13:$B$17, 0), 1)*$D$2*(1+RANDBETWEEN(-1, 1))</f>
        <v>#N/A</v>
      </c>
    </row>
    <row r="377" spans="2:10" x14ac:dyDescent="0.35">
      <c r="B377">
        <f t="shared" si="92"/>
        <v>2030</v>
      </c>
      <c r="C377">
        <f t="shared" ref="C377:D377" si="123">C365</f>
        <v>2</v>
      </c>
      <c r="D377">
        <f t="shared" si="123"/>
        <v>6</v>
      </c>
      <c r="E377" s="78" t="e">
        <f ca="1">INDEX(E$13:E$17, MATCH($B387, $B$13:$B$17, 0), 1)*$D$2*(1+RANDBETWEEN(-0.8, 0.8))</f>
        <v>#N/A</v>
      </c>
      <c r="F377" s="78" t="e">
        <f ca="1">INDEX(F$13:F$17, MATCH($B387, $B$13:$B$17, 0), 1)*$D$2*(1+RANDBETWEEN(-0.8, 0.8))</f>
        <v>#N/A</v>
      </c>
      <c r="G377" s="78" t="e">
        <f ca="1">INDEX(G$13:G$17, MATCH($B387, $B$13:$B$17, 0), 1)*$D$2*(1+RANDBETWEEN(-0.8, 0.8))</f>
        <v>#N/A</v>
      </c>
      <c r="H377" s="78" t="e">
        <f ca="1">INDEX(H$13:H$17, MATCH($B387, $B$13:$B$17, 0), 1)*$D$2*(1+RANDBETWEEN(-0.8, 0.8))</f>
        <v>#N/A</v>
      </c>
      <c r="I377" s="78" t="e">
        <f ca="1">INDEX(I$13:I$17, MATCH($B387, $B$13:$B$17, 0), 1)*$D$2*(1+RANDBETWEEN(-1, 1))</f>
        <v>#N/A</v>
      </c>
      <c r="J377" s="78" t="e">
        <f ca="1">INDEX(J$13:J$17, MATCH($B387, $B$13:$B$17, 0), 1)*$D$2*(1+RANDBETWEEN(-1, 1))</f>
        <v>#N/A</v>
      </c>
    </row>
    <row r="378" spans="2:10" x14ac:dyDescent="0.35">
      <c r="B378">
        <f t="shared" si="92"/>
        <v>2030</v>
      </c>
      <c r="C378">
        <f t="shared" ref="C378:D378" si="124">C366</f>
        <v>3</v>
      </c>
      <c r="D378">
        <f t="shared" si="124"/>
        <v>7</v>
      </c>
      <c r="E378" s="78" t="e">
        <f ca="1">INDEX(E$13:E$17, MATCH($B388, $B$13:$B$17, 0), 1)*$D$2*(1+RANDBETWEEN(-0.8, 0.8))</f>
        <v>#N/A</v>
      </c>
      <c r="F378" s="78" t="e">
        <f ca="1">INDEX(F$13:F$17, MATCH($B388, $B$13:$B$17, 0), 1)*$D$2*(1+RANDBETWEEN(-0.8, 0.8))</f>
        <v>#N/A</v>
      </c>
      <c r="G378" s="78" t="e">
        <f ca="1">INDEX(G$13:G$17, MATCH($B388, $B$13:$B$17, 0), 1)*$D$2*(1+RANDBETWEEN(-0.8, 0.8))</f>
        <v>#N/A</v>
      </c>
      <c r="H378" s="78" t="e">
        <f ca="1">INDEX(H$13:H$17, MATCH($B388, $B$13:$B$17, 0), 1)*$D$2*(1+RANDBETWEEN(-0.8, 0.8))</f>
        <v>#N/A</v>
      </c>
      <c r="I378" s="78" t="e">
        <f ca="1">INDEX(I$13:I$17, MATCH($B388, $B$13:$B$17, 0), 1)*$D$2*(1+RANDBETWEEN(-1, 1))</f>
        <v>#N/A</v>
      </c>
      <c r="J378" s="78" t="e">
        <f ca="1">INDEX(J$13:J$17, MATCH($B388, $B$13:$B$17, 0), 1)*$D$2*(1+RANDBETWEEN(-1, 1))</f>
        <v>#N/A</v>
      </c>
    </row>
    <row r="379" spans="2:10" x14ac:dyDescent="0.35">
      <c r="B379">
        <f t="shared" si="92"/>
        <v>2030</v>
      </c>
      <c r="C379">
        <f t="shared" ref="C379:D379" si="125">C367</f>
        <v>3</v>
      </c>
      <c r="D379">
        <f t="shared" si="125"/>
        <v>8</v>
      </c>
      <c r="E379" s="78" t="e">
        <f ca="1">INDEX(E$13:E$17, MATCH($B389, $B$13:$B$17, 0), 1)*$D$2*(1+RANDBETWEEN(-0.8, 0.8))</f>
        <v>#N/A</v>
      </c>
      <c r="F379" s="78" t="e">
        <f ca="1">INDEX(F$13:F$17, MATCH($B389, $B$13:$B$17, 0), 1)*$D$2*(1+RANDBETWEEN(-0.8, 0.8))</f>
        <v>#N/A</v>
      </c>
      <c r="G379" s="78" t="e">
        <f ca="1">INDEX(G$13:G$17, MATCH($B389, $B$13:$B$17, 0), 1)*$D$2*(1+RANDBETWEEN(-0.8, 0.8))</f>
        <v>#N/A</v>
      </c>
      <c r="H379" s="78" t="e">
        <f ca="1">INDEX(H$13:H$17, MATCH($B389, $B$13:$B$17, 0), 1)*$D$2*(1+RANDBETWEEN(-0.8, 0.8))</f>
        <v>#N/A</v>
      </c>
      <c r="I379" s="78" t="e">
        <f ca="1">INDEX(I$13:I$17, MATCH($B389, $B$13:$B$17, 0), 1)*$D$2*(1+RANDBETWEEN(-1, 1))</f>
        <v>#N/A</v>
      </c>
      <c r="J379" s="78" t="e">
        <f ca="1">INDEX(J$13:J$17, MATCH($B389, $B$13:$B$17, 0), 1)*$D$2*(1+RANDBETWEEN(-1, 1))</f>
        <v>#N/A</v>
      </c>
    </row>
    <row r="380" spans="2:10" x14ac:dyDescent="0.35">
      <c r="B380">
        <f t="shared" si="92"/>
        <v>2030</v>
      </c>
      <c r="C380">
        <f t="shared" ref="C380:D380" si="126">C368</f>
        <v>3</v>
      </c>
      <c r="D380">
        <f t="shared" si="126"/>
        <v>9</v>
      </c>
      <c r="E380" s="78" t="e">
        <f ca="1">INDEX(E$13:E$17, MATCH($B390, $B$13:$B$17, 0), 1)*$D$2*(1+RANDBETWEEN(-0.8, 0.8))</f>
        <v>#N/A</v>
      </c>
      <c r="F380" s="78" t="e">
        <f ca="1">INDEX(F$13:F$17, MATCH($B390, $B$13:$B$17, 0), 1)*$D$2*(1+RANDBETWEEN(-0.8, 0.8))</f>
        <v>#N/A</v>
      </c>
      <c r="G380" s="78" t="e">
        <f ca="1">INDEX(G$13:G$17, MATCH($B390, $B$13:$B$17, 0), 1)*$D$2*(1+RANDBETWEEN(-0.8, 0.8))</f>
        <v>#N/A</v>
      </c>
      <c r="H380" s="78" t="e">
        <f ca="1">INDEX(H$13:H$17, MATCH($B390, $B$13:$B$17, 0), 1)*$D$2*(1+RANDBETWEEN(-0.8, 0.8))</f>
        <v>#N/A</v>
      </c>
      <c r="I380" s="78" t="e">
        <f ca="1">INDEX(I$13:I$17, MATCH($B390, $B$13:$B$17, 0), 1)*$D$2*(1+RANDBETWEEN(-1, 1))</f>
        <v>#N/A</v>
      </c>
      <c r="J380" s="78" t="e">
        <f ca="1">INDEX(J$13:J$17, MATCH($B390, $B$13:$B$17, 0), 1)*$D$2*(1+RANDBETWEEN(-1, 1))</f>
        <v>#N/A</v>
      </c>
    </row>
    <row r="381" spans="2:10" x14ac:dyDescent="0.35">
      <c r="B381">
        <f t="shared" si="92"/>
        <v>2030</v>
      </c>
      <c r="C381">
        <f t="shared" ref="C381:D381" si="127">C369</f>
        <v>4</v>
      </c>
      <c r="D381">
        <f t="shared" si="127"/>
        <v>10</v>
      </c>
      <c r="E381" s="78" t="e">
        <f ca="1">INDEX(E$13:E$17, MATCH($B391, $B$13:$B$17, 0), 1)*$D$2*(1+RANDBETWEEN(-0.8, 0.8))</f>
        <v>#N/A</v>
      </c>
      <c r="F381" s="78" t="e">
        <f ca="1">INDEX(F$13:F$17, MATCH($B391, $B$13:$B$17, 0), 1)*$D$2*(1+RANDBETWEEN(-0.8, 0.8))</f>
        <v>#N/A</v>
      </c>
      <c r="G381" s="78" t="e">
        <f ca="1">INDEX(G$13:G$17, MATCH($B391, $B$13:$B$17, 0), 1)*$D$2*(1+RANDBETWEEN(-0.8, 0.8))</f>
        <v>#N/A</v>
      </c>
      <c r="H381" s="78" t="e">
        <f ca="1">INDEX(H$13:H$17, MATCH($B391, $B$13:$B$17, 0), 1)*$D$2*(1+RANDBETWEEN(-0.8, 0.8))</f>
        <v>#N/A</v>
      </c>
      <c r="I381" s="78" t="e">
        <f ca="1">INDEX(I$13:I$17, MATCH($B391, $B$13:$B$17, 0), 1)*$D$2*(1+RANDBETWEEN(-1, 1))</f>
        <v>#N/A</v>
      </c>
      <c r="J381" s="78" t="e">
        <f ca="1">INDEX(J$13:J$17, MATCH($B391, $B$13:$B$17, 0), 1)*$D$2*(1+RANDBETWEEN(-1, 1))</f>
        <v>#N/A</v>
      </c>
    </row>
    <row r="382" spans="2:10" x14ac:dyDescent="0.35">
      <c r="B382">
        <f t="shared" si="92"/>
        <v>2031</v>
      </c>
      <c r="C382">
        <f t="shared" ref="C382:D382" si="128">C370</f>
        <v>4</v>
      </c>
      <c r="D382">
        <f t="shared" si="128"/>
        <v>11</v>
      </c>
      <c r="E382" s="78" t="e">
        <f ca="1">INDEX(E$13:E$17, MATCH($B392, $B$13:$B$17, 0), 1)*$D$2*(1+RANDBETWEEN(-0.8, 0.8))</f>
        <v>#N/A</v>
      </c>
      <c r="F382" s="78" t="e">
        <f ca="1">INDEX(F$13:F$17, MATCH($B392, $B$13:$B$17, 0), 1)*$D$2*(1+RANDBETWEEN(-0.8, 0.8))</f>
        <v>#N/A</v>
      </c>
      <c r="G382" s="78" t="e">
        <f ca="1">INDEX(G$13:G$17, MATCH($B392, $B$13:$B$17, 0), 1)*$D$2*(1+RANDBETWEEN(-0.8, 0.8))</f>
        <v>#N/A</v>
      </c>
      <c r="H382" s="78" t="e">
        <f ca="1">INDEX(H$13:H$17, MATCH($B392, $B$13:$B$17, 0), 1)*$D$2*(1+RANDBETWEEN(-0.8, 0.8))</f>
        <v>#N/A</v>
      </c>
      <c r="I382" s="78" t="e">
        <f ca="1">INDEX(I$13:I$17, MATCH($B392, $B$13:$B$17, 0), 1)*$D$2*(1+RANDBETWEEN(-1, 1))</f>
        <v>#N/A</v>
      </c>
      <c r="J382" s="78" t="e">
        <f ca="1">INDEX(J$13:J$17, MATCH($B392, $B$13:$B$17, 0), 1)*$D$2*(1+RANDBETWEEN(-1, 1))</f>
        <v>#N/A</v>
      </c>
    </row>
    <row r="383" spans="2:10" x14ac:dyDescent="0.35">
      <c r="B383">
        <f t="shared" si="92"/>
        <v>2031</v>
      </c>
      <c r="C383">
        <f t="shared" ref="C383:D383" si="129">C371</f>
        <v>4</v>
      </c>
      <c r="D383">
        <f t="shared" si="129"/>
        <v>12</v>
      </c>
      <c r="E383" s="78" t="e">
        <f ca="1">INDEX(E$13:E$17, MATCH($B393, $B$13:$B$17, 0), 1)*$D$2*(1+RANDBETWEEN(-0.8, 0.8))</f>
        <v>#N/A</v>
      </c>
      <c r="F383" s="78" t="e">
        <f ca="1">INDEX(F$13:F$17, MATCH($B393, $B$13:$B$17, 0), 1)*$D$2*(1+RANDBETWEEN(-0.8, 0.8))</f>
        <v>#N/A</v>
      </c>
      <c r="G383" s="78" t="e">
        <f ca="1">INDEX(G$13:G$17, MATCH($B393, $B$13:$B$17, 0), 1)*$D$2*(1+RANDBETWEEN(-0.8, 0.8))</f>
        <v>#N/A</v>
      </c>
      <c r="H383" s="78" t="e">
        <f ca="1">INDEX(H$13:H$17, MATCH($B393, $B$13:$B$17, 0), 1)*$D$2*(1+RANDBETWEEN(-0.8, 0.8))</f>
        <v>#N/A</v>
      </c>
      <c r="I383" s="78" t="e">
        <f ca="1">INDEX(I$13:I$17, MATCH($B393, $B$13:$B$17, 0), 1)*$D$2*(1+RANDBETWEEN(-1, 1))</f>
        <v>#N/A</v>
      </c>
      <c r="J383" s="78" t="e">
        <f ca="1">INDEX(J$13:J$17, MATCH($B393, $B$13:$B$17, 0), 1)*$D$2*(1+RANDBETWEEN(-1, 1))</f>
        <v>#N/A</v>
      </c>
    </row>
    <row r="384" spans="2:10" x14ac:dyDescent="0.35">
      <c r="B384">
        <f t="shared" si="92"/>
        <v>2031</v>
      </c>
      <c r="C384">
        <f t="shared" ref="C384:D384" si="130">C372</f>
        <v>1</v>
      </c>
      <c r="D384">
        <f t="shared" si="130"/>
        <v>1</v>
      </c>
      <c r="E384" s="78" t="e">
        <f ca="1">INDEX(E$13:E$17, MATCH($B394, $B$13:$B$17, 0), 1)*$D$2*(1+RANDBETWEEN(-0.8, 0.8))</f>
        <v>#N/A</v>
      </c>
      <c r="F384" s="78" t="e">
        <f ca="1">INDEX(F$13:F$17, MATCH($B394, $B$13:$B$17, 0), 1)*$D$2*(1+RANDBETWEEN(-0.8, 0.8))</f>
        <v>#N/A</v>
      </c>
      <c r="G384" s="78" t="e">
        <f ca="1">INDEX(G$13:G$17, MATCH($B394, $B$13:$B$17, 0), 1)*$D$2*(1+RANDBETWEEN(-0.8, 0.8))</f>
        <v>#N/A</v>
      </c>
      <c r="H384" s="78" t="e">
        <f ca="1">INDEX(H$13:H$17, MATCH($B394, $B$13:$B$17, 0), 1)*$D$2*(1+RANDBETWEEN(-0.8, 0.8))</f>
        <v>#N/A</v>
      </c>
      <c r="I384" s="78" t="e">
        <f ca="1">INDEX(I$13:I$17, MATCH($B394, $B$13:$B$17, 0), 1)*$D$2*(1+RANDBETWEEN(-1, 1))</f>
        <v>#N/A</v>
      </c>
      <c r="J384" s="78" t="e">
        <f ca="1">INDEX(J$13:J$17, MATCH($B394, $B$13:$B$17, 0), 1)*$D$2*(1+RANDBETWEEN(-1, 1))</f>
        <v>#N/A</v>
      </c>
    </row>
    <row r="385" spans="2:10" x14ac:dyDescent="0.35">
      <c r="B385">
        <f t="shared" si="92"/>
        <v>2031</v>
      </c>
      <c r="C385">
        <f t="shared" ref="C385:D385" si="131">C373</f>
        <v>1</v>
      </c>
      <c r="D385">
        <f t="shared" si="131"/>
        <v>2</v>
      </c>
      <c r="E385" s="78" t="e">
        <f ca="1">INDEX(E$13:E$17, MATCH($B395, $B$13:$B$17, 0), 1)*$D$2*(1+RANDBETWEEN(-0.8, 0.8))</f>
        <v>#N/A</v>
      </c>
      <c r="F385" s="78" t="e">
        <f ca="1">INDEX(F$13:F$17, MATCH($B395, $B$13:$B$17, 0), 1)*$D$2*(1+RANDBETWEEN(-0.8, 0.8))</f>
        <v>#N/A</v>
      </c>
      <c r="G385" s="78" t="e">
        <f ca="1">INDEX(G$13:G$17, MATCH($B395, $B$13:$B$17, 0), 1)*$D$2*(1+RANDBETWEEN(-0.8, 0.8))</f>
        <v>#N/A</v>
      </c>
      <c r="H385" s="78" t="e">
        <f ca="1">INDEX(H$13:H$17, MATCH($B395, $B$13:$B$17, 0), 1)*$D$2*(1+RANDBETWEEN(-0.8, 0.8))</f>
        <v>#N/A</v>
      </c>
      <c r="I385" s="78" t="e">
        <f ca="1">INDEX(I$13:I$17, MATCH($B395, $B$13:$B$17, 0), 1)*$D$2*(1+RANDBETWEEN(-1, 1))</f>
        <v>#N/A</v>
      </c>
      <c r="J385" s="78" t="e">
        <f ca="1">INDEX(J$13:J$17, MATCH($B395, $B$13:$B$17, 0), 1)*$D$2*(1+RANDBETWEEN(-1, 1))</f>
        <v>#N/A</v>
      </c>
    </row>
    <row r="386" spans="2:10" x14ac:dyDescent="0.35">
      <c r="B386">
        <f t="shared" si="92"/>
        <v>2031</v>
      </c>
      <c r="C386">
        <f t="shared" ref="C386:D386" si="132">C374</f>
        <v>1</v>
      </c>
      <c r="D386">
        <f t="shared" si="132"/>
        <v>3</v>
      </c>
      <c r="E386" s="78" t="e">
        <f ca="1">INDEX(E$13:E$17, MATCH($B396, $B$13:$B$17, 0), 1)*$D$2*(1+RANDBETWEEN(-0.8, 0.8))</f>
        <v>#N/A</v>
      </c>
      <c r="F386" s="78" t="e">
        <f ca="1">INDEX(F$13:F$17, MATCH($B396, $B$13:$B$17, 0), 1)*$D$2*(1+RANDBETWEEN(-0.8, 0.8))</f>
        <v>#N/A</v>
      </c>
      <c r="G386" s="78" t="e">
        <f ca="1">INDEX(G$13:G$17, MATCH($B396, $B$13:$B$17, 0), 1)*$D$2*(1+RANDBETWEEN(-0.8, 0.8))</f>
        <v>#N/A</v>
      </c>
      <c r="H386" s="78" t="e">
        <f ca="1">INDEX(H$13:H$17, MATCH($B396, $B$13:$B$17, 0), 1)*$D$2*(1+RANDBETWEEN(-0.8, 0.8))</f>
        <v>#N/A</v>
      </c>
      <c r="I386" s="78" t="e">
        <f ca="1">INDEX(I$13:I$17, MATCH($B396, $B$13:$B$17, 0), 1)*$D$2*(1+RANDBETWEEN(-1, 1))</f>
        <v>#N/A</v>
      </c>
      <c r="J386" s="78" t="e">
        <f ca="1">INDEX(J$13:J$17, MATCH($B396, $B$13:$B$17, 0), 1)*$D$2*(1+RANDBETWEEN(-1, 1))</f>
        <v>#N/A</v>
      </c>
    </row>
    <row r="387" spans="2:10" x14ac:dyDescent="0.35">
      <c r="B387">
        <f t="shared" si="92"/>
        <v>2031</v>
      </c>
      <c r="C387">
        <f t="shared" ref="C387:D387" si="133">C375</f>
        <v>2</v>
      </c>
      <c r="D387">
        <f t="shared" si="133"/>
        <v>4</v>
      </c>
      <c r="E387" s="78" t="e">
        <f ca="1">INDEX(E$13:E$17, MATCH($B397, $B$13:$B$17, 0), 1)*$D$2*(1+RANDBETWEEN(-0.8, 0.8))</f>
        <v>#N/A</v>
      </c>
      <c r="F387" s="78" t="e">
        <f ca="1">INDEX(F$13:F$17, MATCH($B397, $B$13:$B$17, 0), 1)*$D$2*(1+RANDBETWEEN(-0.8, 0.8))</f>
        <v>#N/A</v>
      </c>
      <c r="G387" s="78" t="e">
        <f ca="1">INDEX(G$13:G$17, MATCH($B397, $B$13:$B$17, 0), 1)*$D$2*(1+RANDBETWEEN(-0.8, 0.8))</f>
        <v>#N/A</v>
      </c>
      <c r="H387" s="78" t="e">
        <f ca="1">INDEX(H$13:H$17, MATCH($B397, $B$13:$B$17, 0), 1)*$D$2*(1+RANDBETWEEN(-0.8, 0.8))</f>
        <v>#N/A</v>
      </c>
      <c r="I387" s="78" t="e">
        <f ca="1">INDEX(I$13:I$17, MATCH($B397, $B$13:$B$17, 0), 1)*$D$2*(1+RANDBETWEEN(-1, 1))</f>
        <v>#N/A</v>
      </c>
      <c r="J387" s="78" t="e">
        <f ca="1">INDEX(J$13:J$17, MATCH($B397, $B$13:$B$17, 0), 1)*$D$2*(1+RANDBETWEEN(-1, 1))</f>
        <v>#N/A</v>
      </c>
    </row>
    <row r="388" spans="2:10" x14ac:dyDescent="0.35">
      <c r="B388">
        <f t="shared" si="92"/>
        <v>2031</v>
      </c>
      <c r="C388">
        <f t="shared" ref="C388:D388" si="134">C376</f>
        <v>2</v>
      </c>
      <c r="D388">
        <f t="shared" si="134"/>
        <v>5</v>
      </c>
      <c r="E388" s="78" t="e">
        <f ca="1">INDEX(E$13:E$17, MATCH($B398, $B$13:$B$17, 0), 1)*$D$2*(1+RANDBETWEEN(-0.8, 0.8))</f>
        <v>#N/A</v>
      </c>
      <c r="F388" s="78" t="e">
        <f ca="1">INDEX(F$13:F$17, MATCH($B398, $B$13:$B$17, 0), 1)*$D$2*(1+RANDBETWEEN(-0.8, 0.8))</f>
        <v>#N/A</v>
      </c>
      <c r="G388" s="78" t="e">
        <f ca="1">INDEX(G$13:G$17, MATCH($B398, $B$13:$B$17, 0), 1)*$D$2*(1+RANDBETWEEN(-0.8, 0.8))</f>
        <v>#N/A</v>
      </c>
      <c r="H388" s="78" t="e">
        <f ca="1">INDEX(H$13:H$17, MATCH($B398, $B$13:$B$17, 0), 1)*$D$2*(1+RANDBETWEEN(-0.8, 0.8))</f>
        <v>#N/A</v>
      </c>
      <c r="I388" s="78" t="e">
        <f ca="1">INDEX(I$13:I$17, MATCH($B398, $B$13:$B$17, 0), 1)*$D$2*(1+RANDBETWEEN(-1, 1))</f>
        <v>#N/A</v>
      </c>
      <c r="J388" s="78" t="e">
        <f ca="1">INDEX(J$13:J$17, MATCH($B398, $B$13:$B$17, 0), 1)*$D$2*(1+RANDBETWEEN(-1, 1))</f>
        <v>#N/A</v>
      </c>
    </row>
    <row r="389" spans="2:10" x14ac:dyDescent="0.35">
      <c r="B389">
        <f t="shared" si="92"/>
        <v>2031</v>
      </c>
      <c r="C389">
        <f t="shared" ref="C389:D389" si="135">C377</f>
        <v>2</v>
      </c>
      <c r="D389">
        <f t="shared" si="135"/>
        <v>6</v>
      </c>
      <c r="E389" s="78" t="e">
        <f ca="1">INDEX(E$13:E$17, MATCH($B399, $B$13:$B$17, 0), 1)*$D$2*(1+RANDBETWEEN(-0.8, 0.8))</f>
        <v>#N/A</v>
      </c>
      <c r="F389" s="78" t="e">
        <f ca="1">INDEX(F$13:F$17, MATCH($B399, $B$13:$B$17, 0), 1)*$D$2*(1+RANDBETWEEN(-0.8, 0.8))</f>
        <v>#N/A</v>
      </c>
      <c r="G389" s="78" t="e">
        <f ca="1">INDEX(G$13:G$17, MATCH($B399, $B$13:$B$17, 0), 1)*$D$2*(1+RANDBETWEEN(-0.8, 0.8))</f>
        <v>#N/A</v>
      </c>
      <c r="H389" s="78" t="e">
        <f ca="1">INDEX(H$13:H$17, MATCH($B399, $B$13:$B$17, 0), 1)*$D$2*(1+RANDBETWEEN(-0.8, 0.8))</f>
        <v>#N/A</v>
      </c>
      <c r="I389" s="78" t="e">
        <f ca="1">INDEX(I$13:I$17, MATCH($B399, $B$13:$B$17, 0), 1)*$D$2*(1+RANDBETWEEN(-1, 1))</f>
        <v>#N/A</v>
      </c>
      <c r="J389" s="78" t="e">
        <f ca="1">INDEX(J$13:J$17, MATCH($B399, $B$13:$B$17, 0), 1)*$D$2*(1+RANDBETWEEN(-1, 1))</f>
        <v>#N/A</v>
      </c>
    </row>
    <row r="390" spans="2:10" x14ac:dyDescent="0.35">
      <c r="B390">
        <f t="shared" si="92"/>
        <v>2031</v>
      </c>
      <c r="C390">
        <f t="shared" ref="C390:D390" si="136">C378</f>
        <v>3</v>
      </c>
      <c r="D390">
        <f t="shared" si="136"/>
        <v>7</v>
      </c>
      <c r="E390" s="78" t="e">
        <f ca="1">INDEX(E$13:E$17, MATCH($B400, $B$13:$B$17, 0), 1)*$D$2*(1+RANDBETWEEN(-0.8, 0.8))</f>
        <v>#N/A</v>
      </c>
      <c r="F390" s="78" t="e">
        <f ca="1">INDEX(F$13:F$17, MATCH($B400, $B$13:$B$17, 0), 1)*$D$2*(1+RANDBETWEEN(-0.8, 0.8))</f>
        <v>#N/A</v>
      </c>
      <c r="G390" s="78" t="e">
        <f ca="1">INDEX(G$13:G$17, MATCH($B400, $B$13:$B$17, 0), 1)*$D$2*(1+RANDBETWEEN(-0.8, 0.8))</f>
        <v>#N/A</v>
      </c>
      <c r="H390" s="78" t="e">
        <f ca="1">INDEX(H$13:H$17, MATCH($B400, $B$13:$B$17, 0), 1)*$D$2*(1+RANDBETWEEN(-0.8, 0.8))</f>
        <v>#N/A</v>
      </c>
      <c r="I390" s="78" t="e">
        <f ca="1">INDEX(I$13:I$17, MATCH($B400, $B$13:$B$17, 0), 1)*$D$2*(1+RANDBETWEEN(-1, 1))</f>
        <v>#N/A</v>
      </c>
      <c r="J390" s="78" t="e">
        <f ca="1">INDEX(J$13:J$17, MATCH($B400, $B$13:$B$17, 0), 1)*$D$2*(1+RANDBETWEEN(-1, 1))</f>
        <v>#N/A</v>
      </c>
    </row>
    <row r="391" spans="2:10" x14ac:dyDescent="0.35">
      <c r="B391">
        <f t="shared" si="92"/>
        <v>2031</v>
      </c>
      <c r="C391">
        <f t="shared" ref="C391:D391" si="137">C379</f>
        <v>3</v>
      </c>
      <c r="D391">
        <f t="shared" si="137"/>
        <v>8</v>
      </c>
      <c r="E391" s="78" t="e">
        <f ca="1">INDEX(E$13:E$17, MATCH($B401, $B$13:$B$17, 0), 1)*$D$2*(1+RANDBETWEEN(-0.8, 0.8))</f>
        <v>#N/A</v>
      </c>
      <c r="F391" s="78" t="e">
        <f ca="1">INDEX(F$13:F$17, MATCH($B401, $B$13:$B$17, 0), 1)*$D$2*(1+RANDBETWEEN(-0.8, 0.8))</f>
        <v>#N/A</v>
      </c>
      <c r="G391" s="78" t="e">
        <f ca="1">INDEX(G$13:G$17, MATCH($B401, $B$13:$B$17, 0), 1)*$D$2*(1+RANDBETWEEN(-0.8, 0.8))</f>
        <v>#N/A</v>
      </c>
      <c r="H391" s="78" t="e">
        <f ca="1">INDEX(H$13:H$17, MATCH($B401, $B$13:$B$17, 0), 1)*$D$2*(1+RANDBETWEEN(-0.8, 0.8))</f>
        <v>#N/A</v>
      </c>
      <c r="I391" s="78" t="e">
        <f ca="1">INDEX(I$13:I$17, MATCH($B401, $B$13:$B$17, 0), 1)*$D$2*(1+RANDBETWEEN(-1, 1))</f>
        <v>#N/A</v>
      </c>
      <c r="J391" s="78" t="e">
        <f ca="1">INDEX(J$13:J$17, MATCH($B401, $B$13:$B$17, 0), 1)*$D$2*(1+RANDBETWEEN(-1, 1))</f>
        <v>#N/A</v>
      </c>
    </row>
    <row r="392" spans="2:10" x14ac:dyDescent="0.35">
      <c r="B392">
        <f t="shared" si="92"/>
        <v>2031</v>
      </c>
      <c r="C392">
        <f t="shared" ref="C392:D392" si="138">C380</f>
        <v>3</v>
      </c>
      <c r="D392">
        <f t="shared" si="138"/>
        <v>9</v>
      </c>
      <c r="E392" s="78" t="e">
        <f ca="1">INDEX(E$13:E$17, MATCH($B402, $B$13:$B$17, 0), 1)*$D$2*(1+RANDBETWEEN(-0.8, 0.8))</f>
        <v>#N/A</v>
      </c>
      <c r="F392" s="78" t="e">
        <f ca="1">INDEX(F$13:F$17, MATCH($B402, $B$13:$B$17, 0), 1)*$D$2*(1+RANDBETWEEN(-0.8, 0.8))</f>
        <v>#N/A</v>
      </c>
      <c r="G392" s="78" t="e">
        <f ca="1">INDEX(G$13:G$17, MATCH($B402, $B$13:$B$17, 0), 1)*$D$2*(1+RANDBETWEEN(-0.8, 0.8))</f>
        <v>#N/A</v>
      </c>
      <c r="H392" s="78" t="e">
        <f ca="1">INDEX(H$13:H$17, MATCH($B402, $B$13:$B$17, 0), 1)*$D$2*(1+RANDBETWEEN(-0.8, 0.8))</f>
        <v>#N/A</v>
      </c>
      <c r="I392" s="78" t="e">
        <f ca="1">INDEX(I$13:I$17, MATCH($B402, $B$13:$B$17, 0), 1)*$D$2*(1+RANDBETWEEN(-1, 1))</f>
        <v>#N/A</v>
      </c>
      <c r="J392" s="78" t="e">
        <f ca="1">INDEX(J$13:J$17, MATCH($B402, $B$13:$B$17, 0), 1)*$D$2*(1+RANDBETWEEN(-1, 1))</f>
        <v>#N/A</v>
      </c>
    </row>
    <row r="393" spans="2:10" x14ac:dyDescent="0.35">
      <c r="B393">
        <f t="shared" si="92"/>
        <v>2031</v>
      </c>
      <c r="C393">
        <f t="shared" ref="C393:D393" si="139">C381</f>
        <v>4</v>
      </c>
      <c r="D393">
        <f t="shared" si="139"/>
        <v>10</v>
      </c>
      <c r="E393" s="78" t="e">
        <f ca="1">INDEX(E$13:E$17, MATCH($B403, $B$13:$B$17, 0), 1)*$D$2*(1+RANDBETWEEN(-0.8, 0.8))</f>
        <v>#N/A</v>
      </c>
      <c r="F393" s="78" t="e">
        <f ca="1">INDEX(F$13:F$17, MATCH($B403, $B$13:$B$17, 0), 1)*$D$2*(1+RANDBETWEEN(-0.8, 0.8))</f>
        <v>#N/A</v>
      </c>
      <c r="G393" s="78" t="e">
        <f ca="1">INDEX(G$13:G$17, MATCH($B403, $B$13:$B$17, 0), 1)*$D$2*(1+RANDBETWEEN(-0.8, 0.8))</f>
        <v>#N/A</v>
      </c>
      <c r="H393" s="78" t="e">
        <f ca="1">INDEX(H$13:H$17, MATCH($B403, $B$13:$B$17, 0), 1)*$D$2*(1+RANDBETWEEN(-0.8, 0.8))</f>
        <v>#N/A</v>
      </c>
      <c r="I393" s="78" t="e">
        <f ca="1">INDEX(I$13:I$17, MATCH($B403, $B$13:$B$17, 0), 1)*$D$2*(1+RANDBETWEEN(-1, 1))</f>
        <v>#N/A</v>
      </c>
      <c r="J393" s="78" t="e">
        <f ca="1">INDEX(J$13:J$17, MATCH($B403, $B$13:$B$17, 0), 1)*$D$2*(1+RANDBETWEEN(-1, 1))</f>
        <v>#N/A</v>
      </c>
    </row>
    <row r="394" spans="2:10" x14ac:dyDescent="0.35">
      <c r="B394">
        <f t="shared" si="92"/>
        <v>2032</v>
      </c>
      <c r="C394">
        <f t="shared" ref="C394:D394" si="140">C382</f>
        <v>4</v>
      </c>
      <c r="D394">
        <f t="shared" si="140"/>
        <v>11</v>
      </c>
      <c r="E394" s="78" t="e">
        <f ca="1">INDEX(E$13:E$17, MATCH($B404, $B$13:$B$17, 0), 1)*$D$2*(1+RANDBETWEEN(-0.8, 0.8))</f>
        <v>#N/A</v>
      </c>
      <c r="F394" s="78" t="e">
        <f ca="1">INDEX(F$13:F$17, MATCH($B404, $B$13:$B$17, 0), 1)*$D$2*(1+RANDBETWEEN(-0.8, 0.8))</f>
        <v>#N/A</v>
      </c>
      <c r="G394" s="78" t="e">
        <f ca="1">INDEX(G$13:G$17, MATCH($B404, $B$13:$B$17, 0), 1)*$D$2*(1+RANDBETWEEN(-0.8, 0.8))</f>
        <v>#N/A</v>
      </c>
      <c r="H394" s="78" t="e">
        <f ca="1">INDEX(H$13:H$17, MATCH($B404, $B$13:$B$17, 0), 1)*$D$2*(1+RANDBETWEEN(-0.8, 0.8))</f>
        <v>#N/A</v>
      </c>
      <c r="I394" s="78" t="e">
        <f ca="1">INDEX(I$13:I$17, MATCH($B404, $B$13:$B$17, 0), 1)*$D$2*(1+RANDBETWEEN(-1, 1))</f>
        <v>#N/A</v>
      </c>
      <c r="J394" s="78" t="e">
        <f ca="1">INDEX(J$13:J$17, MATCH($B404, $B$13:$B$17, 0), 1)*$D$2*(1+RANDBETWEEN(-1, 1))</f>
        <v>#N/A</v>
      </c>
    </row>
    <row r="395" spans="2:10" x14ac:dyDescent="0.35">
      <c r="B395">
        <f t="shared" si="92"/>
        <v>2032</v>
      </c>
      <c r="C395">
        <f t="shared" ref="C395:D395" si="141">C383</f>
        <v>4</v>
      </c>
      <c r="D395">
        <f t="shared" si="141"/>
        <v>12</v>
      </c>
      <c r="E395" s="78" t="e">
        <f ca="1">INDEX(E$13:E$17, MATCH($B405, $B$13:$B$17, 0), 1)*$D$2*(1+RANDBETWEEN(-0.8, 0.8))</f>
        <v>#N/A</v>
      </c>
      <c r="F395" s="78" t="e">
        <f ca="1">INDEX(F$13:F$17, MATCH($B405, $B$13:$B$17, 0), 1)*$D$2*(1+RANDBETWEEN(-0.8, 0.8))</f>
        <v>#N/A</v>
      </c>
      <c r="G395" s="78" t="e">
        <f ca="1">INDEX(G$13:G$17, MATCH($B405, $B$13:$B$17, 0), 1)*$D$2*(1+RANDBETWEEN(-0.8, 0.8))</f>
        <v>#N/A</v>
      </c>
      <c r="H395" s="78" t="e">
        <f ca="1">INDEX(H$13:H$17, MATCH($B405, $B$13:$B$17, 0), 1)*$D$2*(1+RANDBETWEEN(-0.8, 0.8))</f>
        <v>#N/A</v>
      </c>
      <c r="I395" s="78" t="e">
        <f ca="1">INDEX(I$13:I$17, MATCH($B405, $B$13:$B$17, 0), 1)*$D$2*(1+RANDBETWEEN(-1, 1))</f>
        <v>#N/A</v>
      </c>
      <c r="J395" s="78" t="e">
        <f ca="1">INDEX(J$13:J$17, MATCH($B405, $B$13:$B$17, 0), 1)*$D$2*(1+RANDBETWEEN(-1, 1))</f>
        <v>#N/A</v>
      </c>
    </row>
    <row r="396" spans="2:10" x14ac:dyDescent="0.35">
      <c r="B396">
        <f t="shared" si="92"/>
        <v>2032</v>
      </c>
      <c r="C396">
        <f t="shared" ref="C396:D396" si="142">C384</f>
        <v>1</v>
      </c>
      <c r="D396">
        <f t="shared" si="142"/>
        <v>1</v>
      </c>
      <c r="E396" s="78" t="e">
        <f ca="1">INDEX(E$13:E$17, MATCH($B406, $B$13:$B$17, 0), 1)*$D$2*(1+RANDBETWEEN(-0.8, 0.8))</f>
        <v>#N/A</v>
      </c>
      <c r="F396" s="78" t="e">
        <f ca="1">INDEX(F$13:F$17, MATCH($B406, $B$13:$B$17, 0), 1)*$D$2*(1+RANDBETWEEN(-0.8, 0.8))</f>
        <v>#N/A</v>
      </c>
      <c r="G396" s="78" t="e">
        <f ca="1">INDEX(G$13:G$17, MATCH($B406, $B$13:$B$17, 0), 1)*$D$2*(1+RANDBETWEEN(-0.8, 0.8))</f>
        <v>#N/A</v>
      </c>
      <c r="H396" s="78" t="e">
        <f ca="1">INDEX(H$13:H$17, MATCH($B406, $B$13:$B$17, 0), 1)*$D$2*(1+RANDBETWEEN(-0.8, 0.8))</f>
        <v>#N/A</v>
      </c>
      <c r="I396" s="78" t="e">
        <f ca="1">INDEX(I$13:I$17, MATCH($B406, $B$13:$B$17, 0), 1)*$D$2*(1+RANDBETWEEN(-1, 1))</f>
        <v>#N/A</v>
      </c>
      <c r="J396" s="78" t="e">
        <f ca="1">INDEX(J$13:J$17, MATCH($B406, $B$13:$B$17, 0), 1)*$D$2*(1+RANDBETWEEN(-1, 1))</f>
        <v>#N/A</v>
      </c>
    </row>
    <row r="397" spans="2:10" x14ac:dyDescent="0.35">
      <c r="B397">
        <f t="shared" si="92"/>
        <v>2032</v>
      </c>
      <c r="C397">
        <f t="shared" ref="C397:D397" si="143">C385</f>
        <v>1</v>
      </c>
      <c r="D397">
        <f t="shared" si="143"/>
        <v>2</v>
      </c>
      <c r="E397" s="78" t="e">
        <f ca="1">INDEX(E$13:E$17, MATCH($B407, $B$13:$B$17, 0), 1)*$D$2*(1+RANDBETWEEN(-0.8, 0.8))</f>
        <v>#N/A</v>
      </c>
      <c r="F397" s="78" t="e">
        <f ca="1">INDEX(F$13:F$17, MATCH($B407, $B$13:$B$17, 0), 1)*$D$2*(1+RANDBETWEEN(-0.8, 0.8))</f>
        <v>#N/A</v>
      </c>
      <c r="G397" s="78" t="e">
        <f ca="1">INDEX(G$13:G$17, MATCH($B407, $B$13:$B$17, 0), 1)*$D$2*(1+RANDBETWEEN(-0.8, 0.8))</f>
        <v>#N/A</v>
      </c>
      <c r="H397" s="78" t="e">
        <f ca="1">INDEX(H$13:H$17, MATCH($B407, $B$13:$B$17, 0), 1)*$D$2*(1+RANDBETWEEN(-0.8, 0.8))</f>
        <v>#N/A</v>
      </c>
      <c r="I397" s="78" t="e">
        <f ca="1">INDEX(I$13:I$17, MATCH($B407, $B$13:$B$17, 0), 1)*$D$2*(1+RANDBETWEEN(-1, 1))</f>
        <v>#N/A</v>
      </c>
      <c r="J397" s="78" t="e">
        <f ca="1">INDEX(J$13:J$17, MATCH($B407, $B$13:$B$17, 0), 1)*$D$2*(1+RANDBETWEEN(-1, 1))</f>
        <v>#N/A</v>
      </c>
    </row>
    <row r="398" spans="2:10" x14ac:dyDescent="0.35">
      <c r="B398">
        <f t="shared" si="92"/>
        <v>2032</v>
      </c>
      <c r="C398">
        <f t="shared" ref="C398:D398" si="144">C386</f>
        <v>1</v>
      </c>
      <c r="D398">
        <f t="shared" si="144"/>
        <v>3</v>
      </c>
      <c r="E398" s="78" t="e">
        <f ca="1">INDEX(E$13:E$17, MATCH($B408, $B$13:$B$17, 0), 1)*$D$2*(1+RANDBETWEEN(-0.8, 0.8))</f>
        <v>#N/A</v>
      </c>
      <c r="F398" s="78" t="e">
        <f ca="1">INDEX(F$13:F$17, MATCH($B408, $B$13:$B$17, 0), 1)*$D$2*(1+RANDBETWEEN(-0.8, 0.8))</f>
        <v>#N/A</v>
      </c>
      <c r="G398" s="78" t="e">
        <f ca="1">INDEX(G$13:G$17, MATCH($B408, $B$13:$B$17, 0), 1)*$D$2*(1+RANDBETWEEN(-0.8, 0.8))</f>
        <v>#N/A</v>
      </c>
      <c r="H398" s="78" t="e">
        <f ca="1">INDEX(H$13:H$17, MATCH($B408, $B$13:$B$17, 0), 1)*$D$2*(1+RANDBETWEEN(-0.8, 0.8))</f>
        <v>#N/A</v>
      </c>
      <c r="I398" s="78" t="e">
        <f ca="1">INDEX(I$13:I$17, MATCH($B408, $B$13:$B$17, 0), 1)*$D$2*(1+RANDBETWEEN(-1, 1))</f>
        <v>#N/A</v>
      </c>
      <c r="J398" s="78" t="e">
        <f ca="1">INDEX(J$13:J$17, MATCH($B408, $B$13:$B$17, 0), 1)*$D$2*(1+RANDBETWEEN(-1, 1))</f>
        <v>#N/A</v>
      </c>
    </row>
    <row r="399" spans="2:10" x14ac:dyDescent="0.35">
      <c r="B399">
        <f t="shared" si="92"/>
        <v>2032</v>
      </c>
      <c r="C399">
        <f t="shared" ref="C399:D399" si="145">C387</f>
        <v>2</v>
      </c>
      <c r="D399">
        <f t="shared" si="145"/>
        <v>4</v>
      </c>
      <c r="E399" s="78" t="e">
        <f ca="1">INDEX(E$13:E$17, MATCH($B409, $B$13:$B$17, 0), 1)*$D$2*(1+RANDBETWEEN(-0.8, 0.8))</f>
        <v>#N/A</v>
      </c>
      <c r="F399" s="78" t="e">
        <f ca="1">INDEX(F$13:F$17, MATCH($B409, $B$13:$B$17, 0), 1)*$D$2*(1+RANDBETWEEN(-0.8, 0.8))</f>
        <v>#N/A</v>
      </c>
      <c r="G399" s="78" t="e">
        <f ca="1">INDEX(G$13:G$17, MATCH($B409, $B$13:$B$17, 0), 1)*$D$2*(1+RANDBETWEEN(-0.8, 0.8))</f>
        <v>#N/A</v>
      </c>
      <c r="H399" s="78" t="e">
        <f ca="1">INDEX(H$13:H$17, MATCH($B409, $B$13:$B$17, 0), 1)*$D$2*(1+RANDBETWEEN(-0.8, 0.8))</f>
        <v>#N/A</v>
      </c>
      <c r="I399" s="78" t="e">
        <f ca="1">INDEX(I$13:I$17, MATCH($B409, $B$13:$B$17, 0), 1)*$D$2*(1+RANDBETWEEN(-1, 1))</f>
        <v>#N/A</v>
      </c>
      <c r="J399" s="78" t="e">
        <f ca="1">INDEX(J$13:J$17, MATCH($B409, $B$13:$B$17, 0), 1)*$D$2*(1+RANDBETWEEN(-1, 1))</f>
        <v>#N/A</v>
      </c>
    </row>
    <row r="400" spans="2:10" x14ac:dyDescent="0.35">
      <c r="B400">
        <f t="shared" si="92"/>
        <v>2032</v>
      </c>
      <c r="C400">
        <f t="shared" ref="C400:D400" si="146">C388</f>
        <v>2</v>
      </c>
      <c r="D400">
        <f t="shared" si="146"/>
        <v>5</v>
      </c>
      <c r="E400" s="78" t="e">
        <f ca="1">INDEX(E$13:E$17, MATCH($B410, $B$13:$B$17, 0), 1)*$D$2*(1+RANDBETWEEN(-0.8, 0.8))</f>
        <v>#N/A</v>
      </c>
      <c r="F400" s="78" t="e">
        <f ca="1">INDEX(F$13:F$17, MATCH($B410, $B$13:$B$17, 0), 1)*$D$2*(1+RANDBETWEEN(-0.8, 0.8))</f>
        <v>#N/A</v>
      </c>
      <c r="G400" s="78" t="e">
        <f ca="1">INDEX(G$13:G$17, MATCH($B410, $B$13:$B$17, 0), 1)*$D$2*(1+RANDBETWEEN(-0.8, 0.8))</f>
        <v>#N/A</v>
      </c>
      <c r="H400" s="78" t="e">
        <f ca="1">INDEX(H$13:H$17, MATCH($B410, $B$13:$B$17, 0), 1)*$D$2*(1+RANDBETWEEN(-0.8, 0.8))</f>
        <v>#N/A</v>
      </c>
      <c r="I400" s="78" t="e">
        <f ca="1">INDEX(I$13:I$17, MATCH($B410, $B$13:$B$17, 0), 1)*$D$2*(1+RANDBETWEEN(-1, 1))</f>
        <v>#N/A</v>
      </c>
      <c r="J400" s="78" t="e">
        <f ca="1">INDEX(J$13:J$17, MATCH($B410, $B$13:$B$17, 0), 1)*$D$2*(1+RANDBETWEEN(-1, 1))</f>
        <v>#N/A</v>
      </c>
    </row>
    <row r="401" spans="2:10" x14ac:dyDescent="0.35">
      <c r="B401">
        <f t="shared" si="92"/>
        <v>2032</v>
      </c>
      <c r="C401">
        <f t="shared" ref="C401:D401" si="147">C389</f>
        <v>2</v>
      </c>
      <c r="D401">
        <f t="shared" si="147"/>
        <v>6</v>
      </c>
      <c r="E401" s="78" t="e">
        <f ca="1">INDEX(E$13:E$17, MATCH($B411, $B$13:$B$17, 0), 1)*$D$2*(1+RANDBETWEEN(-0.8, 0.8))</f>
        <v>#N/A</v>
      </c>
      <c r="F401" s="78" t="e">
        <f ca="1">INDEX(F$13:F$17, MATCH($B411, $B$13:$B$17, 0), 1)*$D$2*(1+RANDBETWEEN(-0.8, 0.8))</f>
        <v>#N/A</v>
      </c>
      <c r="G401" s="78" t="e">
        <f ca="1">INDEX(G$13:G$17, MATCH($B411, $B$13:$B$17, 0), 1)*$D$2*(1+RANDBETWEEN(-0.8, 0.8))</f>
        <v>#N/A</v>
      </c>
      <c r="H401" s="78" t="e">
        <f ca="1">INDEX(H$13:H$17, MATCH($B411, $B$13:$B$17, 0), 1)*$D$2*(1+RANDBETWEEN(-0.8, 0.8))</f>
        <v>#N/A</v>
      </c>
      <c r="I401" s="78" t="e">
        <f ca="1">INDEX(I$13:I$17, MATCH($B411, $B$13:$B$17, 0), 1)*$D$2*(1+RANDBETWEEN(-1, 1))</f>
        <v>#N/A</v>
      </c>
      <c r="J401" s="78" t="e">
        <f ca="1">INDEX(J$13:J$17, MATCH($B411, $B$13:$B$17, 0), 1)*$D$2*(1+RANDBETWEEN(-1, 1))</f>
        <v>#N/A</v>
      </c>
    </row>
    <row r="402" spans="2:10" x14ac:dyDescent="0.35">
      <c r="B402">
        <f t="shared" si="92"/>
        <v>2032</v>
      </c>
      <c r="C402">
        <f t="shared" ref="C402:D402" si="148">C390</f>
        <v>3</v>
      </c>
      <c r="D402">
        <f t="shared" si="148"/>
        <v>7</v>
      </c>
      <c r="E402" s="78" t="e">
        <f ca="1">INDEX(E$13:E$17, MATCH($B412, $B$13:$B$17, 0), 1)*$D$2*(1+RANDBETWEEN(-0.8, 0.8))</f>
        <v>#N/A</v>
      </c>
      <c r="F402" s="78" t="e">
        <f ca="1">INDEX(F$13:F$17, MATCH($B412, $B$13:$B$17, 0), 1)*$D$2*(1+RANDBETWEEN(-0.8, 0.8))</f>
        <v>#N/A</v>
      </c>
      <c r="G402" s="78" t="e">
        <f ca="1">INDEX(G$13:G$17, MATCH($B412, $B$13:$B$17, 0), 1)*$D$2*(1+RANDBETWEEN(-0.8, 0.8))</f>
        <v>#N/A</v>
      </c>
      <c r="H402" s="78" t="e">
        <f ca="1">INDEX(H$13:H$17, MATCH($B412, $B$13:$B$17, 0), 1)*$D$2*(1+RANDBETWEEN(-0.8, 0.8))</f>
        <v>#N/A</v>
      </c>
      <c r="I402" s="78" t="e">
        <f ca="1">INDEX(I$13:I$17, MATCH($B412, $B$13:$B$17, 0), 1)*$D$2*(1+RANDBETWEEN(-1, 1))</f>
        <v>#N/A</v>
      </c>
      <c r="J402" s="78" t="e">
        <f ca="1">INDEX(J$13:J$17, MATCH($B412, $B$13:$B$17, 0), 1)*$D$2*(1+RANDBETWEEN(-1, 1))</f>
        <v>#N/A</v>
      </c>
    </row>
    <row r="403" spans="2:10" x14ac:dyDescent="0.35">
      <c r="B403">
        <f t="shared" si="92"/>
        <v>2032</v>
      </c>
      <c r="C403">
        <f t="shared" ref="C403:D403" si="149">C391</f>
        <v>3</v>
      </c>
      <c r="D403">
        <f t="shared" si="149"/>
        <v>8</v>
      </c>
      <c r="E403" s="78" t="e">
        <f ca="1">INDEX(E$13:E$17, MATCH($B413, $B$13:$B$17, 0), 1)*$D$2*(1+RANDBETWEEN(-0.8, 0.8))</f>
        <v>#N/A</v>
      </c>
      <c r="F403" s="78" t="e">
        <f ca="1">INDEX(F$13:F$17, MATCH($B413, $B$13:$B$17, 0), 1)*$D$2*(1+RANDBETWEEN(-0.8, 0.8))</f>
        <v>#N/A</v>
      </c>
      <c r="G403" s="78" t="e">
        <f ca="1">INDEX(G$13:G$17, MATCH($B413, $B$13:$B$17, 0), 1)*$D$2*(1+RANDBETWEEN(-0.8, 0.8))</f>
        <v>#N/A</v>
      </c>
      <c r="H403" s="78" t="e">
        <f ca="1">INDEX(H$13:H$17, MATCH($B413, $B$13:$B$17, 0), 1)*$D$2*(1+RANDBETWEEN(-0.8, 0.8))</f>
        <v>#N/A</v>
      </c>
      <c r="I403" s="78" t="e">
        <f ca="1">INDEX(I$13:I$17, MATCH($B413, $B$13:$B$17, 0), 1)*$D$2*(1+RANDBETWEEN(-1, 1))</f>
        <v>#N/A</v>
      </c>
      <c r="J403" s="78" t="e">
        <f ca="1">INDEX(J$13:J$17, MATCH($B413, $B$13:$B$17, 0), 1)*$D$2*(1+RANDBETWEEN(-1, 1))</f>
        <v>#N/A</v>
      </c>
    </row>
    <row r="404" spans="2:10" x14ac:dyDescent="0.35">
      <c r="B404">
        <f t="shared" si="92"/>
        <v>2032</v>
      </c>
      <c r="C404">
        <f t="shared" ref="C404:D404" si="150">C392</f>
        <v>3</v>
      </c>
      <c r="D404">
        <f t="shared" si="150"/>
        <v>9</v>
      </c>
      <c r="E404" s="78" t="e">
        <f ca="1">INDEX(E$13:E$17, MATCH($B414, $B$13:$B$17, 0), 1)*$D$2*(1+RANDBETWEEN(-0.8, 0.8))</f>
        <v>#N/A</v>
      </c>
      <c r="F404" s="78" t="e">
        <f ca="1">INDEX(F$13:F$17, MATCH($B414, $B$13:$B$17, 0), 1)*$D$2*(1+RANDBETWEEN(-0.8, 0.8))</f>
        <v>#N/A</v>
      </c>
      <c r="G404" s="78" t="e">
        <f ca="1">INDEX(G$13:G$17, MATCH($B414, $B$13:$B$17, 0), 1)*$D$2*(1+RANDBETWEEN(-0.8, 0.8))</f>
        <v>#N/A</v>
      </c>
      <c r="H404" s="78" t="e">
        <f ca="1">INDEX(H$13:H$17, MATCH($B414, $B$13:$B$17, 0), 1)*$D$2*(1+RANDBETWEEN(-0.8, 0.8))</f>
        <v>#N/A</v>
      </c>
      <c r="I404" s="78" t="e">
        <f ca="1">INDEX(I$13:I$17, MATCH($B414, $B$13:$B$17, 0), 1)*$D$2*(1+RANDBETWEEN(-1, 1))</f>
        <v>#N/A</v>
      </c>
      <c r="J404" s="78" t="e">
        <f ca="1">INDEX(J$13:J$17, MATCH($B414, $B$13:$B$17, 0), 1)*$D$2*(1+RANDBETWEEN(-1, 1))</f>
        <v>#N/A</v>
      </c>
    </row>
    <row r="405" spans="2:10" x14ac:dyDescent="0.35">
      <c r="B405">
        <f t="shared" si="92"/>
        <v>2032</v>
      </c>
      <c r="C405">
        <f t="shared" ref="C405:D405" si="151">C393</f>
        <v>4</v>
      </c>
      <c r="D405">
        <f t="shared" si="151"/>
        <v>10</v>
      </c>
      <c r="E405" s="78" t="e">
        <f ca="1">INDEX(E$13:E$17, MATCH($B415, $B$13:$B$17, 0), 1)*$D$2*(1+RANDBETWEEN(-0.8, 0.8))</f>
        <v>#N/A</v>
      </c>
      <c r="F405" s="78" t="e">
        <f ca="1">INDEX(F$13:F$17, MATCH($B415, $B$13:$B$17, 0), 1)*$D$2*(1+RANDBETWEEN(-0.8, 0.8))</f>
        <v>#N/A</v>
      </c>
      <c r="G405" s="78" t="e">
        <f ca="1">INDEX(G$13:G$17, MATCH($B415, $B$13:$B$17, 0), 1)*$D$2*(1+RANDBETWEEN(-0.8, 0.8))</f>
        <v>#N/A</v>
      </c>
      <c r="H405" s="78" t="e">
        <f ca="1">INDEX(H$13:H$17, MATCH($B415, $B$13:$B$17, 0), 1)*$D$2*(1+RANDBETWEEN(-0.8, 0.8))</f>
        <v>#N/A</v>
      </c>
      <c r="I405" s="78" t="e">
        <f ca="1">INDEX(I$13:I$17, MATCH($B415, $B$13:$B$17, 0), 1)*$D$2*(1+RANDBETWEEN(-1, 1))</f>
        <v>#N/A</v>
      </c>
      <c r="J405" s="78" t="e">
        <f ca="1">INDEX(J$13:J$17, MATCH($B415, $B$13:$B$17, 0), 1)*$D$2*(1+RANDBETWEEN(-1, 1))</f>
        <v>#N/A</v>
      </c>
    </row>
    <row r="406" spans="2:10" x14ac:dyDescent="0.35">
      <c r="B406">
        <f t="shared" si="92"/>
        <v>2033</v>
      </c>
      <c r="C406">
        <f t="shared" ref="C406:D406" si="152">C394</f>
        <v>4</v>
      </c>
      <c r="D406">
        <f t="shared" si="152"/>
        <v>11</v>
      </c>
      <c r="E406" s="78" t="e">
        <f ca="1">INDEX(E$13:E$17, MATCH($B416, $B$13:$B$17, 0), 1)*$D$2*(1+RANDBETWEEN(-0.8, 0.8))</f>
        <v>#N/A</v>
      </c>
      <c r="F406" s="78" t="e">
        <f ca="1">INDEX(F$13:F$17, MATCH($B416, $B$13:$B$17, 0), 1)*$D$2*(1+RANDBETWEEN(-0.8, 0.8))</f>
        <v>#N/A</v>
      </c>
      <c r="G406" s="78" t="e">
        <f ca="1">INDEX(G$13:G$17, MATCH($B416, $B$13:$B$17, 0), 1)*$D$2*(1+RANDBETWEEN(-0.8, 0.8))</f>
        <v>#N/A</v>
      </c>
      <c r="H406" s="78" t="e">
        <f ca="1">INDEX(H$13:H$17, MATCH($B416, $B$13:$B$17, 0), 1)*$D$2*(1+RANDBETWEEN(-0.8, 0.8))</f>
        <v>#N/A</v>
      </c>
      <c r="I406" s="78" t="e">
        <f ca="1">INDEX(I$13:I$17, MATCH($B416, $B$13:$B$17, 0), 1)*$D$2*(1+RANDBETWEEN(-1, 1))</f>
        <v>#N/A</v>
      </c>
      <c r="J406" s="78" t="e">
        <f ca="1">INDEX(J$13:J$17, MATCH($B416, $B$13:$B$17, 0), 1)*$D$2*(1+RANDBETWEEN(-1, 1))</f>
        <v>#N/A</v>
      </c>
    </row>
    <row r="407" spans="2:10" x14ac:dyDescent="0.35">
      <c r="B407">
        <f t="shared" si="92"/>
        <v>2033</v>
      </c>
      <c r="C407">
        <f t="shared" ref="C407:D407" si="153">C395</f>
        <v>4</v>
      </c>
      <c r="D407">
        <f t="shared" si="153"/>
        <v>12</v>
      </c>
      <c r="E407" s="78" t="e">
        <f ca="1">INDEX(E$13:E$17, MATCH($B417, $B$13:$B$17, 0), 1)*$D$2*(1+RANDBETWEEN(-0.8, 0.8))</f>
        <v>#N/A</v>
      </c>
      <c r="F407" s="78" t="e">
        <f ca="1">INDEX(F$13:F$17, MATCH($B417, $B$13:$B$17, 0), 1)*$D$2*(1+RANDBETWEEN(-0.8, 0.8))</f>
        <v>#N/A</v>
      </c>
      <c r="G407" s="78" t="e">
        <f ca="1">INDEX(G$13:G$17, MATCH($B417, $B$13:$B$17, 0), 1)*$D$2*(1+RANDBETWEEN(-0.8, 0.8))</f>
        <v>#N/A</v>
      </c>
      <c r="H407" s="78" t="e">
        <f ca="1">INDEX(H$13:H$17, MATCH($B417, $B$13:$B$17, 0), 1)*$D$2*(1+RANDBETWEEN(-0.8, 0.8))</f>
        <v>#N/A</v>
      </c>
      <c r="I407" s="78" t="e">
        <f ca="1">INDEX(I$13:I$17, MATCH($B417, $B$13:$B$17, 0), 1)*$D$2*(1+RANDBETWEEN(-1, 1))</f>
        <v>#N/A</v>
      </c>
      <c r="J407" s="78" t="e">
        <f ca="1">INDEX(J$13:J$17, MATCH($B417, $B$13:$B$17, 0), 1)*$D$2*(1+RANDBETWEEN(-1, 1))</f>
        <v>#N/A</v>
      </c>
    </row>
    <row r="408" spans="2:10" x14ac:dyDescent="0.35">
      <c r="B408">
        <f t="shared" si="92"/>
        <v>2033</v>
      </c>
      <c r="C408">
        <f t="shared" ref="C408:D408" si="154">C396</f>
        <v>1</v>
      </c>
      <c r="D408">
        <f t="shared" si="154"/>
        <v>1</v>
      </c>
      <c r="E408" s="78" t="e">
        <f ca="1">INDEX(E$13:E$17, MATCH($B418, $B$13:$B$17, 0), 1)*$D$2*(1+RANDBETWEEN(-0.8, 0.8))</f>
        <v>#N/A</v>
      </c>
      <c r="F408" s="78" t="e">
        <f ca="1">INDEX(F$13:F$17, MATCH($B418, $B$13:$B$17, 0), 1)*$D$2*(1+RANDBETWEEN(-0.8, 0.8))</f>
        <v>#N/A</v>
      </c>
      <c r="G408" s="78" t="e">
        <f ca="1">INDEX(G$13:G$17, MATCH($B418, $B$13:$B$17, 0), 1)*$D$2*(1+RANDBETWEEN(-0.8, 0.8))</f>
        <v>#N/A</v>
      </c>
      <c r="H408" s="78" t="e">
        <f ca="1">INDEX(H$13:H$17, MATCH($B418, $B$13:$B$17, 0), 1)*$D$2*(1+RANDBETWEEN(-0.8, 0.8))</f>
        <v>#N/A</v>
      </c>
      <c r="I408" s="78" t="e">
        <f ca="1">INDEX(I$13:I$17, MATCH($B418, $B$13:$B$17, 0), 1)*$D$2*(1+RANDBETWEEN(-1, 1))</f>
        <v>#N/A</v>
      </c>
      <c r="J408" s="78" t="e">
        <f ca="1">INDEX(J$13:J$17, MATCH($B418, $B$13:$B$17, 0), 1)*$D$2*(1+RANDBETWEEN(-1, 1))</f>
        <v>#N/A</v>
      </c>
    </row>
    <row r="409" spans="2:10" x14ac:dyDescent="0.35">
      <c r="B409">
        <f t="shared" si="92"/>
        <v>2033</v>
      </c>
      <c r="C409">
        <f t="shared" ref="C409:D409" si="155">C397</f>
        <v>1</v>
      </c>
      <c r="D409">
        <f t="shared" si="155"/>
        <v>2</v>
      </c>
      <c r="E409" s="78" t="e">
        <f ca="1">INDEX(E$13:E$17, MATCH($B419, $B$13:$B$17, 0), 1)*$D$2*(1+RANDBETWEEN(-0.8, 0.8))</f>
        <v>#N/A</v>
      </c>
      <c r="F409" s="78" t="e">
        <f ca="1">INDEX(F$13:F$17, MATCH($B419, $B$13:$B$17, 0), 1)*$D$2*(1+RANDBETWEEN(-0.8, 0.8))</f>
        <v>#N/A</v>
      </c>
      <c r="G409" s="78" t="e">
        <f ca="1">INDEX(G$13:G$17, MATCH($B419, $B$13:$B$17, 0), 1)*$D$2*(1+RANDBETWEEN(-0.8, 0.8))</f>
        <v>#N/A</v>
      </c>
      <c r="H409" s="78" t="e">
        <f ca="1">INDEX(H$13:H$17, MATCH($B419, $B$13:$B$17, 0), 1)*$D$2*(1+RANDBETWEEN(-0.8, 0.8))</f>
        <v>#N/A</v>
      </c>
      <c r="I409" s="78" t="e">
        <f ca="1">INDEX(I$13:I$17, MATCH($B419, $B$13:$B$17, 0), 1)*$D$2*(1+RANDBETWEEN(-1, 1))</f>
        <v>#N/A</v>
      </c>
      <c r="J409" s="78" t="e">
        <f ca="1">INDEX(J$13:J$17, MATCH($B419, $B$13:$B$17, 0), 1)*$D$2*(1+RANDBETWEEN(-1, 1))</f>
        <v>#N/A</v>
      </c>
    </row>
    <row r="410" spans="2:10" x14ac:dyDescent="0.35">
      <c r="B410">
        <f t="shared" si="92"/>
        <v>2033</v>
      </c>
      <c r="C410">
        <f t="shared" ref="C410:D410" si="156">C398</f>
        <v>1</v>
      </c>
      <c r="D410">
        <f t="shared" si="156"/>
        <v>3</v>
      </c>
      <c r="E410" s="78" t="e">
        <f ca="1">INDEX(E$13:E$17, MATCH($B420, $B$13:$B$17, 0), 1)*$D$2*(1+RANDBETWEEN(-0.8, 0.8))</f>
        <v>#N/A</v>
      </c>
      <c r="F410" s="78" t="e">
        <f ca="1">INDEX(F$13:F$17, MATCH($B420, $B$13:$B$17, 0), 1)*$D$2*(1+RANDBETWEEN(-0.8, 0.8))</f>
        <v>#N/A</v>
      </c>
      <c r="G410" s="78" t="e">
        <f ca="1">INDEX(G$13:G$17, MATCH($B420, $B$13:$B$17, 0), 1)*$D$2*(1+RANDBETWEEN(-0.8, 0.8))</f>
        <v>#N/A</v>
      </c>
      <c r="H410" s="78" t="e">
        <f ca="1">INDEX(H$13:H$17, MATCH($B420, $B$13:$B$17, 0), 1)*$D$2*(1+RANDBETWEEN(-0.8, 0.8))</f>
        <v>#N/A</v>
      </c>
      <c r="I410" s="78" t="e">
        <f ca="1">INDEX(I$13:I$17, MATCH($B420, $B$13:$B$17, 0), 1)*$D$2*(1+RANDBETWEEN(-1, 1))</f>
        <v>#N/A</v>
      </c>
      <c r="J410" s="78" t="e">
        <f ca="1">INDEX(J$13:J$17, MATCH($B420, $B$13:$B$17, 0), 1)*$D$2*(1+RANDBETWEEN(-1, 1))</f>
        <v>#N/A</v>
      </c>
    </row>
    <row r="411" spans="2:10" x14ac:dyDescent="0.35">
      <c r="B411">
        <f t="shared" ref="B411:B453" si="157">B399+1</f>
        <v>2033</v>
      </c>
      <c r="C411">
        <f t="shared" ref="C411:D411" si="158">C399</f>
        <v>2</v>
      </c>
      <c r="D411">
        <f t="shared" si="158"/>
        <v>4</v>
      </c>
      <c r="E411" s="78" t="e">
        <f ca="1">INDEX(E$13:E$17, MATCH($B421, $B$13:$B$17, 0), 1)*$D$2*(1+RANDBETWEEN(-0.8, 0.8))</f>
        <v>#N/A</v>
      </c>
      <c r="F411" s="78" t="e">
        <f ca="1">INDEX(F$13:F$17, MATCH($B421, $B$13:$B$17, 0), 1)*$D$2*(1+RANDBETWEEN(-0.8, 0.8))</f>
        <v>#N/A</v>
      </c>
      <c r="G411" s="78" t="e">
        <f ca="1">INDEX(G$13:G$17, MATCH($B421, $B$13:$B$17, 0), 1)*$D$2*(1+RANDBETWEEN(-0.8, 0.8))</f>
        <v>#N/A</v>
      </c>
      <c r="H411" s="78" t="e">
        <f ca="1">INDEX(H$13:H$17, MATCH($B421, $B$13:$B$17, 0), 1)*$D$2*(1+RANDBETWEEN(-0.8, 0.8))</f>
        <v>#N/A</v>
      </c>
      <c r="I411" s="78" t="e">
        <f ca="1">INDEX(I$13:I$17, MATCH($B421, $B$13:$B$17, 0), 1)*$D$2*(1+RANDBETWEEN(-1, 1))</f>
        <v>#N/A</v>
      </c>
      <c r="J411" s="78" t="e">
        <f ca="1">INDEX(J$13:J$17, MATCH($B421, $B$13:$B$17, 0), 1)*$D$2*(1+RANDBETWEEN(-1, 1))</f>
        <v>#N/A</v>
      </c>
    </row>
    <row r="412" spans="2:10" x14ac:dyDescent="0.35">
      <c r="B412">
        <f t="shared" si="157"/>
        <v>2033</v>
      </c>
      <c r="C412">
        <f t="shared" ref="C412:D412" si="159">C400</f>
        <v>2</v>
      </c>
      <c r="D412">
        <f t="shared" si="159"/>
        <v>5</v>
      </c>
      <c r="E412" s="78" t="e">
        <f ca="1">INDEX(E$13:E$17, MATCH($B422, $B$13:$B$17, 0), 1)*$D$2*(1+RANDBETWEEN(-0.8, 0.8))</f>
        <v>#N/A</v>
      </c>
      <c r="F412" s="78" t="e">
        <f ca="1">INDEX(F$13:F$17, MATCH($B422, $B$13:$B$17, 0), 1)*$D$2*(1+RANDBETWEEN(-0.8, 0.8))</f>
        <v>#N/A</v>
      </c>
      <c r="G412" s="78" t="e">
        <f ca="1">INDEX(G$13:G$17, MATCH($B422, $B$13:$B$17, 0), 1)*$D$2*(1+RANDBETWEEN(-0.8, 0.8))</f>
        <v>#N/A</v>
      </c>
      <c r="H412" s="78" t="e">
        <f ca="1">INDEX(H$13:H$17, MATCH($B422, $B$13:$B$17, 0), 1)*$D$2*(1+RANDBETWEEN(-0.8, 0.8))</f>
        <v>#N/A</v>
      </c>
      <c r="I412" s="78" t="e">
        <f ca="1">INDEX(I$13:I$17, MATCH($B422, $B$13:$B$17, 0), 1)*$D$2*(1+RANDBETWEEN(-1, 1))</f>
        <v>#N/A</v>
      </c>
      <c r="J412" s="78" t="e">
        <f ca="1">INDEX(J$13:J$17, MATCH($B422, $B$13:$B$17, 0), 1)*$D$2*(1+RANDBETWEEN(-1, 1))</f>
        <v>#N/A</v>
      </c>
    </row>
    <row r="413" spans="2:10" x14ac:dyDescent="0.35">
      <c r="B413">
        <f t="shared" si="157"/>
        <v>2033</v>
      </c>
      <c r="C413">
        <f t="shared" ref="C413:D413" si="160">C401</f>
        <v>2</v>
      </c>
      <c r="D413">
        <f t="shared" si="160"/>
        <v>6</v>
      </c>
      <c r="E413" s="78" t="e">
        <f ca="1">INDEX(E$13:E$17, MATCH($B423, $B$13:$B$17, 0), 1)*$D$2*(1+RANDBETWEEN(-0.8, 0.8))</f>
        <v>#N/A</v>
      </c>
      <c r="F413" s="78" t="e">
        <f ca="1">INDEX(F$13:F$17, MATCH($B423, $B$13:$B$17, 0), 1)*$D$2*(1+RANDBETWEEN(-0.8, 0.8))</f>
        <v>#N/A</v>
      </c>
      <c r="G413" s="78" t="e">
        <f ca="1">INDEX(G$13:G$17, MATCH($B423, $B$13:$B$17, 0), 1)*$D$2*(1+RANDBETWEEN(-0.8, 0.8))</f>
        <v>#N/A</v>
      </c>
      <c r="H413" s="78" t="e">
        <f ca="1">INDEX(H$13:H$17, MATCH($B423, $B$13:$B$17, 0), 1)*$D$2*(1+RANDBETWEEN(-0.8, 0.8))</f>
        <v>#N/A</v>
      </c>
      <c r="I413" s="78" t="e">
        <f ca="1">INDEX(I$13:I$17, MATCH($B423, $B$13:$B$17, 0), 1)*$D$2*(1+RANDBETWEEN(-1, 1))</f>
        <v>#N/A</v>
      </c>
      <c r="J413" s="78" t="e">
        <f ca="1">INDEX(J$13:J$17, MATCH($B423, $B$13:$B$17, 0), 1)*$D$2*(1+RANDBETWEEN(-1, 1))</f>
        <v>#N/A</v>
      </c>
    </row>
    <row r="414" spans="2:10" x14ac:dyDescent="0.35">
      <c r="B414">
        <f t="shared" si="157"/>
        <v>2033</v>
      </c>
      <c r="C414">
        <f t="shared" ref="C414:D414" si="161">C402</f>
        <v>3</v>
      </c>
      <c r="D414">
        <f t="shared" si="161"/>
        <v>7</v>
      </c>
      <c r="E414" s="78" t="e">
        <f ca="1">INDEX(E$13:E$17, MATCH($B424, $B$13:$B$17, 0), 1)*$D$2*(1+RANDBETWEEN(-0.8, 0.8))</f>
        <v>#N/A</v>
      </c>
      <c r="F414" s="78" t="e">
        <f ca="1">INDEX(F$13:F$17, MATCH($B424, $B$13:$B$17, 0), 1)*$D$2*(1+RANDBETWEEN(-0.8, 0.8))</f>
        <v>#N/A</v>
      </c>
      <c r="G414" s="78" t="e">
        <f ca="1">INDEX(G$13:G$17, MATCH($B424, $B$13:$B$17, 0), 1)*$D$2*(1+RANDBETWEEN(-0.8, 0.8))</f>
        <v>#N/A</v>
      </c>
      <c r="H414" s="78" t="e">
        <f ca="1">INDEX(H$13:H$17, MATCH($B424, $B$13:$B$17, 0), 1)*$D$2*(1+RANDBETWEEN(-0.8, 0.8))</f>
        <v>#N/A</v>
      </c>
      <c r="I414" s="78" t="e">
        <f ca="1">INDEX(I$13:I$17, MATCH($B424, $B$13:$B$17, 0), 1)*$D$2*(1+RANDBETWEEN(-1, 1))</f>
        <v>#N/A</v>
      </c>
      <c r="J414" s="78" t="e">
        <f ca="1">INDEX(J$13:J$17, MATCH($B424, $B$13:$B$17, 0), 1)*$D$2*(1+RANDBETWEEN(-1, 1))</f>
        <v>#N/A</v>
      </c>
    </row>
    <row r="415" spans="2:10" x14ac:dyDescent="0.35">
      <c r="B415">
        <f t="shared" si="157"/>
        <v>2033</v>
      </c>
      <c r="C415">
        <f t="shared" ref="C415:D415" si="162">C403</f>
        <v>3</v>
      </c>
      <c r="D415">
        <f t="shared" si="162"/>
        <v>8</v>
      </c>
      <c r="E415" s="78" t="e">
        <f ca="1">INDEX(E$13:E$17, MATCH($B425, $B$13:$B$17, 0), 1)*$D$2*(1+RANDBETWEEN(-0.8, 0.8))</f>
        <v>#N/A</v>
      </c>
      <c r="F415" s="78" t="e">
        <f ca="1">INDEX(F$13:F$17, MATCH($B425, $B$13:$B$17, 0), 1)*$D$2*(1+RANDBETWEEN(-0.8, 0.8))</f>
        <v>#N/A</v>
      </c>
      <c r="G415" s="78" t="e">
        <f ca="1">INDEX(G$13:G$17, MATCH($B425, $B$13:$B$17, 0), 1)*$D$2*(1+RANDBETWEEN(-0.8, 0.8))</f>
        <v>#N/A</v>
      </c>
      <c r="H415" s="78" t="e">
        <f ca="1">INDEX(H$13:H$17, MATCH($B425, $B$13:$B$17, 0), 1)*$D$2*(1+RANDBETWEEN(-0.8, 0.8))</f>
        <v>#N/A</v>
      </c>
      <c r="I415" s="78" t="e">
        <f ca="1">INDEX(I$13:I$17, MATCH($B425, $B$13:$B$17, 0), 1)*$D$2*(1+RANDBETWEEN(-1, 1))</f>
        <v>#N/A</v>
      </c>
      <c r="J415" s="78" t="e">
        <f ca="1">INDEX(J$13:J$17, MATCH($B425, $B$13:$B$17, 0), 1)*$D$2*(1+RANDBETWEEN(-1, 1))</f>
        <v>#N/A</v>
      </c>
    </row>
    <row r="416" spans="2:10" x14ac:dyDescent="0.35">
      <c r="B416">
        <f t="shared" si="157"/>
        <v>2033</v>
      </c>
      <c r="C416">
        <f t="shared" ref="C416:D416" si="163">C404</f>
        <v>3</v>
      </c>
      <c r="D416">
        <f t="shared" si="163"/>
        <v>9</v>
      </c>
      <c r="E416" s="78" t="e">
        <f ca="1">INDEX(E$13:E$17, MATCH($B426, $B$13:$B$17, 0), 1)*$D$2*(1+RANDBETWEEN(-0.8, 0.8))</f>
        <v>#N/A</v>
      </c>
      <c r="F416" s="78" t="e">
        <f ca="1">INDEX(F$13:F$17, MATCH($B426, $B$13:$B$17, 0), 1)*$D$2*(1+RANDBETWEEN(-0.8, 0.8))</f>
        <v>#N/A</v>
      </c>
      <c r="G416" s="78" t="e">
        <f ca="1">INDEX(G$13:G$17, MATCH($B426, $B$13:$B$17, 0), 1)*$D$2*(1+RANDBETWEEN(-0.8, 0.8))</f>
        <v>#N/A</v>
      </c>
      <c r="H416" s="78" t="e">
        <f ca="1">INDEX(H$13:H$17, MATCH($B426, $B$13:$B$17, 0), 1)*$D$2*(1+RANDBETWEEN(-0.8, 0.8))</f>
        <v>#N/A</v>
      </c>
      <c r="I416" s="78" t="e">
        <f ca="1">INDEX(I$13:I$17, MATCH($B426, $B$13:$B$17, 0), 1)*$D$2*(1+RANDBETWEEN(-1, 1))</f>
        <v>#N/A</v>
      </c>
      <c r="J416" s="78" t="e">
        <f ca="1">INDEX(J$13:J$17, MATCH($B426, $B$13:$B$17, 0), 1)*$D$2*(1+RANDBETWEEN(-1, 1))</f>
        <v>#N/A</v>
      </c>
    </row>
    <row r="417" spans="2:10" x14ac:dyDescent="0.35">
      <c r="B417">
        <f t="shared" si="157"/>
        <v>2033</v>
      </c>
      <c r="C417">
        <f t="shared" ref="C417:D417" si="164">C405</f>
        <v>4</v>
      </c>
      <c r="D417">
        <f t="shared" si="164"/>
        <v>10</v>
      </c>
      <c r="E417" s="78" t="e">
        <f ca="1">INDEX(E$13:E$17, MATCH($B427, $B$13:$B$17, 0), 1)*$D$2*(1+RANDBETWEEN(-0.8, 0.8))</f>
        <v>#N/A</v>
      </c>
      <c r="F417" s="78" t="e">
        <f ca="1">INDEX(F$13:F$17, MATCH($B427, $B$13:$B$17, 0), 1)*$D$2*(1+RANDBETWEEN(-0.8, 0.8))</f>
        <v>#N/A</v>
      </c>
      <c r="G417" s="78" t="e">
        <f ca="1">INDEX(G$13:G$17, MATCH($B427, $B$13:$B$17, 0), 1)*$D$2*(1+RANDBETWEEN(-0.8, 0.8))</f>
        <v>#N/A</v>
      </c>
      <c r="H417" s="78" t="e">
        <f ca="1">INDEX(H$13:H$17, MATCH($B427, $B$13:$B$17, 0), 1)*$D$2*(1+RANDBETWEEN(-0.8, 0.8))</f>
        <v>#N/A</v>
      </c>
      <c r="I417" s="78" t="e">
        <f ca="1">INDEX(I$13:I$17, MATCH($B427, $B$13:$B$17, 0), 1)*$D$2*(1+RANDBETWEEN(-1, 1))</f>
        <v>#N/A</v>
      </c>
      <c r="J417" s="78" t="e">
        <f ca="1">INDEX(J$13:J$17, MATCH($B427, $B$13:$B$17, 0), 1)*$D$2*(1+RANDBETWEEN(-1, 1))</f>
        <v>#N/A</v>
      </c>
    </row>
    <row r="418" spans="2:10" x14ac:dyDescent="0.35">
      <c r="B418">
        <f t="shared" si="157"/>
        <v>2034</v>
      </c>
      <c r="C418">
        <f t="shared" ref="C418:D418" si="165">C406</f>
        <v>4</v>
      </c>
      <c r="D418">
        <f t="shared" si="165"/>
        <v>11</v>
      </c>
      <c r="E418" s="78" t="e">
        <f ca="1">INDEX(E$13:E$17, MATCH($B428, $B$13:$B$17, 0), 1)*$D$2*(1+RANDBETWEEN(-0.8, 0.8))</f>
        <v>#N/A</v>
      </c>
      <c r="F418" s="78" t="e">
        <f ca="1">INDEX(F$13:F$17, MATCH($B428, $B$13:$B$17, 0), 1)*$D$2*(1+RANDBETWEEN(-0.8, 0.8))</f>
        <v>#N/A</v>
      </c>
      <c r="G418" s="78" t="e">
        <f ca="1">INDEX(G$13:G$17, MATCH($B428, $B$13:$B$17, 0), 1)*$D$2*(1+RANDBETWEEN(-0.8, 0.8))</f>
        <v>#N/A</v>
      </c>
      <c r="H418" s="78" t="e">
        <f ca="1">INDEX(H$13:H$17, MATCH($B428, $B$13:$B$17, 0), 1)*$D$2*(1+RANDBETWEEN(-0.8, 0.8))</f>
        <v>#N/A</v>
      </c>
      <c r="I418" s="78" t="e">
        <f ca="1">INDEX(I$13:I$17, MATCH($B428, $B$13:$B$17, 0), 1)*$D$2*(1+RANDBETWEEN(-1, 1))</f>
        <v>#N/A</v>
      </c>
      <c r="J418" s="78" t="e">
        <f ca="1">INDEX(J$13:J$17, MATCH($B428, $B$13:$B$17, 0), 1)*$D$2*(1+RANDBETWEEN(-1, 1))</f>
        <v>#N/A</v>
      </c>
    </row>
    <row r="419" spans="2:10" x14ac:dyDescent="0.35">
      <c r="B419">
        <f t="shared" si="157"/>
        <v>2034</v>
      </c>
      <c r="C419">
        <f t="shared" ref="C419:D419" si="166">C407</f>
        <v>4</v>
      </c>
      <c r="D419">
        <f t="shared" si="166"/>
        <v>12</v>
      </c>
      <c r="E419" s="78" t="e">
        <f ca="1">INDEX(E$13:E$17, MATCH($B429, $B$13:$B$17, 0), 1)*$D$2*(1+RANDBETWEEN(-0.8, 0.8))</f>
        <v>#N/A</v>
      </c>
      <c r="F419" s="78" t="e">
        <f ca="1">INDEX(F$13:F$17, MATCH($B429, $B$13:$B$17, 0), 1)*$D$2*(1+RANDBETWEEN(-0.8, 0.8))</f>
        <v>#N/A</v>
      </c>
      <c r="G419" s="78" t="e">
        <f ca="1">INDEX(G$13:G$17, MATCH($B429, $B$13:$B$17, 0), 1)*$D$2*(1+RANDBETWEEN(-0.8, 0.8))</f>
        <v>#N/A</v>
      </c>
      <c r="H419" s="78" t="e">
        <f ca="1">INDEX(H$13:H$17, MATCH($B429, $B$13:$B$17, 0), 1)*$D$2*(1+RANDBETWEEN(-0.8, 0.8))</f>
        <v>#N/A</v>
      </c>
      <c r="I419" s="78" t="e">
        <f ca="1">INDEX(I$13:I$17, MATCH($B429, $B$13:$B$17, 0), 1)*$D$2*(1+RANDBETWEEN(-1, 1))</f>
        <v>#N/A</v>
      </c>
      <c r="J419" s="78" t="e">
        <f ca="1">INDEX(J$13:J$17, MATCH($B429, $B$13:$B$17, 0), 1)*$D$2*(1+RANDBETWEEN(-1, 1))</f>
        <v>#N/A</v>
      </c>
    </row>
    <row r="420" spans="2:10" x14ac:dyDescent="0.35">
      <c r="B420">
        <f t="shared" si="157"/>
        <v>2034</v>
      </c>
      <c r="C420">
        <f t="shared" ref="C420:D420" si="167">C408</f>
        <v>1</v>
      </c>
      <c r="D420">
        <f t="shared" si="167"/>
        <v>1</v>
      </c>
      <c r="E420" s="78" t="e">
        <f ca="1">INDEX(E$13:E$17, MATCH($B430, $B$13:$B$17, 0), 1)*$D$2*(1+RANDBETWEEN(-0.8, 0.8))</f>
        <v>#N/A</v>
      </c>
      <c r="F420" s="78" t="e">
        <f ca="1">INDEX(F$13:F$17, MATCH($B430, $B$13:$B$17, 0), 1)*$D$2*(1+RANDBETWEEN(-0.8, 0.8))</f>
        <v>#N/A</v>
      </c>
      <c r="G420" s="78" t="e">
        <f ca="1">INDEX(G$13:G$17, MATCH($B430, $B$13:$B$17, 0), 1)*$D$2*(1+RANDBETWEEN(-0.8, 0.8))</f>
        <v>#N/A</v>
      </c>
      <c r="H420" s="78" t="e">
        <f ca="1">INDEX(H$13:H$17, MATCH($B430, $B$13:$B$17, 0), 1)*$D$2*(1+RANDBETWEEN(-0.8, 0.8))</f>
        <v>#N/A</v>
      </c>
      <c r="I420" s="78" t="e">
        <f ca="1">INDEX(I$13:I$17, MATCH($B430, $B$13:$B$17, 0), 1)*$D$2*(1+RANDBETWEEN(-1, 1))</f>
        <v>#N/A</v>
      </c>
      <c r="J420" s="78" t="e">
        <f ca="1">INDEX(J$13:J$17, MATCH($B430, $B$13:$B$17, 0), 1)*$D$2*(1+RANDBETWEEN(-1, 1))</f>
        <v>#N/A</v>
      </c>
    </row>
    <row r="421" spans="2:10" x14ac:dyDescent="0.35">
      <c r="B421">
        <f t="shared" si="157"/>
        <v>2034</v>
      </c>
      <c r="C421">
        <f t="shared" ref="C421:D421" si="168">C409</f>
        <v>1</v>
      </c>
      <c r="D421">
        <f t="shared" si="168"/>
        <v>2</v>
      </c>
      <c r="E421" s="78" t="e">
        <f ca="1">INDEX(E$13:E$17, MATCH($B431, $B$13:$B$17, 0), 1)*$D$2*(1+RANDBETWEEN(-0.8, 0.8))</f>
        <v>#N/A</v>
      </c>
      <c r="F421" s="78" t="e">
        <f ca="1">INDEX(F$13:F$17, MATCH($B431, $B$13:$B$17, 0), 1)*$D$2*(1+RANDBETWEEN(-0.8, 0.8))</f>
        <v>#N/A</v>
      </c>
      <c r="G421" s="78" t="e">
        <f ca="1">INDEX(G$13:G$17, MATCH($B431, $B$13:$B$17, 0), 1)*$D$2*(1+RANDBETWEEN(-0.8, 0.8))</f>
        <v>#N/A</v>
      </c>
      <c r="H421" s="78" t="e">
        <f ca="1">INDEX(H$13:H$17, MATCH($B431, $B$13:$B$17, 0), 1)*$D$2*(1+RANDBETWEEN(-0.8, 0.8))</f>
        <v>#N/A</v>
      </c>
      <c r="I421" s="78" t="e">
        <f ca="1">INDEX(I$13:I$17, MATCH($B431, $B$13:$B$17, 0), 1)*$D$2*(1+RANDBETWEEN(-1, 1))</f>
        <v>#N/A</v>
      </c>
      <c r="J421" s="78" t="e">
        <f ca="1">INDEX(J$13:J$17, MATCH($B431, $B$13:$B$17, 0), 1)*$D$2*(1+RANDBETWEEN(-1, 1))</f>
        <v>#N/A</v>
      </c>
    </row>
    <row r="422" spans="2:10" x14ac:dyDescent="0.35">
      <c r="B422">
        <f t="shared" si="157"/>
        <v>2034</v>
      </c>
      <c r="C422">
        <f t="shared" ref="C422:D422" si="169">C410</f>
        <v>1</v>
      </c>
      <c r="D422">
        <f t="shared" si="169"/>
        <v>3</v>
      </c>
      <c r="E422" s="78" t="e">
        <f ca="1">INDEX(E$13:E$17, MATCH($B432, $B$13:$B$17, 0), 1)*$D$2*(1+RANDBETWEEN(-0.8, 0.8))</f>
        <v>#N/A</v>
      </c>
      <c r="F422" s="78" t="e">
        <f ca="1">INDEX(F$13:F$17, MATCH($B432, $B$13:$B$17, 0), 1)*$D$2*(1+RANDBETWEEN(-0.8, 0.8))</f>
        <v>#N/A</v>
      </c>
      <c r="G422" s="78" t="e">
        <f ca="1">INDEX(G$13:G$17, MATCH($B432, $B$13:$B$17, 0), 1)*$D$2*(1+RANDBETWEEN(-0.8, 0.8))</f>
        <v>#N/A</v>
      </c>
      <c r="H422" s="78" t="e">
        <f ca="1">INDEX(H$13:H$17, MATCH($B432, $B$13:$B$17, 0), 1)*$D$2*(1+RANDBETWEEN(-0.8, 0.8))</f>
        <v>#N/A</v>
      </c>
      <c r="I422" s="78" t="e">
        <f ca="1">INDEX(I$13:I$17, MATCH($B432, $B$13:$B$17, 0), 1)*$D$2*(1+RANDBETWEEN(-1, 1))</f>
        <v>#N/A</v>
      </c>
      <c r="J422" s="78" t="e">
        <f ca="1">INDEX(J$13:J$17, MATCH($B432, $B$13:$B$17, 0), 1)*$D$2*(1+RANDBETWEEN(-1, 1))</f>
        <v>#N/A</v>
      </c>
    </row>
    <row r="423" spans="2:10" x14ac:dyDescent="0.35">
      <c r="B423">
        <f t="shared" si="157"/>
        <v>2034</v>
      </c>
      <c r="C423">
        <f t="shared" ref="C423:D423" si="170">C411</f>
        <v>2</v>
      </c>
      <c r="D423">
        <f t="shared" si="170"/>
        <v>4</v>
      </c>
      <c r="E423" s="78" t="e">
        <f ca="1">INDEX(E$13:E$17, MATCH($B433, $B$13:$B$17, 0), 1)*$D$2*(1+RANDBETWEEN(-0.8, 0.8))</f>
        <v>#N/A</v>
      </c>
      <c r="F423" s="78" t="e">
        <f ca="1">INDEX(F$13:F$17, MATCH($B433, $B$13:$B$17, 0), 1)*$D$2*(1+RANDBETWEEN(-0.8, 0.8))</f>
        <v>#N/A</v>
      </c>
      <c r="G423" s="78" t="e">
        <f ca="1">INDEX(G$13:G$17, MATCH($B433, $B$13:$B$17, 0), 1)*$D$2*(1+RANDBETWEEN(-0.8, 0.8))</f>
        <v>#N/A</v>
      </c>
      <c r="H423" s="78" t="e">
        <f ca="1">INDEX(H$13:H$17, MATCH($B433, $B$13:$B$17, 0), 1)*$D$2*(1+RANDBETWEEN(-0.8, 0.8))</f>
        <v>#N/A</v>
      </c>
      <c r="I423" s="78" t="e">
        <f ca="1">INDEX(I$13:I$17, MATCH($B433, $B$13:$B$17, 0), 1)*$D$2*(1+RANDBETWEEN(-1, 1))</f>
        <v>#N/A</v>
      </c>
      <c r="J423" s="78" t="e">
        <f ca="1">INDEX(J$13:J$17, MATCH($B433, $B$13:$B$17, 0), 1)*$D$2*(1+RANDBETWEEN(-1, 1))</f>
        <v>#N/A</v>
      </c>
    </row>
    <row r="424" spans="2:10" x14ac:dyDescent="0.35">
      <c r="B424">
        <f t="shared" si="157"/>
        <v>2034</v>
      </c>
      <c r="C424">
        <f t="shared" ref="C424:D424" si="171">C412</f>
        <v>2</v>
      </c>
      <c r="D424">
        <f t="shared" si="171"/>
        <v>5</v>
      </c>
      <c r="E424" s="78" t="e">
        <f ca="1">INDEX(E$13:E$17, MATCH($B434, $B$13:$B$17, 0), 1)*$D$2*(1+RANDBETWEEN(-0.8, 0.8))</f>
        <v>#N/A</v>
      </c>
      <c r="F424" s="78" t="e">
        <f ca="1">INDEX(F$13:F$17, MATCH($B434, $B$13:$B$17, 0), 1)*$D$2*(1+RANDBETWEEN(-0.8, 0.8))</f>
        <v>#N/A</v>
      </c>
      <c r="G424" s="78" t="e">
        <f ca="1">INDEX(G$13:G$17, MATCH($B434, $B$13:$B$17, 0), 1)*$D$2*(1+RANDBETWEEN(-0.8, 0.8))</f>
        <v>#N/A</v>
      </c>
      <c r="H424" s="78" t="e">
        <f ca="1">INDEX(H$13:H$17, MATCH($B434, $B$13:$B$17, 0), 1)*$D$2*(1+RANDBETWEEN(-0.8, 0.8))</f>
        <v>#N/A</v>
      </c>
      <c r="I424" s="78" t="e">
        <f ca="1">INDEX(I$13:I$17, MATCH($B434, $B$13:$B$17, 0), 1)*$D$2*(1+RANDBETWEEN(-1, 1))</f>
        <v>#N/A</v>
      </c>
      <c r="J424" s="78" t="e">
        <f ca="1">INDEX(J$13:J$17, MATCH($B434, $B$13:$B$17, 0), 1)*$D$2*(1+RANDBETWEEN(-1, 1))</f>
        <v>#N/A</v>
      </c>
    </row>
    <row r="425" spans="2:10" x14ac:dyDescent="0.35">
      <c r="B425">
        <f t="shared" si="157"/>
        <v>2034</v>
      </c>
      <c r="C425">
        <f t="shared" ref="C425:D425" si="172">C413</f>
        <v>2</v>
      </c>
      <c r="D425">
        <f t="shared" si="172"/>
        <v>6</v>
      </c>
      <c r="E425" s="78" t="e">
        <f ca="1">INDEX(E$13:E$17, MATCH($B435, $B$13:$B$17, 0), 1)*$D$2*(1+RANDBETWEEN(-0.8, 0.8))</f>
        <v>#N/A</v>
      </c>
      <c r="F425" s="78" t="e">
        <f ca="1">INDEX(F$13:F$17, MATCH($B435, $B$13:$B$17, 0), 1)*$D$2*(1+RANDBETWEEN(-0.8, 0.8))</f>
        <v>#N/A</v>
      </c>
      <c r="G425" s="78" t="e">
        <f ca="1">INDEX(G$13:G$17, MATCH($B435, $B$13:$B$17, 0), 1)*$D$2*(1+RANDBETWEEN(-0.8, 0.8))</f>
        <v>#N/A</v>
      </c>
      <c r="H425" s="78" t="e">
        <f ca="1">INDEX(H$13:H$17, MATCH($B435, $B$13:$B$17, 0), 1)*$D$2*(1+RANDBETWEEN(-0.8, 0.8))</f>
        <v>#N/A</v>
      </c>
      <c r="I425" s="78" t="e">
        <f ca="1">INDEX(I$13:I$17, MATCH($B435, $B$13:$B$17, 0), 1)*$D$2*(1+RANDBETWEEN(-1, 1))</f>
        <v>#N/A</v>
      </c>
      <c r="J425" s="78" t="e">
        <f ca="1">INDEX(J$13:J$17, MATCH($B435, $B$13:$B$17, 0), 1)*$D$2*(1+RANDBETWEEN(-1, 1))</f>
        <v>#N/A</v>
      </c>
    </row>
    <row r="426" spans="2:10" x14ac:dyDescent="0.35">
      <c r="B426">
        <f t="shared" si="157"/>
        <v>2034</v>
      </c>
      <c r="C426">
        <f t="shared" ref="C426:D426" si="173">C414</f>
        <v>3</v>
      </c>
      <c r="D426">
        <f t="shared" si="173"/>
        <v>7</v>
      </c>
      <c r="E426" s="78" t="e">
        <f ca="1">INDEX(E$13:E$17, MATCH($B436, $B$13:$B$17, 0), 1)*$D$2*(1+RANDBETWEEN(-0.8, 0.8))</f>
        <v>#N/A</v>
      </c>
      <c r="F426" s="78" t="e">
        <f ca="1">INDEX(F$13:F$17, MATCH($B436, $B$13:$B$17, 0), 1)*$D$2*(1+RANDBETWEEN(-0.8, 0.8))</f>
        <v>#N/A</v>
      </c>
      <c r="G426" s="78" t="e">
        <f ca="1">INDEX(G$13:G$17, MATCH($B436, $B$13:$B$17, 0), 1)*$D$2*(1+RANDBETWEEN(-0.8, 0.8))</f>
        <v>#N/A</v>
      </c>
      <c r="H426" s="78" t="e">
        <f ca="1">INDEX(H$13:H$17, MATCH($B436, $B$13:$B$17, 0), 1)*$D$2*(1+RANDBETWEEN(-0.8, 0.8))</f>
        <v>#N/A</v>
      </c>
      <c r="I426" s="78" t="e">
        <f ca="1">INDEX(I$13:I$17, MATCH($B436, $B$13:$B$17, 0), 1)*$D$2*(1+RANDBETWEEN(-1, 1))</f>
        <v>#N/A</v>
      </c>
      <c r="J426" s="78" t="e">
        <f ca="1">INDEX(J$13:J$17, MATCH($B436, $B$13:$B$17, 0), 1)*$D$2*(1+RANDBETWEEN(-1, 1))</f>
        <v>#N/A</v>
      </c>
    </row>
    <row r="427" spans="2:10" x14ac:dyDescent="0.35">
      <c r="B427">
        <f t="shared" si="157"/>
        <v>2034</v>
      </c>
      <c r="C427">
        <f t="shared" ref="C427:D427" si="174">C415</f>
        <v>3</v>
      </c>
      <c r="D427">
        <f t="shared" si="174"/>
        <v>8</v>
      </c>
      <c r="E427" s="78" t="e">
        <f ca="1">INDEX(E$13:E$17, MATCH($B437, $B$13:$B$17, 0), 1)*$D$2*(1+RANDBETWEEN(-0.8, 0.8))</f>
        <v>#N/A</v>
      </c>
      <c r="F427" s="78" t="e">
        <f ca="1">INDEX(F$13:F$17, MATCH($B437, $B$13:$B$17, 0), 1)*$D$2*(1+RANDBETWEEN(-0.8, 0.8))</f>
        <v>#N/A</v>
      </c>
      <c r="G427" s="78" t="e">
        <f ca="1">INDEX(G$13:G$17, MATCH($B437, $B$13:$B$17, 0), 1)*$D$2*(1+RANDBETWEEN(-0.8, 0.8))</f>
        <v>#N/A</v>
      </c>
      <c r="H427" s="78" t="e">
        <f ca="1">INDEX(H$13:H$17, MATCH($B437, $B$13:$B$17, 0), 1)*$D$2*(1+RANDBETWEEN(-0.8, 0.8))</f>
        <v>#N/A</v>
      </c>
      <c r="I427" s="78" t="e">
        <f ca="1">INDEX(I$13:I$17, MATCH($B437, $B$13:$B$17, 0), 1)*$D$2*(1+RANDBETWEEN(-1, 1))</f>
        <v>#N/A</v>
      </c>
      <c r="J427" s="78" t="e">
        <f ca="1">INDEX(J$13:J$17, MATCH($B437, $B$13:$B$17, 0), 1)*$D$2*(1+RANDBETWEEN(-1, 1))</f>
        <v>#N/A</v>
      </c>
    </row>
    <row r="428" spans="2:10" x14ac:dyDescent="0.35">
      <c r="B428">
        <f t="shared" si="157"/>
        <v>2034</v>
      </c>
      <c r="C428">
        <f t="shared" ref="C428:D428" si="175">C416</f>
        <v>3</v>
      </c>
      <c r="D428">
        <f t="shared" si="175"/>
        <v>9</v>
      </c>
      <c r="E428" s="78" t="e">
        <f ca="1">INDEX(E$13:E$17, MATCH($B438, $B$13:$B$17, 0), 1)*$D$2*(1+RANDBETWEEN(-0.8, 0.8))</f>
        <v>#N/A</v>
      </c>
      <c r="F428" s="78" t="e">
        <f ca="1">INDEX(F$13:F$17, MATCH($B438, $B$13:$B$17, 0), 1)*$D$2*(1+RANDBETWEEN(-0.8, 0.8))</f>
        <v>#N/A</v>
      </c>
      <c r="G428" s="78" t="e">
        <f ca="1">INDEX(G$13:G$17, MATCH($B438, $B$13:$B$17, 0), 1)*$D$2*(1+RANDBETWEEN(-0.8, 0.8))</f>
        <v>#N/A</v>
      </c>
      <c r="H428" s="78" t="e">
        <f ca="1">INDEX(H$13:H$17, MATCH($B438, $B$13:$B$17, 0), 1)*$D$2*(1+RANDBETWEEN(-0.8, 0.8))</f>
        <v>#N/A</v>
      </c>
      <c r="I428" s="78" t="e">
        <f ca="1">INDEX(I$13:I$17, MATCH($B438, $B$13:$B$17, 0), 1)*$D$2*(1+RANDBETWEEN(-1, 1))</f>
        <v>#N/A</v>
      </c>
      <c r="J428" s="78" t="e">
        <f ca="1">INDEX(J$13:J$17, MATCH($B438, $B$13:$B$17, 0), 1)*$D$2*(1+RANDBETWEEN(-1, 1))</f>
        <v>#N/A</v>
      </c>
    </row>
    <row r="429" spans="2:10" x14ac:dyDescent="0.35">
      <c r="B429">
        <f t="shared" si="157"/>
        <v>2034</v>
      </c>
      <c r="C429">
        <f t="shared" ref="C429:D429" si="176">C417</f>
        <v>4</v>
      </c>
      <c r="D429">
        <f t="shared" si="176"/>
        <v>10</v>
      </c>
      <c r="E429" s="78" t="e">
        <f ca="1">INDEX(E$13:E$17, MATCH($B439, $B$13:$B$17, 0), 1)*$D$2*(1+RANDBETWEEN(-0.8, 0.8))</f>
        <v>#N/A</v>
      </c>
      <c r="F429" s="78" t="e">
        <f ca="1">INDEX(F$13:F$17, MATCH($B439, $B$13:$B$17, 0), 1)*$D$2*(1+RANDBETWEEN(-0.8, 0.8))</f>
        <v>#N/A</v>
      </c>
      <c r="G429" s="78" t="e">
        <f ca="1">INDEX(G$13:G$17, MATCH($B439, $B$13:$B$17, 0), 1)*$D$2*(1+RANDBETWEEN(-0.8, 0.8))</f>
        <v>#N/A</v>
      </c>
      <c r="H429" s="78" t="e">
        <f ca="1">INDEX(H$13:H$17, MATCH($B439, $B$13:$B$17, 0), 1)*$D$2*(1+RANDBETWEEN(-0.8, 0.8))</f>
        <v>#N/A</v>
      </c>
      <c r="I429" s="78" t="e">
        <f ca="1">INDEX(I$13:I$17, MATCH($B439, $B$13:$B$17, 0), 1)*$D$2*(1+RANDBETWEEN(-1, 1))</f>
        <v>#N/A</v>
      </c>
      <c r="J429" s="78" t="e">
        <f ca="1">INDEX(J$13:J$17, MATCH($B439, $B$13:$B$17, 0), 1)*$D$2*(1+RANDBETWEEN(-1, 1))</f>
        <v>#N/A</v>
      </c>
    </row>
    <row r="430" spans="2:10" x14ac:dyDescent="0.35">
      <c r="B430">
        <f t="shared" si="157"/>
        <v>2035</v>
      </c>
      <c r="C430">
        <f t="shared" ref="C430:D430" si="177">C418</f>
        <v>4</v>
      </c>
      <c r="D430">
        <f t="shared" si="177"/>
        <v>11</v>
      </c>
      <c r="E430" s="78" t="e">
        <f ca="1">INDEX(E$13:E$17, MATCH($B440, $B$13:$B$17, 0), 1)*$D$2*(1+RANDBETWEEN(-0.8, 0.8))</f>
        <v>#N/A</v>
      </c>
      <c r="F430" s="78" t="e">
        <f ca="1">INDEX(F$13:F$17, MATCH($B440, $B$13:$B$17, 0), 1)*$D$2*(1+RANDBETWEEN(-0.8, 0.8))</f>
        <v>#N/A</v>
      </c>
      <c r="G430" s="78" t="e">
        <f ca="1">INDEX(G$13:G$17, MATCH($B440, $B$13:$B$17, 0), 1)*$D$2*(1+RANDBETWEEN(-0.8, 0.8))</f>
        <v>#N/A</v>
      </c>
      <c r="H430" s="78" t="e">
        <f ca="1">INDEX(H$13:H$17, MATCH($B440, $B$13:$B$17, 0), 1)*$D$2*(1+RANDBETWEEN(-0.8, 0.8))</f>
        <v>#N/A</v>
      </c>
      <c r="I430" s="78" t="e">
        <f ca="1">INDEX(I$13:I$17, MATCH($B440, $B$13:$B$17, 0), 1)*$D$2*(1+RANDBETWEEN(-1, 1))</f>
        <v>#N/A</v>
      </c>
      <c r="J430" s="78" t="e">
        <f ca="1">INDEX(J$13:J$17, MATCH($B440, $B$13:$B$17, 0), 1)*$D$2*(1+RANDBETWEEN(-1, 1))</f>
        <v>#N/A</v>
      </c>
    </row>
    <row r="431" spans="2:10" x14ac:dyDescent="0.35">
      <c r="B431">
        <f t="shared" si="157"/>
        <v>2035</v>
      </c>
      <c r="C431">
        <f t="shared" ref="C431:D431" si="178">C419</f>
        <v>4</v>
      </c>
      <c r="D431">
        <f t="shared" si="178"/>
        <v>12</v>
      </c>
      <c r="E431" s="78" t="e">
        <f ca="1">INDEX(E$13:E$17, MATCH($B441, $B$13:$B$17, 0), 1)*$D$2*(1+RANDBETWEEN(-0.8, 0.8))</f>
        <v>#N/A</v>
      </c>
      <c r="F431" s="78" t="e">
        <f ca="1">INDEX(F$13:F$17, MATCH($B441, $B$13:$B$17, 0), 1)*$D$2*(1+RANDBETWEEN(-0.8, 0.8))</f>
        <v>#N/A</v>
      </c>
      <c r="G431" s="78" t="e">
        <f ca="1">INDEX(G$13:G$17, MATCH($B441, $B$13:$B$17, 0), 1)*$D$2*(1+RANDBETWEEN(-0.8, 0.8))</f>
        <v>#N/A</v>
      </c>
      <c r="H431" s="78" t="e">
        <f ca="1">INDEX(H$13:H$17, MATCH($B441, $B$13:$B$17, 0), 1)*$D$2*(1+RANDBETWEEN(-0.8, 0.8))</f>
        <v>#N/A</v>
      </c>
      <c r="I431" s="78" t="e">
        <f ca="1">INDEX(I$13:I$17, MATCH($B441, $B$13:$B$17, 0), 1)*$D$2*(1+RANDBETWEEN(-1, 1))</f>
        <v>#N/A</v>
      </c>
      <c r="J431" s="78" t="e">
        <f ca="1">INDEX(J$13:J$17, MATCH($B441, $B$13:$B$17, 0), 1)*$D$2*(1+RANDBETWEEN(-1, 1))</f>
        <v>#N/A</v>
      </c>
    </row>
    <row r="432" spans="2:10" x14ac:dyDescent="0.35">
      <c r="B432">
        <f t="shared" si="157"/>
        <v>2035</v>
      </c>
      <c r="C432">
        <f t="shared" ref="C432:D432" si="179">C420</f>
        <v>1</v>
      </c>
      <c r="D432">
        <f t="shared" si="179"/>
        <v>1</v>
      </c>
      <c r="E432" s="78" t="e">
        <f ca="1">INDEX(E$13:E$17, MATCH($B442, $B$13:$B$17, 0), 1)*$D$2*(1+RANDBETWEEN(-0.8, 0.8))</f>
        <v>#N/A</v>
      </c>
      <c r="F432" s="78" t="e">
        <f ca="1">INDEX(F$13:F$17, MATCH($B442, $B$13:$B$17, 0), 1)*$D$2*(1+RANDBETWEEN(-0.8, 0.8))</f>
        <v>#N/A</v>
      </c>
      <c r="G432" s="78" t="e">
        <f ca="1">INDEX(G$13:G$17, MATCH($B442, $B$13:$B$17, 0), 1)*$D$2*(1+RANDBETWEEN(-0.8, 0.8))</f>
        <v>#N/A</v>
      </c>
      <c r="H432" s="78" t="e">
        <f ca="1">INDEX(H$13:H$17, MATCH($B442, $B$13:$B$17, 0), 1)*$D$2*(1+RANDBETWEEN(-0.8, 0.8))</f>
        <v>#N/A</v>
      </c>
      <c r="I432" s="78" t="e">
        <f ca="1">INDEX(I$13:I$17, MATCH($B442, $B$13:$B$17, 0), 1)*$D$2*(1+RANDBETWEEN(-1, 1))</f>
        <v>#N/A</v>
      </c>
      <c r="J432" s="78" t="e">
        <f ca="1">INDEX(J$13:J$17, MATCH($B442, $B$13:$B$17, 0), 1)*$D$2*(1+RANDBETWEEN(-1, 1))</f>
        <v>#N/A</v>
      </c>
    </row>
    <row r="433" spans="2:10" x14ac:dyDescent="0.35">
      <c r="B433">
        <f t="shared" si="157"/>
        <v>2035</v>
      </c>
      <c r="C433">
        <f t="shared" ref="C433:D433" si="180">C421</f>
        <v>1</v>
      </c>
      <c r="D433">
        <f t="shared" si="180"/>
        <v>2</v>
      </c>
      <c r="E433" s="78" t="e">
        <f ca="1">INDEX(E$13:E$17, MATCH($B443, $B$13:$B$17, 0), 1)*$D$2*(1+RANDBETWEEN(-0.8, 0.8))</f>
        <v>#N/A</v>
      </c>
      <c r="F433" s="78" t="e">
        <f ca="1">INDEX(F$13:F$17, MATCH($B443, $B$13:$B$17, 0), 1)*$D$2*(1+RANDBETWEEN(-0.8, 0.8))</f>
        <v>#N/A</v>
      </c>
      <c r="G433" s="78" t="e">
        <f ca="1">INDEX(G$13:G$17, MATCH($B443, $B$13:$B$17, 0), 1)*$D$2*(1+RANDBETWEEN(-0.8, 0.8))</f>
        <v>#N/A</v>
      </c>
      <c r="H433" s="78" t="e">
        <f ca="1">INDEX(H$13:H$17, MATCH($B443, $B$13:$B$17, 0), 1)*$D$2*(1+RANDBETWEEN(-0.8, 0.8))</f>
        <v>#N/A</v>
      </c>
      <c r="I433" s="78" t="e">
        <f ca="1">INDEX(I$13:I$17, MATCH($B443, $B$13:$B$17, 0), 1)*$D$2*(1+RANDBETWEEN(-1, 1))</f>
        <v>#N/A</v>
      </c>
      <c r="J433" s="78" t="e">
        <f ca="1">INDEX(J$13:J$17, MATCH($B443, $B$13:$B$17, 0), 1)*$D$2*(1+RANDBETWEEN(-1, 1))</f>
        <v>#N/A</v>
      </c>
    </row>
    <row r="434" spans="2:10" x14ac:dyDescent="0.35">
      <c r="B434">
        <f t="shared" si="157"/>
        <v>2035</v>
      </c>
      <c r="C434">
        <f t="shared" ref="C434:D434" si="181">C422</f>
        <v>1</v>
      </c>
      <c r="D434">
        <f t="shared" si="181"/>
        <v>3</v>
      </c>
      <c r="E434" s="78" t="e">
        <f ca="1">INDEX(E$13:E$17, MATCH($B444, $B$13:$B$17, 0), 1)*$D$2*(1+RANDBETWEEN(-0.8, 0.8))</f>
        <v>#N/A</v>
      </c>
      <c r="F434" s="78" t="e">
        <f ca="1">INDEX(F$13:F$17, MATCH($B444, $B$13:$B$17, 0), 1)*$D$2*(1+RANDBETWEEN(-0.8, 0.8))</f>
        <v>#N/A</v>
      </c>
      <c r="G434" s="78" t="e">
        <f ca="1">INDEX(G$13:G$17, MATCH($B444, $B$13:$B$17, 0), 1)*$D$2*(1+RANDBETWEEN(-0.8, 0.8))</f>
        <v>#N/A</v>
      </c>
      <c r="H434" s="78" t="e">
        <f ca="1">INDEX(H$13:H$17, MATCH($B444, $B$13:$B$17, 0), 1)*$D$2*(1+RANDBETWEEN(-0.8, 0.8))</f>
        <v>#N/A</v>
      </c>
      <c r="I434" s="78" t="e">
        <f ca="1">INDEX(I$13:I$17, MATCH($B444, $B$13:$B$17, 0), 1)*$D$2*(1+RANDBETWEEN(-1, 1))</f>
        <v>#N/A</v>
      </c>
      <c r="J434" s="78" t="e">
        <f ca="1">INDEX(J$13:J$17, MATCH($B444, $B$13:$B$17, 0), 1)*$D$2*(1+RANDBETWEEN(-1, 1))</f>
        <v>#N/A</v>
      </c>
    </row>
    <row r="435" spans="2:10" x14ac:dyDescent="0.35">
      <c r="B435">
        <f t="shared" si="157"/>
        <v>2035</v>
      </c>
      <c r="C435">
        <f t="shared" ref="C435:D435" si="182">C423</f>
        <v>2</v>
      </c>
      <c r="D435">
        <f t="shared" si="182"/>
        <v>4</v>
      </c>
      <c r="E435" s="78" t="e">
        <f ca="1">INDEX(E$13:E$17, MATCH($B445, $B$13:$B$17, 0), 1)*$D$2*(1+RANDBETWEEN(-0.8, 0.8))</f>
        <v>#N/A</v>
      </c>
      <c r="F435" s="78" t="e">
        <f ca="1">INDEX(F$13:F$17, MATCH($B445, $B$13:$B$17, 0), 1)*$D$2*(1+RANDBETWEEN(-0.8, 0.8))</f>
        <v>#N/A</v>
      </c>
      <c r="G435" s="78" t="e">
        <f ca="1">INDEX(G$13:G$17, MATCH($B445, $B$13:$B$17, 0), 1)*$D$2*(1+RANDBETWEEN(-0.8, 0.8))</f>
        <v>#N/A</v>
      </c>
      <c r="H435" s="78" t="e">
        <f ca="1">INDEX(H$13:H$17, MATCH($B445, $B$13:$B$17, 0), 1)*$D$2*(1+RANDBETWEEN(-0.8, 0.8))</f>
        <v>#N/A</v>
      </c>
      <c r="I435" s="78" t="e">
        <f ca="1">INDEX(I$13:I$17, MATCH($B445, $B$13:$B$17, 0), 1)*$D$2*(1+RANDBETWEEN(-1, 1))</f>
        <v>#N/A</v>
      </c>
      <c r="J435" s="78" t="e">
        <f ca="1">INDEX(J$13:J$17, MATCH($B445, $B$13:$B$17, 0), 1)*$D$2*(1+RANDBETWEEN(-1, 1))</f>
        <v>#N/A</v>
      </c>
    </row>
    <row r="436" spans="2:10" x14ac:dyDescent="0.35">
      <c r="B436">
        <f t="shared" si="157"/>
        <v>2035</v>
      </c>
      <c r="C436">
        <f t="shared" ref="C436:D436" si="183">C424</f>
        <v>2</v>
      </c>
      <c r="D436">
        <f t="shared" si="183"/>
        <v>5</v>
      </c>
      <c r="E436" s="78" t="e">
        <f ca="1">INDEX(E$13:E$17, MATCH($B446, $B$13:$B$17, 0), 1)*$D$2*(1+RANDBETWEEN(-0.8, 0.8))</f>
        <v>#N/A</v>
      </c>
      <c r="F436" s="78" t="e">
        <f ca="1">INDEX(F$13:F$17, MATCH($B446, $B$13:$B$17, 0), 1)*$D$2*(1+RANDBETWEEN(-0.8, 0.8))</f>
        <v>#N/A</v>
      </c>
      <c r="G436" s="78" t="e">
        <f ca="1">INDEX(G$13:G$17, MATCH($B446, $B$13:$B$17, 0), 1)*$D$2*(1+RANDBETWEEN(-0.8, 0.8))</f>
        <v>#N/A</v>
      </c>
      <c r="H436" s="78" t="e">
        <f ca="1">INDEX(H$13:H$17, MATCH($B446, $B$13:$B$17, 0), 1)*$D$2*(1+RANDBETWEEN(-0.8, 0.8))</f>
        <v>#N/A</v>
      </c>
      <c r="I436" s="78" t="e">
        <f ca="1">INDEX(I$13:I$17, MATCH($B446, $B$13:$B$17, 0), 1)*$D$2*(1+RANDBETWEEN(-1, 1))</f>
        <v>#N/A</v>
      </c>
      <c r="J436" s="78" t="e">
        <f ca="1">INDEX(J$13:J$17, MATCH($B446, $B$13:$B$17, 0), 1)*$D$2*(1+RANDBETWEEN(-1, 1))</f>
        <v>#N/A</v>
      </c>
    </row>
    <row r="437" spans="2:10" x14ac:dyDescent="0.35">
      <c r="B437">
        <f t="shared" si="157"/>
        <v>2035</v>
      </c>
      <c r="C437">
        <f t="shared" ref="C437:D437" si="184">C425</f>
        <v>2</v>
      </c>
      <c r="D437">
        <f t="shared" si="184"/>
        <v>6</v>
      </c>
      <c r="E437" s="78" t="e">
        <f ca="1">INDEX(E$13:E$17, MATCH($B447, $B$13:$B$17, 0), 1)*$D$2*(1+RANDBETWEEN(-0.8, 0.8))</f>
        <v>#N/A</v>
      </c>
      <c r="F437" s="78" t="e">
        <f ca="1">INDEX(F$13:F$17, MATCH($B447, $B$13:$B$17, 0), 1)*$D$2*(1+RANDBETWEEN(-0.8, 0.8))</f>
        <v>#N/A</v>
      </c>
      <c r="G437" s="78" t="e">
        <f ca="1">INDEX(G$13:G$17, MATCH($B447, $B$13:$B$17, 0), 1)*$D$2*(1+RANDBETWEEN(-0.8, 0.8))</f>
        <v>#N/A</v>
      </c>
      <c r="H437" s="78" t="e">
        <f ca="1">INDEX(H$13:H$17, MATCH($B447, $B$13:$B$17, 0), 1)*$D$2*(1+RANDBETWEEN(-0.8, 0.8))</f>
        <v>#N/A</v>
      </c>
      <c r="I437" s="78" t="e">
        <f ca="1">INDEX(I$13:I$17, MATCH($B447, $B$13:$B$17, 0), 1)*$D$2*(1+RANDBETWEEN(-1, 1))</f>
        <v>#N/A</v>
      </c>
      <c r="J437" s="78" t="e">
        <f ca="1">INDEX(J$13:J$17, MATCH($B447, $B$13:$B$17, 0), 1)*$D$2*(1+RANDBETWEEN(-1, 1))</f>
        <v>#N/A</v>
      </c>
    </row>
    <row r="438" spans="2:10" x14ac:dyDescent="0.35">
      <c r="B438">
        <f t="shared" si="157"/>
        <v>2035</v>
      </c>
      <c r="C438">
        <f t="shared" ref="C438:D438" si="185">C426</f>
        <v>3</v>
      </c>
      <c r="D438">
        <f t="shared" si="185"/>
        <v>7</v>
      </c>
      <c r="E438" s="78" t="e">
        <f ca="1">INDEX(E$13:E$17, MATCH($B448, $B$13:$B$17, 0), 1)*$D$2*(1+RANDBETWEEN(-0.8, 0.8))</f>
        <v>#N/A</v>
      </c>
      <c r="F438" s="78" t="e">
        <f ca="1">INDEX(F$13:F$17, MATCH($B448, $B$13:$B$17, 0), 1)*$D$2*(1+RANDBETWEEN(-0.8, 0.8))</f>
        <v>#N/A</v>
      </c>
      <c r="G438" s="78" t="e">
        <f ca="1">INDEX(G$13:G$17, MATCH($B448, $B$13:$B$17, 0), 1)*$D$2*(1+RANDBETWEEN(-0.8, 0.8))</f>
        <v>#N/A</v>
      </c>
      <c r="H438" s="78" t="e">
        <f ca="1">INDEX(H$13:H$17, MATCH($B448, $B$13:$B$17, 0), 1)*$D$2*(1+RANDBETWEEN(-0.8, 0.8))</f>
        <v>#N/A</v>
      </c>
      <c r="I438" s="78" t="e">
        <f ca="1">INDEX(I$13:I$17, MATCH($B448, $B$13:$B$17, 0), 1)*$D$2*(1+RANDBETWEEN(-1, 1))</f>
        <v>#N/A</v>
      </c>
      <c r="J438" s="78" t="e">
        <f ca="1">INDEX(J$13:J$17, MATCH($B448, $B$13:$B$17, 0), 1)*$D$2*(1+RANDBETWEEN(-1, 1))</f>
        <v>#N/A</v>
      </c>
    </row>
    <row r="439" spans="2:10" x14ac:dyDescent="0.35">
      <c r="B439">
        <f t="shared" si="157"/>
        <v>2035</v>
      </c>
      <c r="C439">
        <f t="shared" ref="C439:D439" si="186">C427</f>
        <v>3</v>
      </c>
      <c r="D439">
        <f t="shared" si="186"/>
        <v>8</v>
      </c>
      <c r="E439" s="78" t="e">
        <f ca="1">INDEX(E$13:E$17, MATCH($B449, $B$13:$B$17, 0), 1)*$D$2*(1+RANDBETWEEN(-0.8, 0.8))</f>
        <v>#N/A</v>
      </c>
      <c r="F439" s="78" t="e">
        <f ca="1">INDEX(F$13:F$17, MATCH($B449, $B$13:$B$17, 0), 1)*$D$2*(1+RANDBETWEEN(-0.8, 0.8))</f>
        <v>#N/A</v>
      </c>
      <c r="G439" s="78" t="e">
        <f ca="1">INDEX(G$13:G$17, MATCH($B449, $B$13:$B$17, 0), 1)*$D$2*(1+RANDBETWEEN(-0.8, 0.8))</f>
        <v>#N/A</v>
      </c>
      <c r="H439" s="78" t="e">
        <f ca="1">INDEX(H$13:H$17, MATCH($B449, $B$13:$B$17, 0), 1)*$D$2*(1+RANDBETWEEN(-0.8, 0.8))</f>
        <v>#N/A</v>
      </c>
      <c r="I439" s="78" t="e">
        <f ca="1">INDEX(I$13:I$17, MATCH($B449, $B$13:$B$17, 0), 1)*$D$2*(1+RANDBETWEEN(-1, 1))</f>
        <v>#N/A</v>
      </c>
      <c r="J439" s="78" t="e">
        <f ca="1">INDEX(J$13:J$17, MATCH($B449, $B$13:$B$17, 0), 1)*$D$2*(1+RANDBETWEEN(-1, 1))</f>
        <v>#N/A</v>
      </c>
    </row>
    <row r="440" spans="2:10" x14ac:dyDescent="0.35">
      <c r="B440">
        <f t="shared" si="157"/>
        <v>2035</v>
      </c>
      <c r="C440">
        <f t="shared" ref="C440:D440" si="187">C428</f>
        <v>3</v>
      </c>
      <c r="D440">
        <f t="shared" si="187"/>
        <v>9</v>
      </c>
      <c r="E440" s="78" t="e">
        <f ca="1">INDEX(E$13:E$17, MATCH($B450, $B$13:$B$17, 0), 1)*$D$2*(1+RANDBETWEEN(-0.8, 0.8))</f>
        <v>#N/A</v>
      </c>
      <c r="F440" s="78" t="e">
        <f ca="1">INDEX(F$13:F$17, MATCH($B450, $B$13:$B$17, 0), 1)*$D$2*(1+RANDBETWEEN(-0.8, 0.8))</f>
        <v>#N/A</v>
      </c>
      <c r="G440" s="78" t="e">
        <f ca="1">INDEX(G$13:G$17, MATCH($B450, $B$13:$B$17, 0), 1)*$D$2*(1+RANDBETWEEN(-0.8, 0.8))</f>
        <v>#N/A</v>
      </c>
      <c r="H440" s="78" t="e">
        <f ca="1">INDEX(H$13:H$17, MATCH($B450, $B$13:$B$17, 0), 1)*$D$2*(1+RANDBETWEEN(-0.8, 0.8))</f>
        <v>#N/A</v>
      </c>
      <c r="I440" s="78" t="e">
        <f ca="1">INDEX(I$13:I$17, MATCH($B450, $B$13:$B$17, 0), 1)*$D$2*(1+RANDBETWEEN(-1, 1))</f>
        <v>#N/A</v>
      </c>
      <c r="J440" s="78" t="e">
        <f ca="1">INDEX(J$13:J$17, MATCH($B450, $B$13:$B$17, 0), 1)*$D$2*(1+RANDBETWEEN(-1, 1))</f>
        <v>#N/A</v>
      </c>
    </row>
    <row r="441" spans="2:10" x14ac:dyDescent="0.35">
      <c r="B441">
        <f t="shared" si="157"/>
        <v>2035</v>
      </c>
      <c r="C441">
        <f t="shared" ref="C441:D441" si="188">C429</f>
        <v>4</v>
      </c>
      <c r="D441">
        <f t="shared" si="188"/>
        <v>10</v>
      </c>
      <c r="E441" s="78" t="e">
        <f ca="1">INDEX(E$13:E$17, MATCH($B451, $B$13:$B$17, 0), 1)*$D$2*(1+RANDBETWEEN(-0.8, 0.8))</f>
        <v>#N/A</v>
      </c>
      <c r="F441" s="78" t="e">
        <f ca="1">INDEX(F$13:F$17, MATCH($B451, $B$13:$B$17, 0), 1)*$D$2*(1+RANDBETWEEN(-0.8, 0.8))</f>
        <v>#N/A</v>
      </c>
      <c r="G441" s="78" t="e">
        <f ca="1">INDEX(G$13:G$17, MATCH($B451, $B$13:$B$17, 0), 1)*$D$2*(1+RANDBETWEEN(-0.8, 0.8))</f>
        <v>#N/A</v>
      </c>
      <c r="H441" s="78" t="e">
        <f ca="1">INDEX(H$13:H$17, MATCH($B451, $B$13:$B$17, 0), 1)*$D$2*(1+RANDBETWEEN(-0.8, 0.8))</f>
        <v>#N/A</v>
      </c>
      <c r="I441" s="78" t="e">
        <f ca="1">INDEX(I$13:I$17, MATCH($B451, $B$13:$B$17, 0), 1)*$D$2*(1+RANDBETWEEN(-1, 1))</f>
        <v>#N/A</v>
      </c>
      <c r="J441" s="78" t="e">
        <f ca="1">INDEX(J$13:J$17, MATCH($B451, $B$13:$B$17, 0), 1)*$D$2*(1+RANDBETWEEN(-1, 1))</f>
        <v>#N/A</v>
      </c>
    </row>
    <row r="442" spans="2:10" x14ac:dyDescent="0.35">
      <c r="B442">
        <f t="shared" si="157"/>
        <v>2036</v>
      </c>
      <c r="C442">
        <f t="shared" ref="C442:D442" si="189">C430</f>
        <v>4</v>
      </c>
      <c r="D442">
        <f t="shared" si="189"/>
        <v>11</v>
      </c>
      <c r="E442" s="78" t="e">
        <f ca="1">INDEX(E$13:E$17, MATCH($B452, $B$13:$B$17, 0), 1)*$D$2*(1+RANDBETWEEN(-0.8, 0.8))</f>
        <v>#N/A</v>
      </c>
      <c r="F442" s="78" t="e">
        <f ca="1">INDEX(F$13:F$17, MATCH($B452, $B$13:$B$17, 0), 1)*$D$2*(1+RANDBETWEEN(-0.8, 0.8))</f>
        <v>#N/A</v>
      </c>
      <c r="G442" s="78" t="e">
        <f ca="1">INDEX(G$13:G$17, MATCH($B452, $B$13:$B$17, 0), 1)*$D$2*(1+RANDBETWEEN(-0.8, 0.8))</f>
        <v>#N/A</v>
      </c>
      <c r="H442" s="78" t="e">
        <f ca="1">INDEX(H$13:H$17, MATCH($B452, $B$13:$B$17, 0), 1)*$D$2*(1+RANDBETWEEN(-0.8, 0.8))</f>
        <v>#N/A</v>
      </c>
      <c r="I442" s="78" t="e">
        <f ca="1">INDEX(I$13:I$17, MATCH($B452, $B$13:$B$17, 0), 1)*$D$2*(1+RANDBETWEEN(-1, 1))</f>
        <v>#N/A</v>
      </c>
      <c r="J442" s="78" t="e">
        <f ca="1">INDEX(J$13:J$17, MATCH($B452, $B$13:$B$17, 0), 1)*$D$2*(1+RANDBETWEEN(-1, 1))</f>
        <v>#N/A</v>
      </c>
    </row>
    <row r="443" spans="2:10" x14ac:dyDescent="0.35">
      <c r="B443">
        <f t="shared" si="157"/>
        <v>2036</v>
      </c>
      <c r="C443">
        <f t="shared" ref="C443:D443" si="190">C431</f>
        <v>4</v>
      </c>
      <c r="D443">
        <f t="shared" si="190"/>
        <v>12</v>
      </c>
      <c r="E443" s="78" t="e">
        <f ca="1">INDEX(E$13:E$17, MATCH($B453, $B$13:$B$17, 0), 1)*$D$2*(1+RANDBETWEEN(-0.8, 0.8))</f>
        <v>#N/A</v>
      </c>
      <c r="F443" s="78" t="e">
        <f ca="1">INDEX(F$13:F$17, MATCH($B453, $B$13:$B$17, 0), 1)*$D$2*(1+RANDBETWEEN(-0.8, 0.8))</f>
        <v>#N/A</v>
      </c>
      <c r="G443" s="78" t="e">
        <f ca="1">INDEX(G$13:G$17, MATCH($B453, $B$13:$B$17, 0), 1)*$D$2*(1+RANDBETWEEN(-0.8, 0.8))</f>
        <v>#N/A</v>
      </c>
      <c r="H443" s="78" t="e">
        <f ca="1">INDEX(H$13:H$17, MATCH($B453, $B$13:$B$17, 0), 1)*$D$2*(1+RANDBETWEEN(-0.8, 0.8))</f>
        <v>#N/A</v>
      </c>
      <c r="I443" s="78" t="e">
        <f ca="1">INDEX(I$13:I$17, MATCH($B453, $B$13:$B$17, 0), 1)*$D$2*(1+RANDBETWEEN(-1, 1))</f>
        <v>#N/A</v>
      </c>
      <c r="J443" s="78" t="e">
        <f ca="1">INDEX(J$13:J$17, MATCH($B453, $B$13:$B$17, 0), 1)*$D$2*(1+RANDBETWEEN(-1, 1))</f>
        <v>#N/A</v>
      </c>
    </row>
    <row r="444" spans="2:10" x14ac:dyDescent="0.35">
      <c r="B444">
        <f t="shared" si="157"/>
        <v>2036</v>
      </c>
    </row>
    <row r="445" spans="2:10" x14ac:dyDescent="0.35">
      <c r="B445">
        <f t="shared" si="157"/>
        <v>2036</v>
      </c>
    </row>
    <row r="446" spans="2:10" x14ac:dyDescent="0.35">
      <c r="B446">
        <f t="shared" si="157"/>
        <v>2036</v>
      </c>
    </row>
    <row r="447" spans="2:10" x14ac:dyDescent="0.35">
      <c r="B447">
        <f t="shared" si="157"/>
        <v>2036</v>
      </c>
    </row>
    <row r="448" spans="2:10" x14ac:dyDescent="0.35">
      <c r="B448">
        <f t="shared" si="157"/>
        <v>2036</v>
      </c>
    </row>
    <row r="449" spans="2:2" x14ac:dyDescent="0.35">
      <c r="B449">
        <f t="shared" si="157"/>
        <v>2036</v>
      </c>
    </row>
    <row r="450" spans="2:2" x14ac:dyDescent="0.35">
      <c r="B450">
        <f t="shared" si="157"/>
        <v>2036</v>
      </c>
    </row>
    <row r="451" spans="2:2" x14ac:dyDescent="0.35">
      <c r="B451">
        <f t="shared" si="157"/>
        <v>2036</v>
      </c>
    </row>
    <row r="452" spans="2:2" x14ac:dyDescent="0.35">
      <c r="B452">
        <f t="shared" si="157"/>
        <v>2036</v>
      </c>
    </row>
    <row r="453" spans="2:2" x14ac:dyDescent="0.35">
      <c r="B453">
        <f t="shared" si="157"/>
        <v>2036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DC82-736E-4859-A9AD-C6747D5F3B9C}">
  <dimension ref="A1"/>
  <sheetViews>
    <sheetView workbookViewId="0">
      <selection activeCell="B4" sqref="B4:B5"/>
    </sheetView>
  </sheetViews>
  <sheetFormatPr baseColWidth="10" defaultRowHeight="14.5" x14ac:dyDescent="0.35"/>
  <cols>
    <col min="1" max="1" width="2.7265625" customWidth="1"/>
    <col min="2" max="2" width="14.6328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C279-A817-4B9D-A927-921903759DBC}">
  <sheetPr>
    <tabColor theme="9" tint="-0.499984740745262"/>
  </sheetPr>
  <dimension ref="A1"/>
  <sheetViews>
    <sheetView showGridLines="0" topLeftCell="G16" workbookViewId="0">
      <selection activeCell="T12" sqref="T12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56D1-DDB9-4F32-B972-520DE07A18B7}">
  <dimension ref="A1:G14"/>
  <sheetViews>
    <sheetView workbookViewId="0">
      <selection activeCell="F2" sqref="F2"/>
    </sheetView>
  </sheetViews>
  <sheetFormatPr baseColWidth="10" defaultRowHeight="14.5" x14ac:dyDescent="0.35"/>
  <sheetData>
    <row r="1" spans="1:7" ht="58" x14ac:dyDescent="0.35">
      <c r="A1" s="74" t="s">
        <v>73</v>
      </c>
      <c r="B1" s="74" t="s">
        <v>74</v>
      </c>
      <c r="C1" s="74" t="s">
        <v>75</v>
      </c>
      <c r="D1" s="74" t="s">
        <v>76</v>
      </c>
      <c r="E1" s="74" t="s">
        <v>77</v>
      </c>
      <c r="F1" s="74" t="s">
        <v>78</v>
      </c>
      <c r="G1" s="74" t="s">
        <v>79</v>
      </c>
    </row>
    <row r="2" spans="1:7" ht="101.5" x14ac:dyDescent="0.35">
      <c r="A2" s="76">
        <v>1</v>
      </c>
      <c r="B2" s="76" t="s">
        <v>80</v>
      </c>
      <c r="C2" s="75" t="s">
        <v>81</v>
      </c>
      <c r="D2" s="75" t="s">
        <v>82</v>
      </c>
      <c r="E2" s="75" t="s">
        <v>83</v>
      </c>
      <c r="F2" s="75" t="s">
        <v>84</v>
      </c>
      <c r="G2" s="75" t="s">
        <v>85</v>
      </c>
    </row>
    <row r="3" spans="1:7" ht="72.5" x14ac:dyDescent="0.35">
      <c r="A3" s="76">
        <v>2</v>
      </c>
      <c r="B3" s="76" t="s">
        <v>86</v>
      </c>
      <c r="C3" s="75" t="s">
        <v>87</v>
      </c>
      <c r="D3" s="75" t="s">
        <v>88</v>
      </c>
      <c r="E3" s="75" t="s">
        <v>89</v>
      </c>
      <c r="F3" s="75" t="s">
        <v>90</v>
      </c>
      <c r="G3" s="76" t="s">
        <v>91</v>
      </c>
    </row>
    <row r="4" spans="1:7" ht="72.5" x14ac:dyDescent="0.35">
      <c r="A4" s="76">
        <v>3</v>
      </c>
      <c r="B4" s="76" t="s">
        <v>92</v>
      </c>
      <c r="C4" s="75" t="s">
        <v>93</v>
      </c>
      <c r="D4" s="75" t="s">
        <v>94</v>
      </c>
      <c r="E4" s="75" t="s">
        <v>95</v>
      </c>
      <c r="F4" s="75" t="s">
        <v>96</v>
      </c>
      <c r="G4" s="75" t="s">
        <v>97</v>
      </c>
    </row>
    <row r="5" spans="1:7" ht="72.5" x14ac:dyDescent="0.35">
      <c r="A5" s="76">
        <v>4</v>
      </c>
      <c r="B5" s="76" t="s">
        <v>98</v>
      </c>
      <c r="C5" s="75" t="s">
        <v>99</v>
      </c>
      <c r="D5" s="75" t="s">
        <v>100</v>
      </c>
      <c r="E5" s="75" t="s">
        <v>101</v>
      </c>
      <c r="F5" s="75" t="s">
        <v>102</v>
      </c>
      <c r="G5" s="75" t="s">
        <v>103</v>
      </c>
    </row>
    <row r="6" spans="1:7" ht="72.5" x14ac:dyDescent="0.35">
      <c r="A6" s="76">
        <v>5</v>
      </c>
      <c r="B6" s="76" t="s">
        <v>104</v>
      </c>
      <c r="C6" s="75" t="s">
        <v>105</v>
      </c>
      <c r="D6" s="75" t="s">
        <v>106</v>
      </c>
      <c r="E6" s="75" t="s">
        <v>107</v>
      </c>
      <c r="F6" s="75" t="s">
        <v>108</v>
      </c>
      <c r="G6" s="75" t="s">
        <v>109</v>
      </c>
    </row>
    <row r="7" spans="1:7" ht="58" x14ac:dyDescent="0.35">
      <c r="A7" s="76">
        <v>6</v>
      </c>
      <c r="B7" s="76" t="s">
        <v>110</v>
      </c>
      <c r="C7" s="75" t="s">
        <v>111</v>
      </c>
      <c r="D7" s="75" t="s">
        <v>112</v>
      </c>
      <c r="E7" s="75" t="s">
        <v>113</v>
      </c>
      <c r="F7" s="75" t="s">
        <v>114</v>
      </c>
      <c r="G7" s="75" t="s">
        <v>115</v>
      </c>
    </row>
    <row r="8" spans="1:7" ht="58" x14ac:dyDescent="0.35">
      <c r="A8" s="76">
        <v>7</v>
      </c>
      <c r="B8" s="76" t="s">
        <v>116</v>
      </c>
      <c r="C8" s="75" t="s">
        <v>117</v>
      </c>
      <c r="D8" s="75" t="s">
        <v>118</v>
      </c>
      <c r="E8" s="75" t="s">
        <v>119</v>
      </c>
      <c r="F8" s="75" t="s">
        <v>120</v>
      </c>
      <c r="G8" s="76" t="s">
        <v>121</v>
      </c>
    </row>
    <row r="9" spans="1:7" ht="58" x14ac:dyDescent="0.35">
      <c r="A9" s="76">
        <v>8</v>
      </c>
      <c r="B9" s="76" t="s">
        <v>122</v>
      </c>
      <c r="C9" s="75" t="s">
        <v>123</v>
      </c>
      <c r="D9" s="75" t="s">
        <v>124</v>
      </c>
      <c r="E9" s="75" t="s">
        <v>125</v>
      </c>
      <c r="F9" s="75" t="s">
        <v>126</v>
      </c>
      <c r="G9" s="75" t="s">
        <v>127</v>
      </c>
    </row>
    <row r="10" spans="1:7" ht="43.5" x14ac:dyDescent="0.35">
      <c r="A10" s="76">
        <v>9</v>
      </c>
      <c r="B10" s="76" t="s">
        <v>128</v>
      </c>
      <c r="C10" s="75" t="s">
        <v>129</v>
      </c>
      <c r="D10" s="75" t="s">
        <v>130</v>
      </c>
      <c r="E10" s="75" t="s">
        <v>131</v>
      </c>
      <c r="F10" s="75" t="s">
        <v>132</v>
      </c>
      <c r="G10" s="75" t="s">
        <v>133</v>
      </c>
    </row>
    <row r="11" spans="1:7" ht="58" x14ac:dyDescent="0.35">
      <c r="A11" s="76">
        <v>10</v>
      </c>
      <c r="B11" s="76" t="s">
        <v>134</v>
      </c>
      <c r="C11" s="75" t="s">
        <v>135</v>
      </c>
      <c r="D11" s="75" t="s">
        <v>136</v>
      </c>
      <c r="E11" s="75" t="s">
        <v>137</v>
      </c>
      <c r="F11" s="75" t="s">
        <v>138</v>
      </c>
      <c r="G11" s="75" t="s">
        <v>139</v>
      </c>
    </row>
    <row r="12" spans="1:7" ht="72.5" x14ac:dyDescent="0.35">
      <c r="A12" s="76">
        <v>11</v>
      </c>
      <c r="B12" s="76" t="s">
        <v>140</v>
      </c>
      <c r="C12" s="75" t="s">
        <v>141</v>
      </c>
      <c r="D12" s="75" t="s">
        <v>142</v>
      </c>
      <c r="E12" s="75" t="s">
        <v>143</v>
      </c>
      <c r="F12" s="75" t="s">
        <v>144</v>
      </c>
      <c r="G12" s="75" t="s">
        <v>145</v>
      </c>
    </row>
    <row r="13" spans="1:7" ht="43.5" x14ac:dyDescent="0.35">
      <c r="A13" s="76">
        <v>12</v>
      </c>
      <c r="B13" s="76" t="s">
        <v>146</v>
      </c>
      <c r="C13" s="75" t="s">
        <v>147</v>
      </c>
      <c r="D13" s="75" t="s">
        <v>148</v>
      </c>
      <c r="E13" s="75" t="s">
        <v>149</v>
      </c>
      <c r="F13" s="75" t="s">
        <v>150</v>
      </c>
      <c r="G13" s="76" t="s">
        <v>151</v>
      </c>
    </row>
    <row r="14" spans="1:7" ht="43.5" x14ac:dyDescent="0.35">
      <c r="A14" s="76">
        <v>13</v>
      </c>
      <c r="B14" s="76" t="s">
        <v>152</v>
      </c>
      <c r="C14" s="75" t="s">
        <v>153</v>
      </c>
      <c r="D14" s="75" t="s">
        <v>154</v>
      </c>
      <c r="E14" s="75" t="s">
        <v>155</v>
      </c>
      <c r="F14" s="75" t="s">
        <v>156</v>
      </c>
      <c r="G14" s="75" t="s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9608A-74BA-4D61-B473-9FBEAA69BD8F}">
  <dimension ref="A1:AD947"/>
  <sheetViews>
    <sheetView workbookViewId="0">
      <pane xSplit="3" ySplit="4" topLeftCell="M5" activePane="bottomRight" state="frozen"/>
      <selection pane="topRight" activeCell="D1" sqref="D1"/>
      <selection pane="bottomLeft" activeCell="A5" sqref="A5"/>
      <selection pane="bottomRight" activeCell="X144" sqref="X144"/>
    </sheetView>
  </sheetViews>
  <sheetFormatPr baseColWidth="10" defaultRowHeight="14.5" x14ac:dyDescent="0.35"/>
  <cols>
    <col min="4" max="4" width="11.81640625" style="6" bestFit="1" customWidth="1"/>
    <col min="5" max="5" width="3.81640625" style="6" bestFit="1" customWidth="1"/>
    <col min="6" max="6" width="11.81640625" style="7" bestFit="1" customWidth="1"/>
    <col min="7" max="7" width="10.81640625" style="10" customWidth="1"/>
    <col min="8" max="8" width="10.81640625" style="8" customWidth="1"/>
    <col min="9" max="9" width="10.81640625" style="9" customWidth="1"/>
    <col min="10" max="10" width="11.81640625" style="12" bestFit="1" customWidth="1"/>
    <col min="11" max="12" width="11.81640625" style="6" bestFit="1" customWidth="1"/>
    <col min="13" max="13" width="6.81640625" style="12" bestFit="1" customWidth="1"/>
    <col min="14" max="14" width="11.81640625" style="6" bestFit="1" customWidth="1"/>
    <col min="15" max="15" width="6.81640625" style="7" bestFit="1" customWidth="1"/>
  </cols>
  <sheetData>
    <row r="1" spans="1:30" ht="14.5" customHeight="1" x14ac:dyDescent="0.35">
      <c r="D1" s="66" t="s">
        <v>3</v>
      </c>
      <c r="E1" s="67"/>
      <c r="F1" s="68"/>
      <c r="G1" s="66" t="s">
        <v>3</v>
      </c>
      <c r="H1" s="67"/>
      <c r="I1" s="68"/>
      <c r="J1" s="66" t="s">
        <v>3</v>
      </c>
      <c r="K1" s="67"/>
      <c r="L1" s="68"/>
      <c r="M1" s="66" t="s">
        <v>12</v>
      </c>
      <c r="N1" s="67"/>
      <c r="O1" s="68"/>
      <c r="P1" s="66" t="s">
        <v>60</v>
      </c>
      <c r="Q1" s="67"/>
      <c r="R1" s="68"/>
      <c r="S1" s="66" t="s">
        <v>165</v>
      </c>
      <c r="T1" s="67"/>
      <c r="U1" s="68"/>
      <c r="V1" s="66" t="s">
        <v>165</v>
      </c>
      <c r="W1" s="67"/>
      <c r="X1" s="68"/>
      <c r="Y1" s="66" t="s">
        <v>165</v>
      </c>
      <c r="Z1" s="67"/>
      <c r="AA1" s="68"/>
      <c r="AB1" s="66" t="s">
        <v>165</v>
      </c>
      <c r="AC1" s="67"/>
      <c r="AD1" s="68"/>
    </row>
    <row r="2" spans="1:30" ht="14.5" customHeight="1" x14ac:dyDescent="0.35">
      <c r="D2" s="66" t="s">
        <v>4</v>
      </c>
      <c r="E2" s="67"/>
      <c r="F2" s="68"/>
      <c r="G2" s="66" t="s">
        <v>9</v>
      </c>
      <c r="H2" s="67"/>
      <c r="I2" s="68"/>
      <c r="J2" s="66" t="s">
        <v>11</v>
      </c>
      <c r="K2" s="67"/>
      <c r="L2" s="68"/>
      <c r="M2" s="66" t="s">
        <v>13</v>
      </c>
      <c r="N2" s="67"/>
      <c r="O2" s="68"/>
      <c r="P2" s="66" t="s">
        <v>61</v>
      </c>
      <c r="Q2" s="67"/>
      <c r="R2" s="68"/>
      <c r="S2" s="66" t="s">
        <v>169</v>
      </c>
      <c r="T2" s="67"/>
      <c r="U2" s="68"/>
      <c r="V2" s="66" t="s">
        <v>167</v>
      </c>
      <c r="W2" s="67"/>
      <c r="X2" s="68"/>
      <c r="Y2" s="66" t="s">
        <v>168</v>
      </c>
      <c r="Z2" s="67"/>
      <c r="AA2" s="68"/>
      <c r="AB2" s="66" t="s">
        <v>166</v>
      </c>
      <c r="AC2" s="67"/>
      <c r="AD2" s="68"/>
    </row>
    <row r="3" spans="1:30" x14ac:dyDescent="0.35">
      <c r="D3" s="69" t="s">
        <v>5</v>
      </c>
      <c r="E3" s="70"/>
      <c r="F3" s="71"/>
      <c r="G3" s="69" t="s">
        <v>5</v>
      </c>
      <c r="H3" s="70"/>
      <c r="I3" s="71"/>
      <c r="J3" s="69" t="s">
        <v>5</v>
      </c>
      <c r="K3" s="70"/>
      <c r="L3" s="71"/>
      <c r="M3" s="69" t="s">
        <v>5</v>
      </c>
      <c r="N3" s="70"/>
      <c r="O3" s="71"/>
      <c r="P3" s="69" t="s">
        <v>5</v>
      </c>
      <c r="Q3" s="70"/>
      <c r="R3" s="71"/>
      <c r="S3" s="69" t="s">
        <v>5</v>
      </c>
      <c r="T3" s="70"/>
      <c r="U3" s="71"/>
      <c r="V3" s="69" t="s">
        <v>5</v>
      </c>
      <c r="W3" s="70"/>
      <c r="X3" s="71"/>
      <c r="Y3" s="69" t="s">
        <v>5</v>
      </c>
      <c r="Z3" s="70"/>
      <c r="AA3" s="71"/>
      <c r="AB3" s="69" t="s">
        <v>5</v>
      </c>
      <c r="AC3" s="70"/>
      <c r="AD3" s="71"/>
    </row>
    <row r="4" spans="1:30" x14ac:dyDescent="0.35">
      <c r="A4" s="1" t="s">
        <v>0</v>
      </c>
      <c r="B4" s="1" t="s">
        <v>1</v>
      </c>
      <c r="C4" s="1" t="s">
        <v>2</v>
      </c>
      <c r="D4" s="3" t="s">
        <v>6</v>
      </c>
      <c r="E4" s="4" t="s">
        <v>7</v>
      </c>
      <c r="F4" s="5" t="s">
        <v>8</v>
      </c>
      <c r="G4" s="3" t="s">
        <v>6</v>
      </c>
      <c r="H4" s="3" t="s">
        <v>7</v>
      </c>
      <c r="I4" s="5" t="s">
        <v>8</v>
      </c>
      <c r="J4" s="11" t="s">
        <v>6</v>
      </c>
      <c r="K4" s="3" t="s">
        <v>7</v>
      </c>
      <c r="L4" s="3" t="s">
        <v>8</v>
      </c>
      <c r="M4" s="11" t="s">
        <v>6</v>
      </c>
      <c r="N4" s="3" t="s">
        <v>7</v>
      </c>
      <c r="O4" s="5" t="s">
        <v>8</v>
      </c>
      <c r="P4" s="3" t="s">
        <v>6</v>
      </c>
      <c r="Q4" s="3" t="s">
        <v>7</v>
      </c>
      <c r="R4" s="5" t="s">
        <v>8</v>
      </c>
      <c r="S4" s="3" t="s">
        <v>6</v>
      </c>
      <c r="T4" s="3" t="s">
        <v>7</v>
      </c>
      <c r="U4" s="5" t="s">
        <v>8</v>
      </c>
      <c r="V4" s="3" t="s">
        <v>6</v>
      </c>
      <c r="W4" s="3" t="s">
        <v>7</v>
      </c>
      <c r="X4" s="5" t="s">
        <v>8</v>
      </c>
      <c r="Y4" s="3" t="s">
        <v>6</v>
      </c>
      <c r="Z4" s="3" t="s">
        <v>7</v>
      </c>
      <c r="AA4" s="5" t="s">
        <v>8</v>
      </c>
      <c r="AB4" s="3" t="s">
        <v>6</v>
      </c>
      <c r="AC4" s="3" t="s">
        <v>7</v>
      </c>
      <c r="AD4" s="5" t="s">
        <v>8</v>
      </c>
    </row>
    <row r="5" spans="1:30" x14ac:dyDescent="0.35">
      <c r="A5" s="2">
        <v>2002</v>
      </c>
      <c r="B5" s="2">
        <v>2</v>
      </c>
      <c r="C5" s="2">
        <v>5</v>
      </c>
      <c r="D5" s="6" t="s">
        <v>10</v>
      </c>
      <c r="E5" s="6" t="s">
        <v>10</v>
      </c>
      <c r="F5" s="6" t="s">
        <v>10</v>
      </c>
      <c r="G5" s="10">
        <v>7</v>
      </c>
      <c r="H5" s="8">
        <v>5</v>
      </c>
      <c r="I5" s="9">
        <v>6</v>
      </c>
      <c r="J5" s="12" t="s">
        <v>10</v>
      </c>
      <c r="K5" s="6" t="s">
        <v>10</v>
      </c>
      <c r="L5" s="6" t="s">
        <v>10</v>
      </c>
      <c r="M5" s="12" t="s">
        <v>10</v>
      </c>
      <c r="N5" s="6" t="s">
        <v>10</v>
      </c>
      <c r="O5" s="7" t="s">
        <v>10</v>
      </c>
      <c r="P5" s="12" t="s">
        <v>10</v>
      </c>
      <c r="Q5" s="6" t="s">
        <v>10</v>
      </c>
      <c r="R5" s="7" t="s">
        <v>10</v>
      </c>
      <c r="S5" s="8" t="s">
        <v>10</v>
      </c>
      <c r="T5" s="8" t="s">
        <v>10</v>
      </c>
      <c r="U5" s="9" t="s">
        <v>10</v>
      </c>
      <c r="V5" s="10">
        <v>34</v>
      </c>
      <c r="W5" s="8">
        <v>32</v>
      </c>
      <c r="X5" s="9">
        <v>33</v>
      </c>
      <c r="Y5" s="10" t="s">
        <v>10</v>
      </c>
      <c r="Z5" s="8" t="s">
        <v>10</v>
      </c>
      <c r="AA5" s="9" t="s">
        <v>10</v>
      </c>
      <c r="AB5" s="10" t="s">
        <v>10</v>
      </c>
      <c r="AC5" s="8" t="s">
        <v>10</v>
      </c>
      <c r="AD5" s="9" t="s">
        <v>10</v>
      </c>
    </row>
    <row r="6" spans="1:30" x14ac:dyDescent="0.35">
      <c r="A6" s="2">
        <v>2002</v>
      </c>
      <c r="B6" s="2">
        <v>2</v>
      </c>
      <c r="C6" s="2">
        <v>6</v>
      </c>
      <c r="D6" s="6" t="s">
        <v>10</v>
      </c>
      <c r="E6" s="6" t="s">
        <v>10</v>
      </c>
      <c r="F6" s="6" t="s">
        <v>10</v>
      </c>
      <c r="G6" s="10">
        <v>7</v>
      </c>
      <c r="H6" s="8">
        <v>5</v>
      </c>
      <c r="I6" s="9">
        <v>6</v>
      </c>
      <c r="J6" s="12" t="s">
        <v>10</v>
      </c>
      <c r="K6" s="6" t="s">
        <v>10</v>
      </c>
      <c r="L6" s="6" t="s">
        <v>10</v>
      </c>
      <c r="M6" s="12" t="s">
        <v>10</v>
      </c>
      <c r="N6" s="6" t="s">
        <v>10</v>
      </c>
      <c r="O6" s="7" t="s">
        <v>10</v>
      </c>
      <c r="P6" s="12" t="s">
        <v>10</v>
      </c>
      <c r="Q6" s="6" t="s">
        <v>10</v>
      </c>
      <c r="R6" s="7" t="s">
        <v>10</v>
      </c>
      <c r="S6" s="8" t="s">
        <v>10</v>
      </c>
      <c r="T6" s="8" t="s">
        <v>10</v>
      </c>
      <c r="U6" s="9" t="s">
        <v>10</v>
      </c>
      <c r="V6" s="10">
        <v>34</v>
      </c>
      <c r="W6" s="8">
        <v>32</v>
      </c>
      <c r="X6" s="9">
        <v>33</v>
      </c>
      <c r="Y6" s="10" t="s">
        <v>10</v>
      </c>
      <c r="Z6" s="8" t="s">
        <v>10</v>
      </c>
      <c r="AA6" s="9" t="s">
        <v>10</v>
      </c>
      <c r="AB6" s="10" t="s">
        <v>10</v>
      </c>
      <c r="AC6" s="8" t="s">
        <v>10</v>
      </c>
      <c r="AD6" s="9" t="s">
        <v>10</v>
      </c>
    </row>
    <row r="7" spans="1:30" x14ac:dyDescent="0.35">
      <c r="A7" s="2">
        <v>2002</v>
      </c>
      <c r="B7" s="2">
        <v>3</v>
      </c>
      <c r="C7" s="2">
        <v>7</v>
      </c>
      <c r="D7" s="6" t="s">
        <v>10</v>
      </c>
      <c r="E7" s="6" t="s">
        <v>10</v>
      </c>
      <c r="F7" s="6" t="s">
        <v>10</v>
      </c>
      <c r="G7" s="10">
        <v>9</v>
      </c>
      <c r="H7" s="8">
        <v>7</v>
      </c>
      <c r="I7" s="9">
        <v>8</v>
      </c>
      <c r="J7" s="12" t="s">
        <v>10</v>
      </c>
      <c r="K7" s="6" t="s">
        <v>10</v>
      </c>
      <c r="L7" s="6" t="s">
        <v>10</v>
      </c>
      <c r="M7" s="12" t="s">
        <v>10</v>
      </c>
      <c r="N7" s="6" t="s">
        <v>10</v>
      </c>
      <c r="O7" s="7" t="s">
        <v>10</v>
      </c>
      <c r="P7" s="12" t="s">
        <v>10</v>
      </c>
      <c r="Q7" s="6" t="s">
        <v>10</v>
      </c>
      <c r="R7" s="7" t="s">
        <v>10</v>
      </c>
      <c r="S7" s="8" t="s">
        <v>10</v>
      </c>
      <c r="T7" s="8" t="s">
        <v>10</v>
      </c>
      <c r="U7" s="9" t="s">
        <v>10</v>
      </c>
      <c r="V7" s="10">
        <v>39</v>
      </c>
      <c r="W7" s="8">
        <v>38</v>
      </c>
      <c r="X7" s="9">
        <v>39</v>
      </c>
      <c r="Y7" s="10" t="s">
        <v>10</v>
      </c>
      <c r="Z7" s="8" t="s">
        <v>10</v>
      </c>
      <c r="AA7" s="9" t="s">
        <v>10</v>
      </c>
      <c r="AB7" s="10" t="s">
        <v>10</v>
      </c>
      <c r="AC7" s="8" t="s">
        <v>10</v>
      </c>
      <c r="AD7" s="9" t="s">
        <v>10</v>
      </c>
    </row>
    <row r="8" spans="1:30" x14ac:dyDescent="0.35">
      <c r="A8" s="2">
        <v>2002</v>
      </c>
      <c r="B8" s="2">
        <v>3</v>
      </c>
      <c r="C8" s="2">
        <v>8</v>
      </c>
      <c r="D8" s="6" t="s">
        <v>10</v>
      </c>
      <c r="E8" s="6" t="s">
        <v>10</v>
      </c>
      <c r="F8" s="6" t="s">
        <v>10</v>
      </c>
      <c r="G8" s="10">
        <v>9</v>
      </c>
      <c r="H8" s="8">
        <v>7</v>
      </c>
      <c r="I8" s="9">
        <v>8</v>
      </c>
      <c r="J8" s="12" t="s">
        <v>10</v>
      </c>
      <c r="K8" s="6" t="s">
        <v>10</v>
      </c>
      <c r="L8" s="6" t="s">
        <v>10</v>
      </c>
      <c r="M8" s="12" t="s">
        <v>10</v>
      </c>
      <c r="N8" s="6" t="s">
        <v>10</v>
      </c>
      <c r="O8" s="7" t="s">
        <v>10</v>
      </c>
      <c r="P8" s="12" t="s">
        <v>10</v>
      </c>
      <c r="Q8" s="6" t="s">
        <v>10</v>
      </c>
      <c r="R8" s="7" t="s">
        <v>10</v>
      </c>
      <c r="S8" s="8" t="s">
        <v>10</v>
      </c>
      <c r="T8" s="8" t="s">
        <v>10</v>
      </c>
      <c r="U8" s="9" t="s">
        <v>10</v>
      </c>
      <c r="V8" s="10">
        <v>40</v>
      </c>
      <c r="W8" s="8">
        <v>37</v>
      </c>
      <c r="X8" s="9">
        <v>38.5</v>
      </c>
      <c r="Y8" s="10" t="s">
        <v>10</v>
      </c>
      <c r="Z8" s="8" t="s">
        <v>10</v>
      </c>
      <c r="AA8" s="9" t="s">
        <v>10</v>
      </c>
      <c r="AB8" s="10" t="s">
        <v>10</v>
      </c>
      <c r="AC8" s="8" t="s">
        <v>10</v>
      </c>
      <c r="AD8" s="9" t="s">
        <v>10</v>
      </c>
    </row>
    <row r="9" spans="1:30" x14ac:dyDescent="0.35">
      <c r="A9" s="2">
        <v>2002</v>
      </c>
      <c r="B9" s="2">
        <v>3</v>
      </c>
      <c r="C9" s="2">
        <v>9</v>
      </c>
      <c r="D9" s="6" t="s">
        <v>10</v>
      </c>
      <c r="E9" s="6" t="s">
        <v>10</v>
      </c>
      <c r="F9" s="6" t="s">
        <v>10</v>
      </c>
      <c r="G9" s="10">
        <v>9</v>
      </c>
      <c r="H9" s="8">
        <v>7</v>
      </c>
      <c r="I9" s="9">
        <v>8</v>
      </c>
      <c r="J9" s="12" t="s">
        <v>10</v>
      </c>
      <c r="K9" s="6" t="s">
        <v>10</v>
      </c>
      <c r="L9" s="6" t="s">
        <v>10</v>
      </c>
      <c r="M9" s="12" t="s">
        <v>10</v>
      </c>
      <c r="N9" s="6" t="s">
        <v>10</v>
      </c>
      <c r="O9" s="7" t="s">
        <v>10</v>
      </c>
      <c r="P9" s="12" t="s">
        <v>10</v>
      </c>
      <c r="Q9" s="6" t="s">
        <v>10</v>
      </c>
      <c r="R9" s="7" t="s">
        <v>10</v>
      </c>
      <c r="S9" s="8" t="s">
        <v>10</v>
      </c>
      <c r="T9" s="8" t="s">
        <v>10</v>
      </c>
      <c r="U9" s="9" t="s">
        <v>10</v>
      </c>
      <c r="V9" s="10">
        <v>40</v>
      </c>
      <c r="W9" s="8">
        <v>36</v>
      </c>
      <c r="X9" s="9">
        <v>38</v>
      </c>
      <c r="Y9" s="10" t="s">
        <v>10</v>
      </c>
      <c r="Z9" s="8" t="s">
        <v>10</v>
      </c>
      <c r="AA9" s="9" t="s">
        <v>10</v>
      </c>
      <c r="AB9" s="10" t="s">
        <v>10</v>
      </c>
      <c r="AC9" s="8" t="s">
        <v>10</v>
      </c>
      <c r="AD9" s="9" t="s">
        <v>10</v>
      </c>
    </row>
    <row r="10" spans="1:30" x14ac:dyDescent="0.35">
      <c r="A10" s="2">
        <v>2002</v>
      </c>
      <c r="B10" s="2">
        <v>4</v>
      </c>
      <c r="C10" s="2">
        <v>10</v>
      </c>
      <c r="D10" s="6" t="s">
        <v>10</v>
      </c>
      <c r="E10" s="6" t="s">
        <v>10</v>
      </c>
      <c r="F10" s="6" t="s">
        <v>10</v>
      </c>
      <c r="G10" s="10">
        <v>9</v>
      </c>
      <c r="H10" s="8">
        <v>7</v>
      </c>
      <c r="I10" s="9">
        <v>8</v>
      </c>
      <c r="J10" s="12" t="s">
        <v>10</v>
      </c>
      <c r="K10" s="6" t="s">
        <v>10</v>
      </c>
      <c r="L10" s="6" t="s">
        <v>10</v>
      </c>
      <c r="M10" s="12" t="s">
        <v>10</v>
      </c>
      <c r="N10" s="6" t="s">
        <v>10</v>
      </c>
      <c r="O10" s="7" t="s">
        <v>10</v>
      </c>
      <c r="P10" s="12" t="s">
        <v>10</v>
      </c>
      <c r="Q10" s="6" t="s">
        <v>10</v>
      </c>
      <c r="R10" s="7" t="s">
        <v>10</v>
      </c>
      <c r="S10" s="8" t="s">
        <v>10</v>
      </c>
      <c r="T10" s="8" t="s">
        <v>10</v>
      </c>
      <c r="U10" s="9" t="s">
        <v>10</v>
      </c>
      <c r="V10" s="10">
        <v>40</v>
      </c>
      <c r="W10" s="8">
        <v>36</v>
      </c>
      <c r="X10" s="9">
        <v>38</v>
      </c>
      <c r="Y10" s="10" t="s">
        <v>10</v>
      </c>
      <c r="Z10" s="8" t="s">
        <v>10</v>
      </c>
      <c r="AA10" s="9" t="s">
        <v>10</v>
      </c>
      <c r="AB10" s="10" t="s">
        <v>10</v>
      </c>
      <c r="AC10" s="8" t="s">
        <v>10</v>
      </c>
      <c r="AD10" s="9" t="s">
        <v>10</v>
      </c>
    </row>
    <row r="11" spans="1:30" x14ac:dyDescent="0.35">
      <c r="A11" s="2">
        <v>2002</v>
      </c>
      <c r="B11" s="2">
        <v>4</v>
      </c>
      <c r="C11" s="2">
        <v>11</v>
      </c>
      <c r="D11" s="6" t="s">
        <v>10</v>
      </c>
      <c r="E11" s="6" t="s">
        <v>10</v>
      </c>
      <c r="F11" s="6" t="s">
        <v>10</v>
      </c>
      <c r="G11" s="10">
        <v>15</v>
      </c>
      <c r="H11" s="8">
        <v>7</v>
      </c>
      <c r="I11" s="9">
        <v>11</v>
      </c>
      <c r="J11" s="12" t="s">
        <v>10</v>
      </c>
      <c r="K11" s="6" t="s">
        <v>10</v>
      </c>
      <c r="L11" s="6" t="s">
        <v>10</v>
      </c>
      <c r="M11" s="12" t="s">
        <v>10</v>
      </c>
      <c r="N11" s="6" t="s">
        <v>10</v>
      </c>
      <c r="O11" s="7" t="s">
        <v>10</v>
      </c>
      <c r="P11" s="12" t="s">
        <v>10</v>
      </c>
      <c r="Q11" s="6" t="s">
        <v>10</v>
      </c>
      <c r="R11" s="7" t="s">
        <v>10</v>
      </c>
      <c r="S11" s="8" t="s">
        <v>10</v>
      </c>
      <c r="T11" s="8" t="s">
        <v>10</v>
      </c>
      <c r="U11" s="9" t="s">
        <v>10</v>
      </c>
      <c r="V11" s="10">
        <v>40</v>
      </c>
      <c r="W11" s="8">
        <v>38</v>
      </c>
      <c r="X11" s="9">
        <v>39</v>
      </c>
      <c r="Y11" s="10" t="s">
        <v>10</v>
      </c>
      <c r="Z11" s="8" t="s">
        <v>10</v>
      </c>
      <c r="AA11" s="9" t="s">
        <v>10</v>
      </c>
      <c r="AB11" s="10" t="s">
        <v>10</v>
      </c>
      <c r="AC11" s="8" t="s">
        <v>10</v>
      </c>
      <c r="AD11" s="9" t="s">
        <v>10</v>
      </c>
    </row>
    <row r="12" spans="1:30" x14ac:dyDescent="0.35">
      <c r="A12" s="2">
        <v>2002</v>
      </c>
      <c r="B12" s="2">
        <v>4</v>
      </c>
      <c r="C12" s="2">
        <v>12</v>
      </c>
      <c r="D12" s="6" t="s">
        <v>10</v>
      </c>
      <c r="E12" s="6" t="s">
        <v>10</v>
      </c>
      <c r="F12" s="6" t="s">
        <v>10</v>
      </c>
      <c r="G12" s="10">
        <v>15</v>
      </c>
      <c r="H12" s="8">
        <v>7</v>
      </c>
      <c r="I12" s="9">
        <v>11</v>
      </c>
      <c r="J12" s="12" t="s">
        <v>10</v>
      </c>
      <c r="K12" s="6" t="s">
        <v>10</v>
      </c>
      <c r="L12" s="6" t="s">
        <v>10</v>
      </c>
      <c r="M12" s="12" t="s">
        <v>10</v>
      </c>
      <c r="N12" s="6" t="s">
        <v>10</v>
      </c>
      <c r="O12" s="7" t="s">
        <v>10</v>
      </c>
      <c r="P12" s="12" t="s">
        <v>10</v>
      </c>
      <c r="Q12" s="6" t="s">
        <v>10</v>
      </c>
      <c r="R12" s="7" t="s">
        <v>10</v>
      </c>
      <c r="S12" s="8" t="s">
        <v>10</v>
      </c>
      <c r="T12" s="8" t="s">
        <v>10</v>
      </c>
      <c r="U12" s="9" t="s">
        <v>10</v>
      </c>
      <c r="V12" s="10">
        <v>40</v>
      </c>
      <c r="W12" s="8">
        <v>38</v>
      </c>
      <c r="X12" s="9">
        <v>39</v>
      </c>
      <c r="Y12" s="10" t="s">
        <v>10</v>
      </c>
      <c r="Z12" s="8" t="s">
        <v>10</v>
      </c>
      <c r="AA12" s="9" t="s">
        <v>10</v>
      </c>
      <c r="AB12" s="10" t="s">
        <v>10</v>
      </c>
      <c r="AC12" s="8" t="s">
        <v>10</v>
      </c>
      <c r="AD12" s="9" t="s">
        <v>10</v>
      </c>
    </row>
    <row r="13" spans="1:30" x14ac:dyDescent="0.35">
      <c r="A13" s="2">
        <v>2003</v>
      </c>
      <c r="B13" s="2">
        <v>1</v>
      </c>
      <c r="C13" s="2">
        <v>1</v>
      </c>
      <c r="D13" s="6" t="s">
        <v>10</v>
      </c>
      <c r="E13" s="6" t="s">
        <v>10</v>
      </c>
      <c r="F13" s="6" t="s">
        <v>10</v>
      </c>
      <c r="G13" s="10">
        <v>15</v>
      </c>
      <c r="H13" s="8">
        <v>8</v>
      </c>
      <c r="I13" s="9">
        <v>11.666666666666666</v>
      </c>
      <c r="J13" s="12" t="s">
        <v>10</v>
      </c>
      <c r="K13" s="6" t="s">
        <v>10</v>
      </c>
      <c r="L13" s="6" t="s">
        <v>10</v>
      </c>
      <c r="M13" s="12" t="s">
        <v>10</v>
      </c>
      <c r="N13" s="6" t="s">
        <v>10</v>
      </c>
      <c r="O13" s="7" t="s">
        <v>10</v>
      </c>
      <c r="P13" s="12" t="s">
        <v>10</v>
      </c>
      <c r="Q13" s="6" t="s">
        <v>10</v>
      </c>
      <c r="R13" s="7" t="s">
        <v>10</v>
      </c>
      <c r="S13" s="8" t="s">
        <v>10</v>
      </c>
      <c r="T13" s="8" t="s">
        <v>10</v>
      </c>
      <c r="U13" s="9" t="s">
        <v>10</v>
      </c>
      <c r="V13" s="10">
        <v>62.666666666666664</v>
      </c>
      <c r="W13" s="8">
        <v>51.333333333333336</v>
      </c>
      <c r="X13" s="9">
        <v>57.333333333333336</v>
      </c>
      <c r="Y13" s="10" t="s">
        <v>10</v>
      </c>
      <c r="Z13" s="8" t="s">
        <v>10</v>
      </c>
      <c r="AA13" s="9" t="s">
        <v>10</v>
      </c>
      <c r="AB13" s="10" t="s">
        <v>10</v>
      </c>
      <c r="AC13" s="8" t="s">
        <v>10</v>
      </c>
      <c r="AD13" s="9" t="s">
        <v>10</v>
      </c>
    </row>
    <row r="14" spans="1:30" x14ac:dyDescent="0.35">
      <c r="A14" s="2">
        <v>2003</v>
      </c>
      <c r="B14" s="2">
        <v>1</v>
      </c>
      <c r="C14" s="2">
        <v>2</v>
      </c>
      <c r="D14" s="6" t="s">
        <v>10</v>
      </c>
      <c r="E14" s="6" t="s">
        <v>10</v>
      </c>
      <c r="F14" s="6" t="s">
        <v>10</v>
      </c>
      <c r="G14" s="10">
        <v>15</v>
      </c>
      <c r="H14" s="8">
        <v>10</v>
      </c>
      <c r="I14" s="9">
        <v>13</v>
      </c>
      <c r="J14" s="12" t="s">
        <v>10</v>
      </c>
      <c r="K14" s="6" t="s">
        <v>10</v>
      </c>
      <c r="L14" s="6" t="s">
        <v>10</v>
      </c>
      <c r="M14" s="12" t="s">
        <v>10</v>
      </c>
      <c r="N14" s="6" t="s">
        <v>10</v>
      </c>
      <c r="O14" s="7" t="s">
        <v>10</v>
      </c>
      <c r="P14" s="12" t="s">
        <v>10</v>
      </c>
      <c r="Q14" s="6" t="s">
        <v>10</v>
      </c>
      <c r="R14" s="7" t="s">
        <v>10</v>
      </c>
      <c r="S14" s="8" t="s">
        <v>10</v>
      </c>
      <c r="T14" s="8" t="s">
        <v>10</v>
      </c>
      <c r="U14" s="9" t="s">
        <v>10</v>
      </c>
      <c r="V14" s="10">
        <v>63</v>
      </c>
      <c r="W14" s="8">
        <v>58</v>
      </c>
      <c r="X14" s="9">
        <v>61</v>
      </c>
      <c r="Y14" s="10" t="s">
        <v>10</v>
      </c>
      <c r="Z14" s="8" t="s">
        <v>10</v>
      </c>
      <c r="AA14" s="9" t="s">
        <v>10</v>
      </c>
      <c r="AB14" s="10" t="s">
        <v>10</v>
      </c>
      <c r="AC14" s="8" t="s">
        <v>10</v>
      </c>
      <c r="AD14" s="9" t="s">
        <v>10</v>
      </c>
    </row>
    <row r="15" spans="1:30" x14ac:dyDescent="0.35">
      <c r="A15" s="2">
        <v>2003</v>
      </c>
      <c r="B15" s="2">
        <v>1</v>
      </c>
      <c r="C15" s="2">
        <v>3</v>
      </c>
      <c r="D15" s="6" t="s">
        <v>10</v>
      </c>
      <c r="E15" s="6" t="s">
        <v>10</v>
      </c>
      <c r="F15" s="6" t="s">
        <v>10</v>
      </c>
      <c r="G15" s="10">
        <v>15</v>
      </c>
      <c r="H15" s="8">
        <v>10</v>
      </c>
      <c r="I15" s="9">
        <v>13</v>
      </c>
      <c r="J15" s="12" t="s">
        <v>10</v>
      </c>
      <c r="K15" s="6" t="s">
        <v>10</v>
      </c>
      <c r="L15" s="6" t="s">
        <v>10</v>
      </c>
      <c r="M15" s="12" t="s">
        <v>10</v>
      </c>
      <c r="N15" s="6" t="s">
        <v>10</v>
      </c>
      <c r="O15" s="7" t="s">
        <v>10</v>
      </c>
      <c r="P15" s="12" t="s">
        <v>10</v>
      </c>
      <c r="Q15" s="6" t="s">
        <v>10</v>
      </c>
      <c r="R15" s="7" t="s">
        <v>10</v>
      </c>
      <c r="S15" s="8" t="s">
        <v>10</v>
      </c>
      <c r="T15" s="8" t="s">
        <v>10</v>
      </c>
      <c r="U15" s="9" t="s">
        <v>10</v>
      </c>
      <c r="V15" s="10">
        <v>63</v>
      </c>
      <c r="W15" s="8">
        <v>61</v>
      </c>
      <c r="X15" s="9">
        <v>62</v>
      </c>
      <c r="Y15" s="10" t="s">
        <v>10</v>
      </c>
      <c r="Z15" s="8" t="s">
        <v>10</v>
      </c>
      <c r="AA15" s="9" t="s">
        <v>10</v>
      </c>
      <c r="AB15" s="10" t="s">
        <v>10</v>
      </c>
      <c r="AC15" s="8" t="s">
        <v>10</v>
      </c>
      <c r="AD15" s="9" t="s">
        <v>10</v>
      </c>
    </row>
    <row r="16" spans="1:30" x14ac:dyDescent="0.35">
      <c r="A16" s="2">
        <v>2003</v>
      </c>
      <c r="B16" s="2">
        <v>2</v>
      </c>
      <c r="C16" s="2">
        <v>4</v>
      </c>
      <c r="D16" s="6" t="s">
        <v>10</v>
      </c>
      <c r="E16" s="6" t="s">
        <v>10</v>
      </c>
      <c r="F16" s="6" t="s">
        <v>10</v>
      </c>
      <c r="G16" s="10">
        <v>15</v>
      </c>
      <c r="H16" s="8">
        <v>10</v>
      </c>
      <c r="I16" s="9">
        <v>13</v>
      </c>
      <c r="J16" s="12" t="s">
        <v>10</v>
      </c>
      <c r="K16" s="6" t="s">
        <v>10</v>
      </c>
      <c r="L16" s="6" t="s">
        <v>10</v>
      </c>
      <c r="M16" s="12" t="s">
        <v>10</v>
      </c>
      <c r="N16" s="6" t="s">
        <v>10</v>
      </c>
      <c r="O16" s="7" t="s">
        <v>10</v>
      </c>
      <c r="P16" s="12" t="s">
        <v>10</v>
      </c>
      <c r="Q16" s="6" t="s">
        <v>10</v>
      </c>
      <c r="R16" s="7" t="s">
        <v>10</v>
      </c>
      <c r="S16" s="8" t="s">
        <v>10</v>
      </c>
      <c r="T16" s="8" t="s">
        <v>10</v>
      </c>
      <c r="U16" s="9" t="s">
        <v>10</v>
      </c>
      <c r="V16" s="10">
        <v>63</v>
      </c>
      <c r="W16" s="8">
        <v>61</v>
      </c>
      <c r="X16" s="9">
        <v>62</v>
      </c>
      <c r="Y16" s="10">
        <v>63</v>
      </c>
      <c r="Z16" s="8">
        <v>55</v>
      </c>
      <c r="AA16" s="9">
        <v>59</v>
      </c>
      <c r="AB16" s="10" t="s">
        <v>10</v>
      </c>
      <c r="AC16" s="8" t="s">
        <v>10</v>
      </c>
      <c r="AD16" s="9" t="s">
        <v>10</v>
      </c>
    </row>
    <row r="17" spans="1:30" x14ac:dyDescent="0.35">
      <c r="A17" s="2">
        <v>2003</v>
      </c>
      <c r="B17" s="2">
        <v>2</v>
      </c>
      <c r="C17" s="2">
        <v>5</v>
      </c>
      <c r="D17" s="6" t="s">
        <v>10</v>
      </c>
      <c r="E17" s="6" t="s">
        <v>10</v>
      </c>
      <c r="F17" s="6" t="s">
        <v>10</v>
      </c>
      <c r="G17" s="10">
        <v>15</v>
      </c>
      <c r="H17" s="8">
        <v>10</v>
      </c>
      <c r="I17" s="9">
        <v>13</v>
      </c>
      <c r="J17" s="12" t="s">
        <v>10</v>
      </c>
      <c r="K17" s="6" t="s">
        <v>10</v>
      </c>
      <c r="L17" s="6" t="s">
        <v>10</v>
      </c>
      <c r="M17" s="12" t="s">
        <v>10</v>
      </c>
      <c r="N17" s="6" t="s">
        <v>10</v>
      </c>
      <c r="O17" s="7" t="s">
        <v>10</v>
      </c>
      <c r="P17" s="12" t="s">
        <v>10</v>
      </c>
      <c r="Q17" s="6" t="s">
        <v>10</v>
      </c>
      <c r="R17" s="7" t="s">
        <v>10</v>
      </c>
      <c r="S17" s="8" t="s">
        <v>10</v>
      </c>
      <c r="T17" s="8" t="s">
        <v>10</v>
      </c>
      <c r="U17" s="9" t="s">
        <v>10</v>
      </c>
      <c r="V17" s="10">
        <v>63</v>
      </c>
      <c r="W17" s="8">
        <v>61</v>
      </c>
      <c r="X17" s="9">
        <v>62</v>
      </c>
      <c r="Y17" s="10">
        <v>63</v>
      </c>
      <c r="Z17" s="8">
        <v>55</v>
      </c>
      <c r="AA17" s="9">
        <v>59</v>
      </c>
      <c r="AB17" s="10" t="s">
        <v>10</v>
      </c>
      <c r="AC17" s="8" t="s">
        <v>10</v>
      </c>
      <c r="AD17" s="9" t="s">
        <v>10</v>
      </c>
    </row>
    <row r="18" spans="1:30" x14ac:dyDescent="0.35">
      <c r="A18" s="2">
        <v>2003</v>
      </c>
      <c r="B18" s="2">
        <v>2</v>
      </c>
      <c r="C18" s="2">
        <v>6</v>
      </c>
      <c r="D18" s="6" t="s">
        <v>10</v>
      </c>
      <c r="E18" s="6" t="s">
        <v>10</v>
      </c>
      <c r="F18" s="6" t="s">
        <v>10</v>
      </c>
      <c r="G18" s="10">
        <v>19.5</v>
      </c>
      <c r="H18" s="8">
        <v>15</v>
      </c>
      <c r="I18" s="9">
        <v>17.5</v>
      </c>
      <c r="J18" s="12" t="s">
        <v>10</v>
      </c>
      <c r="K18" s="6" t="s">
        <v>10</v>
      </c>
      <c r="L18" s="6" t="s">
        <v>10</v>
      </c>
      <c r="M18" s="12" t="s">
        <v>10</v>
      </c>
      <c r="N18" s="6" t="s">
        <v>10</v>
      </c>
      <c r="O18" s="7" t="s">
        <v>10</v>
      </c>
      <c r="P18" s="10">
        <v>65</v>
      </c>
      <c r="Q18" s="8">
        <v>61</v>
      </c>
      <c r="R18" s="9">
        <v>63</v>
      </c>
      <c r="S18" s="8" t="s">
        <v>10</v>
      </c>
      <c r="T18" s="8" t="s">
        <v>10</v>
      </c>
      <c r="U18" s="9" t="s">
        <v>10</v>
      </c>
      <c r="V18" s="10">
        <v>63</v>
      </c>
      <c r="W18" s="8">
        <v>61</v>
      </c>
      <c r="X18" s="9">
        <v>62</v>
      </c>
      <c r="Y18" s="10">
        <v>63</v>
      </c>
      <c r="Z18" s="8">
        <v>55</v>
      </c>
      <c r="AA18" s="9">
        <v>59</v>
      </c>
      <c r="AB18" s="10" t="s">
        <v>10</v>
      </c>
      <c r="AC18" s="8" t="s">
        <v>10</v>
      </c>
      <c r="AD18" s="9" t="s">
        <v>10</v>
      </c>
    </row>
    <row r="19" spans="1:30" x14ac:dyDescent="0.35">
      <c r="A19" s="2">
        <v>2003</v>
      </c>
      <c r="B19" s="2">
        <v>3</v>
      </c>
      <c r="C19" s="2">
        <v>7</v>
      </c>
      <c r="D19" s="6" t="s">
        <v>10</v>
      </c>
      <c r="E19" s="6" t="s">
        <v>10</v>
      </c>
      <c r="F19" s="6" t="s">
        <v>10</v>
      </c>
      <c r="G19" s="10">
        <v>24</v>
      </c>
      <c r="H19" s="8">
        <v>20</v>
      </c>
      <c r="I19" s="9">
        <v>22</v>
      </c>
      <c r="J19" s="12" t="s">
        <v>10</v>
      </c>
      <c r="K19" s="6" t="s">
        <v>10</v>
      </c>
      <c r="L19" s="6" t="s">
        <v>10</v>
      </c>
      <c r="M19" s="12" t="s">
        <v>10</v>
      </c>
      <c r="N19" s="6" t="s">
        <v>10</v>
      </c>
      <c r="O19" s="7" t="s">
        <v>10</v>
      </c>
      <c r="P19" s="10">
        <v>60.666666666666664</v>
      </c>
      <c r="Q19" s="8">
        <v>57</v>
      </c>
      <c r="R19" s="9">
        <v>59</v>
      </c>
      <c r="S19" s="8" t="s">
        <v>10</v>
      </c>
      <c r="T19" s="8" t="s">
        <v>10</v>
      </c>
      <c r="U19" s="9" t="s">
        <v>10</v>
      </c>
      <c r="V19" s="10">
        <v>66.333333333333329</v>
      </c>
      <c r="W19" s="8">
        <v>62.333333333333336</v>
      </c>
      <c r="X19" s="9">
        <v>64.333333333333329</v>
      </c>
      <c r="Y19" s="10">
        <v>70.333333333333329</v>
      </c>
      <c r="Z19" s="8">
        <v>61.666666666666664</v>
      </c>
      <c r="AA19" s="9">
        <v>66.333333333333329</v>
      </c>
      <c r="AB19" s="10" t="s">
        <v>10</v>
      </c>
      <c r="AC19" s="8" t="s">
        <v>10</v>
      </c>
      <c r="AD19" s="9" t="s">
        <v>10</v>
      </c>
    </row>
    <row r="20" spans="1:30" x14ac:dyDescent="0.35">
      <c r="A20" s="2">
        <v>2003</v>
      </c>
      <c r="B20" s="2">
        <v>3</v>
      </c>
      <c r="C20" s="2">
        <v>8</v>
      </c>
      <c r="D20" s="6" t="s">
        <v>10</v>
      </c>
      <c r="E20" s="6" t="s">
        <v>10</v>
      </c>
      <c r="F20" s="6" t="s">
        <v>10</v>
      </c>
      <c r="G20" s="10">
        <v>24</v>
      </c>
      <c r="H20" s="8">
        <v>20</v>
      </c>
      <c r="I20" s="9">
        <v>22</v>
      </c>
      <c r="J20" s="12" t="s">
        <v>10</v>
      </c>
      <c r="K20" s="6" t="s">
        <v>10</v>
      </c>
      <c r="L20" s="6" t="s">
        <v>10</v>
      </c>
      <c r="M20" s="12" t="s">
        <v>10</v>
      </c>
      <c r="N20" s="6" t="s">
        <v>10</v>
      </c>
      <c r="O20" s="7" t="s">
        <v>10</v>
      </c>
      <c r="P20" s="10">
        <v>59</v>
      </c>
      <c r="Q20" s="8">
        <v>56.5</v>
      </c>
      <c r="R20" s="9">
        <v>58</v>
      </c>
      <c r="S20" s="8" t="s">
        <v>10</v>
      </c>
      <c r="T20" s="8" t="s">
        <v>10</v>
      </c>
      <c r="U20" s="9" t="s">
        <v>10</v>
      </c>
      <c r="V20" s="10">
        <v>73</v>
      </c>
      <c r="W20" s="8">
        <v>65</v>
      </c>
      <c r="X20" s="9">
        <v>69</v>
      </c>
      <c r="Y20" s="10">
        <v>74</v>
      </c>
      <c r="Z20" s="8">
        <v>65</v>
      </c>
      <c r="AA20" s="9">
        <v>70</v>
      </c>
      <c r="AB20" s="10" t="s">
        <v>10</v>
      </c>
      <c r="AC20" s="8" t="s">
        <v>10</v>
      </c>
      <c r="AD20" s="9" t="s">
        <v>10</v>
      </c>
    </row>
    <row r="21" spans="1:30" x14ac:dyDescent="0.35">
      <c r="A21" s="2">
        <v>2003</v>
      </c>
      <c r="B21" s="2">
        <v>3</v>
      </c>
      <c r="C21" s="2">
        <v>9</v>
      </c>
      <c r="D21" s="6" t="s">
        <v>10</v>
      </c>
      <c r="E21" s="6" t="s">
        <v>10</v>
      </c>
      <c r="F21" s="6" t="s">
        <v>10</v>
      </c>
      <c r="G21" s="10">
        <v>24</v>
      </c>
      <c r="H21" s="8">
        <v>20</v>
      </c>
      <c r="I21" s="9">
        <v>22</v>
      </c>
      <c r="J21" s="12" t="s">
        <v>10</v>
      </c>
      <c r="K21" s="6" t="s">
        <v>10</v>
      </c>
      <c r="L21" s="6" t="s">
        <v>10</v>
      </c>
      <c r="M21" s="12" t="s">
        <v>10</v>
      </c>
      <c r="N21" s="6" t="s">
        <v>10</v>
      </c>
      <c r="O21" s="7" t="s">
        <v>10</v>
      </c>
      <c r="P21" s="10">
        <v>61.5</v>
      </c>
      <c r="Q21" s="8">
        <v>61</v>
      </c>
      <c r="R21" s="9">
        <v>61.5</v>
      </c>
      <c r="S21" s="8" t="s">
        <v>10</v>
      </c>
      <c r="T21" s="8" t="s">
        <v>10</v>
      </c>
      <c r="U21" s="9" t="s">
        <v>10</v>
      </c>
      <c r="V21" s="10">
        <v>73</v>
      </c>
      <c r="W21" s="8">
        <v>65</v>
      </c>
      <c r="X21" s="9">
        <v>69</v>
      </c>
      <c r="Y21" s="10">
        <v>74</v>
      </c>
      <c r="Z21" s="8">
        <v>65</v>
      </c>
      <c r="AA21" s="9">
        <v>70</v>
      </c>
      <c r="AB21" s="10" t="s">
        <v>10</v>
      </c>
      <c r="AC21" s="8" t="s">
        <v>10</v>
      </c>
      <c r="AD21" s="9" t="s">
        <v>10</v>
      </c>
    </row>
    <row r="22" spans="1:30" x14ac:dyDescent="0.35">
      <c r="A22" s="2">
        <v>2003</v>
      </c>
      <c r="B22" s="2">
        <v>4</v>
      </c>
      <c r="C22" s="2">
        <v>10</v>
      </c>
      <c r="D22" s="6" t="s">
        <v>10</v>
      </c>
      <c r="E22" s="6" t="s">
        <v>10</v>
      </c>
      <c r="F22" s="6" t="s">
        <v>10</v>
      </c>
      <c r="G22" s="10">
        <v>30</v>
      </c>
      <c r="H22" s="8">
        <v>25</v>
      </c>
      <c r="I22" s="9">
        <v>28</v>
      </c>
      <c r="J22" s="12" t="s">
        <v>10</v>
      </c>
      <c r="K22" s="6" t="s">
        <v>10</v>
      </c>
      <c r="L22" s="6" t="s">
        <v>10</v>
      </c>
      <c r="M22" s="12" t="s">
        <v>10</v>
      </c>
      <c r="N22" s="6" t="s">
        <v>10</v>
      </c>
      <c r="O22" s="7" t="s">
        <v>10</v>
      </c>
      <c r="P22" s="10">
        <v>63</v>
      </c>
      <c r="Q22" s="8">
        <v>62</v>
      </c>
      <c r="R22" s="9">
        <v>63</v>
      </c>
      <c r="S22" s="8" t="s">
        <v>10</v>
      </c>
      <c r="T22" s="8" t="s">
        <v>10</v>
      </c>
      <c r="U22" s="9" t="s">
        <v>10</v>
      </c>
      <c r="V22" s="10">
        <v>73</v>
      </c>
      <c r="W22" s="8">
        <v>68</v>
      </c>
      <c r="X22" s="9">
        <v>70.5</v>
      </c>
      <c r="Y22" s="10">
        <v>73</v>
      </c>
      <c r="Z22" s="8">
        <v>65</v>
      </c>
      <c r="AA22" s="9">
        <v>69</v>
      </c>
      <c r="AB22" s="10" t="s">
        <v>10</v>
      </c>
      <c r="AC22" s="8" t="s">
        <v>10</v>
      </c>
      <c r="AD22" s="9" t="s">
        <v>10</v>
      </c>
    </row>
    <row r="23" spans="1:30" x14ac:dyDescent="0.35">
      <c r="A23" s="2">
        <v>2003</v>
      </c>
      <c r="B23" s="2">
        <v>4</v>
      </c>
      <c r="C23" s="2">
        <v>11</v>
      </c>
      <c r="D23" s="6" t="s">
        <v>10</v>
      </c>
      <c r="E23" s="6" t="s">
        <v>10</v>
      </c>
      <c r="F23" s="6" t="s">
        <v>10</v>
      </c>
      <c r="G23" s="10">
        <v>30</v>
      </c>
      <c r="H23" s="8">
        <v>25</v>
      </c>
      <c r="I23" s="9">
        <v>28</v>
      </c>
      <c r="J23" s="12" t="s">
        <v>10</v>
      </c>
      <c r="K23" s="6" t="s">
        <v>10</v>
      </c>
      <c r="L23" s="6" t="s">
        <v>10</v>
      </c>
      <c r="M23" s="12" t="s">
        <v>10</v>
      </c>
      <c r="N23" s="6" t="s">
        <v>10</v>
      </c>
      <c r="O23" s="7" t="s">
        <v>10</v>
      </c>
      <c r="P23" s="10">
        <v>69</v>
      </c>
      <c r="Q23" s="8">
        <v>67</v>
      </c>
      <c r="R23" s="9">
        <v>68</v>
      </c>
      <c r="S23" s="8" t="s">
        <v>10</v>
      </c>
      <c r="T23" s="8" t="s">
        <v>10</v>
      </c>
      <c r="U23" s="9" t="s">
        <v>10</v>
      </c>
      <c r="V23" s="10">
        <v>73</v>
      </c>
      <c r="W23" s="8">
        <v>71</v>
      </c>
      <c r="X23" s="9">
        <v>72</v>
      </c>
      <c r="Y23" s="10">
        <v>75</v>
      </c>
      <c r="Z23" s="8">
        <v>65</v>
      </c>
      <c r="AA23" s="9">
        <v>70</v>
      </c>
      <c r="AB23" s="10" t="s">
        <v>10</v>
      </c>
      <c r="AC23" s="8" t="s">
        <v>10</v>
      </c>
      <c r="AD23" s="9" t="s">
        <v>10</v>
      </c>
    </row>
    <row r="24" spans="1:30" x14ac:dyDescent="0.35">
      <c r="A24" s="2">
        <v>2003</v>
      </c>
      <c r="B24" s="2">
        <v>4</v>
      </c>
      <c r="C24" s="2">
        <v>12</v>
      </c>
      <c r="D24" s="6" t="s">
        <v>10</v>
      </c>
      <c r="E24" s="6" t="s">
        <v>10</v>
      </c>
      <c r="F24" s="6" t="s">
        <v>10</v>
      </c>
      <c r="G24" s="10">
        <v>30</v>
      </c>
      <c r="H24" s="8">
        <v>25</v>
      </c>
      <c r="I24" s="9">
        <v>28</v>
      </c>
      <c r="J24" s="12" t="s">
        <v>10</v>
      </c>
      <c r="K24" s="6" t="s">
        <v>10</v>
      </c>
      <c r="L24" s="6" t="s">
        <v>10</v>
      </c>
      <c r="M24" s="12" t="s">
        <v>10</v>
      </c>
      <c r="N24" s="6" t="s">
        <v>10</v>
      </c>
      <c r="O24" s="7" t="s">
        <v>10</v>
      </c>
      <c r="P24" s="10">
        <v>72.5</v>
      </c>
      <c r="Q24" s="8">
        <v>71.5</v>
      </c>
      <c r="R24" s="9">
        <v>72</v>
      </c>
      <c r="S24" s="8" t="s">
        <v>10</v>
      </c>
      <c r="T24" s="8" t="s">
        <v>10</v>
      </c>
      <c r="U24" s="9" t="s">
        <v>10</v>
      </c>
      <c r="V24" s="10">
        <v>73</v>
      </c>
      <c r="W24" s="8">
        <v>71</v>
      </c>
      <c r="X24" s="9">
        <v>72</v>
      </c>
      <c r="Y24" s="10">
        <v>75</v>
      </c>
      <c r="Z24" s="8">
        <v>65</v>
      </c>
      <c r="AA24" s="9">
        <v>70</v>
      </c>
      <c r="AB24" s="10" t="s">
        <v>10</v>
      </c>
      <c r="AC24" s="8" t="s">
        <v>10</v>
      </c>
      <c r="AD24" s="9" t="s">
        <v>10</v>
      </c>
    </row>
    <row r="25" spans="1:30" x14ac:dyDescent="0.35">
      <c r="A25" s="2">
        <v>2004</v>
      </c>
      <c r="B25" s="2">
        <v>1</v>
      </c>
      <c r="C25" s="2">
        <v>1</v>
      </c>
      <c r="D25" s="6" t="s">
        <v>10</v>
      </c>
      <c r="E25" s="6" t="s">
        <v>10</v>
      </c>
      <c r="F25" s="6" t="s">
        <v>10</v>
      </c>
      <c r="G25" s="10">
        <v>35</v>
      </c>
      <c r="H25" s="8">
        <v>27.5</v>
      </c>
      <c r="I25" s="9">
        <v>31.5</v>
      </c>
      <c r="J25" s="12" t="s">
        <v>10</v>
      </c>
      <c r="K25" s="6" t="s">
        <v>10</v>
      </c>
      <c r="L25" s="6" t="s">
        <v>10</v>
      </c>
      <c r="M25" s="12" t="s">
        <v>10</v>
      </c>
      <c r="N25" s="6" t="s">
        <v>10</v>
      </c>
      <c r="O25" s="7" t="s">
        <v>10</v>
      </c>
      <c r="P25" s="10">
        <v>75</v>
      </c>
      <c r="Q25" s="8">
        <v>72</v>
      </c>
      <c r="R25" s="9">
        <v>74</v>
      </c>
      <c r="S25" s="8" t="s">
        <v>10</v>
      </c>
      <c r="T25" s="8" t="s">
        <v>10</v>
      </c>
      <c r="U25" s="9" t="s">
        <v>10</v>
      </c>
      <c r="V25" s="10">
        <v>82</v>
      </c>
      <c r="W25" s="8">
        <v>81</v>
      </c>
      <c r="X25" s="9">
        <v>82</v>
      </c>
      <c r="Y25" s="10">
        <v>75</v>
      </c>
      <c r="Z25" s="8">
        <v>65</v>
      </c>
      <c r="AA25" s="9">
        <v>70</v>
      </c>
      <c r="AB25" s="10" t="s">
        <v>10</v>
      </c>
      <c r="AC25" s="8" t="s">
        <v>10</v>
      </c>
      <c r="AD25" s="9" t="s">
        <v>10</v>
      </c>
    </row>
    <row r="26" spans="1:30" x14ac:dyDescent="0.35">
      <c r="A26" s="2">
        <v>2004</v>
      </c>
      <c r="B26" s="2">
        <v>1</v>
      </c>
      <c r="C26" s="2">
        <v>2</v>
      </c>
      <c r="D26" s="6" t="s">
        <v>10</v>
      </c>
      <c r="E26" s="6" t="s">
        <v>10</v>
      </c>
      <c r="F26" s="6" t="s">
        <v>10</v>
      </c>
      <c r="G26" s="10">
        <v>40</v>
      </c>
      <c r="H26" s="8">
        <v>30</v>
      </c>
      <c r="I26" s="9">
        <v>35</v>
      </c>
      <c r="J26" s="12" t="s">
        <v>10</v>
      </c>
      <c r="K26" s="6" t="s">
        <v>10</v>
      </c>
      <c r="L26" s="6" t="s">
        <v>10</v>
      </c>
      <c r="M26" s="12" t="s">
        <v>10</v>
      </c>
      <c r="N26" s="6" t="s">
        <v>10</v>
      </c>
      <c r="O26" s="7" t="s">
        <v>10</v>
      </c>
      <c r="P26" s="10">
        <v>67</v>
      </c>
      <c r="Q26" s="8">
        <v>65</v>
      </c>
      <c r="R26" s="9">
        <v>66</v>
      </c>
      <c r="S26" s="8" t="s">
        <v>10</v>
      </c>
      <c r="T26" s="8" t="s">
        <v>10</v>
      </c>
      <c r="U26" s="9" t="s">
        <v>10</v>
      </c>
      <c r="V26" s="10">
        <v>82</v>
      </c>
      <c r="W26" s="8">
        <v>81</v>
      </c>
      <c r="X26" s="9">
        <v>82</v>
      </c>
      <c r="Y26" s="10">
        <v>81</v>
      </c>
      <c r="Z26" s="8">
        <v>66.5</v>
      </c>
      <c r="AA26" s="9">
        <v>74</v>
      </c>
      <c r="AB26" s="10" t="s">
        <v>10</v>
      </c>
      <c r="AC26" s="8" t="s">
        <v>10</v>
      </c>
      <c r="AD26" s="9" t="s">
        <v>10</v>
      </c>
    </row>
    <row r="27" spans="1:30" x14ac:dyDescent="0.35">
      <c r="A27" s="2">
        <v>2004</v>
      </c>
      <c r="B27" s="2">
        <v>1</v>
      </c>
      <c r="C27" s="2">
        <v>3</v>
      </c>
      <c r="D27" s="6" t="s">
        <v>10</v>
      </c>
      <c r="E27" s="6" t="s">
        <v>10</v>
      </c>
      <c r="F27" s="6" t="s">
        <v>10</v>
      </c>
      <c r="G27" s="10">
        <v>40</v>
      </c>
      <c r="H27" s="8">
        <v>30</v>
      </c>
      <c r="I27" s="9">
        <v>35</v>
      </c>
      <c r="J27" s="12" t="s">
        <v>10</v>
      </c>
      <c r="K27" s="6" t="s">
        <v>10</v>
      </c>
      <c r="L27" s="6" t="s">
        <v>10</v>
      </c>
      <c r="M27" s="12" t="s">
        <v>10</v>
      </c>
      <c r="N27" s="6" t="s">
        <v>10</v>
      </c>
      <c r="O27" s="7" t="s">
        <v>10</v>
      </c>
      <c r="P27" s="10">
        <v>65.333333333333329</v>
      </c>
      <c r="Q27" s="8">
        <v>63.333333333333336</v>
      </c>
      <c r="R27" s="9">
        <v>64.333333333333329</v>
      </c>
      <c r="S27" s="8" t="s">
        <v>10</v>
      </c>
      <c r="T27" s="8" t="s">
        <v>10</v>
      </c>
      <c r="U27" s="9" t="s">
        <v>10</v>
      </c>
      <c r="V27" s="10">
        <v>82</v>
      </c>
      <c r="W27" s="8">
        <v>81</v>
      </c>
      <c r="X27" s="9">
        <v>82</v>
      </c>
      <c r="Y27" s="10">
        <v>78</v>
      </c>
      <c r="Z27" s="8">
        <v>68</v>
      </c>
      <c r="AA27" s="9">
        <v>73</v>
      </c>
      <c r="AB27" s="10" t="s">
        <v>10</v>
      </c>
      <c r="AC27" s="8" t="s">
        <v>10</v>
      </c>
      <c r="AD27" s="9" t="s">
        <v>10</v>
      </c>
    </row>
    <row r="28" spans="1:30" x14ac:dyDescent="0.35">
      <c r="A28" s="2">
        <v>2004</v>
      </c>
      <c r="B28" s="2">
        <v>2</v>
      </c>
      <c r="C28" s="2">
        <v>4</v>
      </c>
      <c r="D28" s="6" t="s">
        <v>10</v>
      </c>
      <c r="E28" s="6" t="s">
        <v>10</v>
      </c>
      <c r="F28" s="6" t="s">
        <v>10</v>
      </c>
      <c r="G28" s="10">
        <v>40</v>
      </c>
      <c r="H28" s="8">
        <v>30</v>
      </c>
      <c r="I28" s="9">
        <v>35</v>
      </c>
      <c r="J28" s="12" t="s">
        <v>10</v>
      </c>
      <c r="K28" s="6" t="s">
        <v>10</v>
      </c>
      <c r="L28" s="6" t="s">
        <v>10</v>
      </c>
      <c r="M28" s="12" t="s">
        <v>10</v>
      </c>
      <c r="N28" s="6" t="s">
        <v>10</v>
      </c>
      <c r="O28" s="7" t="s">
        <v>10</v>
      </c>
      <c r="P28" s="10">
        <v>61.666666666666664</v>
      </c>
      <c r="Q28" s="8">
        <v>60.333333333333336</v>
      </c>
      <c r="R28" s="9">
        <v>61.333333333333336</v>
      </c>
      <c r="S28" s="8" t="s">
        <v>10</v>
      </c>
      <c r="T28" s="8" t="s">
        <v>10</v>
      </c>
      <c r="U28" s="9" t="s">
        <v>10</v>
      </c>
      <c r="V28" s="10">
        <v>82</v>
      </c>
      <c r="W28" s="8">
        <v>81</v>
      </c>
      <c r="X28" s="9">
        <v>82</v>
      </c>
      <c r="Y28" s="10">
        <v>76.666666666666671</v>
      </c>
      <c r="Z28" s="8">
        <v>68</v>
      </c>
      <c r="AA28" s="9">
        <v>72.666666666666671</v>
      </c>
      <c r="AB28" s="10" t="s">
        <v>10</v>
      </c>
      <c r="AC28" s="8" t="s">
        <v>10</v>
      </c>
      <c r="AD28" s="9" t="s">
        <v>10</v>
      </c>
    </row>
    <row r="29" spans="1:30" x14ac:dyDescent="0.35">
      <c r="A29" s="2">
        <v>2004</v>
      </c>
      <c r="B29" s="2">
        <v>2</v>
      </c>
      <c r="C29" s="2">
        <v>5</v>
      </c>
      <c r="D29" s="6" t="s">
        <v>10</v>
      </c>
      <c r="E29" s="6" t="s">
        <v>10</v>
      </c>
      <c r="F29" s="6" t="s">
        <v>10</v>
      </c>
      <c r="G29" s="10">
        <v>40</v>
      </c>
      <c r="H29" s="8">
        <v>30</v>
      </c>
      <c r="I29" s="9">
        <v>35</v>
      </c>
      <c r="J29" s="12" t="s">
        <v>10</v>
      </c>
      <c r="K29" s="6" t="s">
        <v>10</v>
      </c>
      <c r="L29" s="6" t="s">
        <v>10</v>
      </c>
      <c r="M29" s="12" t="s">
        <v>10</v>
      </c>
      <c r="N29" s="6" t="s">
        <v>10</v>
      </c>
      <c r="O29" s="7" t="s">
        <v>10</v>
      </c>
      <c r="P29" s="10">
        <v>65</v>
      </c>
      <c r="Q29" s="8">
        <v>64</v>
      </c>
      <c r="R29" s="9">
        <v>65</v>
      </c>
      <c r="S29" s="8" t="s">
        <v>10</v>
      </c>
      <c r="T29" s="8" t="s">
        <v>10</v>
      </c>
      <c r="U29" s="9" t="s">
        <v>10</v>
      </c>
      <c r="V29" s="10">
        <v>82</v>
      </c>
      <c r="W29" s="8">
        <v>81</v>
      </c>
      <c r="X29" s="9">
        <v>82</v>
      </c>
      <c r="Y29" s="10">
        <v>80</v>
      </c>
      <c r="Z29" s="8">
        <v>68</v>
      </c>
      <c r="AA29" s="9">
        <v>74</v>
      </c>
      <c r="AB29" s="10" t="s">
        <v>10</v>
      </c>
      <c r="AC29" s="8" t="s">
        <v>10</v>
      </c>
      <c r="AD29" s="9" t="s">
        <v>10</v>
      </c>
    </row>
    <row r="30" spans="1:30" x14ac:dyDescent="0.35">
      <c r="A30" s="2">
        <v>2004</v>
      </c>
      <c r="B30" s="2">
        <v>2</v>
      </c>
      <c r="C30" s="2">
        <v>6</v>
      </c>
      <c r="D30" s="6" t="s">
        <v>10</v>
      </c>
      <c r="E30" s="6" t="s">
        <v>10</v>
      </c>
      <c r="F30" s="6" t="s">
        <v>10</v>
      </c>
      <c r="G30" s="10">
        <v>39</v>
      </c>
      <c r="H30" s="8">
        <v>31.5</v>
      </c>
      <c r="I30" s="9">
        <v>35.5</v>
      </c>
      <c r="J30" s="12" t="s">
        <v>10</v>
      </c>
      <c r="K30" s="6" t="s">
        <v>10</v>
      </c>
      <c r="L30" s="6" t="s">
        <v>10</v>
      </c>
      <c r="M30" s="12" t="s">
        <v>10</v>
      </c>
      <c r="N30" s="6" t="s">
        <v>10</v>
      </c>
      <c r="O30" s="7" t="s">
        <v>10</v>
      </c>
      <c r="P30" s="10">
        <v>66</v>
      </c>
      <c r="Q30" s="8">
        <v>64.5</v>
      </c>
      <c r="R30" s="9">
        <v>65.5</v>
      </c>
      <c r="S30" s="8" t="s">
        <v>10</v>
      </c>
      <c r="T30" s="8" t="s">
        <v>10</v>
      </c>
      <c r="U30" s="9" t="s">
        <v>10</v>
      </c>
      <c r="V30" s="10">
        <v>82</v>
      </c>
      <c r="W30" s="8">
        <v>81</v>
      </c>
      <c r="X30" s="9">
        <v>82</v>
      </c>
      <c r="Y30" s="10">
        <v>78</v>
      </c>
      <c r="Z30" s="8">
        <v>68</v>
      </c>
      <c r="AA30" s="9">
        <v>73</v>
      </c>
      <c r="AB30" s="10" t="s">
        <v>10</v>
      </c>
      <c r="AC30" s="8" t="s">
        <v>10</v>
      </c>
      <c r="AD30" s="9" t="s">
        <v>10</v>
      </c>
    </row>
    <row r="31" spans="1:30" x14ac:dyDescent="0.35">
      <c r="A31" s="2">
        <v>2004</v>
      </c>
      <c r="B31" s="2">
        <v>3</v>
      </c>
      <c r="C31" s="2">
        <v>7</v>
      </c>
      <c r="D31" s="6" t="s">
        <v>10</v>
      </c>
      <c r="E31" s="6" t="s">
        <v>10</v>
      </c>
      <c r="F31" s="6" t="s">
        <v>10</v>
      </c>
      <c r="G31" s="10">
        <v>38</v>
      </c>
      <c r="H31" s="8">
        <v>33</v>
      </c>
      <c r="I31" s="9">
        <v>36</v>
      </c>
      <c r="J31" s="12" t="s">
        <v>10</v>
      </c>
      <c r="K31" s="6" t="s">
        <v>10</v>
      </c>
      <c r="L31" s="6" t="s">
        <v>10</v>
      </c>
      <c r="M31" s="12" t="s">
        <v>10</v>
      </c>
      <c r="N31" s="6" t="s">
        <v>10</v>
      </c>
      <c r="O31" s="7" t="s">
        <v>10</v>
      </c>
      <c r="P31" s="10">
        <v>66.5</v>
      </c>
      <c r="Q31" s="8">
        <v>66</v>
      </c>
      <c r="R31" s="9">
        <v>66.5</v>
      </c>
      <c r="S31" s="8" t="s">
        <v>10</v>
      </c>
      <c r="T31" s="8" t="s">
        <v>10</v>
      </c>
      <c r="U31" s="9" t="s">
        <v>10</v>
      </c>
      <c r="V31" s="10">
        <v>82</v>
      </c>
      <c r="W31" s="8">
        <v>78.5</v>
      </c>
      <c r="X31" s="9">
        <v>80.5</v>
      </c>
      <c r="Y31" s="10">
        <v>78</v>
      </c>
      <c r="Z31" s="8">
        <v>68</v>
      </c>
      <c r="AA31" s="9">
        <v>73</v>
      </c>
      <c r="AB31" s="10" t="s">
        <v>10</v>
      </c>
      <c r="AC31" s="8" t="s">
        <v>10</v>
      </c>
      <c r="AD31" s="9" t="s">
        <v>10</v>
      </c>
    </row>
    <row r="32" spans="1:30" x14ac:dyDescent="0.35">
      <c r="A32" s="2">
        <v>2004</v>
      </c>
      <c r="B32" s="2">
        <v>3</v>
      </c>
      <c r="C32" s="2">
        <v>8</v>
      </c>
      <c r="D32" s="6" t="s">
        <v>10</v>
      </c>
      <c r="E32" s="6" t="s">
        <v>10</v>
      </c>
      <c r="F32" s="6" t="s">
        <v>10</v>
      </c>
      <c r="G32" s="10">
        <v>38</v>
      </c>
      <c r="H32" s="8">
        <v>33</v>
      </c>
      <c r="I32" s="9">
        <v>36</v>
      </c>
      <c r="J32" s="12" t="s">
        <v>10</v>
      </c>
      <c r="K32" s="6" t="s">
        <v>10</v>
      </c>
      <c r="L32" s="6" t="s">
        <v>10</v>
      </c>
      <c r="M32" s="12" t="s">
        <v>10</v>
      </c>
      <c r="N32" s="6" t="s">
        <v>10</v>
      </c>
      <c r="O32" s="7" t="s">
        <v>10</v>
      </c>
      <c r="P32" s="10">
        <v>72</v>
      </c>
      <c r="Q32" s="8">
        <v>71</v>
      </c>
      <c r="R32" s="9">
        <v>72</v>
      </c>
      <c r="S32" s="8" t="s">
        <v>10</v>
      </c>
      <c r="T32" s="8" t="s">
        <v>10</v>
      </c>
      <c r="U32" s="9" t="s">
        <v>10</v>
      </c>
      <c r="V32" s="10">
        <v>83.5</v>
      </c>
      <c r="W32" s="8">
        <v>77</v>
      </c>
      <c r="X32" s="9">
        <v>80.5</v>
      </c>
      <c r="Y32" s="10">
        <v>78</v>
      </c>
      <c r="Z32" s="8">
        <v>68</v>
      </c>
      <c r="AA32" s="9">
        <v>73</v>
      </c>
      <c r="AB32" s="10" t="s">
        <v>10</v>
      </c>
      <c r="AC32" s="8" t="s">
        <v>10</v>
      </c>
      <c r="AD32" s="9" t="s">
        <v>10</v>
      </c>
    </row>
    <row r="33" spans="1:30" x14ac:dyDescent="0.35">
      <c r="A33" s="2">
        <v>2004</v>
      </c>
      <c r="B33" s="2">
        <v>3</v>
      </c>
      <c r="C33" s="2">
        <v>9</v>
      </c>
      <c r="D33" s="6" t="s">
        <v>10</v>
      </c>
      <c r="E33" s="6" t="s">
        <v>10</v>
      </c>
      <c r="F33" s="6" t="s">
        <v>10</v>
      </c>
      <c r="G33" s="10">
        <v>38</v>
      </c>
      <c r="H33" s="8">
        <v>33</v>
      </c>
      <c r="I33" s="9">
        <v>36</v>
      </c>
      <c r="J33" s="12" t="s">
        <v>10</v>
      </c>
      <c r="K33" s="6" t="s">
        <v>10</v>
      </c>
      <c r="L33" s="6" t="s">
        <v>10</v>
      </c>
      <c r="M33" s="12" t="s">
        <v>10</v>
      </c>
      <c r="N33" s="6" t="s">
        <v>10</v>
      </c>
      <c r="O33" s="7" t="s">
        <v>10</v>
      </c>
      <c r="P33" s="10">
        <v>71.666666666666671</v>
      </c>
      <c r="Q33" s="8">
        <v>70</v>
      </c>
      <c r="R33" s="9">
        <v>71</v>
      </c>
      <c r="S33" s="8" t="s">
        <v>10</v>
      </c>
      <c r="T33" s="8" t="s">
        <v>10</v>
      </c>
      <c r="U33" s="9" t="s">
        <v>10</v>
      </c>
      <c r="V33" s="10">
        <v>82</v>
      </c>
      <c r="W33" s="8">
        <v>75.333333333333329</v>
      </c>
      <c r="X33" s="9">
        <v>78.666666666666671</v>
      </c>
      <c r="Y33" s="10">
        <v>78</v>
      </c>
      <c r="Z33" s="8">
        <v>65.333333333333329</v>
      </c>
      <c r="AA33" s="9">
        <v>71.666666666666671</v>
      </c>
      <c r="AB33" s="10" t="s">
        <v>10</v>
      </c>
      <c r="AC33" s="8" t="s">
        <v>10</v>
      </c>
      <c r="AD33" s="9" t="s">
        <v>10</v>
      </c>
    </row>
    <row r="34" spans="1:30" x14ac:dyDescent="0.35">
      <c r="A34" s="2">
        <v>2004</v>
      </c>
      <c r="B34" s="2">
        <v>4</v>
      </c>
      <c r="C34" s="2">
        <v>10</v>
      </c>
      <c r="D34" s="6" t="s">
        <v>10</v>
      </c>
      <c r="E34" s="6" t="s">
        <v>10</v>
      </c>
      <c r="F34" s="6" t="s">
        <v>10</v>
      </c>
      <c r="G34" s="10">
        <v>38</v>
      </c>
      <c r="H34" s="8">
        <v>33</v>
      </c>
      <c r="I34" s="9">
        <v>36</v>
      </c>
      <c r="J34" s="12" t="s">
        <v>10</v>
      </c>
      <c r="K34" s="6" t="s">
        <v>10</v>
      </c>
      <c r="L34" s="6" t="s">
        <v>10</v>
      </c>
      <c r="M34" s="12" t="s">
        <v>10</v>
      </c>
      <c r="N34" s="6" t="s">
        <v>10</v>
      </c>
      <c r="O34" s="7" t="s">
        <v>10</v>
      </c>
      <c r="P34" s="10">
        <v>72</v>
      </c>
      <c r="Q34" s="8">
        <v>71</v>
      </c>
      <c r="R34" s="9">
        <v>72</v>
      </c>
      <c r="S34" s="8" t="s">
        <v>10</v>
      </c>
      <c r="T34" s="8" t="s">
        <v>10</v>
      </c>
      <c r="U34" s="9" t="s">
        <v>10</v>
      </c>
      <c r="V34" s="10">
        <v>82</v>
      </c>
      <c r="W34" s="8">
        <v>74</v>
      </c>
      <c r="X34" s="9">
        <v>78</v>
      </c>
      <c r="Y34" s="10">
        <v>78</v>
      </c>
      <c r="Z34" s="8">
        <v>66</v>
      </c>
      <c r="AA34" s="9">
        <v>72</v>
      </c>
      <c r="AB34" s="10" t="s">
        <v>10</v>
      </c>
      <c r="AC34" s="8" t="s">
        <v>10</v>
      </c>
      <c r="AD34" s="9" t="s">
        <v>10</v>
      </c>
    </row>
    <row r="35" spans="1:30" x14ac:dyDescent="0.35">
      <c r="A35" s="2">
        <v>2004</v>
      </c>
      <c r="B35" s="2">
        <v>4</v>
      </c>
      <c r="C35" s="2">
        <v>11</v>
      </c>
      <c r="D35" s="6" t="s">
        <v>10</v>
      </c>
      <c r="E35" s="6" t="s">
        <v>10</v>
      </c>
      <c r="F35" s="6" t="s">
        <v>10</v>
      </c>
      <c r="G35" s="10">
        <v>38</v>
      </c>
      <c r="H35" s="8">
        <v>33</v>
      </c>
      <c r="I35" s="9">
        <v>36</v>
      </c>
      <c r="J35" s="12" t="s">
        <v>10</v>
      </c>
      <c r="K35" s="6" t="s">
        <v>10</v>
      </c>
      <c r="L35" s="6" t="s">
        <v>10</v>
      </c>
      <c r="M35" s="12" t="s">
        <v>10</v>
      </c>
      <c r="N35" s="6" t="s">
        <v>10</v>
      </c>
      <c r="O35" s="7" t="s">
        <v>10</v>
      </c>
      <c r="P35" s="10">
        <v>66</v>
      </c>
      <c r="Q35" s="8">
        <v>64</v>
      </c>
      <c r="R35" s="9">
        <v>65</v>
      </c>
      <c r="S35" s="8" t="s">
        <v>10</v>
      </c>
      <c r="T35" s="8" t="s">
        <v>10</v>
      </c>
      <c r="U35" s="9" t="s">
        <v>10</v>
      </c>
      <c r="V35" s="10">
        <v>82</v>
      </c>
      <c r="W35" s="8">
        <v>74</v>
      </c>
      <c r="X35" s="9">
        <v>78</v>
      </c>
      <c r="Y35" s="10">
        <v>78</v>
      </c>
      <c r="Z35" s="8">
        <v>66</v>
      </c>
      <c r="AA35" s="9">
        <v>72</v>
      </c>
      <c r="AB35" s="10" t="s">
        <v>10</v>
      </c>
      <c r="AC35" s="8" t="s">
        <v>10</v>
      </c>
      <c r="AD35" s="9" t="s">
        <v>10</v>
      </c>
    </row>
    <row r="36" spans="1:30" x14ac:dyDescent="0.35">
      <c r="A36" s="2">
        <v>2004</v>
      </c>
      <c r="B36" s="2">
        <v>4</v>
      </c>
      <c r="C36" s="2">
        <v>12</v>
      </c>
      <c r="D36" s="6" t="s">
        <v>10</v>
      </c>
      <c r="E36" s="6" t="s">
        <v>10</v>
      </c>
      <c r="F36" s="6" t="s">
        <v>10</v>
      </c>
      <c r="G36" s="10">
        <v>38</v>
      </c>
      <c r="H36" s="8">
        <v>33</v>
      </c>
      <c r="I36" s="9">
        <v>36</v>
      </c>
      <c r="J36" s="12" t="s">
        <v>10</v>
      </c>
      <c r="K36" s="6" t="s">
        <v>10</v>
      </c>
      <c r="L36" s="6" t="s">
        <v>10</v>
      </c>
      <c r="M36" s="12" t="s">
        <v>10</v>
      </c>
      <c r="N36" s="6" t="s">
        <v>10</v>
      </c>
      <c r="O36" s="7" t="s">
        <v>10</v>
      </c>
      <c r="P36" s="10">
        <v>65.5</v>
      </c>
      <c r="Q36" s="8">
        <v>63.5</v>
      </c>
      <c r="R36" s="9">
        <v>64.5</v>
      </c>
      <c r="S36" s="8" t="s">
        <v>10</v>
      </c>
      <c r="T36" s="8" t="s">
        <v>10</v>
      </c>
      <c r="U36" s="9" t="s">
        <v>10</v>
      </c>
      <c r="V36" s="10">
        <v>82</v>
      </c>
      <c r="W36" s="8">
        <v>74</v>
      </c>
      <c r="X36" s="9">
        <v>78</v>
      </c>
      <c r="Y36" s="10">
        <v>75</v>
      </c>
      <c r="Z36" s="8">
        <v>64</v>
      </c>
      <c r="AA36" s="9">
        <v>70</v>
      </c>
      <c r="AB36" s="10" t="s">
        <v>10</v>
      </c>
      <c r="AC36" s="8" t="s">
        <v>10</v>
      </c>
      <c r="AD36" s="9" t="s">
        <v>10</v>
      </c>
    </row>
    <row r="37" spans="1:30" x14ac:dyDescent="0.35">
      <c r="A37" s="2">
        <v>2005</v>
      </c>
      <c r="B37" s="2">
        <v>1</v>
      </c>
      <c r="C37" s="2">
        <v>1</v>
      </c>
      <c r="D37" s="6" t="s">
        <v>10</v>
      </c>
      <c r="E37" s="6" t="s">
        <v>10</v>
      </c>
      <c r="F37" s="6" t="s">
        <v>10</v>
      </c>
      <c r="G37" s="10">
        <v>38.5</v>
      </c>
      <c r="H37" s="8">
        <v>33.5</v>
      </c>
      <c r="I37" s="9">
        <v>36.5</v>
      </c>
      <c r="J37" s="12" t="s">
        <v>10</v>
      </c>
      <c r="K37" s="6" t="s">
        <v>10</v>
      </c>
      <c r="L37" s="6" t="s">
        <v>10</v>
      </c>
      <c r="M37" s="12" t="s">
        <v>10</v>
      </c>
      <c r="N37" s="6" t="s">
        <v>10</v>
      </c>
      <c r="O37" s="7" t="s">
        <v>10</v>
      </c>
      <c r="P37" s="10">
        <v>63.5</v>
      </c>
      <c r="Q37" s="8">
        <v>60.5</v>
      </c>
      <c r="R37" s="9">
        <v>62.5</v>
      </c>
      <c r="S37" s="8" t="s">
        <v>10</v>
      </c>
      <c r="T37" s="8" t="s">
        <v>10</v>
      </c>
      <c r="U37" s="9" t="s">
        <v>10</v>
      </c>
      <c r="V37" s="10">
        <v>87.5</v>
      </c>
      <c r="W37" s="8">
        <v>73</v>
      </c>
      <c r="X37" s="9">
        <v>80.5</v>
      </c>
      <c r="Y37" s="10">
        <v>73.5</v>
      </c>
      <c r="Z37" s="8">
        <v>65.5</v>
      </c>
      <c r="AA37" s="9">
        <v>70</v>
      </c>
      <c r="AB37" s="10" t="s">
        <v>10</v>
      </c>
      <c r="AC37" s="8" t="s">
        <v>10</v>
      </c>
      <c r="AD37" s="9" t="s">
        <v>10</v>
      </c>
    </row>
    <row r="38" spans="1:30" x14ac:dyDescent="0.35">
      <c r="A38" s="2">
        <v>2005</v>
      </c>
      <c r="B38" s="2">
        <v>1</v>
      </c>
      <c r="C38" s="2">
        <v>2</v>
      </c>
      <c r="D38" s="6" t="s">
        <v>10</v>
      </c>
      <c r="E38" s="6" t="s">
        <v>10</v>
      </c>
      <c r="F38" s="6" t="s">
        <v>10</v>
      </c>
      <c r="G38" s="10">
        <v>39</v>
      </c>
      <c r="H38" s="8">
        <v>34</v>
      </c>
      <c r="I38" s="9">
        <v>37</v>
      </c>
      <c r="J38" s="12" t="s">
        <v>10</v>
      </c>
      <c r="K38" s="6" t="s">
        <v>10</v>
      </c>
      <c r="L38" s="6" t="s">
        <v>10</v>
      </c>
      <c r="M38" s="12" t="s">
        <v>10</v>
      </c>
      <c r="N38" s="6" t="s">
        <v>10</v>
      </c>
      <c r="O38" s="7" t="s">
        <v>10</v>
      </c>
      <c r="P38" s="10">
        <v>67</v>
      </c>
      <c r="Q38" s="8">
        <v>64</v>
      </c>
      <c r="R38" s="9">
        <v>66</v>
      </c>
      <c r="S38" s="8" t="s">
        <v>10</v>
      </c>
      <c r="T38" s="8" t="s">
        <v>10</v>
      </c>
      <c r="U38" s="9" t="s">
        <v>10</v>
      </c>
      <c r="V38" s="10">
        <v>89</v>
      </c>
      <c r="W38" s="8">
        <v>72</v>
      </c>
      <c r="X38" s="9">
        <v>81</v>
      </c>
      <c r="Y38" s="10">
        <v>72</v>
      </c>
      <c r="Z38" s="8">
        <v>67</v>
      </c>
      <c r="AA38" s="9">
        <v>70</v>
      </c>
      <c r="AB38" s="10" t="s">
        <v>10</v>
      </c>
      <c r="AC38" s="8" t="s">
        <v>10</v>
      </c>
      <c r="AD38" s="9" t="s">
        <v>10</v>
      </c>
    </row>
    <row r="39" spans="1:30" x14ac:dyDescent="0.35">
      <c r="A39" s="2">
        <v>2005</v>
      </c>
      <c r="B39" s="2">
        <v>1</v>
      </c>
      <c r="C39" s="2">
        <v>3</v>
      </c>
      <c r="D39" s="6" t="s">
        <v>10</v>
      </c>
      <c r="E39" s="6" t="s">
        <v>10</v>
      </c>
      <c r="F39" s="6" t="s">
        <v>10</v>
      </c>
      <c r="G39" s="10">
        <v>39</v>
      </c>
      <c r="H39" s="8">
        <v>34</v>
      </c>
      <c r="I39" s="9">
        <v>37</v>
      </c>
      <c r="J39" s="12" t="s">
        <v>10</v>
      </c>
      <c r="K39" s="6" t="s">
        <v>10</v>
      </c>
      <c r="L39" s="6" t="s">
        <v>10</v>
      </c>
      <c r="M39" s="12" t="s">
        <v>10</v>
      </c>
      <c r="N39" s="6" t="s">
        <v>10</v>
      </c>
      <c r="O39" s="7" t="s">
        <v>10</v>
      </c>
      <c r="P39" s="10">
        <v>68.666666666666671</v>
      </c>
      <c r="Q39" s="8">
        <v>67</v>
      </c>
      <c r="R39" s="9">
        <v>68</v>
      </c>
      <c r="S39" s="8" t="s">
        <v>10</v>
      </c>
      <c r="T39" s="8" t="s">
        <v>10</v>
      </c>
      <c r="U39" s="9" t="s">
        <v>10</v>
      </c>
      <c r="V39" s="10">
        <v>89</v>
      </c>
      <c r="W39" s="8">
        <v>72</v>
      </c>
      <c r="X39" s="9">
        <v>81</v>
      </c>
      <c r="Y39" s="10">
        <v>74</v>
      </c>
      <c r="Z39" s="8">
        <v>67</v>
      </c>
      <c r="AA39" s="9">
        <v>71</v>
      </c>
      <c r="AB39" s="10" t="s">
        <v>10</v>
      </c>
      <c r="AC39" s="8" t="s">
        <v>10</v>
      </c>
      <c r="AD39" s="9" t="s">
        <v>10</v>
      </c>
    </row>
    <row r="40" spans="1:30" x14ac:dyDescent="0.35">
      <c r="A40" s="2">
        <v>2005</v>
      </c>
      <c r="B40" s="2">
        <v>2</v>
      </c>
      <c r="C40" s="2">
        <v>4</v>
      </c>
      <c r="D40" s="6" t="s">
        <v>10</v>
      </c>
      <c r="E40" s="6" t="s">
        <v>10</v>
      </c>
      <c r="F40" s="6" t="s">
        <v>10</v>
      </c>
      <c r="G40" s="10">
        <v>39</v>
      </c>
      <c r="H40" s="8">
        <v>34</v>
      </c>
      <c r="I40" s="9">
        <v>37</v>
      </c>
      <c r="J40" s="12" t="s">
        <v>10</v>
      </c>
      <c r="K40" s="6" t="s">
        <v>10</v>
      </c>
      <c r="L40" s="6" t="s">
        <v>10</v>
      </c>
      <c r="M40" s="12" t="s">
        <v>10</v>
      </c>
      <c r="N40" s="6" t="s">
        <v>10</v>
      </c>
      <c r="O40" s="7" t="s">
        <v>10</v>
      </c>
      <c r="P40" s="10">
        <v>71</v>
      </c>
      <c r="Q40" s="8">
        <v>68</v>
      </c>
      <c r="R40" s="9">
        <v>70</v>
      </c>
      <c r="S40" s="8" t="s">
        <v>10</v>
      </c>
      <c r="T40" s="8" t="s">
        <v>10</v>
      </c>
      <c r="U40" s="9" t="s">
        <v>10</v>
      </c>
      <c r="V40" s="10">
        <v>89</v>
      </c>
      <c r="W40" s="8">
        <v>72</v>
      </c>
      <c r="X40" s="9">
        <v>81</v>
      </c>
      <c r="Y40" s="10">
        <v>73</v>
      </c>
      <c r="Z40" s="8">
        <v>67</v>
      </c>
      <c r="AA40" s="9">
        <v>70.5</v>
      </c>
      <c r="AB40" s="10" t="s">
        <v>10</v>
      </c>
      <c r="AC40" s="8" t="s">
        <v>10</v>
      </c>
      <c r="AD40" s="9" t="s">
        <v>10</v>
      </c>
    </row>
    <row r="41" spans="1:30" x14ac:dyDescent="0.35">
      <c r="A41" s="2">
        <v>2005</v>
      </c>
      <c r="B41" s="2">
        <v>2</v>
      </c>
      <c r="C41" s="2">
        <v>5</v>
      </c>
      <c r="D41" s="6" t="s">
        <v>10</v>
      </c>
      <c r="E41" s="6" t="s">
        <v>10</v>
      </c>
      <c r="F41" s="6" t="s">
        <v>10</v>
      </c>
      <c r="G41" s="10">
        <v>39</v>
      </c>
      <c r="H41" s="8">
        <v>34</v>
      </c>
      <c r="I41" s="9">
        <v>37</v>
      </c>
      <c r="J41" s="12" t="s">
        <v>10</v>
      </c>
      <c r="K41" s="6" t="s">
        <v>10</v>
      </c>
      <c r="L41" s="6" t="s">
        <v>10</v>
      </c>
      <c r="M41" s="12" t="s">
        <v>10</v>
      </c>
      <c r="N41" s="6" t="s">
        <v>10</v>
      </c>
      <c r="O41" s="7" t="s">
        <v>10</v>
      </c>
      <c r="P41" s="10">
        <v>74</v>
      </c>
      <c r="Q41" s="8">
        <v>72</v>
      </c>
      <c r="R41" s="9">
        <v>73</v>
      </c>
      <c r="S41" s="8" t="s">
        <v>10</v>
      </c>
      <c r="T41" s="8" t="s">
        <v>10</v>
      </c>
      <c r="U41" s="9" t="s">
        <v>10</v>
      </c>
      <c r="V41" s="10">
        <v>89</v>
      </c>
      <c r="W41" s="8">
        <v>72</v>
      </c>
      <c r="X41" s="9">
        <v>81</v>
      </c>
      <c r="Y41" s="10">
        <v>72</v>
      </c>
      <c r="Z41" s="8">
        <v>67</v>
      </c>
      <c r="AA41" s="9">
        <v>70</v>
      </c>
      <c r="AB41" s="10" t="s">
        <v>10</v>
      </c>
      <c r="AC41" s="8" t="s">
        <v>10</v>
      </c>
      <c r="AD41" s="9" t="s">
        <v>10</v>
      </c>
    </row>
    <row r="42" spans="1:30" x14ac:dyDescent="0.35">
      <c r="A42" s="2">
        <v>2005</v>
      </c>
      <c r="B42" s="2">
        <v>2</v>
      </c>
      <c r="C42" s="2">
        <v>6</v>
      </c>
      <c r="D42" s="6" t="s">
        <v>10</v>
      </c>
      <c r="E42" s="6" t="s">
        <v>10</v>
      </c>
      <c r="F42" s="6" t="s">
        <v>10</v>
      </c>
      <c r="G42" s="10">
        <v>39</v>
      </c>
      <c r="H42" s="8">
        <v>34</v>
      </c>
      <c r="I42" s="9">
        <v>37</v>
      </c>
      <c r="J42" s="12" t="s">
        <v>10</v>
      </c>
      <c r="K42" s="6" t="s">
        <v>10</v>
      </c>
      <c r="L42" s="6" t="s">
        <v>10</v>
      </c>
      <c r="M42" s="12" t="s">
        <v>10</v>
      </c>
      <c r="N42" s="6" t="s">
        <v>10</v>
      </c>
      <c r="O42" s="7" t="s">
        <v>10</v>
      </c>
      <c r="P42" s="10">
        <v>78</v>
      </c>
      <c r="Q42" s="8">
        <v>76</v>
      </c>
      <c r="R42" s="9">
        <v>77</v>
      </c>
      <c r="S42" s="8" t="s">
        <v>10</v>
      </c>
      <c r="T42" s="8" t="s">
        <v>10</v>
      </c>
      <c r="U42" s="9" t="s">
        <v>10</v>
      </c>
      <c r="V42" s="10">
        <v>89</v>
      </c>
      <c r="W42" s="8">
        <v>72</v>
      </c>
      <c r="X42" s="9">
        <v>81</v>
      </c>
      <c r="Y42" s="10">
        <v>72</v>
      </c>
      <c r="Z42" s="8">
        <v>67</v>
      </c>
      <c r="AA42" s="9">
        <v>70</v>
      </c>
      <c r="AB42" s="10" t="s">
        <v>10</v>
      </c>
      <c r="AC42" s="8" t="s">
        <v>10</v>
      </c>
      <c r="AD42" s="9" t="s">
        <v>10</v>
      </c>
    </row>
    <row r="43" spans="1:30" x14ac:dyDescent="0.35">
      <c r="A43" s="2">
        <v>2005</v>
      </c>
      <c r="B43" s="2">
        <v>3</v>
      </c>
      <c r="C43" s="2">
        <v>7</v>
      </c>
      <c r="D43" s="6" t="s">
        <v>10</v>
      </c>
      <c r="E43" s="6" t="s">
        <v>10</v>
      </c>
      <c r="F43" s="6" t="s">
        <v>10</v>
      </c>
      <c r="G43" s="10">
        <v>39</v>
      </c>
      <c r="H43" s="8">
        <v>34</v>
      </c>
      <c r="I43" s="9">
        <v>37</v>
      </c>
      <c r="J43" s="12" t="s">
        <v>10</v>
      </c>
      <c r="K43" s="6" t="s">
        <v>10</v>
      </c>
      <c r="L43" s="6" t="s">
        <v>10</v>
      </c>
      <c r="M43" s="12" t="s">
        <v>10</v>
      </c>
      <c r="N43" s="6" t="s">
        <v>10</v>
      </c>
      <c r="O43" s="7" t="s">
        <v>10</v>
      </c>
      <c r="P43" s="10">
        <v>79</v>
      </c>
      <c r="Q43" s="8">
        <v>75</v>
      </c>
      <c r="R43" s="9">
        <v>77.5</v>
      </c>
      <c r="S43" s="8" t="s">
        <v>10</v>
      </c>
      <c r="T43" s="8" t="s">
        <v>10</v>
      </c>
      <c r="U43" s="9" t="s">
        <v>10</v>
      </c>
      <c r="V43" s="10">
        <v>89</v>
      </c>
      <c r="W43" s="8">
        <v>72</v>
      </c>
      <c r="X43" s="9">
        <v>81</v>
      </c>
      <c r="Y43" s="10">
        <v>72</v>
      </c>
      <c r="Z43" s="8">
        <v>67</v>
      </c>
      <c r="AA43" s="9">
        <v>70</v>
      </c>
      <c r="AB43" s="10" t="s">
        <v>10</v>
      </c>
      <c r="AC43" s="8" t="s">
        <v>10</v>
      </c>
      <c r="AD43" s="9" t="s">
        <v>10</v>
      </c>
    </row>
    <row r="44" spans="1:30" x14ac:dyDescent="0.35">
      <c r="A44" s="2">
        <v>2005</v>
      </c>
      <c r="B44" s="2">
        <v>3</v>
      </c>
      <c r="C44" s="2">
        <v>8</v>
      </c>
      <c r="D44" s="6" t="s">
        <v>10</v>
      </c>
      <c r="E44" s="6" t="s">
        <v>10</v>
      </c>
      <c r="F44" s="6" t="s">
        <v>10</v>
      </c>
      <c r="G44" s="10">
        <v>37.5</v>
      </c>
      <c r="H44" s="8">
        <v>33.5</v>
      </c>
      <c r="I44" s="9">
        <v>36</v>
      </c>
      <c r="J44" s="12" t="s">
        <v>10</v>
      </c>
      <c r="K44" s="6" t="s">
        <v>10</v>
      </c>
      <c r="L44" s="6" t="s">
        <v>10</v>
      </c>
      <c r="M44" s="12" t="s">
        <v>10</v>
      </c>
      <c r="N44" s="6" t="s">
        <v>10</v>
      </c>
      <c r="O44" s="7" t="s">
        <v>10</v>
      </c>
      <c r="P44" s="10">
        <v>81</v>
      </c>
      <c r="Q44" s="8">
        <v>74</v>
      </c>
      <c r="R44" s="9">
        <v>77.5</v>
      </c>
      <c r="S44" s="8" t="s">
        <v>10</v>
      </c>
      <c r="T44" s="8" t="s">
        <v>10</v>
      </c>
      <c r="U44" s="9" t="s">
        <v>10</v>
      </c>
      <c r="V44" s="10">
        <v>92</v>
      </c>
      <c r="W44" s="8">
        <v>77</v>
      </c>
      <c r="X44" s="9">
        <v>85</v>
      </c>
      <c r="Y44" s="10">
        <v>73</v>
      </c>
      <c r="Z44" s="8">
        <v>68.5</v>
      </c>
      <c r="AA44" s="9">
        <v>71</v>
      </c>
      <c r="AB44" s="10" t="s">
        <v>10</v>
      </c>
      <c r="AC44" s="8" t="s">
        <v>10</v>
      </c>
      <c r="AD44" s="9" t="s">
        <v>10</v>
      </c>
    </row>
    <row r="45" spans="1:30" x14ac:dyDescent="0.35">
      <c r="A45" s="2">
        <v>2005</v>
      </c>
      <c r="B45" s="2">
        <v>3</v>
      </c>
      <c r="C45" s="2">
        <v>9</v>
      </c>
      <c r="D45" s="6" t="s">
        <v>10</v>
      </c>
      <c r="E45" s="6" t="s">
        <v>10</v>
      </c>
      <c r="F45" s="6" t="s">
        <v>10</v>
      </c>
      <c r="G45" s="10">
        <v>36</v>
      </c>
      <c r="H45" s="8">
        <v>33</v>
      </c>
      <c r="I45" s="9">
        <v>35</v>
      </c>
      <c r="J45" s="12" t="s">
        <v>10</v>
      </c>
      <c r="K45" s="6" t="s">
        <v>10</v>
      </c>
      <c r="L45" s="6" t="s">
        <v>10</v>
      </c>
      <c r="M45" s="12" t="s">
        <v>10</v>
      </c>
      <c r="N45" s="6" t="s">
        <v>10</v>
      </c>
      <c r="O45" s="7" t="s">
        <v>10</v>
      </c>
      <c r="P45" s="10">
        <v>84.333333333333329</v>
      </c>
      <c r="Q45" s="8">
        <v>82</v>
      </c>
      <c r="R45" s="9">
        <v>83.333333333333329</v>
      </c>
      <c r="S45" s="8" t="s">
        <v>10</v>
      </c>
      <c r="T45" s="8" t="s">
        <v>10</v>
      </c>
      <c r="U45" s="9" t="s">
        <v>10</v>
      </c>
      <c r="V45" s="10">
        <v>95</v>
      </c>
      <c r="W45" s="8">
        <v>82.666666666666671</v>
      </c>
      <c r="X45" s="9">
        <v>89.333333333333329</v>
      </c>
      <c r="Y45" s="10">
        <v>74</v>
      </c>
      <c r="Z45" s="8">
        <v>70</v>
      </c>
      <c r="AA45" s="9">
        <v>72</v>
      </c>
      <c r="AB45" s="10" t="s">
        <v>10</v>
      </c>
      <c r="AC45" s="8" t="s">
        <v>10</v>
      </c>
      <c r="AD45" s="9" t="s">
        <v>10</v>
      </c>
    </row>
    <row r="46" spans="1:30" x14ac:dyDescent="0.35">
      <c r="A46" s="2">
        <v>2005</v>
      </c>
      <c r="B46" s="2">
        <v>4</v>
      </c>
      <c r="C46" s="2">
        <v>10</v>
      </c>
      <c r="D46" s="6" t="s">
        <v>10</v>
      </c>
      <c r="E46" s="6" t="s">
        <v>10</v>
      </c>
      <c r="F46" s="6" t="s">
        <v>10</v>
      </c>
      <c r="G46" s="10">
        <v>36</v>
      </c>
      <c r="H46" s="8">
        <v>33</v>
      </c>
      <c r="I46" s="9">
        <v>35</v>
      </c>
      <c r="J46" s="12" t="s">
        <v>10</v>
      </c>
      <c r="K46" s="6" t="s">
        <v>10</v>
      </c>
      <c r="L46" s="6" t="s">
        <v>10</v>
      </c>
      <c r="M46" s="12" t="s">
        <v>10</v>
      </c>
      <c r="N46" s="6" t="s">
        <v>10</v>
      </c>
      <c r="O46" s="7" t="s">
        <v>10</v>
      </c>
      <c r="P46" s="10">
        <v>81.5</v>
      </c>
      <c r="Q46" s="8">
        <v>80</v>
      </c>
      <c r="R46" s="9">
        <v>81</v>
      </c>
      <c r="S46" s="8" t="s">
        <v>10</v>
      </c>
      <c r="T46" s="8" t="s">
        <v>10</v>
      </c>
      <c r="U46" s="9" t="s">
        <v>10</v>
      </c>
      <c r="V46" s="10">
        <v>95</v>
      </c>
      <c r="W46" s="8">
        <v>82</v>
      </c>
      <c r="X46" s="9">
        <v>89</v>
      </c>
      <c r="Y46" s="10">
        <v>74</v>
      </c>
      <c r="Z46" s="8">
        <v>70</v>
      </c>
      <c r="AA46" s="9">
        <v>72</v>
      </c>
      <c r="AB46" s="10" t="s">
        <v>10</v>
      </c>
      <c r="AC46" s="8" t="s">
        <v>10</v>
      </c>
      <c r="AD46" s="9" t="s">
        <v>10</v>
      </c>
    </row>
    <row r="47" spans="1:30" x14ac:dyDescent="0.35">
      <c r="A47" s="2">
        <v>2005</v>
      </c>
      <c r="B47" s="2">
        <v>4</v>
      </c>
      <c r="C47" s="2">
        <v>11</v>
      </c>
      <c r="D47" s="6" t="s">
        <v>10</v>
      </c>
      <c r="E47" s="6" t="s">
        <v>10</v>
      </c>
      <c r="F47" s="6" t="s">
        <v>10</v>
      </c>
      <c r="G47" s="10">
        <v>36</v>
      </c>
      <c r="H47" s="8">
        <v>33</v>
      </c>
      <c r="I47" s="9">
        <v>35</v>
      </c>
      <c r="J47" s="12" t="s">
        <v>10</v>
      </c>
      <c r="K47" s="6" t="s">
        <v>10</v>
      </c>
      <c r="L47" s="6" t="s">
        <v>10</v>
      </c>
      <c r="M47" s="12" t="s">
        <v>10</v>
      </c>
      <c r="N47" s="6" t="s">
        <v>10</v>
      </c>
      <c r="O47" s="7" t="s">
        <v>10</v>
      </c>
      <c r="P47" s="10">
        <v>77</v>
      </c>
      <c r="Q47" s="8">
        <v>75</v>
      </c>
      <c r="R47" s="9">
        <v>76</v>
      </c>
      <c r="S47" s="8" t="s">
        <v>10</v>
      </c>
      <c r="T47" s="8" t="s">
        <v>10</v>
      </c>
      <c r="U47" s="9" t="s">
        <v>10</v>
      </c>
      <c r="V47" s="10">
        <v>95</v>
      </c>
      <c r="W47" s="8">
        <v>82</v>
      </c>
      <c r="X47" s="9">
        <v>89</v>
      </c>
      <c r="Y47" s="10">
        <v>74</v>
      </c>
      <c r="Z47" s="8">
        <v>70</v>
      </c>
      <c r="AA47" s="9">
        <v>72</v>
      </c>
      <c r="AB47" s="10" t="s">
        <v>10</v>
      </c>
      <c r="AC47" s="8" t="s">
        <v>10</v>
      </c>
      <c r="AD47" s="9" t="s">
        <v>10</v>
      </c>
    </row>
    <row r="48" spans="1:30" x14ac:dyDescent="0.35">
      <c r="A48" s="2">
        <v>2005</v>
      </c>
      <c r="B48" s="2">
        <v>4</v>
      </c>
      <c r="C48" s="2">
        <v>12</v>
      </c>
      <c r="D48" s="6" t="s">
        <v>10</v>
      </c>
      <c r="E48" s="6" t="s">
        <v>10</v>
      </c>
      <c r="F48" s="6" t="s">
        <v>10</v>
      </c>
      <c r="G48" s="10">
        <v>36</v>
      </c>
      <c r="H48" s="8">
        <v>33</v>
      </c>
      <c r="I48" s="9">
        <v>35</v>
      </c>
      <c r="J48" s="12" t="s">
        <v>10</v>
      </c>
      <c r="K48" s="6" t="s">
        <v>10</v>
      </c>
      <c r="L48" s="6" t="s">
        <v>10</v>
      </c>
      <c r="M48" s="12" t="s">
        <v>10</v>
      </c>
      <c r="N48" s="6" t="s">
        <v>10</v>
      </c>
      <c r="O48" s="7" t="s">
        <v>10</v>
      </c>
      <c r="P48" s="10">
        <v>74.5</v>
      </c>
      <c r="Q48" s="8">
        <v>72.5</v>
      </c>
      <c r="R48" s="9">
        <v>74</v>
      </c>
      <c r="S48" s="8" t="s">
        <v>10</v>
      </c>
      <c r="T48" s="8" t="s">
        <v>10</v>
      </c>
      <c r="U48" s="9" t="s">
        <v>10</v>
      </c>
      <c r="V48" s="10">
        <v>95</v>
      </c>
      <c r="W48" s="8">
        <v>82</v>
      </c>
      <c r="X48" s="9">
        <v>89</v>
      </c>
      <c r="Y48" s="10">
        <v>74</v>
      </c>
      <c r="Z48" s="8">
        <v>70</v>
      </c>
      <c r="AA48" s="9">
        <v>72</v>
      </c>
      <c r="AB48" s="10" t="s">
        <v>10</v>
      </c>
      <c r="AC48" s="8" t="s">
        <v>10</v>
      </c>
      <c r="AD48" s="9" t="s">
        <v>10</v>
      </c>
    </row>
    <row r="49" spans="1:30" x14ac:dyDescent="0.35">
      <c r="A49" s="2">
        <v>2006</v>
      </c>
      <c r="B49" s="2">
        <v>1</v>
      </c>
      <c r="C49" s="2">
        <v>1</v>
      </c>
      <c r="D49" s="6" t="s">
        <v>10</v>
      </c>
      <c r="E49" s="6" t="s">
        <v>10</v>
      </c>
      <c r="F49" s="6" t="s">
        <v>10</v>
      </c>
      <c r="G49" s="10">
        <v>33</v>
      </c>
      <c r="H49" s="8">
        <v>29</v>
      </c>
      <c r="I49" s="9">
        <v>31.5</v>
      </c>
      <c r="J49" s="12" t="s">
        <v>10</v>
      </c>
      <c r="K49" s="6" t="s">
        <v>10</v>
      </c>
      <c r="L49" s="6" t="s">
        <v>10</v>
      </c>
      <c r="M49" s="12" t="s">
        <v>10</v>
      </c>
      <c r="N49" s="6" t="s">
        <v>10</v>
      </c>
      <c r="O49" s="7" t="s">
        <v>10</v>
      </c>
      <c r="P49" s="10">
        <v>67</v>
      </c>
      <c r="Q49" s="8">
        <v>64</v>
      </c>
      <c r="R49" s="9">
        <v>66</v>
      </c>
      <c r="S49" s="8" t="s">
        <v>10</v>
      </c>
      <c r="T49" s="8" t="s">
        <v>10</v>
      </c>
      <c r="U49" s="9" t="s">
        <v>10</v>
      </c>
      <c r="V49" s="10">
        <v>87.5</v>
      </c>
      <c r="W49" s="8">
        <v>78.5</v>
      </c>
      <c r="X49" s="9">
        <v>83.5</v>
      </c>
      <c r="Y49" s="10">
        <v>72</v>
      </c>
      <c r="Z49" s="8">
        <v>68</v>
      </c>
      <c r="AA49" s="9">
        <v>70</v>
      </c>
      <c r="AB49" s="10" t="s">
        <v>10</v>
      </c>
      <c r="AC49" s="8" t="s">
        <v>10</v>
      </c>
      <c r="AD49" s="9" t="s">
        <v>10</v>
      </c>
    </row>
    <row r="50" spans="1:30" x14ac:dyDescent="0.35">
      <c r="A50" s="2">
        <v>2006</v>
      </c>
      <c r="B50" s="2">
        <v>1</v>
      </c>
      <c r="C50" s="2">
        <v>2</v>
      </c>
      <c r="D50" s="6" t="s">
        <v>10</v>
      </c>
      <c r="E50" s="6" t="s">
        <v>10</v>
      </c>
      <c r="F50" s="6" t="s">
        <v>10</v>
      </c>
      <c r="G50" s="10">
        <v>30</v>
      </c>
      <c r="H50" s="8">
        <v>25</v>
      </c>
      <c r="I50" s="9">
        <v>28</v>
      </c>
      <c r="J50" s="12" t="s">
        <v>10</v>
      </c>
      <c r="K50" s="6" t="s">
        <v>10</v>
      </c>
      <c r="L50" s="6" t="s">
        <v>10</v>
      </c>
      <c r="M50" s="12" t="s">
        <v>10</v>
      </c>
      <c r="N50" s="6" t="s">
        <v>10</v>
      </c>
      <c r="O50" s="7" t="s">
        <v>10</v>
      </c>
      <c r="P50" s="10">
        <v>69</v>
      </c>
      <c r="Q50" s="8">
        <v>63.5</v>
      </c>
      <c r="R50" s="9">
        <v>66.5</v>
      </c>
      <c r="S50" s="8" t="s">
        <v>10</v>
      </c>
      <c r="T50" s="8" t="s">
        <v>10</v>
      </c>
      <c r="U50" s="9" t="s">
        <v>10</v>
      </c>
      <c r="V50" s="10">
        <v>80</v>
      </c>
      <c r="W50" s="8">
        <v>75</v>
      </c>
      <c r="X50" s="9">
        <v>78</v>
      </c>
      <c r="Y50" s="10">
        <v>70</v>
      </c>
      <c r="Z50" s="8">
        <v>66</v>
      </c>
      <c r="AA50" s="9">
        <v>68</v>
      </c>
      <c r="AB50" s="10" t="s">
        <v>10</v>
      </c>
      <c r="AC50" s="8" t="s">
        <v>10</v>
      </c>
      <c r="AD50" s="9" t="s">
        <v>10</v>
      </c>
    </row>
    <row r="51" spans="1:30" x14ac:dyDescent="0.35">
      <c r="A51" s="2">
        <v>2006</v>
      </c>
      <c r="B51" s="2">
        <v>1</v>
      </c>
      <c r="C51" s="2">
        <v>3</v>
      </c>
      <c r="D51" s="6" t="s">
        <v>10</v>
      </c>
      <c r="E51" s="6" t="s">
        <v>10</v>
      </c>
      <c r="F51" s="6" t="s">
        <v>10</v>
      </c>
      <c r="G51" s="10">
        <v>30</v>
      </c>
      <c r="H51" s="8">
        <v>25</v>
      </c>
      <c r="I51" s="9">
        <v>28</v>
      </c>
      <c r="J51" s="12" t="s">
        <v>10</v>
      </c>
      <c r="K51" s="6" t="s">
        <v>10</v>
      </c>
      <c r="L51" s="6" t="s">
        <v>10</v>
      </c>
      <c r="M51" s="12" t="s">
        <v>10</v>
      </c>
      <c r="N51" s="6" t="s">
        <v>10</v>
      </c>
      <c r="O51" s="7" t="s">
        <v>10</v>
      </c>
      <c r="P51" s="10">
        <v>66</v>
      </c>
      <c r="Q51" s="8">
        <v>62</v>
      </c>
      <c r="R51" s="9">
        <v>64.5</v>
      </c>
      <c r="S51" s="8" t="s">
        <v>10</v>
      </c>
      <c r="T51" s="8" t="s">
        <v>10</v>
      </c>
      <c r="U51" s="9" t="s">
        <v>10</v>
      </c>
      <c r="V51" s="10">
        <v>80</v>
      </c>
      <c r="W51" s="8">
        <v>75</v>
      </c>
      <c r="X51" s="9">
        <v>78</v>
      </c>
      <c r="Y51" s="10">
        <v>70</v>
      </c>
      <c r="Z51" s="8">
        <v>66</v>
      </c>
      <c r="AA51" s="9">
        <v>68</v>
      </c>
      <c r="AB51" s="10" t="s">
        <v>10</v>
      </c>
      <c r="AC51" s="8" t="s">
        <v>10</v>
      </c>
      <c r="AD51" s="9" t="s">
        <v>10</v>
      </c>
    </row>
    <row r="52" spans="1:30" x14ac:dyDescent="0.35">
      <c r="A52" s="2">
        <v>2006</v>
      </c>
      <c r="B52" s="2">
        <v>2</v>
      </c>
      <c r="C52" s="2">
        <v>4</v>
      </c>
      <c r="D52" s="6" t="s">
        <v>10</v>
      </c>
      <c r="E52" s="6" t="s">
        <v>10</v>
      </c>
      <c r="F52" s="6" t="s">
        <v>10</v>
      </c>
      <c r="G52" s="10">
        <v>30</v>
      </c>
      <c r="H52" s="8">
        <v>25</v>
      </c>
      <c r="I52" s="9">
        <v>28</v>
      </c>
      <c r="J52" s="12" t="s">
        <v>10</v>
      </c>
      <c r="K52" s="6" t="s">
        <v>10</v>
      </c>
      <c r="L52" s="6" t="s">
        <v>10</v>
      </c>
      <c r="M52" s="12" t="s">
        <v>10</v>
      </c>
      <c r="N52" s="6" t="s">
        <v>10</v>
      </c>
      <c r="O52" s="7" t="s">
        <v>10</v>
      </c>
      <c r="P52" s="10">
        <v>64</v>
      </c>
      <c r="Q52" s="8">
        <v>61</v>
      </c>
      <c r="R52" s="9">
        <v>62.5</v>
      </c>
      <c r="S52" s="8" t="s">
        <v>10</v>
      </c>
      <c r="T52" s="8" t="s">
        <v>10</v>
      </c>
      <c r="U52" s="9" t="s">
        <v>10</v>
      </c>
      <c r="V52" s="10">
        <v>80</v>
      </c>
      <c r="W52" s="8">
        <v>75</v>
      </c>
      <c r="X52" s="9">
        <v>78</v>
      </c>
      <c r="Y52" s="10">
        <v>70</v>
      </c>
      <c r="Z52" s="8">
        <v>66</v>
      </c>
      <c r="AA52" s="9">
        <v>68</v>
      </c>
      <c r="AB52" s="10" t="s">
        <v>10</v>
      </c>
      <c r="AC52" s="8" t="s">
        <v>10</v>
      </c>
      <c r="AD52" s="9" t="s">
        <v>10</v>
      </c>
    </row>
    <row r="53" spans="1:30" x14ac:dyDescent="0.35">
      <c r="A53" s="2">
        <v>2006</v>
      </c>
      <c r="B53" s="2">
        <v>2</v>
      </c>
      <c r="C53" s="2">
        <v>5</v>
      </c>
      <c r="D53" s="6" t="s">
        <v>10</v>
      </c>
      <c r="E53" s="6" t="s">
        <v>10</v>
      </c>
      <c r="F53" s="6" t="s">
        <v>10</v>
      </c>
      <c r="G53" s="10">
        <v>30</v>
      </c>
      <c r="H53" s="8">
        <v>25</v>
      </c>
      <c r="I53" s="9">
        <v>28</v>
      </c>
      <c r="J53" s="12" t="s">
        <v>10</v>
      </c>
      <c r="K53" s="6" t="s">
        <v>10</v>
      </c>
      <c r="L53" s="6" t="s">
        <v>10</v>
      </c>
      <c r="M53" s="12" t="s">
        <v>10</v>
      </c>
      <c r="N53" s="6" t="s">
        <v>10</v>
      </c>
      <c r="O53" s="7" t="s">
        <v>10</v>
      </c>
      <c r="P53" s="10">
        <v>63</v>
      </c>
      <c r="Q53" s="8">
        <v>60</v>
      </c>
      <c r="R53" s="9">
        <v>62</v>
      </c>
      <c r="S53" s="8" t="s">
        <v>10</v>
      </c>
      <c r="T53" s="8" t="s">
        <v>10</v>
      </c>
      <c r="U53" s="9" t="s">
        <v>10</v>
      </c>
      <c r="V53" s="10">
        <v>80</v>
      </c>
      <c r="W53" s="8">
        <v>75</v>
      </c>
      <c r="X53" s="9">
        <v>78</v>
      </c>
      <c r="Y53" s="10">
        <v>70</v>
      </c>
      <c r="Z53" s="8">
        <v>66</v>
      </c>
      <c r="AA53" s="9">
        <v>68</v>
      </c>
      <c r="AB53" s="10" t="s">
        <v>10</v>
      </c>
      <c r="AC53" s="8" t="s">
        <v>10</v>
      </c>
      <c r="AD53" s="9" t="s">
        <v>10</v>
      </c>
    </row>
    <row r="54" spans="1:30" x14ac:dyDescent="0.35">
      <c r="A54" s="2">
        <v>2006</v>
      </c>
      <c r="B54" s="2">
        <v>2</v>
      </c>
      <c r="C54" s="2">
        <v>6</v>
      </c>
      <c r="D54" s="6" t="s">
        <v>10</v>
      </c>
      <c r="E54" s="6" t="s">
        <v>10</v>
      </c>
      <c r="F54" s="6" t="s">
        <v>10</v>
      </c>
      <c r="G54" s="10">
        <v>30</v>
      </c>
      <c r="H54" s="8">
        <v>25</v>
      </c>
      <c r="I54" s="9">
        <v>28</v>
      </c>
      <c r="J54" s="12" t="s">
        <v>10</v>
      </c>
      <c r="K54" s="6" t="s">
        <v>10</v>
      </c>
      <c r="L54" s="6" t="s">
        <v>10</v>
      </c>
      <c r="M54" s="12" t="s">
        <v>10</v>
      </c>
      <c r="N54" s="6" t="s">
        <v>10</v>
      </c>
      <c r="O54" s="7" t="s">
        <v>10</v>
      </c>
      <c r="P54" s="10">
        <v>60</v>
      </c>
      <c r="Q54" s="8">
        <v>55.5</v>
      </c>
      <c r="R54" s="9">
        <v>58</v>
      </c>
      <c r="S54" s="8" t="s">
        <v>10</v>
      </c>
      <c r="T54" s="8" t="s">
        <v>10</v>
      </c>
      <c r="U54" s="9" t="s">
        <v>10</v>
      </c>
      <c r="V54" s="10">
        <v>80</v>
      </c>
      <c r="W54" s="8">
        <v>75</v>
      </c>
      <c r="X54" s="9">
        <v>78</v>
      </c>
      <c r="Y54" s="10">
        <v>69</v>
      </c>
      <c r="Z54" s="8">
        <v>64.5</v>
      </c>
      <c r="AA54" s="9">
        <v>67</v>
      </c>
      <c r="AB54" s="10" t="s">
        <v>10</v>
      </c>
      <c r="AC54" s="8" t="s">
        <v>10</v>
      </c>
      <c r="AD54" s="9" t="s">
        <v>10</v>
      </c>
    </row>
    <row r="55" spans="1:30" x14ac:dyDescent="0.35">
      <c r="A55" s="2">
        <v>2006</v>
      </c>
      <c r="B55" s="2">
        <v>3</v>
      </c>
      <c r="C55" s="2">
        <v>7</v>
      </c>
      <c r="D55" s="6" t="s">
        <v>10</v>
      </c>
      <c r="E55" s="6" t="s">
        <v>10</v>
      </c>
      <c r="F55" s="6" t="s">
        <v>10</v>
      </c>
      <c r="G55" s="10">
        <v>30</v>
      </c>
      <c r="H55" s="8">
        <v>25</v>
      </c>
      <c r="I55" s="9">
        <v>28</v>
      </c>
      <c r="J55" s="12" t="s">
        <v>10</v>
      </c>
      <c r="K55" s="6" t="s">
        <v>10</v>
      </c>
      <c r="L55" s="6" t="s">
        <v>10</v>
      </c>
      <c r="M55" s="12" t="s">
        <v>10</v>
      </c>
      <c r="N55" s="6" t="s">
        <v>10</v>
      </c>
      <c r="O55" s="7" t="s">
        <v>10</v>
      </c>
      <c r="P55" s="10">
        <v>57</v>
      </c>
      <c r="Q55" s="8">
        <v>52</v>
      </c>
      <c r="R55" s="9">
        <v>54.5</v>
      </c>
      <c r="S55" s="8" t="s">
        <v>10</v>
      </c>
      <c r="T55" s="8" t="s">
        <v>10</v>
      </c>
      <c r="U55" s="9" t="s">
        <v>10</v>
      </c>
      <c r="V55" s="10">
        <v>77.5</v>
      </c>
      <c r="W55" s="8">
        <v>71.5</v>
      </c>
      <c r="X55" s="9">
        <v>75</v>
      </c>
      <c r="Y55" s="10">
        <v>65</v>
      </c>
      <c r="Z55" s="8">
        <v>61.5</v>
      </c>
      <c r="AA55" s="9">
        <v>63.5</v>
      </c>
      <c r="AB55" s="10" t="s">
        <v>10</v>
      </c>
      <c r="AC55" s="8" t="s">
        <v>10</v>
      </c>
      <c r="AD55" s="9" t="s">
        <v>10</v>
      </c>
    </row>
    <row r="56" spans="1:30" x14ac:dyDescent="0.35">
      <c r="A56" s="2">
        <v>2006</v>
      </c>
      <c r="B56" s="2">
        <v>3</v>
      </c>
      <c r="C56" s="2">
        <v>8</v>
      </c>
      <c r="D56" s="6" t="s">
        <v>10</v>
      </c>
      <c r="E56" s="6" t="s">
        <v>10</v>
      </c>
      <c r="F56" s="6" t="s">
        <v>10</v>
      </c>
      <c r="G56" s="10">
        <v>30</v>
      </c>
      <c r="H56" s="8">
        <v>25</v>
      </c>
      <c r="I56" s="9">
        <v>28</v>
      </c>
      <c r="J56" s="12" t="s">
        <v>10</v>
      </c>
      <c r="K56" s="6" t="s">
        <v>10</v>
      </c>
      <c r="L56" s="6" t="s">
        <v>10</v>
      </c>
      <c r="M56" s="12" t="s">
        <v>10</v>
      </c>
      <c r="N56" s="6" t="s">
        <v>10</v>
      </c>
      <c r="O56" s="7" t="s">
        <v>10</v>
      </c>
      <c r="P56" s="10">
        <v>55</v>
      </c>
      <c r="Q56" s="8">
        <v>49.333333333333336</v>
      </c>
      <c r="R56" s="9">
        <v>52.333333333333336</v>
      </c>
      <c r="S56" s="8" t="s">
        <v>10</v>
      </c>
      <c r="T56" s="8" t="s">
        <v>10</v>
      </c>
      <c r="U56" s="9" t="s">
        <v>10</v>
      </c>
      <c r="V56" s="10">
        <v>75</v>
      </c>
      <c r="W56" s="8">
        <v>68</v>
      </c>
      <c r="X56" s="9">
        <v>72</v>
      </c>
      <c r="Y56" s="10">
        <v>61.333333333333336</v>
      </c>
      <c r="Z56" s="8">
        <v>59.333333333333336</v>
      </c>
      <c r="AA56" s="9">
        <v>60.333333333333336</v>
      </c>
      <c r="AB56" s="10" t="s">
        <v>10</v>
      </c>
      <c r="AC56" s="8" t="s">
        <v>10</v>
      </c>
      <c r="AD56" s="9" t="s">
        <v>10</v>
      </c>
    </row>
    <row r="57" spans="1:30" x14ac:dyDescent="0.35">
      <c r="A57" s="2">
        <v>2006</v>
      </c>
      <c r="B57" s="2">
        <v>3</v>
      </c>
      <c r="C57" s="2">
        <v>9</v>
      </c>
      <c r="D57" s="6" t="s">
        <v>10</v>
      </c>
      <c r="E57" s="6" t="s">
        <v>10</v>
      </c>
      <c r="F57" s="6" t="s">
        <v>10</v>
      </c>
      <c r="G57" s="10">
        <v>30</v>
      </c>
      <c r="H57" s="8">
        <v>25</v>
      </c>
      <c r="I57" s="9">
        <v>28</v>
      </c>
      <c r="J57" s="12" t="s">
        <v>10</v>
      </c>
      <c r="K57" s="6" t="s">
        <v>10</v>
      </c>
      <c r="L57" s="6" t="s">
        <v>10</v>
      </c>
      <c r="M57" s="12" t="s">
        <v>10</v>
      </c>
      <c r="N57" s="6" t="s">
        <v>10</v>
      </c>
      <c r="O57" s="7" t="s">
        <v>10</v>
      </c>
      <c r="P57" s="10">
        <v>54</v>
      </c>
      <c r="Q57" s="8">
        <v>48</v>
      </c>
      <c r="R57" s="9">
        <v>51.5</v>
      </c>
      <c r="S57" s="8" t="s">
        <v>10</v>
      </c>
      <c r="T57" s="8" t="s">
        <v>10</v>
      </c>
      <c r="U57" s="9" t="s">
        <v>10</v>
      </c>
      <c r="V57" s="10">
        <v>75</v>
      </c>
      <c r="W57" s="8">
        <v>68</v>
      </c>
      <c r="X57" s="9">
        <v>72</v>
      </c>
      <c r="Y57" s="10">
        <v>58</v>
      </c>
      <c r="Z57" s="8">
        <v>55</v>
      </c>
      <c r="AA57" s="9">
        <v>56.5</v>
      </c>
      <c r="AB57" s="10" t="s">
        <v>10</v>
      </c>
      <c r="AC57" s="8" t="s">
        <v>10</v>
      </c>
      <c r="AD57" s="9" t="s">
        <v>10</v>
      </c>
    </row>
    <row r="58" spans="1:30" x14ac:dyDescent="0.35">
      <c r="A58" s="2">
        <v>2006</v>
      </c>
      <c r="B58" s="2">
        <v>4</v>
      </c>
      <c r="C58" s="2">
        <v>10</v>
      </c>
      <c r="D58" s="6" t="s">
        <v>10</v>
      </c>
      <c r="E58" s="6" t="s">
        <v>10</v>
      </c>
      <c r="F58" s="6" t="s">
        <v>10</v>
      </c>
      <c r="G58" s="10">
        <v>30</v>
      </c>
      <c r="H58" s="8">
        <v>25</v>
      </c>
      <c r="I58" s="9">
        <v>28</v>
      </c>
      <c r="J58" s="12" t="s">
        <v>10</v>
      </c>
      <c r="K58" s="6" t="s">
        <v>10</v>
      </c>
      <c r="L58" s="6" t="s">
        <v>10</v>
      </c>
      <c r="M58" s="12" t="s">
        <v>10</v>
      </c>
      <c r="N58" s="6" t="s">
        <v>10</v>
      </c>
      <c r="O58" s="7" t="s">
        <v>10</v>
      </c>
      <c r="P58" s="10">
        <v>53</v>
      </c>
      <c r="Q58" s="8">
        <v>43</v>
      </c>
      <c r="R58" s="9">
        <v>48</v>
      </c>
      <c r="S58" s="8" t="s">
        <v>10</v>
      </c>
      <c r="T58" s="8" t="s">
        <v>10</v>
      </c>
      <c r="U58" s="9" t="s">
        <v>10</v>
      </c>
      <c r="V58" s="10">
        <v>75</v>
      </c>
      <c r="W58" s="8">
        <v>68</v>
      </c>
      <c r="X58" s="9">
        <v>72</v>
      </c>
      <c r="Y58" s="10">
        <v>56</v>
      </c>
      <c r="Z58" s="8">
        <v>52</v>
      </c>
      <c r="AA58" s="9">
        <v>54</v>
      </c>
      <c r="AB58" s="10" t="s">
        <v>10</v>
      </c>
      <c r="AC58" s="8" t="s">
        <v>10</v>
      </c>
      <c r="AD58" s="9" t="s">
        <v>10</v>
      </c>
    </row>
    <row r="59" spans="1:30" x14ac:dyDescent="0.35">
      <c r="A59" s="2">
        <v>2006</v>
      </c>
      <c r="B59" s="2">
        <v>4</v>
      </c>
      <c r="C59" s="2">
        <v>11</v>
      </c>
      <c r="D59" s="6" t="s">
        <v>10</v>
      </c>
      <c r="E59" s="6" t="s">
        <v>10</v>
      </c>
      <c r="F59" s="6" t="s">
        <v>10</v>
      </c>
      <c r="G59" s="10">
        <v>30</v>
      </c>
      <c r="H59" s="8">
        <v>25</v>
      </c>
      <c r="I59" s="9">
        <v>28</v>
      </c>
      <c r="J59" s="12" t="s">
        <v>10</v>
      </c>
      <c r="K59" s="6" t="s">
        <v>10</v>
      </c>
      <c r="L59" s="6" t="s">
        <v>10</v>
      </c>
      <c r="M59" s="12" t="s">
        <v>10</v>
      </c>
      <c r="N59" s="6" t="s">
        <v>10</v>
      </c>
      <c r="O59" s="7" t="s">
        <v>10</v>
      </c>
      <c r="P59" s="10">
        <v>53.5</v>
      </c>
      <c r="Q59" s="8">
        <v>44</v>
      </c>
      <c r="R59" s="9">
        <v>49</v>
      </c>
      <c r="S59" s="8" t="s">
        <v>10</v>
      </c>
      <c r="T59" s="8" t="s">
        <v>10</v>
      </c>
      <c r="U59" s="9" t="s">
        <v>10</v>
      </c>
      <c r="V59" s="10">
        <v>75</v>
      </c>
      <c r="W59" s="8">
        <v>68</v>
      </c>
      <c r="X59" s="9">
        <v>72</v>
      </c>
      <c r="Y59" s="10">
        <v>56</v>
      </c>
      <c r="Z59" s="8">
        <v>52</v>
      </c>
      <c r="AA59" s="9">
        <v>54</v>
      </c>
      <c r="AB59" s="10" t="s">
        <v>10</v>
      </c>
      <c r="AC59" s="8" t="s">
        <v>10</v>
      </c>
      <c r="AD59" s="9" t="s">
        <v>10</v>
      </c>
    </row>
    <row r="60" spans="1:30" x14ac:dyDescent="0.35">
      <c r="A60" s="2">
        <v>2006</v>
      </c>
      <c r="B60" s="2">
        <v>4</v>
      </c>
      <c r="C60" s="2">
        <v>12</v>
      </c>
      <c r="D60" s="6" t="s">
        <v>10</v>
      </c>
      <c r="E60" s="6" t="s">
        <v>10</v>
      </c>
      <c r="F60" s="6" t="s">
        <v>10</v>
      </c>
      <c r="G60" s="10">
        <v>32</v>
      </c>
      <c r="H60" s="8">
        <v>27</v>
      </c>
      <c r="I60" s="9">
        <v>30</v>
      </c>
      <c r="J60" s="12" t="s">
        <v>10</v>
      </c>
      <c r="K60" s="6" t="s">
        <v>10</v>
      </c>
      <c r="L60" s="6" t="s">
        <v>10</v>
      </c>
      <c r="M60" s="12" t="s">
        <v>10</v>
      </c>
      <c r="N60" s="6" t="s">
        <v>10</v>
      </c>
      <c r="O60" s="7" t="s">
        <v>10</v>
      </c>
      <c r="P60" s="10">
        <v>54.5</v>
      </c>
      <c r="Q60" s="8">
        <v>46.5</v>
      </c>
      <c r="R60" s="9">
        <v>51</v>
      </c>
      <c r="S60" s="8" t="s">
        <v>10</v>
      </c>
      <c r="T60" s="8" t="s">
        <v>10</v>
      </c>
      <c r="U60" s="9" t="s">
        <v>10</v>
      </c>
      <c r="V60" s="10">
        <v>75</v>
      </c>
      <c r="W60" s="8">
        <v>68</v>
      </c>
      <c r="X60" s="9">
        <v>72</v>
      </c>
      <c r="Y60" s="10">
        <v>54.5</v>
      </c>
      <c r="Z60" s="8">
        <v>51</v>
      </c>
      <c r="AA60" s="9">
        <v>53</v>
      </c>
      <c r="AB60" s="10" t="s">
        <v>10</v>
      </c>
      <c r="AC60" s="8" t="s">
        <v>10</v>
      </c>
      <c r="AD60" s="9" t="s">
        <v>10</v>
      </c>
    </row>
    <row r="61" spans="1:30" x14ac:dyDescent="0.35">
      <c r="A61" s="2">
        <v>2007</v>
      </c>
      <c r="B61" s="2">
        <v>1</v>
      </c>
      <c r="C61" s="2">
        <v>1</v>
      </c>
      <c r="D61" s="6" t="s">
        <v>10</v>
      </c>
      <c r="E61" s="6" t="s">
        <v>10</v>
      </c>
      <c r="F61" s="6" t="s">
        <v>10</v>
      </c>
      <c r="G61" s="10">
        <v>32</v>
      </c>
      <c r="H61" s="8">
        <v>27.5</v>
      </c>
      <c r="I61" s="9">
        <v>30</v>
      </c>
      <c r="J61" s="12" t="s">
        <v>10</v>
      </c>
      <c r="K61" s="6" t="s">
        <v>10</v>
      </c>
      <c r="L61" s="6" t="s">
        <v>10</v>
      </c>
      <c r="M61" s="12" t="s">
        <v>10</v>
      </c>
      <c r="N61" s="6" t="s">
        <v>10</v>
      </c>
      <c r="O61" s="7" t="s">
        <v>10</v>
      </c>
      <c r="P61" s="10">
        <v>57.5</v>
      </c>
      <c r="Q61" s="8">
        <v>48.5</v>
      </c>
      <c r="R61" s="9">
        <v>53</v>
      </c>
      <c r="S61" s="8" t="s">
        <v>10</v>
      </c>
      <c r="T61" s="8" t="s">
        <v>10</v>
      </c>
      <c r="U61" s="9" t="s">
        <v>10</v>
      </c>
      <c r="V61" s="10">
        <v>75</v>
      </c>
      <c r="W61" s="8">
        <v>68</v>
      </c>
      <c r="X61" s="9">
        <v>72</v>
      </c>
      <c r="Y61" s="10">
        <v>53</v>
      </c>
      <c r="Z61" s="8">
        <v>50</v>
      </c>
      <c r="AA61" s="9">
        <v>52</v>
      </c>
      <c r="AB61" s="10" t="s">
        <v>10</v>
      </c>
      <c r="AC61" s="8" t="s">
        <v>10</v>
      </c>
      <c r="AD61" s="9" t="s">
        <v>10</v>
      </c>
    </row>
    <row r="62" spans="1:30" x14ac:dyDescent="0.35">
      <c r="A62" s="2">
        <v>2007</v>
      </c>
      <c r="B62" s="2">
        <v>1</v>
      </c>
      <c r="C62" s="2">
        <v>2</v>
      </c>
      <c r="D62" s="6" t="s">
        <v>10</v>
      </c>
      <c r="E62" s="6" t="s">
        <v>10</v>
      </c>
      <c r="F62" s="6" t="s">
        <v>10</v>
      </c>
      <c r="G62" s="10">
        <v>32</v>
      </c>
      <c r="H62" s="8">
        <v>28</v>
      </c>
      <c r="I62" s="9">
        <v>30</v>
      </c>
      <c r="J62" s="12" t="s">
        <v>10</v>
      </c>
      <c r="K62" s="6" t="s">
        <v>10</v>
      </c>
      <c r="L62" s="6" t="s">
        <v>10</v>
      </c>
      <c r="M62" s="12" t="s">
        <v>10</v>
      </c>
      <c r="N62" s="6" t="s">
        <v>10</v>
      </c>
      <c r="O62" s="7" t="s">
        <v>10</v>
      </c>
      <c r="P62" s="10">
        <v>62.5</v>
      </c>
      <c r="Q62" s="8">
        <v>54</v>
      </c>
      <c r="R62" s="9">
        <v>58.5</v>
      </c>
      <c r="S62" s="8" t="s">
        <v>10</v>
      </c>
      <c r="T62" s="8" t="s">
        <v>10</v>
      </c>
      <c r="U62" s="9" t="s">
        <v>10</v>
      </c>
      <c r="V62" s="10">
        <v>75</v>
      </c>
      <c r="W62" s="8">
        <v>68</v>
      </c>
      <c r="X62" s="9">
        <v>72</v>
      </c>
      <c r="Y62" s="10">
        <v>51</v>
      </c>
      <c r="Z62" s="8">
        <v>50</v>
      </c>
      <c r="AA62" s="9">
        <v>51</v>
      </c>
      <c r="AB62" s="10" t="s">
        <v>10</v>
      </c>
      <c r="AC62" s="8" t="s">
        <v>10</v>
      </c>
      <c r="AD62" s="9" t="s">
        <v>10</v>
      </c>
    </row>
    <row r="63" spans="1:30" x14ac:dyDescent="0.35">
      <c r="A63" s="2">
        <v>2007</v>
      </c>
      <c r="B63" s="2">
        <v>1</v>
      </c>
      <c r="C63" s="2">
        <v>3</v>
      </c>
      <c r="D63" s="6" t="s">
        <v>10</v>
      </c>
      <c r="E63" s="6" t="s">
        <v>10</v>
      </c>
      <c r="F63" s="6" t="s">
        <v>10</v>
      </c>
      <c r="G63" s="10">
        <v>32</v>
      </c>
      <c r="H63" s="8">
        <v>28</v>
      </c>
      <c r="I63" s="9">
        <v>30</v>
      </c>
      <c r="J63" s="12" t="s">
        <v>10</v>
      </c>
      <c r="K63" s="6" t="s">
        <v>10</v>
      </c>
      <c r="L63" s="6" t="s">
        <v>10</v>
      </c>
      <c r="M63" s="12" t="s">
        <v>10</v>
      </c>
      <c r="N63" s="6" t="s">
        <v>10</v>
      </c>
      <c r="O63" s="7" t="s">
        <v>10</v>
      </c>
      <c r="P63" s="10">
        <v>74.5</v>
      </c>
      <c r="Q63" s="8">
        <v>61.5</v>
      </c>
      <c r="R63" s="9">
        <v>68.5</v>
      </c>
      <c r="S63" s="8" t="s">
        <v>10</v>
      </c>
      <c r="T63" s="8" t="s">
        <v>10</v>
      </c>
      <c r="U63" s="9" t="s">
        <v>10</v>
      </c>
      <c r="V63" s="10">
        <v>75</v>
      </c>
      <c r="W63" s="8">
        <v>68</v>
      </c>
      <c r="X63" s="9">
        <v>72</v>
      </c>
      <c r="Y63" s="10">
        <v>51</v>
      </c>
      <c r="Z63" s="8">
        <v>50</v>
      </c>
      <c r="AA63" s="9">
        <v>51</v>
      </c>
      <c r="AB63" s="10" t="s">
        <v>10</v>
      </c>
      <c r="AC63" s="8" t="s">
        <v>10</v>
      </c>
      <c r="AD63" s="9" t="s">
        <v>10</v>
      </c>
    </row>
    <row r="64" spans="1:30" x14ac:dyDescent="0.35">
      <c r="A64" s="2">
        <v>2007</v>
      </c>
      <c r="B64" s="2">
        <v>2</v>
      </c>
      <c r="C64" s="2">
        <v>4</v>
      </c>
      <c r="D64" s="6" t="s">
        <v>10</v>
      </c>
      <c r="E64" s="6" t="s">
        <v>10</v>
      </c>
      <c r="F64" s="6" t="s">
        <v>10</v>
      </c>
      <c r="G64" s="10">
        <v>36</v>
      </c>
      <c r="H64" s="8">
        <v>34</v>
      </c>
      <c r="I64" s="9">
        <v>35</v>
      </c>
      <c r="J64" s="12" t="s">
        <v>10</v>
      </c>
      <c r="K64" s="6" t="s">
        <v>10</v>
      </c>
      <c r="L64" s="6" t="s">
        <v>10</v>
      </c>
      <c r="M64" s="12" t="s">
        <v>10</v>
      </c>
      <c r="N64" s="6" t="s">
        <v>10</v>
      </c>
      <c r="O64" s="7" t="s">
        <v>10</v>
      </c>
      <c r="P64" s="10">
        <v>92.5</v>
      </c>
      <c r="Q64" s="8">
        <v>85</v>
      </c>
      <c r="R64" s="9">
        <v>89</v>
      </c>
      <c r="S64" s="8" t="s">
        <v>10</v>
      </c>
      <c r="T64" s="8" t="s">
        <v>10</v>
      </c>
      <c r="U64" s="9" t="s">
        <v>10</v>
      </c>
      <c r="V64" s="10">
        <v>75</v>
      </c>
      <c r="W64" s="8">
        <v>68</v>
      </c>
      <c r="X64" s="9">
        <v>72</v>
      </c>
      <c r="Y64" s="10">
        <v>51</v>
      </c>
      <c r="Z64" s="8">
        <v>50</v>
      </c>
      <c r="AA64" s="9">
        <v>51</v>
      </c>
      <c r="AB64" s="10" t="s">
        <v>10</v>
      </c>
      <c r="AC64" s="8" t="s">
        <v>10</v>
      </c>
      <c r="AD64" s="9" t="s">
        <v>10</v>
      </c>
    </row>
    <row r="65" spans="1:30" x14ac:dyDescent="0.35">
      <c r="A65" s="2">
        <v>2007</v>
      </c>
      <c r="B65" s="2">
        <v>2</v>
      </c>
      <c r="C65" s="2">
        <v>5</v>
      </c>
      <c r="D65" s="6" t="s">
        <v>10</v>
      </c>
      <c r="E65" s="6" t="s">
        <v>10</v>
      </c>
      <c r="F65" s="6" t="s">
        <v>10</v>
      </c>
      <c r="G65" s="10">
        <v>36</v>
      </c>
      <c r="H65" s="8">
        <v>34</v>
      </c>
      <c r="I65" s="9">
        <v>35</v>
      </c>
      <c r="J65" s="12" t="s">
        <v>10</v>
      </c>
      <c r="K65" s="6" t="s">
        <v>10</v>
      </c>
      <c r="L65" s="6" t="s">
        <v>10</v>
      </c>
      <c r="M65" s="12" t="s">
        <v>10</v>
      </c>
      <c r="N65" s="6" t="s">
        <v>10</v>
      </c>
      <c r="O65" s="7" t="s">
        <v>10</v>
      </c>
      <c r="P65" s="10">
        <v>107.5</v>
      </c>
      <c r="Q65" s="8">
        <v>98.5</v>
      </c>
      <c r="R65" s="9">
        <v>103</v>
      </c>
      <c r="S65" s="8" t="s">
        <v>10</v>
      </c>
      <c r="T65" s="8" t="s">
        <v>10</v>
      </c>
      <c r="U65" s="9" t="s">
        <v>10</v>
      </c>
      <c r="V65" s="10">
        <v>75</v>
      </c>
      <c r="W65" s="8">
        <v>68</v>
      </c>
      <c r="X65" s="9">
        <v>72</v>
      </c>
      <c r="Y65" s="10">
        <v>51</v>
      </c>
      <c r="Z65" s="8">
        <v>50</v>
      </c>
      <c r="AA65" s="9">
        <v>51</v>
      </c>
      <c r="AB65" s="10" t="s">
        <v>10</v>
      </c>
      <c r="AC65" s="8" t="s">
        <v>10</v>
      </c>
      <c r="AD65" s="9" t="s">
        <v>10</v>
      </c>
    </row>
    <row r="66" spans="1:30" x14ac:dyDescent="0.35">
      <c r="A66" s="2">
        <v>2007</v>
      </c>
      <c r="B66" s="2">
        <v>2</v>
      </c>
      <c r="C66" s="2">
        <v>6</v>
      </c>
      <c r="D66" s="6" t="s">
        <v>10</v>
      </c>
      <c r="E66" s="6" t="s">
        <v>10</v>
      </c>
      <c r="F66" s="6" t="s">
        <v>10</v>
      </c>
      <c r="G66" s="10">
        <v>38</v>
      </c>
      <c r="H66" s="8">
        <v>35</v>
      </c>
      <c r="I66" s="9">
        <v>37</v>
      </c>
      <c r="J66" s="12" t="s">
        <v>10</v>
      </c>
      <c r="K66" s="6" t="s">
        <v>10</v>
      </c>
      <c r="L66" s="6" t="s">
        <v>10</v>
      </c>
      <c r="M66" s="12" t="s">
        <v>10</v>
      </c>
      <c r="N66" s="6" t="s">
        <v>10</v>
      </c>
      <c r="O66" s="7" t="s">
        <v>10</v>
      </c>
      <c r="P66" s="10">
        <v>127.5</v>
      </c>
      <c r="Q66" s="8">
        <v>115</v>
      </c>
      <c r="R66" s="9">
        <v>121.5</v>
      </c>
      <c r="S66" s="8" t="s">
        <v>10</v>
      </c>
      <c r="T66" s="8" t="s">
        <v>10</v>
      </c>
      <c r="U66" s="9" t="s">
        <v>10</v>
      </c>
      <c r="V66" s="10">
        <v>75</v>
      </c>
      <c r="W66" s="8">
        <v>68</v>
      </c>
      <c r="X66" s="9">
        <v>72</v>
      </c>
      <c r="Y66" s="10">
        <v>65</v>
      </c>
      <c r="Z66" s="8">
        <v>63</v>
      </c>
      <c r="AA66" s="9">
        <v>64</v>
      </c>
      <c r="AB66" s="10" t="s">
        <v>10</v>
      </c>
      <c r="AC66" s="8" t="s">
        <v>10</v>
      </c>
      <c r="AD66" s="9" t="s">
        <v>10</v>
      </c>
    </row>
    <row r="67" spans="1:30" x14ac:dyDescent="0.35">
      <c r="A67" s="2">
        <v>2007</v>
      </c>
      <c r="B67" s="2">
        <v>3</v>
      </c>
      <c r="C67" s="2">
        <v>7</v>
      </c>
      <c r="D67" s="6" t="s">
        <v>10</v>
      </c>
      <c r="E67" s="6" t="s">
        <v>10</v>
      </c>
      <c r="F67" s="6" t="s">
        <v>10</v>
      </c>
      <c r="G67" s="10">
        <v>38</v>
      </c>
      <c r="H67" s="8">
        <v>35</v>
      </c>
      <c r="I67" s="9">
        <v>37</v>
      </c>
      <c r="J67" s="12" t="s">
        <v>10</v>
      </c>
      <c r="K67" s="6" t="s">
        <v>10</v>
      </c>
      <c r="L67" s="6" t="s">
        <v>10</v>
      </c>
      <c r="M67" s="12" t="s">
        <v>10</v>
      </c>
      <c r="N67" s="6" t="s">
        <v>10</v>
      </c>
      <c r="O67" s="7" t="s">
        <v>10</v>
      </c>
      <c r="P67" s="10">
        <v>174</v>
      </c>
      <c r="Q67" s="8">
        <v>160</v>
      </c>
      <c r="R67" s="9">
        <v>167</v>
      </c>
      <c r="S67" s="8" t="s">
        <v>10</v>
      </c>
      <c r="T67" s="8" t="s">
        <v>10</v>
      </c>
      <c r="U67" s="9" t="s">
        <v>10</v>
      </c>
      <c r="V67" s="10">
        <v>107</v>
      </c>
      <c r="W67" s="8">
        <v>88</v>
      </c>
      <c r="X67" s="9">
        <v>98</v>
      </c>
      <c r="Y67" s="10">
        <v>80</v>
      </c>
      <c r="Z67" s="8">
        <v>63</v>
      </c>
      <c r="AA67" s="9">
        <v>72</v>
      </c>
      <c r="AB67" s="10" t="s">
        <v>10</v>
      </c>
      <c r="AC67" s="8" t="s">
        <v>10</v>
      </c>
      <c r="AD67" s="9" t="s">
        <v>10</v>
      </c>
    </row>
    <row r="68" spans="1:30" x14ac:dyDescent="0.35">
      <c r="A68" s="2">
        <v>2007</v>
      </c>
      <c r="B68" s="2">
        <v>3</v>
      </c>
      <c r="C68" s="2">
        <v>8</v>
      </c>
      <c r="D68" s="6" t="s">
        <v>10</v>
      </c>
      <c r="E68" s="6" t="s">
        <v>10</v>
      </c>
      <c r="F68" s="6" t="s">
        <v>10</v>
      </c>
      <c r="G68" s="10">
        <v>39.333333333333336</v>
      </c>
      <c r="H68" s="8">
        <v>35</v>
      </c>
      <c r="I68" s="9">
        <v>37.666666666666664</v>
      </c>
      <c r="J68" s="12" t="s">
        <v>10</v>
      </c>
      <c r="K68" s="6" t="s">
        <v>10</v>
      </c>
      <c r="L68" s="6" t="s">
        <v>10</v>
      </c>
      <c r="M68" s="12" t="s">
        <v>10</v>
      </c>
      <c r="N68" s="6" t="s">
        <v>10</v>
      </c>
      <c r="O68" s="7" t="s">
        <v>10</v>
      </c>
      <c r="P68" s="10">
        <v>198</v>
      </c>
      <c r="Q68" s="8">
        <v>180</v>
      </c>
      <c r="R68" s="9">
        <v>189</v>
      </c>
      <c r="S68" s="8" t="s">
        <v>10</v>
      </c>
      <c r="T68" s="8" t="s">
        <v>10</v>
      </c>
      <c r="U68" s="9" t="s">
        <v>10</v>
      </c>
      <c r="V68" s="10">
        <v>177</v>
      </c>
      <c r="W68" s="8">
        <v>170</v>
      </c>
      <c r="X68" s="9">
        <v>174</v>
      </c>
      <c r="Y68" s="10">
        <v>80</v>
      </c>
      <c r="Z68" s="8">
        <v>63</v>
      </c>
      <c r="AA68" s="9">
        <v>72</v>
      </c>
      <c r="AB68" s="10" t="s">
        <v>10</v>
      </c>
      <c r="AC68" s="8" t="s">
        <v>10</v>
      </c>
      <c r="AD68" s="9" t="s">
        <v>10</v>
      </c>
    </row>
    <row r="69" spans="1:30" x14ac:dyDescent="0.35">
      <c r="A69" s="2">
        <v>2007</v>
      </c>
      <c r="B69" s="2">
        <v>3</v>
      </c>
      <c r="C69" s="2">
        <v>9</v>
      </c>
      <c r="D69" s="6" t="s">
        <v>10</v>
      </c>
      <c r="E69" s="6" t="s">
        <v>10</v>
      </c>
      <c r="F69" s="6" t="s">
        <v>10</v>
      </c>
      <c r="G69" s="10">
        <v>40</v>
      </c>
      <c r="H69" s="8">
        <v>35</v>
      </c>
      <c r="I69" s="9">
        <v>38</v>
      </c>
      <c r="J69" s="12" t="s">
        <v>10</v>
      </c>
      <c r="K69" s="6" t="s">
        <v>10</v>
      </c>
      <c r="L69" s="6" t="s">
        <v>10</v>
      </c>
      <c r="M69" s="12" t="s">
        <v>10</v>
      </c>
      <c r="N69" s="6" t="s">
        <v>10</v>
      </c>
      <c r="O69" s="7" t="s">
        <v>10</v>
      </c>
      <c r="P69" s="10">
        <v>210</v>
      </c>
      <c r="Q69" s="8">
        <v>200</v>
      </c>
      <c r="R69" s="9">
        <v>205.5</v>
      </c>
      <c r="S69" s="8" t="s">
        <v>10</v>
      </c>
      <c r="T69" s="8" t="s">
        <v>10</v>
      </c>
      <c r="U69" s="9" t="s">
        <v>10</v>
      </c>
      <c r="V69" s="10">
        <v>177</v>
      </c>
      <c r="W69" s="8">
        <v>170</v>
      </c>
      <c r="X69" s="9">
        <v>174</v>
      </c>
      <c r="Y69" s="10">
        <v>80</v>
      </c>
      <c r="Z69" s="8">
        <v>63</v>
      </c>
      <c r="AA69" s="9">
        <v>72</v>
      </c>
      <c r="AB69" s="10" t="s">
        <v>10</v>
      </c>
      <c r="AC69" s="8" t="s">
        <v>10</v>
      </c>
      <c r="AD69" s="9" t="s">
        <v>10</v>
      </c>
    </row>
    <row r="70" spans="1:30" x14ac:dyDescent="0.35">
      <c r="A70" s="2">
        <v>2007</v>
      </c>
      <c r="B70" s="2">
        <v>4</v>
      </c>
      <c r="C70" s="2">
        <v>10</v>
      </c>
      <c r="D70" s="6" t="s">
        <v>10</v>
      </c>
      <c r="E70" s="6" t="s">
        <v>10</v>
      </c>
      <c r="F70" s="6" t="s">
        <v>10</v>
      </c>
      <c r="G70" s="10">
        <v>40</v>
      </c>
      <c r="H70" s="8">
        <v>35</v>
      </c>
      <c r="I70" s="9">
        <v>38</v>
      </c>
      <c r="J70" s="12" t="s">
        <v>10</v>
      </c>
      <c r="K70" s="6" t="s">
        <v>10</v>
      </c>
      <c r="L70" s="6" t="s">
        <v>10</v>
      </c>
      <c r="M70" s="12" t="s">
        <v>10</v>
      </c>
      <c r="N70" s="6" t="s">
        <v>10</v>
      </c>
      <c r="O70" s="7" t="s">
        <v>10</v>
      </c>
      <c r="P70" s="10">
        <v>223</v>
      </c>
      <c r="Q70" s="8">
        <v>220</v>
      </c>
      <c r="R70" s="9">
        <v>222</v>
      </c>
      <c r="S70" s="8" t="s">
        <v>10</v>
      </c>
      <c r="T70" s="8" t="s">
        <v>10</v>
      </c>
      <c r="U70" s="9" t="s">
        <v>10</v>
      </c>
      <c r="V70" s="10">
        <v>177</v>
      </c>
      <c r="W70" s="8">
        <v>170</v>
      </c>
      <c r="X70" s="9">
        <v>174</v>
      </c>
      <c r="Y70" s="10">
        <v>85</v>
      </c>
      <c r="Z70" s="8">
        <v>70</v>
      </c>
      <c r="AA70" s="9">
        <v>78</v>
      </c>
      <c r="AB70" s="10" t="s">
        <v>10</v>
      </c>
      <c r="AC70" s="8" t="s">
        <v>10</v>
      </c>
      <c r="AD70" s="9" t="s">
        <v>10</v>
      </c>
    </row>
    <row r="71" spans="1:30" x14ac:dyDescent="0.35">
      <c r="A71" s="2">
        <v>2007</v>
      </c>
      <c r="B71" s="2">
        <v>4</v>
      </c>
      <c r="C71" s="2">
        <v>11</v>
      </c>
      <c r="D71" s="6" t="s">
        <v>10</v>
      </c>
      <c r="E71" s="6" t="s">
        <v>10</v>
      </c>
      <c r="F71" s="6" t="s">
        <v>10</v>
      </c>
      <c r="G71" s="10">
        <v>68</v>
      </c>
      <c r="H71" s="8">
        <v>55</v>
      </c>
      <c r="I71" s="9">
        <v>62</v>
      </c>
      <c r="J71" s="12" t="s">
        <v>10</v>
      </c>
      <c r="K71" s="6" t="s">
        <v>10</v>
      </c>
      <c r="L71" s="6" t="s">
        <v>10</v>
      </c>
      <c r="M71" s="12" t="s">
        <v>10</v>
      </c>
      <c r="N71" s="6" t="s">
        <v>10</v>
      </c>
      <c r="O71" s="7" t="s">
        <v>10</v>
      </c>
      <c r="P71" s="10">
        <v>285</v>
      </c>
      <c r="Q71" s="8">
        <v>266.5</v>
      </c>
      <c r="R71" s="9">
        <v>276</v>
      </c>
      <c r="S71" s="8" t="s">
        <v>10</v>
      </c>
      <c r="T71" s="8" t="s">
        <v>10</v>
      </c>
      <c r="U71" s="9" t="s">
        <v>10</v>
      </c>
      <c r="V71" s="10">
        <v>177</v>
      </c>
      <c r="W71" s="8">
        <v>170</v>
      </c>
      <c r="X71" s="9">
        <v>174</v>
      </c>
      <c r="Y71" s="10">
        <v>99</v>
      </c>
      <c r="Z71" s="8">
        <v>90</v>
      </c>
      <c r="AA71" s="9">
        <v>95</v>
      </c>
      <c r="AB71" s="10" t="s">
        <v>10</v>
      </c>
      <c r="AC71" s="8" t="s">
        <v>10</v>
      </c>
      <c r="AD71" s="9" t="s">
        <v>10</v>
      </c>
    </row>
    <row r="72" spans="1:30" x14ac:dyDescent="0.35">
      <c r="A72" s="2">
        <v>2007</v>
      </c>
      <c r="B72" s="2">
        <v>4</v>
      </c>
      <c r="C72" s="2">
        <v>12</v>
      </c>
      <c r="D72" s="6" t="s">
        <v>10</v>
      </c>
      <c r="E72" s="6" t="s">
        <v>10</v>
      </c>
      <c r="F72" s="6" t="s">
        <v>10</v>
      </c>
      <c r="G72" s="10">
        <v>94</v>
      </c>
      <c r="H72" s="8">
        <v>70</v>
      </c>
      <c r="I72" s="9">
        <v>82.5</v>
      </c>
      <c r="J72" s="12" t="s">
        <v>10</v>
      </c>
      <c r="K72" s="6" t="s">
        <v>10</v>
      </c>
      <c r="L72" s="6" t="s">
        <v>10</v>
      </c>
      <c r="M72" s="12" t="s">
        <v>10</v>
      </c>
      <c r="N72" s="6" t="s">
        <v>10</v>
      </c>
      <c r="O72" s="7" t="s">
        <v>10</v>
      </c>
      <c r="P72" s="10">
        <v>453.5</v>
      </c>
      <c r="Q72" s="8">
        <v>392</v>
      </c>
      <c r="R72" s="9">
        <v>423</v>
      </c>
      <c r="S72" s="8" t="s">
        <v>10</v>
      </c>
      <c r="T72" s="8" t="s">
        <v>10</v>
      </c>
      <c r="U72" s="9" t="s">
        <v>10</v>
      </c>
      <c r="V72" s="10">
        <v>308.5</v>
      </c>
      <c r="W72" s="8">
        <v>300</v>
      </c>
      <c r="X72" s="9">
        <v>304.5</v>
      </c>
      <c r="Y72" s="10">
        <v>113</v>
      </c>
      <c r="Z72" s="8">
        <v>110</v>
      </c>
      <c r="AA72" s="9">
        <v>112</v>
      </c>
      <c r="AB72" s="10" t="s">
        <v>10</v>
      </c>
      <c r="AC72" s="8" t="s">
        <v>10</v>
      </c>
      <c r="AD72" s="9" t="s">
        <v>10</v>
      </c>
    </row>
    <row r="73" spans="1:30" x14ac:dyDescent="0.35">
      <c r="A73" s="2">
        <v>2008</v>
      </c>
      <c r="B73" s="2">
        <v>1</v>
      </c>
      <c r="C73" s="2">
        <v>1</v>
      </c>
      <c r="D73" s="6" t="s">
        <v>10</v>
      </c>
      <c r="E73" s="6" t="s">
        <v>10</v>
      </c>
      <c r="F73" s="6" t="s">
        <v>10</v>
      </c>
      <c r="G73" s="10">
        <v>120</v>
      </c>
      <c r="H73" s="8">
        <v>85</v>
      </c>
      <c r="I73" s="9">
        <v>103</v>
      </c>
      <c r="J73" s="12" t="s">
        <v>10</v>
      </c>
      <c r="K73" s="6" t="s">
        <v>10</v>
      </c>
      <c r="L73" s="6" t="s">
        <v>10</v>
      </c>
      <c r="M73" s="12" t="s">
        <v>10</v>
      </c>
      <c r="N73" s="6" t="s">
        <v>10</v>
      </c>
      <c r="O73" s="7" t="s">
        <v>10</v>
      </c>
      <c r="P73" s="10">
        <v>531.5</v>
      </c>
      <c r="Q73" s="8">
        <v>498.5</v>
      </c>
      <c r="R73" s="9">
        <v>515.5</v>
      </c>
      <c r="S73" s="8" t="s">
        <v>10</v>
      </c>
      <c r="T73" s="8" t="s">
        <v>10</v>
      </c>
      <c r="U73" s="9" t="s">
        <v>10</v>
      </c>
      <c r="V73" s="10">
        <v>445</v>
      </c>
      <c r="W73" s="8">
        <v>420</v>
      </c>
      <c r="X73" s="9">
        <v>433</v>
      </c>
      <c r="Y73" s="10">
        <v>113</v>
      </c>
      <c r="Z73" s="8">
        <v>110</v>
      </c>
      <c r="AA73" s="9">
        <v>112</v>
      </c>
      <c r="AB73" s="10" t="s">
        <v>10</v>
      </c>
      <c r="AC73" s="8" t="s">
        <v>10</v>
      </c>
      <c r="AD73" s="9" t="s">
        <v>10</v>
      </c>
    </row>
    <row r="74" spans="1:30" x14ac:dyDescent="0.35">
      <c r="A74" s="2">
        <v>2008</v>
      </c>
      <c r="B74" s="2">
        <v>1</v>
      </c>
      <c r="C74" s="2">
        <v>2</v>
      </c>
      <c r="D74" s="6" t="s">
        <v>10</v>
      </c>
      <c r="E74" s="6" t="s">
        <v>10</v>
      </c>
      <c r="F74" s="6" t="s">
        <v>10</v>
      </c>
      <c r="G74" s="10">
        <v>120</v>
      </c>
      <c r="H74" s="8">
        <v>85</v>
      </c>
      <c r="I74" s="9">
        <v>103</v>
      </c>
      <c r="J74" s="12" t="s">
        <v>10</v>
      </c>
      <c r="K74" s="6" t="s">
        <v>10</v>
      </c>
      <c r="L74" s="6" t="s">
        <v>10</v>
      </c>
      <c r="M74" s="12" t="s">
        <v>10</v>
      </c>
      <c r="N74" s="6" t="s">
        <v>10</v>
      </c>
      <c r="O74" s="7" t="s">
        <v>10</v>
      </c>
      <c r="P74" s="10">
        <v>620</v>
      </c>
      <c r="Q74" s="8">
        <v>620</v>
      </c>
      <c r="R74" s="9">
        <v>620</v>
      </c>
      <c r="S74" s="8" t="s">
        <v>10</v>
      </c>
      <c r="T74" s="8" t="s">
        <v>10</v>
      </c>
      <c r="U74" s="9" t="s">
        <v>10</v>
      </c>
      <c r="V74" s="10">
        <v>445</v>
      </c>
      <c r="W74" s="8">
        <v>420</v>
      </c>
      <c r="X74" s="9">
        <v>433</v>
      </c>
      <c r="Y74" s="10">
        <v>378</v>
      </c>
      <c r="Z74" s="8">
        <v>110</v>
      </c>
      <c r="AA74" s="9">
        <v>244</v>
      </c>
      <c r="AB74" s="10" t="s">
        <v>10</v>
      </c>
      <c r="AC74" s="8" t="s">
        <v>10</v>
      </c>
      <c r="AD74" s="9" t="s">
        <v>10</v>
      </c>
    </row>
    <row r="75" spans="1:30" x14ac:dyDescent="0.35">
      <c r="A75" s="2">
        <v>2008</v>
      </c>
      <c r="B75" s="2">
        <v>1</v>
      </c>
      <c r="C75" s="2">
        <v>3</v>
      </c>
      <c r="D75" s="6" t="s">
        <v>10</v>
      </c>
      <c r="E75" s="6" t="s">
        <v>10</v>
      </c>
      <c r="F75" s="6" t="s">
        <v>10</v>
      </c>
      <c r="G75" s="10">
        <v>120</v>
      </c>
      <c r="H75" s="8">
        <v>85</v>
      </c>
      <c r="I75" s="9">
        <v>103</v>
      </c>
      <c r="J75" s="12" t="s">
        <v>10</v>
      </c>
      <c r="K75" s="6" t="s">
        <v>10</v>
      </c>
      <c r="L75" s="6" t="s">
        <v>10</v>
      </c>
      <c r="M75" s="12" t="s">
        <v>10</v>
      </c>
      <c r="N75" s="6" t="s">
        <v>10</v>
      </c>
      <c r="O75" s="7" t="s">
        <v>10</v>
      </c>
      <c r="P75" s="10">
        <v>654</v>
      </c>
      <c r="Q75" s="8">
        <v>637.5</v>
      </c>
      <c r="R75" s="9">
        <v>646</v>
      </c>
      <c r="S75" s="8" t="s">
        <v>10</v>
      </c>
      <c r="T75" s="8" t="s">
        <v>10</v>
      </c>
      <c r="U75" s="9" t="s">
        <v>10</v>
      </c>
      <c r="V75" s="10">
        <v>445</v>
      </c>
      <c r="W75" s="8">
        <v>420</v>
      </c>
      <c r="X75" s="9">
        <v>433</v>
      </c>
      <c r="Y75" s="10">
        <v>378</v>
      </c>
      <c r="Z75" s="8">
        <v>110</v>
      </c>
      <c r="AA75" s="9">
        <v>244</v>
      </c>
      <c r="AB75" s="10" t="s">
        <v>10</v>
      </c>
      <c r="AC75" s="8" t="s">
        <v>10</v>
      </c>
      <c r="AD75" s="9" t="s">
        <v>10</v>
      </c>
    </row>
    <row r="76" spans="1:30" x14ac:dyDescent="0.35">
      <c r="A76" s="2">
        <v>2008</v>
      </c>
      <c r="B76" s="2">
        <v>2</v>
      </c>
      <c r="C76" s="2">
        <v>4</v>
      </c>
      <c r="D76" s="6" t="s">
        <v>10</v>
      </c>
      <c r="E76" s="6" t="s">
        <v>10</v>
      </c>
      <c r="F76" s="6" t="s">
        <v>10</v>
      </c>
      <c r="G76" s="10">
        <v>120</v>
      </c>
      <c r="H76" s="8">
        <v>85</v>
      </c>
      <c r="I76" s="9">
        <v>103</v>
      </c>
      <c r="J76" s="12" t="s">
        <v>10</v>
      </c>
      <c r="K76" s="6" t="s">
        <v>10</v>
      </c>
      <c r="L76" s="6" t="s">
        <v>10</v>
      </c>
      <c r="M76" s="12" t="s">
        <v>10</v>
      </c>
      <c r="N76" s="6" t="s">
        <v>10</v>
      </c>
      <c r="O76" s="7" t="s">
        <v>10</v>
      </c>
      <c r="P76" s="10">
        <v>666</v>
      </c>
      <c r="Q76" s="8">
        <v>650</v>
      </c>
      <c r="R76" s="9">
        <v>658</v>
      </c>
      <c r="S76" s="8" t="s">
        <v>10</v>
      </c>
      <c r="T76" s="8" t="s">
        <v>10</v>
      </c>
      <c r="U76" s="9" t="s">
        <v>10</v>
      </c>
      <c r="V76" s="10">
        <v>445</v>
      </c>
      <c r="W76" s="8">
        <v>420</v>
      </c>
      <c r="X76" s="9">
        <v>433</v>
      </c>
      <c r="Y76" s="10">
        <v>435</v>
      </c>
      <c r="Z76" s="8">
        <v>110</v>
      </c>
      <c r="AA76" s="9">
        <v>273</v>
      </c>
      <c r="AB76" s="10" t="s">
        <v>10</v>
      </c>
      <c r="AC76" s="8" t="s">
        <v>10</v>
      </c>
      <c r="AD76" s="9" t="s">
        <v>10</v>
      </c>
    </row>
    <row r="77" spans="1:30" x14ac:dyDescent="0.35">
      <c r="A77" s="2">
        <v>2008</v>
      </c>
      <c r="B77" s="2">
        <v>2</v>
      </c>
      <c r="C77" s="2">
        <v>5</v>
      </c>
      <c r="D77" s="6" t="s">
        <v>10</v>
      </c>
      <c r="E77" s="6" t="s">
        <v>10</v>
      </c>
      <c r="F77" s="6" t="s">
        <v>10</v>
      </c>
      <c r="G77" s="10">
        <v>120</v>
      </c>
      <c r="H77" s="8">
        <v>85</v>
      </c>
      <c r="I77" s="9">
        <v>103</v>
      </c>
      <c r="J77" s="12" t="s">
        <v>10</v>
      </c>
      <c r="K77" s="6" t="s">
        <v>10</v>
      </c>
      <c r="L77" s="6" t="s">
        <v>10</v>
      </c>
      <c r="M77" s="12" t="s">
        <v>10</v>
      </c>
      <c r="N77" s="6" t="s">
        <v>10</v>
      </c>
      <c r="O77" s="7" t="s">
        <v>10</v>
      </c>
      <c r="P77" s="10">
        <v>727</v>
      </c>
      <c r="Q77" s="8">
        <v>705.5</v>
      </c>
      <c r="R77" s="9">
        <v>716.5</v>
      </c>
      <c r="S77" s="8" t="s">
        <v>10</v>
      </c>
      <c r="T77" s="8" t="s">
        <v>10</v>
      </c>
      <c r="U77" s="9" t="s">
        <v>10</v>
      </c>
      <c r="V77" s="10">
        <v>445</v>
      </c>
      <c r="W77" s="8">
        <v>420</v>
      </c>
      <c r="X77" s="9">
        <v>433</v>
      </c>
      <c r="Y77" s="10">
        <v>435</v>
      </c>
      <c r="Z77" s="8">
        <v>110</v>
      </c>
      <c r="AA77" s="9">
        <v>273</v>
      </c>
      <c r="AB77" s="10" t="s">
        <v>10</v>
      </c>
      <c r="AC77" s="8" t="s">
        <v>10</v>
      </c>
      <c r="AD77" s="9" t="s">
        <v>10</v>
      </c>
    </row>
    <row r="78" spans="1:30" x14ac:dyDescent="0.35">
      <c r="A78" s="2">
        <v>2008</v>
      </c>
      <c r="B78" s="2">
        <v>2</v>
      </c>
      <c r="C78" s="2">
        <v>6</v>
      </c>
      <c r="D78" s="6" t="s">
        <v>10</v>
      </c>
      <c r="E78" s="6" t="s">
        <v>10</v>
      </c>
      <c r="F78" s="6" t="s">
        <v>10</v>
      </c>
      <c r="G78" s="10">
        <v>120</v>
      </c>
      <c r="H78" s="8">
        <v>85</v>
      </c>
      <c r="I78" s="9">
        <v>103</v>
      </c>
      <c r="J78" s="12" t="s">
        <v>10</v>
      </c>
      <c r="K78" s="6" t="s">
        <v>10</v>
      </c>
      <c r="L78" s="6" t="s">
        <v>10</v>
      </c>
      <c r="M78" s="12" t="s">
        <v>10</v>
      </c>
      <c r="N78" s="6" t="s">
        <v>10</v>
      </c>
      <c r="O78" s="7" t="s">
        <v>10</v>
      </c>
      <c r="P78" s="10">
        <v>806</v>
      </c>
      <c r="Q78" s="8">
        <v>805</v>
      </c>
      <c r="R78" s="9">
        <v>806</v>
      </c>
      <c r="S78" s="8" t="s">
        <v>10</v>
      </c>
      <c r="T78" s="8" t="s">
        <v>10</v>
      </c>
      <c r="U78" s="9" t="s">
        <v>10</v>
      </c>
      <c r="V78" s="10">
        <v>445</v>
      </c>
      <c r="W78" s="8">
        <v>420</v>
      </c>
      <c r="X78" s="9">
        <v>433</v>
      </c>
      <c r="Y78" s="10">
        <v>435</v>
      </c>
      <c r="Z78" s="8">
        <v>110</v>
      </c>
      <c r="AA78" s="9">
        <v>273</v>
      </c>
      <c r="AB78" s="10" t="s">
        <v>10</v>
      </c>
      <c r="AC78" s="8" t="s">
        <v>10</v>
      </c>
      <c r="AD78" s="9" t="s">
        <v>10</v>
      </c>
    </row>
    <row r="79" spans="1:30" x14ac:dyDescent="0.35">
      <c r="A79" s="2">
        <v>2008</v>
      </c>
      <c r="B79" s="2">
        <v>3</v>
      </c>
      <c r="C79" s="2">
        <v>7</v>
      </c>
      <c r="D79" s="6" t="s">
        <v>10</v>
      </c>
      <c r="E79" s="6" t="s">
        <v>10</v>
      </c>
      <c r="F79" s="6" t="s">
        <v>10</v>
      </c>
      <c r="G79" s="10">
        <v>120</v>
      </c>
      <c r="H79" s="8">
        <v>85</v>
      </c>
      <c r="I79" s="9">
        <v>103</v>
      </c>
      <c r="J79" s="12" t="s">
        <v>10</v>
      </c>
      <c r="K79" s="6" t="s">
        <v>10</v>
      </c>
      <c r="L79" s="6" t="s">
        <v>10</v>
      </c>
      <c r="M79" s="12" t="s">
        <v>10</v>
      </c>
      <c r="N79" s="6" t="s">
        <v>10</v>
      </c>
      <c r="O79" s="7" t="s">
        <v>10</v>
      </c>
      <c r="P79" s="10">
        <v>790</v>
      </c>
      <c r="Q79" s="8">
        <v>785</v>
      </c>
      <c r="R79" s="9">
        <v>787.66666666666663</v>
      </c>
      <c r="S79" s="8" t="s">
        <v>10</v>
      </c>
      <c r="T79" s="8" t="s">
        <v>10</v>
      </c>
      <c r="U79" s="9" t="s">
        <v>10</v>
      </c>
      <c r="V79" s="10">
        <v>800</v>
      </c>
      <c r="W79" s="8">
        <v>780</v>
      </c>
      <c r="X79" s="9">
        <v>790</v>
      </c>
      <c r="Y79" s="10">
        <v>685</v>
      </c>
      <c r="Z79" s="8">
        <v>200</v>
      </c>
      <c r="AA79" s="9">
        <v>442.66666666666669</v>
      </c>
      <c r="AB79" s="10" t="s">
        <v>10</v>
      </c>
      <c r="AC79" s="8" t="s">
        <v>10</v>
      </c>
      <c r="AD79" s="9" t="s">
        <v>10</v>
      </c>
    </row>
    <row r="80" spans="1:30" x14ac:dyDescent="0.35">
      <c r="A80" s="2">
        <v>2008</v>
      </c>
      <c r="B80" s="2">
        <v>3</v>
      </c>
      <c r="C80" s="2">
        <v>8</v>
      </c>
      <c r="D80" s="6" t="s">
        <v>10</v>
      </c>
      <c r="E80" s="6" t="s">
        <v>10</v>
      </c>
      <c r="F80" s="6" t="s">
        <v>10</v>
      </c>
      <c r="G80" s="10">
        <v>120</v>
      </c>
      <c r="H80" s="8">
        <v>85</v>
      </c>
      <c r="I80" s="9">
        <v>103</v>
      </c>
      <c r="J80" s="12" t="s">
        <v>10</v>
      </c>
      <c r="K80" s="6" t="s">
        <v>10</v>
      </c>
      <c r="L80" s="6" t="s">
        <v>10</v>
      </c>
      <c r="M80" s="12" t="s">
        <v>10</v>
      </c>
      <c r="N80" s="6" t="s">
        <v>10</v>
      </c>
      <c r="O80" s="7" t="s">
        <v>10</v>
      </c>
      <c r="P80" s="10">
        <v>765</v>
      </c>
      <c r="Q80" s="8">
        <v>745</v>
      </c>
      <c r="R80" s="9">
        <v>755</v>
      </c>
      <c r="S80" s="8" t="s">
        <v>10</v>
      </c>
      <c r="T80" s="8" t="s">
        <v>10</v>
      </c>
      <c r="U80" s="9" t="s">
        <v>10</v>
      </c>
      <c r="V80" s="10">
        <v>800</v>
      </c>
      <c r="W80" s="8">
        <v>780</v>
      </c>
      <c r="X80" s="9">
        <v>790</v>
      </c>
      <c r="Y80" s="10">
        <v>795</v>
      </c>
      <c r="Z80" s="8">
        <v>100</v>
      </c>
      <c r="AA80" s="9">
        <v>447.5</v>
      </c>
      <c r="AB80" s="10" t="s">
        <v>10</v>
      </c>
      <c r="AC80" s="8" t="s">
        <v>10</v>
      </c>
      <c r="AD80" s="9" t="s">
        <v>10</v>
      </c>
    </row>
    <row r="81" spans="1:30" x14ac:dyDescent="0.35">
      <c r="A81" s="2">
        <v>2008</v>
      </c>
      <c r="B81" s="2">
        <v>3</v>
      </c>
      <c r="C81" s="2">
        <v>9</v>
      </c>
      <c r="D81" s="6" t="s">
        <v>10</v>
      </c>
      <c r="E81" s="6" t="s">
        <v>10</v>
      </c>
      <c r="F81" s="6" t="s">
        <v>10</v>
      </c>
      <c r="G81" s="10">
        <v>300</v>
      </c>
      <c r="H81" s="8">
        <v>250</v>
      </c>
      <c r="I81" s="9">
        <v>275</v>
      </c>
      <c r="J81" s="12" t="s">
        <v>10</v>
      </c>
      <c r="K81" s="6" t="s">
        <v>10</v>
      </c>
      <c r="L81" s="6" t="s">
        <v>10</v>
      </c>
      <c r="M81" s="12" t="s">
        <v>10</v>
      </c>
      <c r="N81" s="6" t="s">
        <v>10</v>
      </c>
      <c r="O81" s="7" t="s">
        <v>10</v>
      </c>
      <c r="P81" s="10">
        <v>455</v>
      </c>
      <c r="Q81" s="8">
        <v>433.33333333333331</v>
      </c>
      <c r="R81" s="9">
        <v>444.33333333333331</v>
      </c>
      <c r="S81" s="8" t="s">
        <v>10</v>
      </c>
      <c r="T81" s="8" t="s">
        <v>10</v>
      </c>
      <c r="U81" s="9" t="s">
        <v>10</v>
      </c>
      <c r="V81" s="10">
        <v>800</v>
      </c>
      <c r="W81" s="8">
        <v>780</v>
      </c>
      <c r="X81" s="9">
        <v>790</v>
      </c>
      <c r="Y81" s="10">
        <v>780</v>
      </c>
      <c r="Z81" s="8">
        <v>100</v>
      </c>
      <c r="AA81" s="9">
        <v>440</v>
      </c>
      <c r="AB81" s="10" t="s">
        <v>10</v>
      </c>
      <c r="AC81" s="8" t="s">
        <v>10</v>
      </c>
      <c r="AD81" s="9" t="s">
        <v>10</v>
      </c>
    </row>
    <row r="82" spans="1:30" x14ac:dyDescent="0.35">
      <c r="A82" s="2">
        <v>2008</v>
      </c>
      <c r="B82" s="2">
        <v>4</v>
      </c>
      <c r="C82" s="2">
        <v>10</v>
      </c>
      <c r="D82" s="6" t="s">
        <v>10</v>
      </c>
      <c r="E82" s="6" t="s">
        <v>10</v>
      </c>
      <c r="F82" s="6" t="s">
        <v>10</v>
      </c>
      <c r="G82" s="10">
        <v>296</v>
      </c>
      <c r="H82" s="8">
        <v>246</v>
      </c>
      <c r="I82" s="9">
        <v>271</v>
      </c>
      <c r="J82" s="12" t="s">
        <v>10</v>
      </c>
      <c r="K82" s="6" t="s">
        <v>10</v>
      </c>
      <c r="L82" s="6" t="s">
        <v>10</v>
      </c>
      <c r="M82" s="12" t="s">
        <v>10</v>
      </c>
      <c r="N82" s="6" t="s">
        <v>10</v>
      </c>
      <c r="O82" s="7" t="s">
        <v>10</v>
      </c>
      <c r="P82" s="10">
        <v>205</v>
      </c>
      <c r="Q82" s="8">
        <v>116</v>
      </c>
      <c r="R82" s="9">
        <v>160.6</v>
      </c>
      <c r="S82" s="8" t="s">
        <v>10</v>
      </c>
      <c r="T82" s="8" t="s">
        <v>10</v>
      </c>
      <c r="U82" s="9" t="s">
        <v>10</v>
      </c>
      <c r="V82" s="10">
        <v>608</v>
      </c>
      <c r="W82" s="8">
        <v>312</v>
      </c>
      <c r="X82" s="9">
        <v>460</v>
      </c>
      <c r="Y82" s="10">
        <v>320</v>
      </c>
      <c r="Z82" s="8">
        <v>100</v>
      </c>
      <c r="AA82" s="9">
        <v>210</v>
      </c>
      <c r="AB82" s="10" t="s">
        <v>10</v>
      </c>
      <c r="AC82" s="8" t="s">
        <v>10</v>
      </c>
      <c r="AD82" s="9" t="s">
        <v>10</v>
      </c>
    </row>
    <row r="83" spans="1:30" x14ac:dyDescent="0.35">
      <c r="A83" s="2">
        <v>2008</v>
      </c>
      <c r="B83" s="2">
        <v>4</v>
      </c>
      <c r="C83" s="2">
        <v>11</v>
      </c>
      <c r="D83" s="6" t="s">
        <v>10</v>
      </c>
      <c r="E83" s="6" t="s">
        <v>10</v>
      </c>
      <c r="F83" s="6" t="s">
        <v>10</v>
      </c>
      <c r="G83" s="10">
        <v>280</v>
      </c>
      <c r="H83" s="8">
        <v>230</v>
      </c>
      <c r="I83" s="9">
        <v>255</v>
      </c>
      <c r="J83" s="12" t="s">
        <v>10</v>
      </c>
      <c r="K83" s="6" t="s">
        <v>10</v>
      </c>
      <c r="L83" s="6" t="s">
        <v>10</v>
      </c>
      <c r="M83" s="12" t="s">
        <v>10</v>
      </c>
      <c r="N83" s="6" t="s">
        <v>10</v>
      </c>
      <c r="O83" s="7" t="s">
        <v>10</v>
      </c>
      <c r="P83" s="10">
        <v>52.75</v>
      </c>
      <c r="Q83" s="8">
        <v>42.5</v>
      </c>
      <c r="R83" s="9">
        <v>47.75</v>
      </c>
      <c r="S83" s="8" t="s">
        <v>10</v>
      </c>
      <c r="T83" s="8" t="s">
        <v>10</v>
      </c>
      <c r="U83" s="9" t="s">
        <v>10</v>
      </c>
      <c r="V83" s="10">
        <v>480</v>
      </c>
      <c r="W83" s="8">
        <v>200</v>
      </c>
      <c r="X83" s="9">
        <v>340</v>
      </c>
      <c r="Y83" s="10">
        <v>100</v>
      </c>
      <c r="Z83" s="8">
        <v>50</v>
      </c>
      <c r="AA83" s="9">
        <v>75</v>
      </c>
      <c r="AB83" s="10" t="s">
        <v>10</v>
      </c>
      <c r="AC83" s="8" t="s">
        <v>10</v>
      </c>
      <c r="AD83" s="9" t="s">
        <v>10</v>
      </c>
    </row>
    <row r="84" spans="1:30" x14ac:dyDescent="0.35">
      <c r="A84" s="2">
        <v>2008</v>
      </c>
      <c r="B84" s="2">
        <v>4</v>
      </c>
      <c r="C84" s="2">
        <v>12</v>
      </c>
      <c r="D84" s="6" t="s">
        <v>10</v>
      </c>
      <c r="E84" s="6" t="s">
        <v>10</v>
      </c>
      <c r="F84" s="6" t="s">
        <v>10</v>
      </c>
      <c r="G84" s="10">
        <v>40</v>
      </c>
      <c r="H84" s="8">
        <v>30</v>
      </c>
      <c r="I84" s="9">
        <v>35</v>
      </c>
      <c r="J84" s="12" t="s">
        <v>10</v>
      </c>
      <c r="K84" s="6" t="s">
        <v>10</v>
      </c>
      <c r="L84" s="6" t="s">
        <v>10</v>
      </c>
      <c r="M84" s="12" t="s">
        <v>10</v>
      </c>
      <c r="N84" s="6" t="s">
        <v>10</v>
      </c>
      <c r="O84" s="7" t="s">
        <v>10</v>
      </c>
      <c r="P84" s="10">
        <v>56.333333333333336</v>
      </c>
      <c r="Q84" s="8">
        <v>51</v>
      </c>
      <c r="R84" s="9">
        <v>53.666666666666664</v>
      </c>
      <c r="S84" s="8" t="s">
        <v>10</v>
      </c>
      <c r="T84" s="8" t="s">
        <v>10</v>
      </c>
      <c r="U84" s="9" t="s">
        <v>10</v>
      </c>
      <c r="V84" s="10">
        <v>480</v>
      </c>
      <c r="W84" s="8">
        <v>200</v>
      </c>
      <c r="X84" s="9">
        <v>340</v>
      </c>
      <c r="Y84" s="10">
        <v>83.333333333333329</v>
      </c>
      <c r="Z84" s="8">
        <v>40</v>
      </c>
      <c r="AA84" s="9">
        <v>61.666666666666664</v>
      </c>
      <c r="AB84" s="10" t="s">
        <v>10</v>
      </c>
      <c r="AC84" s="8" t="s">
        <v>10</v>
      </c>
      <c r="AD84" s="9" t="s">
        <v>10</v>
      </c>
    </row>
    <row r="85" spans="1:30" x14ac:dyDescent="0.35">
      <c r="A85" s="2">
        <v>2009</v>
      </c>
      <c r="B85" s="2">
        <v>1</v>
      </c>
      <c r="C85" s="2">
        <v>1</v>
      </c>
      <c r="D85" s="6" t="s">
        <v>10</v>
      </c>
      <c r="E85" s="6" t="s">
        <v>10</v>
      </c>
      <c r="F85" s="6" t="s">
        <v>10</v>
      </c>
      <c r="G85" s="10">
        <v>40</v>
      </c>
      <c r="H85" s="8">
        <v>30</v>
      </c>
      <c r="I85" s="9">
        <v>35</v>
      </c>
      <c r="J85" s="12" t="s">
        <v>10</v>
      </c>
      <c r="K85" s="6" t="s">
        <v>10</v>
      </c>
      <c r="L85" s="6" t="s">
        <v>10</v>
      </c>
      <c r="M85" s="12" t="s">
        <v>10</v>
      </c>
      <c r="N85" s="6" t="s">
        <v>10</v>
      </c>
      <c r="O85" s="7" t="s">
        <v>10</v>
      </c>
      <c r="P85" s="10">
        <v>48.6</v>
      </c>
      <c r="Q85" s="8">
        <v>42.4</v>
      </c>
      <c r="R85" s="9">
        <v>45.8</v>
      </c>
      <c r="S85" s="8" t="s">
        <v>10</v>
      </c>
      <c r="T85" s="8" t="s">
        <v>10</v>
      </c>
      <c r="U85" s="9" t="s">
        <v>10</v>
      </c>
      <c r="V85" s="10">
        <v>480</v>
      </c>
      <c r="W85" s="8">
        <v>200</v>
      </c>
      <c r="X85" s="9">
        <v>340</v>
      </c>
      <c r="Y85" s="10">
        <v>50</v>
      </c>
      <c r="Z85" s="8">
        <v>20</v>
      </c>
      <c r="AA85" s="9">
        <v>35</v>
      </c>
      <c r="AB85" s="10" t="s">
        <v>10</v>
      </c>
      <c r="AC85" s="8" t="s">
        <v>10</v>
      </c>
      <c r="AD85" s="9" t="s">
        <v>10</v>
      </c>
    </row>
    <row r="86" spans="1:30" x14ac:dyDescent="0.35">
      <c r="A86" s="2">
        <v>2009</v>
      </c>
      <c r="B86" s="2">
        <v>1</v>
      </c>
      <c r="C86" s="2">
        <v>2</v>
      </c>
      <c r="D86" s="6" t="s">
        <v>10</v>
      </c>
      <c r="E86" s="6" t="s">
        <v>10</v>
      </c>
      <c r="F86" s="6" t="s">
        <v>10</v>
      </c>
      <c r="G86" s="10">
        <v>32.5</v>
      </c>
      <c r="H86" s="8">
        <v>15</v>
      </c>
      <c r="I86" s="9">
        <v>23.75</v>
      </c>
      <c r="J86" s="12" t="s">
        <v>10</v>
      </c>
      <c r="K86" s="6" t="s">
        <v>10</v>
      </c>
      <c r="L86" s="6" t="s">
        <v>10</v>
      </c>
      <c r="M86" s="12" t="s">
        <v>10</v>
      </c>
      <c r="N86" s="6" t="s">
        <v>10</v>
      </c>
      <c r="O86" s="7" t="s">
        <v>10</v>
      </c>
      <c r="P86" s="10">
        <v>53</v>
      </c>
      <c r="Q86" s="8">
        <v>46</v>
      </c>
      <c r="R86" s="9">
        <v>49.5</v>
      </c>
      <c r="S86" s="8" t="s">
        <v>10</v>
      </c>
      <c r="T86" s="8" t="s">
        <v>10</v>
      </c>
      <c r="U86" s="9" t="s">
        <v>10</v>
      </c>
      <c r="V86" s="10" t="s">
        <v>10</v>
      </c>
      <c r="W86" s="8" t="s">
        <v>10</v>
      </c>
      <c r="X86" s="9" t="s">
        <v>10</v>
      </c>
      <c r="Y86" s="10">
        <v>40</v>
      </c>
      <c r="Z86" s="8">
        <v>15</v>
      </c>
      <c r="AA86" s="9">
        <v>27.5</v>
      </c>
      <c r="AB86" s="10" t="s">
        <v>10</v>
      </c>
      <c r="AC86" s="8" t="s">
        <v>10</v>
      </c>
      <c r="AD86" s="9" t="s">
        <v>10</v>
      </c>
    </row>
    <row r="87" spans="1:30" x14ac:dyDescent="0.35">
      <c r="A87" s="2">
        <v>2009</v>
      </c>
      <c r="B87" s="2">
        <v>1</v>
      </c>
      <c r="C87" s="2">
        <v>3</v>
      </c>
      <c r="D87" s="6" t="s">
        <v>10</v>
      </c>
      <c r="E87" s="6" t="s">
        <v>10</v>
      </c>
      <c r="F87" s="6" t="s">
        <v>10</v>
      </c>
      <c r="G87" s="10">
        <v>20</v>
      </c>
      <c r="H87" s="8">
        <v>0</v>
      </c>
      <c r="I87" s="9">
        <v>10</v>
      </c>
      <c r="J87" s="12" t="s">
        <v>10</v>
      </c>
      <c r="K87" s="6" t="s">
        <v>10</v>
      </c>
      <c r="L87" s="6" t="s">
        <v>10</v>
      </c>
      <c r="M87" s="12" t="s">
        <v>10</v>
      </c>
      <c r="N87" s="6" t="s">
        <v>10</v>
      </c>
      <c r="O87" s="7" t="s">
        <v>10</v>
      </c>
      <c r="P87" s="10">
        <v>51.25</v>
      </c>
      <c r="Q87" s="8">
        <v>45.25</v>
      </c>
      <c r="R87" s="9">
        <v>48.25</v>
      </c>
      <c r="S87" s="8" t="s">
        <v>10</v>
      </c>
      <c r="T87" s="8" t="s">
        <v>10</v>
      </c>
      <c r="U87" s="9" t="s">
        <v>10</v>
      </c>
      <c r="V87" s="10">
        <v>60</v>
      </c>
      <c r="W87" s="8">
        <v>30</v>
      </c>
      <c r="X87" s="9">
        <v>45</v>
      </c>
      <c r="Y87" s="10">
        <v>28.5</v>
      </c>
      <c r="Z87" s="8">
        <v>17.5</v>
      </c>
      <c r="AA87" s="9">
        <v>23</v>
      </c>
      <c r="AB87" s="10" t="s">
        <v>10</v>
      </c>
      <c r="AC87" s="8" t="s">
        <v>10</v>
      </c>
      <c r="AD87" s="9" t="s">
        <v>10</v>
      </c>
    </row>
    <row r="88" spans="1:30" x14ac:dyDescent="0.35">
      <c r="A88" s="2">
        <v>2009</v>
      </c>
      <c r="B88" s="2">
        <v>2</v>
      </c>
      <c r="C88" s="2">
        <v>4</v>
      </c>
      <c r="D88" s="6" t="s">
        <v>10</v>
      </c>
      <c r="E88" s="6" t="s">
        <v>10</v>
      </c>
      <c r="F88" s="6" t="s">
        <v>10</v>
      </c>
      <c r="G88" s="10">
        <v>20</v>
      </c>
      <c r="H88" s="8">
        <v>-5</v>
      </c>
      <c r="I88" s="9">
        <v>8</v>
      </c>
      <c r="J88" s="12" t="s">
        <v>10</v>
      </c>
      <c r="K88" s="6" t="s">
        <v>10</v>
      </c>
      <c r="L88" s="6" t="s">
        <v>10</v>
      </c>
      <c r="M88" s="12" t="s">
        <v>10</v>
      </c>
      <c r="N88" s="6" t="s">
        <v>10</v>
      </c>
      <c r="O88" s="7" t="s">
        <v>10</v>
      </c>
      <c r="P88" s="10">
        <v>54</v>
      </c>
      <c r="Q88" s="8">
        <v>49.8</v>
      </c>
      <c r="R88" s="9">
        <v>52.2</v>
      </c>
      <c r="S88" s="8" t="s">
        <v>10</v>
      </c>
      <c r="T88" s="8" t="s">
        <v>10</v>
      </c>
      <c r="U88" s="9" t="s">
        <v>10</v>
      </c>
      <c r="V88" s="10">
        <v>60</v>
      </c>
      <c r="W88" s="8">
        <v>30</v>
      </c>
      <c r="X88" s="9">
        <v>45</v>
      </c>
      <c r="Y88" s="10">
        <v>27</v>
      </c>
      <c r="Z88" s="8">
        <v>25</v>
      </c>
      <c r="AA88" s="9">
        <v>26</v>
      </c>
      <c r="AB88" s="10" t="s">
        <v>10</v>
      </c>
      <c r="AC88" s="8" t="s">
        <v>10</v>
      </c>
      <c r="AD88" s="9" t="s">
        <v>10</v>
      </c>
    </row>
    <row r="89" spans="1:30" x14ac:dyDescent="0.35">
      <c r="A89" s="2">
        <v>2009</v>
      </c>
      <c r="B89" s="2">
        <v>2</v>
      </c>
      <c r="C89" s="2">
        <v>5</v>
      </c>
      <c r="D89" s="6" t="s">
        <v>10</v>
      </c>
      <c r="E89" s="6" t="s">
        <v>10</v>
      </c>
      <c r="F89" s="6" t="s">
        <v>10</v>
      </c>
      <c r="G89" s="10">
        <v>20</v>
      </c>
      <c r="H89" s="8">
        <v>-5</v>
      </c>
      <c r="I89" s="9">
        <v>8</v>
      </c>
      <c r="J89" s="12" t="s">
        <v>10</v>
      </c>
      <c r="K89" s="6" t="s">
        <v>10</v>
      </c>
      <c r="L89" s="6" t="s">
        <v>10</v>
      </c>
      <c r="M89" s="12" t="s">
        <v>10</v>
      </c>
      <c r="N89" s="6" t="s">
        <v>10</v>
      </c>
      <c r="O89" s="7" t="s">
        <v>10</v>
      </c>
      <c r="P89" s="10">
        <v>48</v>
      </c>
      <c r="Q89" s="8">
        <v>42</v>
      </c>
      <c r="R89" s="9">
        <v>45</v>
      </c>
      <c r="S89" s="8" t="s">
        <v>10</v>
      </c>
      <c r="T89" s="8" t="s">
        <v>10</v>
      </c>
      <c r="U89" s="9" t="s">
        <v>10</v>
      </c>
      <c r="V89" s="10">
        <v>60</v>
      </c>
      <c r="W89" s="8">
        <v>30</v>
      </c>
      <c r="X89" s="9">
        <v>45</v>
      </c>
      <c r="Y89" s="10">
        <v>27</v>
      </c>
      <c r="Z89" s="8">
        <v>25</v>
      </c>
      <c r="AA89" s="9">
        <v>26</v>
      </c>
      <c r="AB89" s="10" t="s">
        <v>10</v>
      </c>
      <c r="AC89" s="8" t="s">
        <v>10</v>
      </c>
      <c r="AD89" s="9" t="s">
        <v>10</v>
      </c>
    </row>
    <row r="90" spans="1:30" x14ac:dyDescent="0.35">
      <c r="A90" s="2">
        <v>2009</v>
      </c>
      <c r="B90" s="2">
        <v>2</v>
      </c>
      <c r="C90" s="2">
        <v>6</v>
      </c>
      <c r="D90" s="6" t="s">
        <v>10</v>
      </c>
      <c r="E90" s="6" t="s">
        <v>10</v>
      </c>
      <c r="F90" s="6" t="s">
        <v>10</v>
      </c>
      <c r="G90" s="10">
        <v>17.5</v>
      </c>
      <c r="H90" s="8">
        <v>-8.75</v>
      </c>
      <c r="I90" s="9">
        <v>4.75</v>
      </c>
      <c r="J90" s="12" t="s">
        <v>10</v>
      </c>
      <c r="K90" s="6" t="s">
        <v>10</v>
      </c>
      <c r="L90" s="6" t="s">
        <v>10</v>
      </c>
      <c r="M90" s="12" t="s">
        <v>10</v>
      </c>
      <c r="N90" s="6" t="s">
        <v>10</v>
      </c>
      <c r="O90" s="7" t="s">
        <v>10</v>
      </c>
      <c r="P90" s="10">
        <v>43.75</v>
      </c>
      <c r="Q90" s="8">
        <v>38.75</v>
      </c>
      <c r="R90" s="9">
        <v>41.75</v>
      </c>
      <c r="S90" s="8" t="s">
        <v>10</v>
      </c>
      <c r="T90" s="8" t="s">
        <v>10</v>
      </c>
      <c r="U90" s="9" t="s">
        <v>10</v>
      </c>
      <c r="V90" s="10">
        <v>60</v>
      </c>
      <c r="W90" s="8">
        <v>30</v>
      </c>
      <c r="X90" s="9">
        <v>45</v>
      </c>
      <c r="Y90" s="10">
        <v>27</v>
      </c>
      <c r="Z90" s="8">
        <v>20</v>
      </c>
      <c r="AA90" s="9">
        <v>24</v>
      </c>
      <c r="AB90" s="10" t="s">
        <v>10</v>
      </c>
      <c r="AC90" s="8" t="s">
        <v>10</v>
      </c>
      <c r="AD90" s="9" t="s">
        <v>10</v>
      </c>
    </row>
    <row r="91" spans="1:30" x14ac:dyDescent="0.35">
      <c r="A91" s="2">
        <v>2009</v>
      </c>
      <c r="B91" s="2">
        <v>3</v>
      </c>
      <c r="C91" s="2">
        <v>7</v>
      </c>
      <c r="D91" s="6" t="s">
        <v>10</v>
      </c>
      <c r="E91" s="6" t="s">
        <v>10</v>
      </c>
      <c r="F91" s="6" t="s">
        <v>10</v>
      </c>
      <c r="G91" s="10">
        <v>10</v>
      </c>
      <c r="H91" s="8">
        <v>-20</v>
      </c>
      <c r="I91" s="9">
        <v>-5</v>
      </c>
      <c r="J91" s="12" t="s">
        <v>10</v>
      </c>
      <c r="K91" s="6" t="s">
        <v>10</v>
      </c>
      <c r="L91" s="6" t="s">
        <v>10</v>
      </c>
      <c r="M91" s="12" t="s">
        <v>10</v>
      </c>
      <c r="N91" s="6" t="s">
        <v>10</v>
      </c>
      <c r="O91" s="7" t="s">
        <v>10</v>
      </c>
      <c r="P91" s="10">
        <v>35</v>
      </c>
      <c r="Q91" s="8">
        <v>30</v>
      </c>
      <c r="R91" s="9">
        <v>33</v>
      </c>
      <c r="S91" s="8" t="s">
        <v>10</v>
      </c>
      <c r="T91" s="8" t="s">
        <v>10</v>
      </c>
      <c r="U91" s="9" t="s">
        <v>10</v>
      </c>
      <c r="V91" s="10">
        <v>54.4</v>
      </c>
      <c r="W91" s="8">
        <v>44.4</v>
      </c>
      <c r="X91" s="9">
        <v>49.8</v>
      </c>
      <c r="Y91" s="10">
        <v>27</v>
      </c>
      <c r="Z91" s="8">
        <v>20</v>
      </c>
      <c r="AA91" s="9">
        <v>24</v>
      </c>
      <c r="AB91" s="10" t="s">
        <v>10</v>
      </c>
      <c r="AC91" s="8" t="s">
        <v>10</v>
      </c>
      <c r="AD91" s="9" t="s">
        <v>10</v>
      </c>
    </row>
    <row r="92" spans="1:30" x14ac:dyDescent="0.35">
      <c r="A92" s="2">
        <v>2009</v>
      </c>
      <c r="B92" s="2">
        <v>3</v>
      </c>
      <c r="C92" s="2">
        <v>8</v>
      </c>
      <c r="D92" s="6" t="s">
        <v>10</v>
      </c>
      <c r="E92" s="6" t="s">
        <v>10</v>
      </c>
      <c r="F92" s="6" t="s">
        <v>10</v>
      </c>
      <c r="G92" s="10">
        <v>10</v>
      </c>
      <c r="H92" s="8">
        <v>-20</v>
      </c>
      <c r="I92" s="9">
        <v>-5</v>
      </c>
      <c r="J92" s="12" t="s">
        <v>10</v>
      </c>
      <c r="K92" s="6" t="s">
        <v>10</v>
      </c>
      <c r="L92" s="6" t="s">
        <v>10</v>
      </c>
      <c r="M92" s="12" t="s">
        <v>10</v>
      </c>
      <c r="N92" s="6" t="s">
        <v>10</v>
      </c>
      <c r="O92" s="7" t="s">
        <v>10</v>
      </c>
      <c r="P92" s="10">
        <v>37</v>
      </c>
      <c r="Q92" s="8">
        <v>31.75</v>
      </c>
      <c r="R92" s="9">
        <v>34.75</v>
      </c>
      <c r="S92" s="8" t="s">
        <v>10</v>
      </c>
      <c r="T92" s="8" t="s">
        <v>10</v>
      </c>
      <c r="U92" s="9" t="s">
        <v>10</v>
      </c>
      <c r="V92" s="10">
        <v>53</v>
      </c>
      <c r="W92" s="8">
        <v>48</v>
      </c>
      <c r="X92" s="9">
        <v>51</v>
      </c>
      <c r="Y92" s="10">
        <v>27</v>
      </c>
      <c r="Z92" s="8">
        <v>20</v>
      </c>
      <c r="AA92" s="9">
        <v>24</v>
      </c>
      <c r="AB92" s="10" t="s">
        <v>10</v>
      </c>
      <c r="AC92" s="8" t="s">
        <v>10</v>
      </c>
      <c r="AD92" s="9" t="s">
        <v>10</v>
      </c>
    </row>
    <row r="93" spans="1:30" x14ac:dyDescent="0.35">
      <c r="A93" s="2">
        <v>2009</v>
      </c>
      <c r="B93" s="2">
        <v>3</v>
      </c>
      <c r="C93" s="2">
        <v>9</v>
      </c>
      <c r="D93" s="6" t="s">
        <v>10</v>
      </c>
      <c r="E93" s="6" t="s">
        <v>10</v>
      </c>
      <c r="F93" s="6" t="s">
        <v>10</v>
      </c>
      <c r="G93" s="10">
        <v>10</v>
      </c>
      <c r="H93" s="8">
        <v>-10</v>
      </c>
      <c r="I93" s="9">
        <v>0</v>
      </c>
      <c r="J93" s="12" t="s">
        <v>10</v>
      </c>
      <c r="K93" s="6" t="s">
        <v>10</v>
      </c>
      <c r="L93" s="6" t="s">
        <v>10</v>
      </c>
      <c r="M93" s="12" t="s">
        <v>10</v>
      </c>
      <c r="N93" s="6" t="s">
        <v>10</v>
      </c>
      <c r="O93" s="7" t="s">
        <v>10</v>
      </c>
      <c r="P93" s="10">
        <v>43</v>
      </c>
      <c r="Q93" s="8">
        <v>37</v>
      </c>
      <c r="R93" s="9">
        <v>40</v>
      </c>
      <c r="S93" s="8" t="s">
        <v>10</v>
      </c>
      <c r="T93" s="8" t="s">
        <v>10</v>
      </c>
      <c r="U93" s="9" t="s">
        <v>10</v>
      </c>
      <c r="V93" s="10">
        <v>53</v>
      </c>
      <c r="W93" s="8">
        <v>48</v>
      </c>
      <c r="X93" s="9">
        <v>51</v>
      </c>
      <c r="Y93" s="10">
        <v>27</v>
      </c>
      <c r="Z93" s="8">
        <v>20</v>
      </c>
      <c r="AA93" s="9">
        <v>24</v>
      </c>
      <c r="AB93" s="10" t="s">
        <v>10</v>
      </c>
      <c r="AC93" s="8" t="s">
        <v>10</v>
      </c>
      <c r="AD93" s="9" t="s">
        <v>10</v>
      </c>
    </row>
    <row r="94" spans="1:30" x14ac:dyDescent="0.35">
      <c r="A94" s="2">
        <v>2009</v>
      </c>
      <c r="B94" s="2">
        <v>4</v>
      </c>
      <c r="C94" s="2">
        <v>10</v>
      </c>
      <c r="D94" s="6" t="s">
        <v>10</v>
      </c>
      <c r="E94" s="6" t="s">
        <v>10</v>
      </c>
      <c r="F94" s="6" t="s">
        <v>10</v>
      </c>
      <c r="G94" s="10">
        <v>6</v>
      </c>
      <c r="H94" s="8">
        <v>-16</v>
      </c>
      <c r="I94" s="9">
        <v>-5.2</v>
      </c>
      <c r="J94" s="12" t="s">
        <v>10</v>
      </c>
      <c r="K94" s="6" t="s">
        <v>10</v>
      </c>
      <c r="L94" s="6" t="s">
        <v>10</v>
      </c>
      <c r="M94" s="12" t="s">
        <v>10</v>
      </c>
      <c r="N94" s="6" t="s">
        <v>10</v>
      </c>
      <c r="O94" s="7" t="s">
        <v>10</v>
      </c>
      <c r="P94" s="10">
        <v>45.4</v>
      </c>
      <c r="Q94" s="8">
        <v>43</v>
      </c>
      <c r="R94" s="9">
        <v>44.6</v>
      </c>
      <c r="S94" s="8" t="s">
        <v>10</v>
      </c>
      <c r="T94" s="8" t="s">
        <v>10</v>
      </c>
      <c r="U94" s="9" t="s">
        <v>10</v>
      </c>
      <c r="V94" s="10">
        <v>53</v>
      </c>
      <c r="W94" s="8">
        <v>48</v>
      </c>
      <c r="X94" s="9">
        <v>51</v>
      </c>
      <c r="Y94" s="10">
        <v>27</v>
      </c>
      <c r="Z94" s="8">
        <v>20</v>
      </c>
      <c r="AA94" s="9">
        <v>24</v>
      </c>
      <c r="AB94" s="10" t="s">
        <v>10</v>
      </c>
      <c r="AC94" s="8" t="s">
        <v>10</v>
      </c>
      <c r="AD94" s="9" t="s">
        <v>10</v>
      </c>
    </row>
    <row r="95" spans="1:30" x14ac:dyDescent="0.35">
      <c r="A95" s="2">
        <v>2009</v>
      </c>
      <c r="B95" s="2">
        <v>4</v>
      </c>
      <c r="C95" s="2">
        <v>11</v>
      </c>
      <c r="D95" s="6" t="s">
        <v>10</v>
      </c>
      <c r="E95" s="6" t="s">
        <v>10</v>
      </c>
      <c r="F95" s="6" t="s">
        <v>10</v>
      </c>
      <c r="G95" s="10">
        <v>0</v>
      </c>
      <c r="H95" s="8">
        <v>-25</v>
      </c>
      <c r="I95" s="9">
        <v>-13</v>
      </c>
      <c r="J95" s="12" t="s">
        <v>10</v>
      </c>
      <c r="K95" s="6" t="s">
        <v>10</v>
      </c>
      <c r="L95" s="6" t="s">
        <v>10</v>
      </c>
      <c r="M95" s="12" t="s">
        <v>10</v>
      </c>
      <c r="N95" s="6" t="s">
        <v>10</v>
      </c>
      <c r="O95" s="7" t="s">
        <v>10</v>
      </c>
      <c r="P95" s="10">
        <v>55.75</v>
      </c>
      <c r="Q95" s="8">
        <v>54.75</v>
      </c>
      <c r="R95" s="9">
        <v>55.75</v>
      </c>
      <c r="S95" s="8" t="s">
        <v>10</v>
      </c>
      <c r="T95" s="8" t="s">
        <v>10</v>
      </c>
      <c r="U95" s="9" t="s">
        <v>10</v>
      </c>
      <c r="V95" s="10">
        <v>53</v>
      </c>
      <c r="W95" s="8">
        <v>48</v>
      </c>
      <c r="X95" s="9">
        <v>51</v>
      </c>
      <c r="Y95" s="10">
        <v>27</v>
      </c>
      <c r="Z95" s="8">
        <v>20</v>
      </c>
      <c r="AA95" s="9">
        <v>24</v>
      </c>
      <c r="AB95" s="10" t="s">
        <v>10</v>
      </c>
      <c r="AC95" s="8" t="s">
        <v>10</v>
      </c>
      <c r="AD95" s="9" t="s">
        <v>10</v>
      </c>
    </row>
    <row r="96" spans="1:30" x14ac:dyDescent="0.35">
      <c r="A96" s="2">
        <v>2009</v>
      </c>
      <c r="B96" s="2">
        <v>4</v>
      </c>
      <c r="C96" s="2">
        <v>12</v>
      </c>
      <c r="D96" s="6" t="s">
        <v>10</v>
      </c>
      <c r="E96" s="6" t="s">
        <v>10</v>
      </c>
      <c r="F96" s="6" t="s">
        <v>10</v>
      </c>
      <c r="G96" s="10">
        <v>7</v>
      </c>
      <c r="H96" s="8">
        <v>-8</v>
      </c>
      <c r="I96" s="9">
        <v>-0.6</v>
      </c>
      <c r="J96" s="12" t="s">
        <v>10</v>
      </c>
      <c r="K96" s="6" t="s">
        <v>10</v>
      </c>
      <c r="L96" s="6" t="s">
        <v>10</v>
      </c>
      <c r="M96" s="12" t="s">
        <v>10</v>
      </c>
      <c r="N96" s="6" t="s">
        <v>10</v>
      </c>
      <c r="O96" s="7" t="s">
        <v>10</v>
      </c>
      <c r="P96" s="10">
        <v>68.2</v>
      </c>
      <c r="Q96" s="8">
        <v>67.2</v>
      </c>
      <c r="R96" s="9">
        <v>68.2</v>
      </c>
      <c r="S96" s="8" t="s">
        <v>10</v>
      </c>
      <c r="T96" s="8" t="s">
        <v>10</v>
      </c>
      <c r="U96" s="9" t="s">
        <v>10</v>
      </c>
      <c r="V96" s="10">
        <v>53</v>
      </c>
      <c r="W96" s="8">
        <v>48</v>
      </c>
      <c r="X96" s="9">
        <v>51</v>
      </c>
      <c r="Y96" s="10">
        <v>27</v>
      </c>
      <c r="Z96" s="8">
        <v>20</v>
      </c>
      <c r="AA96" s="9">
        <v>24</v>
      </c>
      <c r="AB96" s="10" t="s">
        <v>10</v>
      </c>
      <c r="AC96" s="8" t="s">
        <v>10</v>
      </c>
      <c r="AD96" s="9" t="s">
        <v>10</v>
      </c>
    </row>
    <row r="97" spans="1:30" x14ac:dyDescent="0.35">
      <c r="A97" s="2">
        <v>2010</v>
      </c>
      <c r="B97" s="2">
        <v>1</v>
      </c>
      <c r="C97" s="2">
        <v>1</v>
      </c>
      <c r="D97" s="6" t="s">
        <v>10</v>
      </c>
      <c r="E97" s="6" t="s">
        <v>10</v>
      </c>
      <c r="F97" s="6" t="s">
        <v>10</v>
      </c>
      <c r="G97" s="10">
        <v>25</v>
      </c>
      <c r="H97" s="8">
        <v>15</v>
      </c>
      <c r="I97" s="9">
        <v>20</v>
      </c>
      <c r="J97" s="12" t="s">
        <v>10</v>
      </c>
      <c r="K97" s="6" t="s">
        <v>10</v>
      </c>
      <c r="L97" s="6" t="s">
        <v>10</v>
      </c>
      <c r="M97" s="12" t="s">
        <v>10</v>
      </c>
      <c r="N97" s="6" t="s">
        <v>10</v>
      </c>
      <c r="O97" s="7" t="s">
        <v>10</v>
      </c>
      <c r="P97" s="10">
        <v>124.75</v>
      </c>
      <c r="Q97" s="8">
        <v>120</v>
      </c>
      <c r="R97" s="9">
        <v>122.75</v>
      </c>
      <c r="S97" s="8" t="s">
        <v>10</v>
      </c>
      <c r="T97" s="8" t="s">
        <v>10</v>
      </c>
      <c r="U97" s="9" t="s">
        <v>10</v>
      </c>
      <c r="V97" s="10">
        <v>90</v>
      </c>
      <c r="W97" s="8">
        <v>80</v>
      </c>
      <c r="X97" s="9">
        <v>85</v>
      </c>
      <c r="Y97" s="10">
        <v>58</v>
      </c>
      <c r="Z97" s="8">
        <v>26.75</v>
      </c>
      <c r="AA97" s="9">
        <v>42.75</v>
      </c>
      <c r="AB97" s="10" t="s">
        <v>10</v>
      </c>
      <c r="AC97" s="8" t="s">
        <v>10</v>
      </c>
      <c r="AD97" s="9" t="s">
        <v>10</v>
      </c>
    </row>
    <row r="98" spans="1:30" x14ac:dyDescent="0.35">
      <c r="A98" s="2">
        <v>2010</v>
      </c>
      <c r="B98" s="2">
        <v>1</v>
      </c>
      <c r="C98" s="2">
        <v>2</v>
      </c>
      <c r="D98" s="6" t="s">
        <v>10</v>
      </c>
      <c r="E98" s="6" t="s">
        <v>10</v>
      </c>
      <c r="F98" s="6" t="s">
        <v>10</v>
      </c>
      <c r="G98" s="10">
        <v>52.5</v>
      </c>
      <c r="H98" s="8">
        <v>42.5</v>
      </c>
      <c r="I98" s="9">
        <v>47.5</v>
      </c>
      <c r="J98" s="12" t="s">
        <v>10</v>
      </c>
      <c r="K98" s="6" t="s">
        <v>10</v>
      </c>
      <c r="L98" s="6" t="s">
        <v>10</v>
      </c>
      <c r="M98" s="12" t="s">
        <v>10</v>
      </c>
      <c r="N98" s="6" t="s">
        <v>10</v>
      </c>
      <c r="O98" s="7" t="s">
        <v>10</v>
      </c>
      <c r="P98" s="10">
        <v>169.5</v>
      </c>
      <c r="Q98" s="8">
        <v>164.25</v>
      </c>
      <c r="R98" s="9">
        <v>167</v>
      </c>
      <c r="S98" s="8" t="s">
        <v>10</v>
      </c>
      <c r="T98" s="8" t="s">
        <v>10</v>
      </c>
      <c r="U98" s="9" t="s">
        <v>10</v>
      </c>
      <c r="V98" s="10">
        <v>100</v>
      </c>
      <c r="W98" s="8">
        <v>72.5</v>
      </c>
      <c r="X98" s="9">
        <v>86.25</v>
      </c>
      <c r="Y98" s="10">
        <v>68</v>
      </c>
      <c r="Z98" s="8">
        <v>29</v>
      </c>
      <c r="AA98" s="9">
        <v>49</v>
      </c>
      <c r="AB98" s="10" t="s">
        <v>10</v>
      </c>
      <c r="AC98" s="8" t="s">
        <v>10</v>
      </c>
      <c r="AD98" s="9" t="s">
        <v>10</v>
      </c>
    </row>
    <row r="99" spans="1:30" x14ac:dyDescent="0.35">
      <c r="A99" s="2">
        <v>2010</v>
      </c>
      <c r="B99" s="2">
        <v>1</v>
      </c>
      <c r="C99" s="2">
        <v>3</v>
      </c>
      <c r="D99" s="6" t="s">
        <v>10</v>
      </c>
      <c r="E99" s="6" t="s">
        <v>10</v>
      </c>
      <c r="F99" s="6" t="s">
        <v>10</v>
      </c>
      <c r="G99" s="10">
        <v>55</v>
      </c>
      <c r="H99" s="8">
        <v>45</v>
      </c>
      <c r="I99" s="9">
        <v>50</v>
      </c>
      <c r="J99" s="12" t="s">
        <v>10</v>
      </c>
      <c r="K99" s="6" t="s">
        <v>10</v>
      </c>
      <c r="L99" s="6" t="s">
        <v>10</v>
      </c>
      <c r="M99" s="12" t="s">
        <v>10</v>
      </c>
      <c r="N99" s="6" t="s">
        <v>10</v>
      </c>
      <c r="O99" s="7" t="s">
        <v>10</v>
      </c>
      <c r="P99" s="10">
        <v>182.5</v>
      </c>
      <c r="Q99" s="8">
        <v>179.5</v>
      </c>
      <c r="R99" s="9">
        <v>181</v>
      </c>
      <c r="S99" s="8" t="s">
        <v>10</v>
      </c>
      <c r="T99" s="8" t="s">
        <v>10</v>
      </c>
      <c r="U99" s="9" t="s">
        <v>10</v>
      </c>
      <c r="V99" s="10">
        <v>100</v>
      </c>
      <c r="W99" s="8">
        <v>70</v>
      </c>
      <c r="X99" s="9">
        <v>85</v>
      </c>
      <c r="Y99" s="10">
        <v>68</v>
      </c>
      <c r="Z99" s="8">
        <v>29</v>
      </c>
      <c r="AA99" s="9">
        <v>49</v>
      </c>
      <c r="AB99" s="10" t="s">
        <v>10</v>
      </c>
      <c r="AC99" s="8" t="s">
        <v>10</v>
      </c>
      <c r="AD99" s="9" t="s">
        <v>10</v>
      </c>
    </row>
    <row r="100" spans="1:30" x14ac:dyDescent="0.35">
      <c r="A100" s="2">
        <v>2010</v>
      </c>
      <c r="B100" s="2">
        <v>2</v>
      </c>
      <c r="C100" s="2">
        <v>4</v>
      </c>
      <c r="D100" s="6" t="s">
        <v>10</v>
      </c>
      <c r="E100" s="6" t="s">
        <v>10</v>
      </c>
      <c r="F100" s="6" t="s">
        <v>10</v>
      </c>
      <c r="G100" s="10">
        <v>55</v>
      </c>
      <c r="H100" s="8">
        <v>45</v>
      </c>
      <c r="I100" s="9">
        <v>50</v>
      </c>
      <c r="J100" s="12" t="s">
        <v>10</v>
      </c>
      <c r="K100" s="6" t="s">
        <v>10</v>
      </c>
      <c r="L100" s="6" t="s">
        <v>10</v>
      </c>
      <c r="M100" s="12" t="s">
        <v>10</v>
      </c>
      <c r="N100" s="6" t="s">
        <v>10</v>
      </c>
      <c r="O100" s="7" t="s">
        <v>10</v>
      </c>
      <c r="P100" s="10">
        <v>180</v>
      </c>
      <c r="Q100" s="8">
        <v>177</v>
      </c>
      <c r="R100" s="9">
        <v>178.6</v>
      </c>
      <c r="S100" s="8" t="s">
        <v>10</v>
      </c>
      <c r="T100" s="8" t="s">
        <v>10</v>
      </c>
      <c r="U100" s="9" t="s">
        <v>10</v>
      </c>
      <c r="V100" s="10">
        <v>100</v>
      </c>
      <c r="W100" s="8">
        <v>70</v>
      </c>
      <c r="X100" s="9">
        <v>85</v>
      </c>
      <c r="Y100" s="10">
        <v>68</v>
      </c>
      <c r="Z100" s="8">
        <v>29</v>
      </c>
      <c r="AA100" s="9">
        <v>49</v>
      </c>
      <c r="AB100" s="10" t="s">
        <v>10</v>
      </c>
      <c r="AC100" s="8" t="s">
        <v>10</v>
      </c>
      <c r="AD100" s="9" t="s">
        <v>10</v>
      </c>
    </row>
    <row r="101" spans="1:30" x14ac:dyDescent="0.35">
      <c r="A101" s="2">
        <v>2010</v>
      </c>
      <c r="B101" s="2">
        <v>2</v>
      </c>
      <c r="C101" s="2">
        <v>5</v>
      </c>
      <c r="D101" s="6" t="s">
        <v>10</v>
      </c>
      <c r="E101" s="6" t="s">
        <v>10</v>
      </c>
      <c r="F101" s="6" t="s">
        <v>10</v>
      </c>
      <c r="G101" s="10">
        <v>55</v>
      </c>
      <c r="H101" s="8">
        <v>45</v>
      </c>
      <c r="I101" s="9">
        <v>50</v>
      </c>
      <c r="J101" s="12" t="s">
        <v>10</v>
      </c>
      <c r="K101" s="6" t="s">
        <v>10</v>
      </c>
      <c r="L101" s="6" t="s">
        <v>10</v>
      </c>
      <c r="M101" s="12" t="s">
        <v>10</v>
      </c>
      <c r="N101" s="6" t="s">
        <v>10</v>
      </c>
      <c r="O101" s="7" t="s">
        <v>10</v>
      </c>
      <c r="P101" s="10">
        <v>125</v>
      </c>
      <c r="Q101" s="8">
        <v>117.5</v>
      </c>
      <c r="R101" s="9">
        <v>121.5</v>
      </c>
      <c r="S101" s="8" t="s">
        <v>10</v>
      </c>
      <c r="T101" s="8" t="s">
        <v>10</v>
      </c>
      <c r="U101" s="9" t="s">
        <v>10</v>
      </c>
      <c r="V101" s="10">
        <v>100</v>
      </c>
      <c r="W101" s="8">
        <v>70</v>
      </c>
      <c r="X101" s="9">
        <v>85</v>
      </c>
      <c r="Y101" s="10">
        <v>68</v>
      </c>
      <c r="Z101" s="8">
        <v>31.75</v>
      </c>
      <c r="AA101" s="9">
        <v>50.25</v>
      </c>
      <c r="AB101" s="10" t="s">
        <v>10</v>
      </c>
      <c r="AC101" s="8" t="s">
        <v>10</v>
      </c>
      <c r="AD101" s="9" t="s">
        <v>10</v>
      </c>
    </row>
    <row r="102" spans="1:30" x14ac:dyDescent="0.35">
      <c r="A102" s="2">
        <v>2010</v>
      </c>
      <c r="B102" s="2">
        <v>2</v>
      </c>
      <c r="C102" s="2">
        <v>6</v>
      </c>
      <c r="D102" s="6" t="s">
        <v>10</v>
      </c>
      <c r="E102" s="6" t="s">
        <v>10</v>
      </c>
      <c r="F102" s="6" t="s">
        <v>10</v>
      </c>
      <c r="G102" s="10">
        <v>55</v>
      </c>
      <c r="H102" s="8">
        <v>45</v>
      </c>
      <c r="I102" s="9">
        <v>50</v>
      </c>
      <c r="J102" s="12" t="s">
        <v>10</v>
      </c>
      <c r="K102" s="6" t="s">
        <v>10</v>
      </c>
      <c r="L102" s="6" t="s">
        <v>10</v>
      </c>
      <c r="M102" s="12" t="s">
        <v>10</v>
      </c>
      <c r="N102" s="6" t="s">
        <v>10</v>
      </c>
      <c r="O102" s="7" t="s">
        <v>10</v>
      </c>
      <c r="P102" s="10">
        <v>83.75</v>
      </c>
      <c r="Q102" s="8">
        <v>77.5</v>
      </c>
      <c r="R102" s="9">
        <v>80.75</v>
      </c>
      <c r="S102" s="8" t="s">
        <v>10</v>
      </c>
      <c r="T102" s="8" t="s">
        <v>10</v>
      </c>
      <c r="U102" s="9" t="s">
        <v>10</v>
      </c>
      <c r="V102" s="10">
        <v>100</v>
      </c>
      <c r="W102" s="8">
        <v>70</v>
      </c>
      <c r="X102" s="9">
        <v>85</v>
      </c>
      <c r="Y102" s="10">
        <v>68</v>
      </c>
      <c r="Z102" s="8">
        <v>40</v>
      </c>
      <c r="AA102" s="9">
        <v>54</v>
      </c>
      <c r="AB102" s="10" t="s">
        <v>10</v>
      </c>
      <c r="AC102" s="8" t="s">
        <v>10</v>
      </c>
      <c r="AD102" s="9" t="s">
        <v>10</v>
      </c>
    </row>
    <row r="103" spans="1:30" x14ac:dyDescent="0.35">
      <c r="A103" s="2">
        <v>2010</v>
      </c>
      <c r="B103" s="2">
        <v>3</v>
      </c>
      <c r="C103" s="2">
        <v>7</v>
      </c>
      <c r="D103" s="6" t="s">
        <v>10</v>
      </c>
      <c r="E103" s="6" t="s">
        <v>10</v>
      </c>
      <c r="F103" s="6" t="s">
        <v>10</v>
      </c>
      <c r="G103" s="10">
        <v>55</v>
      </c>
      <c r="H103" s="8">
        <v>45</v>
      </c>
      <c r="I103" s="9">
        <v>50</v>
      </c>
      <c r="J103" s="12" t="s">
        <v>10</v>
      </c>
      <c r="K103" s="6" t="s">
        <v>10</v>
      </c>
      <c r="L103" s="6" t="s">
        <v>10</v>
      </c>
      <c r="M103" s="12" t="s">
        <v>10</v>
      </c>
      <c r="N103" s="6" t="s">
        <v>10</v>
      </c>
      <c r="O103" s="7" t="s">
        <v>10</v>
      </c>
      <c r="P103" s="10">
        <v>68</v>
      </c>
      <c r="Q103" s="8">
        <v>64.400000000000006</v>
      </c>
      <c r="R103" s="9">
        <v>66.599999999999994</v>
      </c>
      <c r="S103" s="8" t="s">
        <v>10</v>
      </c>
      <c r="T103" s="8" t="s">
        <v>10</v>
      </c>
      <c r="U103" s="9" t="s">
        <v>10</v>
      </c>
      <c r="V103" s="10">
        <v>93</v>
      </c>
      <c r="W103" s="8">
        <v>85.2</v>
      </c>
      <c r="X103" s="9">
        <v>89.4</v>
      </c>
      <c r="Y103" s="10">
        <v>61.6</v>
      </c>
      <c r="Z103" s="8">
        <v>40</v>
      </c>
      <c r="AA103" s="9">
        <v>50.8</v>
      </c>
      <c r="AB103" s="10" t="s">
        <v>10</v>
      </c>
      <c r="AC103" s="8" t="s">
        <v>10</v>
      </c>
      <c r="AD103" s="9" t="s">
        <v>10</v>
      </c>
    </row>
    <row r="104" spans="1:30" x14ac:dyDescent="0.35">
      <c r="A104" s="2">
        <v>2010</v>
      </c>
      <c r="B104" s="2">
        <v>3</v>
      </c>
      <c r="C104" s="2">
        <v>8</v>
      </c>
      <c r="D104" s="6" t="s">
        <v>10</v>
      </c>
      <c r="E104" s="6" t="s">
        <v>10</v>
      </c>
      <c r="F104" s="6" t="s">
        <v>10</v>
      </c>
      <c r="G104" s="10">
        <v>56.25</v>
      </c>
      <c r="H104" s="8">
        <v>46.25</v>
      </c>
      <c r="I104" s="9">
        <v>51.25</v>
      </c>
      <c r="J104" s="12" t="s">
        <v>10</v>
      </c>
      <c r="K104" s="6" t="s">
        <v>10</v>
      </c>
      <c r="L104" s="6" t="s">
        <v>10</v>
      </c>
      <c r="M104" s="12" t="s">
        <v>10</v>
      </c>
      <c r="N104" s="6" t="s">
        <v>10</v>
      </c>
      <c r="O104" s="7" t="s">
        <v>10</v>
      </c>
      <c r="P104" s="10">
        <v>125</v>
      </c>
      <c r="Q104" s="8">
        <v>120</v>
      </c>
      <c r="R104" s="9">
        <v>123</v>
      </c>
      <c r="S104" s="8" t="s">
        <v>10</v>
      </c>
      <c r="T104" s="8" t="s">
        <v>10</v>
      </c>
      <c r="U104" s="9" t="s">
        <v>10</v>
      </c>
      <c r="V104" s="10">
        <v>93</v>
      </c>
      <c r="W104" s="8">
        <v>84</v>
      </c>
      <c r="X104" s="9">
        <v>89</v>
      </c>
      <c r="Y104" s="10">
        <v>62.5</v>
      </c>
      <c r="Z104" s="8">
        <v>40</v>
      </c>
      <c r="AA104" s="9">
        <v>51.25</v>
      </c>
      <c r="AB104" s="10" t="s">
        <v>10</v>
      </c>
      <c r="AC104" s="8" t="s">
        <v>10</v>
      </c>
      <c r="AD104" s="9" t="s">
        <v>10</v>
      </c>
    </row>
    <row r="105" spans="1:30" x14ac:dyDescent="0.35">
      <c r="A105" s="2">
        <v>2010</v>
      </c>
      <c r="B105" s="2">
        <v>3</v>
      </c>
      <c r="C105" s="2">
        <v>9</v>
      </c>
      <c r="D105" s="6" t="s">
        <v>10</v>
      </c>
      <c r="E105" s="6" t="s">
        <v>10</v>
      </c>
      <c r="F105" s="6" t="s">
        <v>10</v>
      </c>
      <c r="G105" s="10">
        <v>60</v>
      </c>
      <c r="H105" s="8">
        <v>50</v>
      </c>
      <c r="I105" s="9">
        <v>55</v>
      </c>
      <c r="J105" s="12" t="s">
        <v>10</v>
      </c>
      <c r="K105" s="6" t="s">
        <v>10</v>
      </c>
      <c r="L105" s="6" t="s">
        <v>10</v>
      </c>
      <c r="M105" s="12" t="s">
        <v>10</v>
      </c>
      <c r="N105" s="6" t="s">
        <v>10</v>
      </c>
      <c r="O105" s="7" t="s">
        <v>10</v>
      </c>
      <c r="P105" s="10">
        <v>150.6</v>
      </c>
      <c r="Q105" s="8">
        <v>145.6</v>
      </c>
      <c r="R105" s="9">
        <v>148.4</v>
      </c>
      <c r="S105" s="8" t="s">
        <v>10</v>
      </c>
      <c r="T105" s="8" t="s">
        <v>10</v>
      </c>
      <c r="U105" s="9" t="s">
        <v>10</v>
      </c>
      <c r="V105" s="10">
        <v>93</v>
      </c>
      <c r="W105" s="8">
        <v>84</v>
      </c>
      <c r="X105" s="9">
        <v>89</v>
      </c>
      <c r="Y105" s="10">
        <v>70</v>
      </c>
      <c r="Z105" s="8">
        <v>40</v>
      </c>
      <c r="AA105" s="9">
        <v>55</v>
      </c>
      <c r="AB105" s="10" t="s">
        <v>10</v>
      </c>
      <c r="AC105" s="8" t="s">
        <v>10</v>
      </c>
      <c r="AD105" s="9" t="s">
        <v>10</v>
      </c>
    </row>
    <row r="106" spans="1:30" x14ac:dyDescent="0.35">
      <c r="A106" s="2">
        <v>2010</v>
      </c>
      <c r="B106" s="2">
        <v>4</v>
      </c>
      <c r="C106" s="2">
        <v>10</v>
      </c>
      <c r="D106" s="6" t="s">
        <v>10</v>
      </c>
      <c r="E106" s="6" t="s">
        <v>10</v>
      </c>
      <c r="F106" s="6" t="s">
        <v>10</v>
      </c>
      <c r="G106" s="10">
        <v>60</v>
      </c>
      <c r="H106" s="8">
        <v>50</v>
      </c>
      <c r="I106" s="9">
        <v>55</v>
      </c>
      <c r="J106" s="12" t="s">
        <v>10</v>
      </c>
      <c r="K106" s="6" t="s">
        <v>10</v>
      </c>
      <c r="L106" s="6" t="s">
        <v>10</v>
      </c>
      <c r="M106" s="12" t="s">
        <v>10</v>
      </c>
      <c r="N106" s="6" t="s">
        <v>10</v>
      </c>
      <c r="O106" s="7" t="s">
        <v>10</v>
      </c>
      <c r="P106" s="10">
        <v>168</v>
      </c>
      <c r="Q106" s="8">
        <v>162.25</v>
      </c>
      <c r="R106" s="9">
        <v>165.25</v>
      </c>
      <c r="S106" s="8" t="s">
        <v>10</v>
      </c>
      <c r="T106" s="8" t="s">
        <v>10</v>
      </c>
      <c r="U106" s="9" t="s">
        <v>10</v>
      </c>
      <c r="V106" s="10">
        <v>93</v>
      </c>
      <c r="W106" s="8">
        <v>84</v>
      </c>
      <c r="X106" s="9">
        <v>89</v>
      </c>
      <c r="Y106" s="10">
        <v>70</v>
      </c>
      <c r="Z106" s="8">
        <v>40</v>
      </c>
      <c r="AA106" s="9">
        <v>55</v>
      </c>
      <c r="AB106" s="10" t="s">
        <v>10</v>
      </c>
      <c r="AC106" s="8" t="s">
        <v>10</v>
      </c>
      <c r="AD106" s="9" t="s">
        <v>10</v>
      </c>
    </row>
    <row r="107" spans="1:30" x14ac:dyDescent="0.35">
      <c r="A107" s="2">
        <v>2010</v>
      </c>
      <c r="B107" s="2">
        <v>4</v>
      </c>
      <c r="C107" s="2">
        <v>11</v>
      </c>
      <c r="D107" s="6" t="s">
        <v>10</v>
      </c>
      <c r="E107" s="6" t="s">
        <v>10</v>
      </c>
      <c r="F107" s="6" t="s">
        <v>10</v>
      </c>
      <c r="G107" s="10">
        <v>75</v>
      </c>
      <c r="H107" s="8">
        <v>65</v>
      </c>
      <c r="I107" s="9">
        <v>70</v>
      </c>
      <c r="J107" s="12" t="s">
        <v>10</v>
      </c>
      <c r="K107" s="6" t="s">
        <v>10</v>
      </c>
      <c r="L107" s="6" t="s">
        <v>10</v>
      </c>
      <c r="M107" s="12" t="s">
        <v>10</v>
      </c>
      <c r="N107" s="6" t="s">
        <v>10</v>
      </c>
      <c r="O107" s="7" t="s">
        <v>10</v>
      </c>
      <c r="P107" s="10">
        <v>174.75</v>
      </c>
      <c r="Q107" s="8">
        <v>169.5</v>
      </c>
      <c r="R107" s="9">
        <v>172.5</v>
      </c>
      <c r="S107" s="8" t="s">
        <v>10</v>
      </c>
      <c r="T107" s="8" t="s">
        <v>10</v>
      </c>
      <c r="U107" s="9" t="s">
        <v>10</v>
      </c>
      <c r="V107" s="10">
        <v>93</v>
      </c>
      <c r="W107" s="8">
        <v>84</v>
      </c>
      <c r="X107" s="9">
        <v>89</v>
      </c>
      <c r="Y107" s="10">
        <v>70</v>
      </c>
      <c r="Z107" s="8">
        <v>40</v>
      </c>
      <c r="AA107" s="9">
        <v>55</v>
      </c>
      <c r="AB107" s="10">
        <v>130</v>
      </c>
      <c r="AC107" s="8">
        <v>120</v>
      </c>
      <c r="AD107" s="9">
        <v>125</v>
      </c>
    </row>
    <row r="108" spans="1:30" x14ac:dyDescent="0.35">
      <c r="A108" s="2">
        <v>2010</v>
      </c>
      <c r="B108" s="2">
        <v>4</v>
      </c>
      <c r="C108" s="2">
        <v>12</v>
      </c>
      <c r="D108" s="6" t="s">
        <v>10</v>
      </c>
      <c r="E108" s="6" t="s">
        <v>10</v>
      </c>
      <c r="F108" s="6" t="s">
        <v>10</v>
      </c>
      <c r="G108" s="10">
        <v>80</v>
      </c>
      <c r="H108" s="8">
        <v>70</v>
      </c>
      <c r="I108" s="9">
        <v>75</v>
      </c>
      <c r="J108" s="12" t="s">
        <v>10</v>
      </c>
      <c r="K108" s="6" t="s">
        <v>10</v>
      </c>
      <c r="L108" s="6" t="s">
        <v>10</v>
      </c>
      <c r="M108" s="12" t="s">
        <v>10</v>
      </c>
      <c r="N108" s="6" t="s">
        <v>10</v>
      </c>
      <c r="O108" s="7" t="s">
        <v>10</v>
      </c>
      <c r="P108" s="10">
        <v>164.8</v>
      </c>
      <c r="Q108" s="8">
        <v>153.19999999999999</v>
      </c>
      <c r="R108" s="9">
        <v>159</v>
      </c>
      <c r="S108" s="8" t="s">
        <v>10</v>
      </c>
      <c r="T108" s="8" t="s">
        <v>10</v>
      </c>
      <c r="U108" s="9" t="s">
        <v>10</v>
      </c>
      <c r="V108" s="10">
        <v>93</v>
      </c>
      <c r="W108" s="8">
        <v>84</v>
      </c>
      <c r="X108" s="9">
        <v>89</v>
      </c>
      <c r="Y108" s="10">
        <v>70</v>
      </c>
      <c r="Z108" s="8">
        <v>40</v>
      </c>
      <c r="AA108" s="9">
        <v>55</v>
      </c>
      <c r="AB108" s="10">
        <v>130</v>
      </c>
      <c r="AC108" s="8">
        <v>120</v>
      </c>
      <c r="AD108" s="9">
        <v>125</v>
      </c>
    </row>
    <row r="109" spans="1:30" x14ac:dyDescent="0.35">
      <c r="A109" s="2">
        <v>2011</v>
      </c>
      <c r="B109" s="2">
        <v>1</v>
      </c>
      <c r="C109" s="2">
        <v>1</v>
      </c>
      <c r="D109" s="6" t="s">
        <v>10</v>
      </c>
      <c r="E109" s="6" t="s">
        <v>10</v>
      </c>
      <c r="F109" s="6" t="s">
        <v>10</v>
      </c>
      <c r="G109" s="10">
        <v>82.5</v>
      </c>
      <c r="H109" s="8">
        <v>70</v>
      </c>
      <c r="I109" s="9">
        <v>76.25</v>
      </c>
      <c r="J109" s="12" t="s">
        <v>10</v>
      </c>
      <c r="K109" s="6" t="s">
        <v>10</v>
      </c>
      <c r="L109" s="6" t="s">
        <v>10</v>
      </c>
      <c r="M109" s="12" t="s">
        <v>10</v>
      </c>
      <c r="N109" s="6" t="s">
        <v>10</v>
      </c>
      <c r="O109" s="7" t="s">
        <v>10</v>
      </c>
      <c r="P109" s="10">
        <v>165</v>
      </c>
      <c r="Q109" s="8">
        <v>147.5</v>
      </c>
      <c r="R109" s="9">
        <v>156.25</v>
      </c>
      <c r="S109" s="8" t="s">
        <v>10</v>
      </c>
      <c r="T109" s="8" t="s">
        <v>10</v>
      </c>
      <c r="U109" s="9" t="s">
        <v>10</v>
      </c>
      <c r="V109" s="10">
        <v>183</v>
      </c>
      <c r="W109" s="8">
        <v>175</v>
      </c>
      <c r="X109" s="9">
        <v>179</v>
      </c>
      <c r="Y109" s="10">
        <v>90</v>
      </c>
      <c r="Z109" s="8">
        <v>51.25</v>
      </c>
      <c r="AA109" s="9">
        <v>70.75</v>
      </c>
      <c r="AB109" s="10">
        <v>152.5</v>
      </c>
      <c r="AC109" s="8">
        <v>142.5</v>
      </c>
      <c r="AD109" s="9">
        <v>147.5</v>
      </c>
    </row>
    <row r="110" spans="1:30" x14ac:dyDescent="0.35">
      <c r="A110" s="2">
        <v>2011</v>
      </c>
      <c r="B110" s="2">
        <v>1</v>
      </c>
      <c r="C110" s="2">
        <v>2</v>
      </c>
      <c r="D110" s="6" t="s">
        <v>10</v>
      </c>
      <c r="E110" s="6" t="s">
        <v>10</v>
      </c>
      <c r="F110" s="6" t="s">
        <v>10</v>
      </c>
      <c r="G110" s="10">
        <v>90</v>
      </c>
      <c r="H110" s="8">
        <v>70</v>
      </c>
      <c r="I110" s="9">
        <v>80</v>
      </c>
      <c r="J110" s="12" t="s">
        <v>10</v>
      </c>
      <c r="K110" s="6" t="s">
        <v>10</v>
      </c>
      <c r="L110" s="6" t="s">
        <v>10</v>
      </c>
      <c r="M110" s="12" t="s">
        <v>10</v>
      </c>
      <c r="N110" s="6" t="s">
        <v>10</v>
      </c>
      <c r="O110" s="7" t="s">
        <v>10</v>
      </c>
      <c r="P110" s="10">
        <v>191.25</v>
      </c>
      <c r="Q110" s="8">
        <v>177.5</v>
      </c>
      <c r="R110" s="9">
        <v>184.75</v>
      </c>
      <c r="S110" s="8" t="s">
        <v>10</v>
      </c>
      <c r="T110" s="8" t="s">
        <v>10</v>
      </c>
      <c r="U110" s="9" t="s">
        <v>10</v>
      </c>
      <c r="V110" s="10">
        <v>183</v>
      </c>
      <c r="W110" s="8">
        <v>175</v>
      </c>
      <c r="X110" s="9">
        <v>179</v>
      </c>
      <c r="Y110" s="10">
        <v>150</v>
      </c>
      <c r="Z110" s="8">
        <v>55</v>
      </c>
      <c r="AA110" s="9">
        <v>103</v>
      </c>
      <c r="AB110" s="10">
        <v>175</v>
      </c>
      <c r="AC110" s="8">
        <v>165</v>
      </c>
      <c r="AD110" s="9">
        <v>170</v>
      </c>
    </row>
    <row r="111" spans="1:30" x14ac:dyDescent="0.35">
      <c r="A111" s="2">
        <v>2011</v>
      </c>
      <c r="B111" s="2">
        <v>1</v>
      </c>
      <c r="C111" s="2">
        <v>3</v>
      </c>
      <c r="D111" s="6" t="s">
        <v>10</v>
      </c>
      <c r="E111" s="6" t="s">
        <v>10</v>
      </c>
      <c r="F111" s="6" t="s">
        <v>10</v>
      </c>
      <c r="G111" s="10">
        <v>92</v>
      </c>
      <c r="H111" s="8">
        <v>74</v>
      </c>
      <c r="I111" s="9">
        <v>83</v>
      </c>
      <c r="J111" s="12" t="s">
        <v>10</v>
      </c>
      <c r="K111" s="6" t="s">
        <v>10</v>
      </c>
      <c r="L111" s="6" t="s">
        <v>10</v>
      </c>
      <c r="M111" s="12" t="s">
        <v>10</v>
      </c>
      <c r="N111" s="6" t="s">
        <v>10</v>
      </c>
      <c r="O111" s="7" t="s">
        <v>10</v>
      </c>
      <c r="P111" s="10">
        <v>209</v>
      </c>
      <c r="Q111" s="8">
        <v>184</v>
      </c>
      <c r="R111" s="9">
        <v>196.8</v>
      </c>
      <c r="S111" s="8" t="s">
        <v>10</v>
      </c>
      <c r="T111" s="8" t="s">
        <v>10</v>
      </c>
      <c r="U111" s="9" t="s">
        <v>10</v>
      </c>
      <c r="V111" s="10">
        <v>183</v>
      </c>
      <c r="W111" s="8">
        <v>175</v>
      </c>
      <c r="X111" s="9">
        <v>179</v>
      </c>
      <c r="Y111" s="10" t="s">
        <v>10</v>
      </c>
      <c r="Z111" s="8" t="s">
        <v>10</v>
      </c>
      <c r="AA111" s="9" t="s">
        <v>10</v>
      </c>
      <c r="AB111" s="10">
        <v>175</v>
      </c>
      <c r="AC111" s="8">
        <v>165</v>
      </c>
      <c r="AD111" s="9">
        <v>170</v>
      </c>
    </row>
    <row r="112" spans="1:30" x14ac:dyDescent="0.35">
      <c r="A112" s="2">
        <v>2011</v>
      </c>
      <c r="B112" s="2">
        <v>2</v>
      </c>
      <c r="C112" s="2">
        <v>4</v>
      </c>
      <c r="D112" s="6" t="s">
        <v>10</v>
      </c>
      <c r="E112" s="6" t="s">
        <v>10</v>
      </c>
      <c r="F112" s="6" t="s">
        <v>10</v>
      </c>
      <c r="G112" s="10">
        <v>100</v>
      </c>
      <c r="H112" s="8">
        <v>90</v>
      </c>
      <c r="I112" s="9">
        <v>95</v>
      </c>
      <c r="J112" s="12" t="s">
        <v>10</v>
      </c>
      <c r="K112" s="6" t="s">
        <v>10</v>
      </c>
      <c r="L112" s="6" t="s">
        <v>10</v>
      </c>
      <c r="M112" s="12" t="s">
        <v>10</v>
      </c>
      <c r="N112" s="6" t="s">
        <v>10</v>
      </c>
      <c r="O112" s="7" t="s">
        <v>10</v>
      </c>
      <c r="P112" s="10">
        <v>215.25</v>
      </c>
      <c r="Q112" s="8">
        <v>185</v>
      </c>
      <c r="R112" s="9">
        <v>200.25</v>
      </c>
      <c r="S112" s="8" t="s">
        <v>10</v>
      </c>
      <c r="T112" s="8" t="s">
        <v>10</v>
      </c>
      <c r="U112" s="9" t="s">
        <v>10</v>
      </c>
      <c r="V112" s="10">
        <v>214.5</v>
      </c>
      <c r="W112" s="8">
        <v>208.75</v>
      </c>
      <c r="X112" s="9">
        <v>212</v>
      </c>
      <c r="Y112" s="10" t="s">
        <v>10</v>
      </c>
      <c r="Z112" s="8" t="s">
        <v>10</v>
      </c>
      <c r="AA112" s="9" t="s">
        <v>10</v>
      </c>
      <c r="AB112" s="10">
        <v>175</v>
      </c>
      <c r="AC112" s="8">
        <v>165</v>
      </c>
      <c r="AD112" s="9">
        <v>170</v>
      </c>
    </row>
    <row r="113" spans="1:30" x14ac:dyDescent="0.35">
      <c r="A113" s="2">
        <v>2011</v>
      </c>
      <c r="B113" s="2">
        <v>2</v>
      </c>
      <c r="C113" s="2">
        <v>5</v>
      </c>
      <c r="D113" s="6" t="s">
        <v>10</v>
      </c>
      <c r="E113" s="6" t="s">
        <v>10</v>
      </c>
      <c r="F113" s="6" t="s">
        <v>10</v>
      </c>
      <c r="G113" s="10">
        <v>100</v>
      </c>
      <c r="H113" s="8">
        <v>90</v>
      </c>
      <c r="I113" s="9">
        <v>95</v>
      </c>
      <c r="J113" s="12" t="s">
        <v>10</v>
      </c>
      <c r="K113" s="6" t="s">
        <v>10</v>
      </c>
      <c r="L113" s="6" t="s">
        <v>10</v>
      </c>
      <c r="M113" s="12" t="s">
        <v>10</v>
      </c>
      <c r="N113" s="6" t="s">
        <v>10</v>
      </c>
      <c r="O113" s="7" t="s">
        <v>10</v>
      </c>
      <c r="P113" s="10">
        <v>223.75</v>
      </c>
      <c r="Q113" s="8">
        <v>200</v>
      </c>
      <c r="R113" s="9">
        <v>212</v>
      </c>
      <c r="S113" s="8" t="s">
        <v>10</v>
      </c>
      <c r="T113" s="8" t="s">
        <v>10</v>
      </c>
      <c r="U113" s="9" t="s">
        <v>10</v>
      </c>
      <c r="V113" s="10">
        <v>225</v>
      </c>
      <c r="W113" s="8">
        <v>220</v>
      </c>
      <c r="X113" s="9">
        <v>223</v>
      </c>
      <c r="Y113" s="10" t="s">
        <v>10</v>
      </c>
      <c r="Z113" s="8" t="s">
        <v>10</v>
      </c>
      <c r="AA113" s="9" t="s">
        <v>10</v>
      </c>
      <c r="AB113" s="10">
        <v>175</v>
      </c>
      <c r="AC113" s="8">
        <v>165</v>
      </c>
      <c r="AD113" s="9">
        <v>170</v>
      </c>
    </row>
    <row r="114" spans="1:30" x14ac:dyDescent="0.35">
      <c r="A114" s="2">
        <v>2011</v>
      </c>
      <c r="B114" s="2">
        <v>2</v>
      </c>
      <c r="C114" s="2">
        <v>6</v>
      </c>
      <c r="D114" s="6" t="s">
        <v>10</v>
      </c>
      <c r="E114" s="6" t="s">
        <v>10</v>
      </c>
      <c r="F114" s="6" t="s">
        <v>10</v>
      </c>
      <c r="G114" s="10">
        <v>108</v>
      </c>
      <c r="H114" s="8">
        <v>90</v>
      </c>
      <c r="I114" s="9">
        <v>99</v>
      </c>
      <c r="J114" s="12" t="s">
        <v>10</v>
      </c>
      <c r="K114" s="6" t="s">
        <v>10</v>
      </c>
      <c r="L114" s="6" t="s">
        <v>10</v>
      </c>
      <c r="M114" s="12" t="s">
        <v>10</v>
      </c>
      <c r="N114" s="6" t="s">
        <v>10</v>
      </c>
      <c r="O114" s="7" t="s">
        <v>10</v>
      </c>
      <c r="P114" s="10">
        <v>225</v>
      </c>
      <c r="Q114" s="8">
        <v>215</v>
      </c>
      <c r="R114" s="9">
        <v>220</v>
      </c>
      <c r="S114" s="8" t="s">
        <v>10</v>
      </c>
      <c r="T114" s="8" t="s">
        <v>10</v>
      </c>
      <c r="U114" s="9" t="s">
        <v>10</v>
      </c>
      <c r="V114" s="10">
        <v>225</v>
      </c>
      <c r="W114" s="8">
        <v>220</v>
      </c>
      <c r="X114" s="9">
        <v>223</v>
      </c>
      <c r="Y114" s="10" t="s">
        <v>10</v>
      </c>
      <c r="Z114" s="8" t="s">
        <v>10</v>
      </c>
      <c r="AA114" s="9" t="s">
        <v>10</v>
      </c>
      <c r="AB114" s="10">
        <v>175</v>
      </c>
      <c r="AC114" s="8">
        <v>165</v>
      </c>
      <c r="AD114" s="9">
        <v>170</v>
      </c>
    </row>
    <row r="115" spans="1:30" x14ac:dyDescent="0.35">
      <c r="A115" s="2">
        <v>2011</v>
      </c>
      <c r="B115" s="2">
        <v>3</v>
      </c>
      <c r="C115" s="2">
        <v>7</v>
      </c>
      <c r="D115" s="6" t="s">
        <v>10</v>
      </c>
      <c r="E115" s="6" t="s">
        <v>10</v>
      </c>
      <c r="F115" s="6" t="s">
        <v>10</v>
      </c>
      <c r="G115" s="10">
        <v>110</v>
      </c>
      <c r="H115" s="8">
        <v>92.5</v>
      </c>
      <c r="I115" s="9">
        <v>101.25</v>
      </c>
      <c r="J115" s="12" t="s">
        <v>10</v>
      </c>
      <c r="K115" s="6" t="s">
        <v>10</v>
      </c>
      <c r="L115" s="6" t="s">
        <v>10</v>
      </c>
      <c r="M115" s="12" t="s">
        <v>10</v>
      </c>
      <c r="N115" s="6" t="s">
        <v>10</v>
      </c>
      <c r="O115" s="7" t="s">
        <v>10</v>
      </c>
      <c r="P115" s="10">
        <v>206.25</v>
      </c>
      <c r="Q115" s="8">
        <v>192.5</v>
      </c>
      <c r="R115" s="9">
        <v>199.5</v>
      </c>
      <c r="S115" s="8" t="s">
        <v>10</v>
      </c>
      <c r="T115" s="8" t="s">
        <v>10</v>
      </c>
      <c r="U115" s="9" t="s">
        <v>10</v>
      </c>
      <c r="V115" s="10">
        <v>225</v>
      </c>
      <c r="W115" s="8">
        <v>220</v>
      </c>
      <c r="X115" s="9">
        <v>223</v>
      </c>
      <c r="Y115" s="10" t="s">
        <v>10</v>
      </c>
      <c r="Z115" s="8" t="s">
        <v>10</v>
      </c>
      <c r="AA115" s="9" t="s">
        <v>10</v>
      </c>
      <c r="AB115" s="10">
        <v>175</v>
      </c>
      <c r="AC115" s="8">
        <v>165</v>
      </c>
      <c r="AD115" s="9">
        <v>170</v>
      </c>
    </row>
    <row r="116" spans="1:30" x14ac:dyDescent="0.35">
      <c r="A116" s="2">
        <v>2011</v>
      </c>
      <c r="B116" s="2">
        <v>3</v>
      </c>
      <c r="C116" s="2">
        <v>8</v>
      </c>
      <c r="D116" s="6" t="s">
        <v>10</v>
      </c>
      <c r="E116" s="6" t="s">
        <v>10</v>
      </c>
      <c r="F116" s="6" t="s">
        <v>10</v>
      </c>
      <c r="G116" s="10">
        <v>110</v>
      </c>
      <c r="H116" s="8">
        <v>100</v>
      </c>
      <c r="I116" s="9">
        <v>105</v>
      </c>
      <c r="J116" s="12" t="s">
        <v>10</v>
      </c>
      <c r="K116" s="6" t="s">
        <v>10</v>
      </c>
      <c r="L116" s="6" t="s">
        <v>10</v>
      </c>
      <c r="M116" s="12" t="s">
        <v>10</v>
      </c>
      <c r="N116" s="6" t="s">
        <v>10</v>
      </c>
      <c r="O116" s="7" t="s">
        <v>10</v>
      </c>
      <c r="P116" s="10">
        <v>212.5</v>
      </c>
      <c r="Q116" s="8">
        <v>192.5</v>
      </c>
      <c r="R116" s="9">
        <v>202.5</v>
      </c>
      <c r="S116" s="8" t="s">
        <v>10</v>
      </c>
      <c r="T116" s="8" t="s">
        <v>10</v>
      </c>
      <c r="U116" s="9" t="s">
        <v>10</v>
      </c>
      <c r="V116" s="10">
        <v>236.25</v>
      </c>
      <c r="W116" s="8">
        <v>231.25</v>
      </c>
      <c r="X116" s="9">
        <v>234.25</v>
      </c>
      <c r="Y116" s="10" t="s">
        <v>10</v>
      </c>
      <c r="Z116" s="8" t="s">
        <v>10</v>
      </c>
      <c r="AA116" s="9" t="s">
        <v>10</v>
      </c>
      <c r="AB116" s="10">
        <v>175</v>
      </c>
      <c r="AC116" s="8">
        <v>165</v>
      </c>
      <c r="AD116" s="9">
        <v>170</v>
      </c>
    </row>
    <row r="117" spans="1:30" x14ac:dyDescent="0.35">
      <c r="A117" s="2">
        <v>2011</v>
      </c>
      <c r="B117" s="2">
        <v>3</v>
      </c>
      <c r="C117" s="2">
        <v>9</v>
      </c>
      <c r="D117" s="6" t="s">
        <v>10</v>
      </c>
      <c r="E117" s="6" t="s">
        <v>10</v>
      </c>
      <c r="F117" s="6" t="s">
        <v>10</v>
      </c>
      <c r="G117" s="10">
        <v>110</v>
      </c>
      <c r="H117" s="8">
        <v>100</v>
      </c>
      <c r="I117" s="9">
        <v>105</v>
      </c>
      <c r="J117" s="12" t="s">
        <v>10</v>
      </c>
      <c r="K117" s="6" t="s">
        <v>10</v>
      </c>
      <c r="L117" s="6" t="s">
        <v>10</v>
      </c>
      <c r="M117" s="12" t="s">
        <v>10</v>
      </c>
      <c r="N117" s="6" t="s">
        <v>10</v>
      </c>
      <c r="O117" s="7" t="s">
        <v>10</v>
      </c>
      <c r="P117" s="10">
        <v>220</v>
      </c>
      <c r="Q117" s="8">
        <v>210</v>
      </c>
      <c r="R117" s="9">
        <v>215</v>
      </c>
      <c r="S117" s="8" t="s">
        <v>10</v>
      </c>
      <c r="T117" s="8" t="s">
        <v>10</v>
      </c>
      <c r="U117" s="9" t="s">
        <v>10</v>
      </c>
      <c r="V117" s="10">
        <v>240</v>
      </c>
      <c r="W117" s="8">
        <v>235</v>
      </c>
      <c r="X117" s="9">
        <v>238</v>
      </c>
      <c r="Y117" s="10" t="s">
        <v>10</v>
      </c>
      <c r="Z117" s="8" t="s">
        <v>10</v>
      </c>
      <c r="AA117" s="9" t="s">
        <v>10</v>
      </c>
      <c r="AB117" s="10">
        <v>175</v>
      </c>
      <c r="AC117" s="8">
        <v>165</v>
      </c>
      <c r="AD117" s="9">
        <v>170</v>
      </c>
    </row>
    <row r="118" spans="1:30" x14ac:dyDescent="0.35">
      <c r="A118" s="2">
        <v>2011</v>
      </c>
      <c r="B118" s="2">
        <v>4</v>
      </c>
      <c r="C118" s="2">
        <v>10</v>
      </c>
      <c r="D118" s="6" t="s">
        <v>10</v>
      </c>
      <c r="E118" s="6" t="s">
        <v>10</v>
      </c>
      <c r="F118" s="6" t="s">
        <v>10</v>
      </c>
      <c r="G118" s="10">
        <v>110</v>
      </c>
      <c r="H118" s="8">
        <v>100</v>
      </c>
      <c r="I118" s="9">
        <v>105</v>
      </c>
      <c r="J118" s="12" t="s">
        <v>10</v>
      </c>
      <c r="K118" s="6" t="s">
        <v>10</v>
      </c>
      <c r="L118" s="6" t="s">
        <v>10</v>
      </c>
      <c r="M118" s="12" t="s">
        <v>10</v>
      </c>
      <c r="N118" s="6" t="s">
        <v>10</v>
      </c>
      <c r="O118" s="7" t="s">
        <v>10</v>
      </c>
      <c r="P118" s="10">
        <v>221.25</v>
      </c>
      <c r="Q118" s="8">
        <v>210</v>
      </c>
      <c r="R118" s="9">
        <v>215.75</v>
      </c>
      <c r="S118" s="8" t="s">
        <v>10</v>
      </c>
      <c r="T118" s="8" t="s">
        <v>10</v>
      </c>
      <c r="U118" s="9" t="s">
        <v>10</v>
      </c>
      <c r="V118" s="10">
        <v>243.75</v>
      </c>
      <c r="W118" s="8">
        <v>236.25</v>
      </c>
      <c r="X118" s="9">
        <v>240.5</v>
      </c>
      <c r="Y118" s="10" t="s">
        <v>10</v>
      </c>
      <c r="Z118" s="8" t="s">
        <v>10</v>
      </c>
      <c r="AA118" s="9" t="s">
        <v>10</v>
      </c>
      <c r="AB118" s="10">
        <v>240</v>
      </c>
      <c r="AC118" s="8">
        <v>235</v>
      </c>
      <c r="AD118" s="9">
        <v>238</v>
      </c>
    </row>
    <row r="119" spans="1:30" x14ac:dyDescent="0.35">
      <c r="A119" s="2">
        <v>2011</v>
      </c>
      <c r="B119" s="2">
        <v>4</v>
      </c>
      <c r="C119" s="2">
        <v>11</v>
      </c>
      <c r="D119" s="6" t="s">
        <v>10</v>
      </c>
      <c r="E119" s="6" t="s">
        <v>10</v>
      </c>
      <c r="F119" s="6" t="s">
        <v>10</v>
      </c>
      <c r="G119" s="10">
        <v>110</v>
      </c>
      <c r="H119" s="8">
        <v>100</v>
      </c>
      <c r="I119" s="9">
        <v>105</v>
      </c>
      <c r="J119" s="12" t="s">
        <v>10</v>
      </c>
      <c r="K119" s="6" t="s">
        <v>10</v>
      </c>
      <c r="L119" s="6" t="s">
        <v>10</v>
      </c>
      <c r="M119" s="12" t="s">
        <v>10</v>
      </c>
      <c r="N119" s="6" t="s">
        <v>10</v>
      </c>
      <c r="O119" s="7" t="s">
        <v>10</v>
      </c>
      <c r="P119" s="10">
        <v>208.75</v>
      </c>
      <c r="Q119" s="8">
        <v>200</v>
      </c>
      <c r="R119" s="9">
        <v>204.75</v>
      </c>
      <c r="S119" s="8" t="s">
        <v>10</v>
      </c>
      <c r="T119" s="8" t="s">
        <v>10</v>
      </c>
      <c r="U119" s="9" t="s">
        <v>10</v>
      </c>
      <c r="V119" s="10">
        <v>255</v>
      </c>
      <c r="W119" s="8">
        <v>240</v>
      </c>
      <c r="X119" s="9">
        <v>248</v>
      </c>
      <c r="Y119" s="10" t="s">
        <v>10</v>
      </c>
      <c r="Z119" s="8" t="s">
        <v>10</v>
      </c>
      <c r="AA119" s="9" t="s">
        <v>10</v>
      </c>
      <c r="AB119" s="10">
        <v>240</v>
      </c>
      <c r="AC119" s="8">
        <v>235</v>
      </c>
      <c r="AD119" s="9">
        <v>238</v>
      </c>
    </row>
    <row r="120" spans="1:30" x14ac:dyDescent="0.35">
      <c r="A120" s="2">
        <v>2011</v>
      </c>
      <c r="B120" s="2">
        <v>4</v>
      </c>
      <c r="C120" s="2">
        <v>12</v>
      </c>
      <c r="D120" s="6" t="s">
        <v>10</v>
      </c>
      <c r="E120" s="6" t="s">
        <v>10</v>
      </c>
      <c r="F120" s="6" t="s">
        <v>10</v>
      </c>
      <c r="G120" s="10">
        <v>104</v>
      </c>
      <c r="H120" s="8">
        <v>94</v>
      </c>
      <c r="I120" s="9">
        <v>99</v>
      </c>
      <c r="J120" s="12" t="s">
        <v>10</v>
      </c>
      <c r="K120" s="6" t="s">
        <v>10</v>
      </c>
      <c r="L120" s="6" t="s">
        <v>10</v>
      </c>
      <c r="M120" s="12" t="s">
        <v>10</v>
      </c>
      <c r="N120" s="6" t="s">
        <v>10</v>
      </c>
      <c r="O120" s="7" t="s">
        <v>10</v>
      </c>
      <c r="P120" s="10">
        <v>197</v>
      </c>
      <c r="Q120" s="8">
        <v>184</v>
      </c>
      <c r="R120" s="9">
        <v>190.8</v>
      </c>
      <c r="S120" s="8" t="s">
        <v>10</v>
      </c>
      <c r="T120" s="8" t="s">
        <v>10</v>
      </c>
      <c r="U120" s="9" t="s">
        <v>10</v>
      </c>
      <c r="V120" s="10">
        <v>255</v>
      </c>
      <c r="W120" s="8">
        <v>240</v>
      </c>
      <c r="X120" s="9">
        <v>248</v>
      </c>
      <c r="Y120" s="10" t="s">
        <v>10</v>
      </c>
      <c r="Z120" s="8" t="s">
        <v>10</v>
      </c>
      <c r="AA120" s="9" t="s">
        <v>10</v>
      </c>
      <c r="AB120" s="10">
        <v>240</v>
      </c>
      <c r="AC120" s="8">
        <v>235</v>
      </c>
      <c r="AD120" s="9">
        <v>238</v>
      </c>
    </row>
    <row r="121" spans="1:30" x14ac:dyDescent="0.35">
      <c r="A121" s="2">
        <v>2012</v>
      </c>
      <c r="B121" s="2">
        <v>1</v>
      </c>
      <c r="C121" s="2">
        <v>1</v>
      </c>
      <c r="D121" s="6" t="s">
        <v>10</v>
      </c>
      <c r="E121" s="6" t="s">
        <v>10</v>
      </c>
      <c r="F121" s="6" t="s">
        <v>10</v>
      </c>
      <c r="G121" s="10">
        <v>90</v>
      </c>
      <c r="H121" s="8">
        <v>80</v>
      </c>
      <c r="I121" s="9">
        <v>85</v>
      </c>
      <c r="J121" s="12" t="s">
        <v>10</v>
      </c>
      <c r="K121" s="6" t="s">
        <v>10</v>
      </c>
      <c r="L121" s="6" t="s">
        <v>10</v>
      </c>
      <c r="M121" s="12" t="s">
        <v>10</v>
      </c>
      <c r="N121" s="6" t="s">
        <v>10</v>
      </c>
      <c r="O121" s="7" t="s">
        <v>10</v>
      </c>
      <c r="P121" s="10">
        <v>176.25</v>
      </c>
      <c r="Q121" s="8">
        <v>171.25</v>
      </c>
      <c r="R121" s="9">
        <v>174.25</v>
      </c>
      <c r="S121" s="8" t="s">
        <v>10</v>
      </c>
      <c r="T121" s="8" t="s">
        <v>10</v>
      </c>
      <c r="U121" s="9" t="s">
        <v>10</v>
      </c>
      <c r="V121" s="10">
        <v>255</v>
      </c>
      <c r="W121" s="8">
        <v>240</v>
      </c>
      <c r="X121" s="9">
        <v>248</v>
      </c>
      <c r="Y121" s="10" t="s">
        <v>10</v>
      </c>
      <c r="Z121" s="8" t="s">
        <v>10</v>
      </c>
      <c r="AA121" s="9" t="s">
        <v>10</v>
      </c>
      <c r="AB121" s="10" t="s">
        <v>10</v>
      </c>
      <c r="AC121" s="8" t="s">
        <v>10</v>
      </c>
      <c r="AD121" s="9" t="s">
        <v>10</v>
      </c>
    </row>
    <row r="122" spans="1:30" x14ac:dyDescent="0.35">
      <c r="A122" s="2">
        <v>2012</v>
      </c>
      <c r="B122" s="2">
        <v>1</v>
      </c>
      <c r="C122" s="2">
        <v>2</v>
      </c>
      <c r="D122" s="6" t="s">
        <v>10</v>
      </c>
      <c r="E122" s="6" t="s">
        <v>10</v>
      </c>
      <c r="F122" s="6" t="s">
        <v>10</v>
      </c>
      <c r="G122" s="10">
        <v>60</v>
      </c>
      <c r="H122" s="8">
        <v>50</v>
      </c>
      <c r="I122" s="9">
        <v>55</v>
      </c>
      <c r="J122" s="12" t="s">
        <v>10</v>
      </c>
      <c r="K122" s="6" t="s">
        <v>10</v>
      </c>
      <c r="L122" s="6" t="s">
        <v>10</v>
      </c>
      <c r="M122" s="12" t="s">
        <v>10</v>
      </c>
      <c r="N122" s="6" t="s">
        <v>10</v>
      </c>
      <c r="O122" s="7" t="s">
        <v>10</v>
      </c>
      <c r="P122" s="10">
        <v>171.25</v>
      </c>
      <c r="Q122" s="8">
        <v>165</v>
      </c>
      <c r="R122" s="9">
        <v>168.5</v>
      </c>
      <c r="S122" s="8" t="s">
        <v>10</v>
      </c>
      <c r="T122" s="8" t="s">
        <v>10</v>
      </c>
      <c r="U122" s="9" t="s">
        <v>10</v>
      </c>
      <c r="V122" s="10">
        <v>235</v>
      </c>
      <c r="W122" s="8">
        <v>223.75</v>
      </c>
      <c r="X122" s="9">
        <v>229.75</v>
      </c>
      <c r="Y122" s="10" t="s">
        <v>10</v>
      </c>
      <c r="Z122" s="8" t="s">
        <v>10</v>
      </c>
      <c r="AA122" s="9" t="s">
        <v>10</v>
      </c>
      <c r="AB122" s="10" t="s">
        <v>10</v>
      </c>
      <c r="AC122" s="8" t="s">
        <v>10</v>
      </c>
      <c r="AD122" s="9" t="s">
        <v>10</v>
      </c>
    </row>
    <row r="123" spans="1:30" x14ac:dyDescent="0.35">
      <c r="A123" s="2">
        <v>2012</v>
      </c>
      <c r="B123" s="2">
        <v>1</v>
      </c>
      <c r="C123" s="2">
        <v>3</v>
      </c>
      <c r="D123" s="6" t="s">
        <v>10</v>
      </c>
      <c r="E123" s="6" t="s">
        <v>10</v>
      </c>
      <c r="F123" s="6" t="s">
        <v>10</v>
      </c>
      <c r="G123" s="10">
        <v>40</v>
      </c>
      <c r="H123" s="8">
        <v>30</v>
      </c>
      <c r="I123" s="9">
        <v>35</v>
      </c>
      <c r="J123" s="12" t="s">
        <v>10</v>
      </c>
      <c r="K123" s="6" t="s">
        <v>10</v>
      </c>
      <c r="L123" s="6" t="s">
        <v>10</v>
      </c>
      <c r="M123" s="12" t="s">
        <v>10</v>
      </c>
      <c r="N123" s="6" t="s">
        <v>10</v>
      </c>
      <c r="O123" s="7" t="s">
        <v>10</v>
      </c>
      <c r="P123" s="10">
        <v>195</v>
      </c>
      <c r="Q123" s="8">
        <v>177</v>
      </c>
      <c r="R123" s="9">
        <v>186</v>
      </c>
      <c r="S123" s="8" t="s">
        <v>10</v>
      </c>
      <c r="T123" s="8" t="s">
        <v>10</v>
      </c>
      <c r="U123" s="9" t="s">
        <v>10</v>
      </c>
      <c r="V123" s="10">
        <v>175</v>
      </c>
      <c r="W123" s="8">
        <v>175</v>
      </c>
      <c r="X123" s="9">
        <v>175</v>
      </c>
      <c r="Y123" s="10" t="s">
        <v>10</v>
      </c>
      <c r="Z123" s="8" t="s">
        <v>10</v>
      </c>
      <c r="AA123" s="9" t="s">
        <v>10</v>
      </c>
      <c r="AB123" s="10">
        <v>140</v>
      </c>
      <c r="AC123" s="8">
        <v>140</v>
      </c>
      <c r="AD123" s="9">
        <v>140</v>
      </c>
    </row>
    <row r="124" spans="1:30" x14ac:dyDescent="0.35">
      <c r="A124" s="2">
        <v>2012</v>
      </c>
      <c r="B124" s="2">
        <v>2</v>
      </c>
      <c r="C124" s="2">
        <v>4</v>
      </c>
      <c r="D124" s="6" t="s">
        <v>10</v>
      </c>
      <c r="E124" s="6" t="s">
        <v>10</v>
      </c>
      <c r="F124" s="6" t="s">
        <v>10</v>
      </c>
      <c r="G124" s="10">
        <v>40</v>
      </c>
      <c r="H124" s="8">
        <v>30</v>
      </c>
      <c r="I124" s="9">
        <v>35</v>
      </c>
      <c r="J124" s="12" t="s">
        <v>10</v>
      </c>
      <c r="K124" s="6" t="s">
        <v>10</v>
      </c>
      <c r="L124" s="6" t="s">
        <v>10</v>
      </c>
      <c r="M124" s="12" t="s">
        <v>10</v>
      </c>
      <c r="N124" s="6" t="s">
        <v>10</v>
      </c>
      <c r="O124" s="7" t="s">
        <v>10</v>
      </c>
      <c r="P124" s="10">
        <v>195</v>
      </c>
      <c r="Q124" s="8">
        <v>187.5</v>
      </c>
      <c r="R124" s="9">
        <v>191.5</v>
      </c>
      <c r="S124" s="8" t="s">
        <v>10</v>
      </c>
      <c r="T124" s="8" t="s">
        <v>10</v>
      </c>
      <c r="U124" s="9" t="s">
        <v>10</v>
      </c>
      <c r="V124" s="10">
        <v>187.5</v>
      </c>
      <c r="W124" s="8">
        <v>175</v>
      </c>
      <c r="X124" s="9">
        <v>181.25</v>
      </c>
      <c r="Y124" s="10" t="s">
        <v>10</v>
      </c>
      <c r="Z124" s="8" t="s">
        <v>10</v>
      </c>
      <c r="AA124" s="9" t="s">
        <v>10</v>
      </c>
      <c r="AB124" s="10">
        <v>170</v>
      </c>
      <c r="AC124" s="8">
        <v>170</v>
      </c>
      <c r="AD124" s="9">
        <v>170</v>
      </c>
    </row>
    <row r="125" spans="1:30" x14ac:dyDescent="0.35">
      <c r="A125" s="2">
        <v>2012</v>
      </c>
      <c r="B125" s="2">
        <v>2</v>
      </c>
      <c r="C125" s="2">
        <v>5</v>
      </c>
      <c r="D125" s="6" t="s">
        <v>10</v>
      </c>
      <c r="E125" s="6" t="s">
        <v>10</v>
      </c>
      <c r="F125" s="6" t="s">
        <v>10</v>
      </c>
      <c r="G125" s="10">
        <v>42</v>
      </c>
      <c r="H125" s="8">
        <v>32</v>
      </c>
      <c r="I125" s="9">
        <v>37</v>
      </c>
      <c r="J125" s="12" t="s">
        <v>10</v>
      </c>
      <c r="K125" s="6" t="s">
        <v>10</v>
      </c>
      <c r="L125" s="6" t="s">
        <v>10</v>
      </c>
      <c r="M125" s="12" t="s">
        <v>10</v>
      </c>
      <c r="N125" s="6" t="s">
        <v>10</v>
      </c>
      <c r="O125" s="7" t="s">
        <v>10</v>
      </c>
      <c r="P125" s="10">
        <v>205</v>
      </c>
      <c r="Q125" s="8">
        <v>195</v>
      </c>
      <c r="R125" s="9">
        <v>200</v>
      </c>
      <c r="S125" s="8" t="s">
        <v>10</v>
      </c>
      <c r="T125" s="8" t="s">
        <v>10</v>
      </c>
      <c r="U125" s="9" t="s">
        <v>10</v>
      </c>
      <c r="V125" s="10">
        <v>225</v>
      </c>
      <c r="W125" s="8">
        <v>198</v>
      </c>
      <c r="X125" s="9">
        <v>212</v>
      </c>
      <c r="Y125" s="10" t="s">
        <v>10</v>
      </c>
      <c r="Z125" s="8" t="s">
        <v>10</v>
      </c>
      <c r="AA125" s="9" t="s">
        <v>10</v>
      </c>
      <c r="AB125" s="10">
        <v>218</v>
      </c>
      <c r="AC125" s="8">
        <v>210</v>
      </c>
      <c r="AD125" s="9">
        <v>214</v>
      </c>
    </row>
    <row r="126" spans="1:30" x14ac:dyDescent="0.35">
      <c r="A126" s="2">
        <v>2012</v>
      </c>
      <c r="B126" s="2">
        <v>2</v>
      </c>
      <c r="C126" s="2">
        <v>6</v>
      </c>
      <c r="D126" s="6" t="s">
        <v>10</v>
      </c>
      <c r="E126" s="6" t="s">
        <v>10</v>
      </c>
      <c r="F126" s="6" t="s">
        <v>10</v>
      </c>
      <c r="G126" s="10">
        <v>55</v>
      </c>
      <c r="H126" s="8">
        <v>45</v>
      </c>
      <c r="I126" s="9">
        <v>50</v>
      </c>
      <c r="J126" s="12" t="s">
        <v>10</v>
      </c>
      <c r="K126" s="6" t="s">
        <v>10</v>
      </c>
      <c r="L126" s="6" t="s">
        <v>10</v>
      </c>
      <c r="M126" s="12" t="s">
        <v>10</v>
      </c>
      <c r="N126" s="6" t="s">
        <v>10</v>
      </c>
      <c r="O126" s="7" t="s">
        <v>10</v>
      </c>
      <c r="P126" s="10">
        <v>192.5</v>
      </c>
      <c r="Q126" s="8">
        <v>182.5</v>
      </c>
      <c r="R126" s="9">
        <v>187.5</v>
      </c>
      <c r="S126" s="8" t="s">
        <v>10</v>
      </c>
      <c r="T126" s="8" t="s">
        <v>10</v>
      </c>
      <c r="U126" s="9" t="s">
        <v>10</v>
      </c>
      <c r="V126" s="10">
        <v>225</v>
      </c>
      <c r="W126" s="8">
        <v>198</v>
      </c>
      <c r="X126" s="9">
        <v>212</v>
      </c>
      <c r="Y126" s="10" t="s">
        <v>10</v>
      </c>
      <c r="Z126" s="8" t="s">
        <v>10</v>
      </c>
      <c r="AA126" s="9" t="s">
        <v>10</v>
      </c>
      <c r="AB126" s="10">
        <v>227.5</v>
      </c>
      <c r="AC126" s="8">
        <v>218.75</v>
      </c>
      <c r="AD126" s="9">
        <v>223.25</v>
      </c>
    </row>
    <row r="127" spans="1:30" x14ac:dyDescent="0.35">
      <c r="A127" s="2">
        <v>2012</v>
      </c>
      <c r="B127" s="2">
        <v>3</v>
      </c>
      <c r="C127" s="2">
        <v>7</v>
      </c>
      <c r="D127" s="6">
        <v>42.5</v>
      </c>
      <c r="E127" s="6">
        <v>35</v>
      </c>
      <c r="F127" s="6">
        <v>39</v>
      </c>
      <c r="G127" s="10">
        <v>55</v>
      </c>
      <c r="H127" s="8">
        <v>45</v>
      </c>
      <c r="I127" s="9">
        <v>50</v>
      </c>
      <c r="J127" s="12" t="s">
        <v>10</v>
      </c>
      <c r="K127" s="6" t="s">
        <v>10</v>
      </c>
      <c r="L127" s="6" t="s">
        <v>10</v>
      </c>
      <c r="M127" s="12" t="s">
        <v>10</v>
      </c>
      <c r="N127" s="6" t="s">
        <v>10</v>
      </c>
      <c r="O127" s="7" t="s">
        <v>10</v>
      </c>
      <c r="P127" s="10">
        <v>181.25</v>
      </c>
      <c r="Q127" s="8">
        <v>171.25</v>
      </c>
      <c r="R127" s="9">
        <v>176.25</v>
      </c>
      <c r="S127" s="8" t="s">
        <v>10</v>
      </c>
      <c r="T127" s="8" t="s">
        <v>10</v>
      </c>
      <c r="U127" s="9" t="s">
        <v>10</v>
      </c>
      <c r="V127" s="10">
        <v>221.25</v>
      </c>
      <c r="W127" s="8">
        <v>196</v>
      </c>
      <c r="X127" s="9">
        <v>209</v>
      </c>
      <c r="Y127" s="10" t="s">
        <v>10</v>
      </c>
      <c r="Z127" s="8" t="s">
        <v>10</v>
      </c>
      <c r="AA127" s="9" t="s">
        <v>10</v>
      </c>
      <c r="AB127" s="10">
        <v>211.25</v>
      </c>
      <c r="AC127" s="8">
        <v>206.25</v>
      </c>
      <c r="AD127" s="9">
        <v>209.25</v>
      </c>
    </row>
    <row r="128" spans="1:30" x14ac:dyDescent="0.35">
      <c r="A128" s="2">
        <v>2012</v>
      </c>
      <c r="B128" s="2">
        <v>3</v>
      </c>
      <c r="C128" s="2">
        <v>8</v>
      </c>
      <c r="D128" s="6">
        <v>48</v>
      </c>
      <c r="E128" s="6">
        <v>38</v>
      </c>
      <c r="F128" s="6">
        <v>43</v>
      </c>
      <c r="G128" s="10">
        <v>54</v>
      </c>
      <c r="H128" s="8">
        <v>48</v>
      </c>
      <c r="I128" s="9">
        <v>51.4</v>
      </c>
      <c r="J128" s="12" t="s">
        <v>10</v>
      </c>
      <c r="K128" s="6" t="s">
        <v>10</v>
      </c>
      <c r="L128" s="6" t="s">
        <v>10</v>
      </c>
      <c r="M128" s="12" t="s">
        <v>10</v>
      </c>
      <c r="N128" s="6" t="s">
        <v>10</v>
      </c>
      <c r="O128" s="7" t="s">
        <v>10</v>
      </c>
      <c r="P128" s="10">
        <v>183</v>
      </c>
      <c r="Q128" s="8">
        <v>172</v>
      </c>
      <c r="R128" s="9">
        <v>177.6</v>
      </c>
      <c r="S128" s="8" t="s">
        <v>10</v>
      </c>
      <c r="T128" s="8" t="s">
        <v>10</v>
      </c>
      <c r="U128" s="9" t="s">
        <v>10</v>
      </c>
      <c r="V128" s="10">
        <v>210</v>
      </c>
      <c r="W128" s="8">
        <v>190</v>
      </c>
      <c r="X128" s="9">
        <v>200</v>
      </c>
      <c r="Y128" s="10" t="s">
        <v>10</v>
      </c>
      <c r="Z128" s="8" t="s">
        <v>10</v>
      </c>
      <c r="AA128" s="9" t="s">
        <v>10</v>
      </c>
      <c r="AB128" s="10">
        <v>185</v>
      </c>
      <c r="AC128" s="8">
        <v>180</v>
      </c>
      <c r="AD128" s="9">
        <v>183</v>
      </c>
    </row>
    <row r="129" spans="1:30" x14ac:dyDescent="0.35">
      <c r="A129" s="2">
        <v>2012</v>
      </c>
      <c r="B129" s="2">
        <v>3</v>
      </c>
      <c r="C129" s="2">
        <v>9</v>
      </c>
      <c r="D129" s="6">
        <v>50</v>
      </c>
      <c r="E129" s="6">
        <v>40</v>
      </c>
      <c r="F129" s="6">
        <v>45</v>
      </c>
      <c r="G129" s="10">
        <v>55</v>
      </c>
      <c r="H129" s="8">
        <v>50</v>
      </c>
      <c r="I129" s="9">
        <v>53</v>
      </c>
      <c r="J129" s="12" t="s">
        <v>10</v>
      </c>
      <c r="K129" s="6" t="s">
        <v>10</v>
      </c>
      <c r="L129" s="6" t="s">
        <v>10</v>
      </c>
      <c r="M129" s="12" t="s">
        <v>10</v>
      </c>
      <c r="N129" s="6" t="s">
        <v>10</v>
      </c>
      <c r="O129" s="7" t="s">
        <v>10</v>
      </c>
      <c r="P129" s="10">
        <v>192.5</v>
      </c>
      <c r="Q129" s="8">
        <v>180</v>
      </c>
      <c r="R129" s="9">
        <v>186.5</v>
      </c>
      <c r="S129" s="8" t="s">
        <v>10</v>
      </c>
      <c r="T129" s="8" t="s">
        <v>10</v>
      </c>
      <c r="U129" s="9" t="s">
        <v>10</v>
      </c>
      <c r="V129" s="10">
        <v>210</v>
      </c>
      <c r="W129" s="8">
        <v>190</v>
      </c>
      <c r="X129" s="9">
        <v>200</v>
      </c>
      <c r="Y129" s="10" t="s">
        <v>10</v>
      </c>
      <c r="Z129" s="8" t="s">
        <v>10</v>
      </c>
      <c r="AA129" s="9" t="s">
        <v>10</v>
      </c>
      <c r="AB129" s="10">
        <v>185</v>
      </c>
      <c r="AC129" s="8">
        <v>180</v>
      </c>
      <c r="AD129" s="9">
        <v>183</v>
      </c>
    </row>
    <row r="130" spans="1:30" x14ac:dyDescent="0.35">
      <c r="A130" s="2">
        <v>2012</v>
      </c>
      <c r="B130" s="2">
        <v>4</v>
      </c>
      <c r="C130" s="2">
        <v>10</v>
      </c>
      <c r="D130" s="6">
        <v>42.5</v>
      </c>
      <c r="E130" s="6">
        <v>33.75</v>
      </c>
      <c r="F130" s="6">
        <v>38.25</v>
      </c>
      <c r="G130" s="10">
        <v>58.75</v>
      </c>
      <c r="H130" s="8">
        <v>53.75</v>
      </c>
      <c r="I130" s="9">
        <v>56.75</v>
      </c>
      <c r="J130" s="12" t="s">
        <v>10</v>
      </c>
      <c r="K130" s="6" t="s">
        <v>10</v>
      </c>
      <c r="L130" s="6" t="s">
        <v>10</v>
      </c>
      <c r="M130" s="12" t="s">
        <v>10</v>
      </c>
      <c r="N130" s="6" t="s">
        <v>10</v>
      </c>
      <c r="O130" s="7" t="s">
        <v>10</v>
      </c>
      <c r="P130" s="10">
        <v>177.5</v>
      </c>
      <c r="Q130" s="8">
        <v>163.75</v>
      </c>
      <c r="R130" s="9">
        <v>170.75</v>
      </c>
      <c r="S130" s="8" t="s">
        <v>10</v>
      </c>
      <c r="T130" s="8" t="s">
        <v>10</v>
      </c>
      <c r="U130" s="9" t="s">
        <v>10</v>
      </c>
      <c r="V130" s="10">
        <v>210</v>
      </c>
      <c r="W130" s="8">
        <v>190</v>
      </c>
      <c r="X130" s="9">
        <v>200</v>
      </c>
      <c r="Y130" s="10" t="s">
        <v>10</v>
      </c>
      <c r="Z130" s="8" t="s">
        <v>10</v>
      </c>
      <c r="AA130" s="9" t="s">
        <v>10</v>
      </c>
      <c r="AB130" s="10">
        <v>185</v>
      </c>
      <c r="AC130" s="8">
        <v>180</v>
      </c>
      <c r="AD130" s="9">
        <v>183</v>
      </c>
    </row>
    <row r="131" spans="1:30" x14ac:dyDescent="0.35">
      <c r="A131" s="2">
        <v>2012</v>
      </c>
      <c r="B131" s="2">
        <v>4</v>
      </c>
      <c r="C131" s="2">
        <v>11</v>
      </c>
      <c r="D131" s="6">
        <v>20</v>
      </c>
      <c r="E131" s="6">
        <v>15</v>
      </c>
      <c r="F131" s="6">
        <v>18</v>
      </c>
      <c r="G131" s="10">
        <v>56</v>
      </c>
      <c r="H131" s="8">
        <v>50</v>
      </c>
      <c r="I131" s="9">
        <v>53.4</v>
      </c>
      <c r="J131" s="12" t="s">
        <v>10</v>
      </c>
      <c r="K131" s="6" t="s">
        <v>10</v>
      </c>
      <c r="L131" s="6" t="s">
        <v>10</v>
      </c>
      <c r="M131" s="12" t="s">
        <v>10</v>
      </c>
      <c r="N131" s="6" t="s">
        <v>10</v>
      </c>
      <c r="O131" s="7" t="s">
        <v>10</v>
      </c>
      <c r="P131" s="10">
        <v>156.4</v>
      </c>
      <c r="Q131" s="8">
        <v>151</v>
      </c>
      <c r="R131" s="9">
        <v>154.19999999999999</v>
      </c>
      <c r="S131" s="8" t="s">
        <v>10</v>
      </c>
      <c r="T131" s="8" t="s">
        <v>10</v>
      </c>
      <c r="U131" s="9" t="s">
        <v>10</v>
      </c>
      <c r="V131" s="10">
        <v>194</v>
      </c>
      <c r="W131" s="8">
        <v>182</v>
      </c>
      <c r="X131" s="9">
        <v>188</v>
      </c>
      <c r="Y131" s="10" t="s">
        <v>10</v>
      </c>
      <c r="Z131" s="8" t="s">
        <v>10</v>
      </c>
      <c r="AA131" s="9" t="s">
        <v>10</v>
      </c>
      <c r="AB131" s="10">
        <v>181</v>
      </c>
      <c r="AC131" s="8">
        <v>176</v>
      </c>
      <c r="AD131" s="9">
        <v>179</v>
      </c>
    </row>
    <row r="132" spans="1:30" x14ac:dyDescent="0.35">
      <c r="A132" s="2">
        <v>2012</v>
      </c>
      <c r="B132" s="2">
        <v>4</v>
      </c>
      <c r="C132" s="2">
        <v>12</v>
      </c>
      <c r="D132" s="6">
        <v>15</v>
      </c>
      <c r="E132" s="6">
        <v>5</v>
      </c>
      <c r="F132" s="6">
        <v>10</v>
      </c>
      <c r="G132" s="10">
        <v>45</v>
      </c>
      <c r="H132" s="8">
        <v>40</v>
      </c>
      <c r="I132" s="9">
        <v>43</v>
      </c>
      <c r="J132" s="12" t="s">
        <v>10</v>
      </c>
      <c r="K132" s="6" t="s">
        <v>10</v>
      </c>
      <c r="L132" s="6" t="s">
        <v>10</v>
      </c>
      <c r="M132" s="12" t="s">
        <v>10</v>
      </c>
      <c r="N132" s="6" t="s">
        <v>10</v>
      </c>
      <c r="O132" s="7" t="s">
        <v>10</v>
      </c>
      <c r="P132" s="10">
        <v>150</v>
      </c>
      <c r="Q132" s="8">
        <v>142.75</v>
      </c>
      <c r="R132" s="9">
        <v>146.5</v>
      </c>
      <c r="S132" s="8" t="s">
        <v>10</v>
      </c>
      <c r="T132" s="8" t="s">
        <v>10</v>
      </c>
      <c r="U132" s="9" t="s">
        <v>10</v>
      </c>
      <c r="V132" s="10">
        <v>190</v>
      </c>
      <c r="W132" s="8">
        <v>180</v>
      </c>
      <c r="X132" s="9">
        <v>185</v>
      </c>
      <c r="Y132" s="10" t="s">
        <v>10</v>
      </c>
      <c r="Z132" s="8" t="s">
        <v>10</v>
      </c>
      <c r="AA132" s="9" t="s">
        <v>10</v>
      </c>
      <c r="AB132" s="10">
        <v>165</v>
      </c>
      <c r="AC132" s="8">
        <v>155</v>
      </c>
      <c r="AD132" s="9">
        <v>160</v>
      </c>
    </row>
    <row r="133" spans="1:30" x14ac:dyDescent="0.35">
      <c r="A133" s="2">
        <v>2013</v>
      </c>
      <c r="B133" s="2">
        <v>1</v>
      </c>
      <c r="C133" s="2">
        <v>1</v>
      </c>
      <c r="D133" s="6">
        <v>11</v>
      </c>
      <c r="E133" s="6">
        <v>3</v>
      </c>
      <c r="F133" s="6">
        <v>7.2</v>
      </c>
      <c r="G133" s="10">
        <v>30</v>
      </c>
      <c r="H133" s="8">
        <v>22</v>
      </c>
      <c r="I133" s="9">
        <v>26.2</v>
      </c>
      <c r="J133" s="12" t="s">
        <v>10</v>
      </c>
      <c r="K133" s="6" t="s">
        <v>10</v>
      </c>
      <c r="L133" s="6" t="s">
        <v>10</v>
      </c>
      <c r="M133" s="12" t="s">
        <v>10</v>
      </c>
      <c r="N133" s="6" t="s">
        <v>10</v>
      </c>
      <c r="O133" s="7" t="s">
        <v>10</v>
      </c>
      <c r="P133" s="10">
        <v>147</v>
      </c>
      <c r="Q133" s="8">
        <v>142.6</v>
      </c>
      <c r="R133" s="9">
        <v>145.19999999999999</v>
      </c>
      <c r="S133" s="8" t="s">
        <v>10</v>
      </c>
      <c r="T133" s="8" t="s">
        <v>10</v>
      </c>
      <c r="U133" s="9" t="s">
        <v>10</v>
      </c>
      <c r="V133" s="10">
        <v>165</v>
      </c>
      <c r="W133" s="8">
        <v>156</v>
      </c>
      <c r="X133" s="9">
        <v>160.80000000000001</v>
      </c>
      <c r="Y133" s="10" t="s">
        <v>10</v>
      </c>
      <c r="Z133" s="8" t="s">
        <v>10</v>
      </c>
      <c r="AA133" s="9" t="s">
        <v>10</v>
      </c>
      <c r="AB133" s="10">
        <v>165</v>
      </c>
      <c r="AC133" s="8">
        <v>155</v>
      </c>
      <c r="AD133" s="9">
        <v>160</v>
      </c>
    </row>
    <row r="134" spans="1:30" x14ac:dyDescent="0.35">
      <c r="A134" s="2">
        <v>2013</v>
      </c>
      <c r="B134" s="2">
        <v>1</v>
      </c>
      <c r="C134" s="2">
        <v>2</v>
      </c>
      <c r="D134" s="6">
        <v>5</v>
      </c>
      <c r="E134" s="6">
        <v>0</v>
      </c>
      <c r="F134" s="6">
        <v>3</v>
      </c>
      <c r="G134" s="10">
        <v>18.75</v>
      </c>
      <c r="H134" s="8">
        <v>8.75</v>
      </c>
      <c r="I134" s="9">
        <v>13.75</v>
      </c>
      <c r="J134" s="12" t="s">
        <v>10</v>
      </c>
      <c r="K134" s="6" t="s">
        <v>10</v>
      </c>
      <c r="L134" s="6" t="s">
        <v>10</v>
      </c>
      <c r="M134" s="12" t="s">
        <v>10</v>
      </c>
      <c r="N134" s="6" t="s">
        <v>10</v>
      </c>
      <c r="O134" s="7" t="s">
        <v>10</v>
      </c>
      <c r="P134" s="10">
        <v>151.5</v>
      </c>
      <c r="Q134" s="8">
        <v>146</v>
      </c>
      <c r="R134" s="9">
        <v>149</v>
      </c>
      <c r="S134" s="8" t="s">
        <v>10</v>
      </c>
      <c r="T134" s="8" t="s">
        <v>10</v>
      </c>
      <c r="U134" s="9" t="s">
        <v>10</v>
      </c>
      <c r="V134" s="10">
        <v>155</v>
      </c>
      <c r="W134" s="8">
        <v>135</v>
      </c>
      <c r="X134" s="9">
        <v>145</v>
      </c>
      <c r="Y134" s="10" t="s">
        <v>10</v>
      </c>
      <c r="Z134" s="8" t="s">
        <v>10</v>
      </c>
      <c r="AA134" s="9" t="s">
        <v>10</v>
      </c>
      <c r="AB134" s="10">
        <v>165</v>
      </c>
      <c r="AC134" s="8">
        <v>155</v>
      </c>
      <c r="AD134" s="9">
        <v>160</v>
      </c>
    </row>
    <row r="135" spans="1:30" x14ac:dyDescent="0.35">
      <c r="A135" s="2">
        <v>2013</v>
      </c>
      <c r="B135" s="2">
        <v>1</v>
      </c>
      <c r="C135" s="2">
        <v>3</v>
      </c>
      <c r="D135" s="6">
        <v>5</v>
      </c>
      <c r="E135" s="6">
        <v>0</v>
      </c>
      <c r="F135" s="6">
        <v>3</v>
      </c>
      <c r="G135" s="10">
        <v>15</v>
      </c>
      <c r="H135" s="8">
        <v>5</v>
      </c>
      <c r="I135" s="9">
        <v>10</v>
      </c>
      <c r="J135" s="12" t="s">
        <v>10</v>
      </c>
      <c r="K135" s="6" t="s">
        <v>10</v>
      </c>
      <c r="L135" s="6" t="s">
        <v>10</v>
      </c>
      <c r="M135" s="12" t="s">
        <v>10</v>
      </c>
      <c r="N135" s="6" t="s">
        <v>10</v>
      </c>
      <c r="O135" s="7" t="s">
        <v>10</v>
      </c>
      <c r="P135" s="10">
        <v>152.75</v>
      </c>
      <c r="Q135" s="8">
        <v>146.75</v>
      </c>
      <c r="R135" s="9">
        <v>150</v>
      </c>
      <c r="S135" s="8" t="s">
        <v>10</v>
      </c>
      <c r="T135" s="8" t="s">
        <v>10</v>
      </c>
      <c r="U135" s="9" t="s">
        <v>10</v>
      </c>
      <c r="V135" s="10">
        <v>155</v>
      </c>
      <c r="W135" s="8">
        <v>135</v>
      </c>
      <c r="X135" s="9">
        <v>145</v>
      </c>
      <c r="Y135" s="10" t="s">
        <v>10</v>
      </c>
      <c r="Z135" s="8" t="s">
        <v>10</v>
      </c>
      <c r="AA135" s="9" t="s">
        <v>10</v>
      </c>
      <c r="AB135" s="10">
        <v>165</v>
      </c>
      <c r="AC135" s="8">
        <v>155</v>
      </c>
      <c r="AD135" s="9">
        <v>160</v>
      </c>
    </row>
    <row r="136" spans="1:30" x14ac:dyDescent="0.35">
      <c r="A136" s="2">
        <v>2013</v>
      </c>
      <c r="B136" s="2">
        <v>2</v>
      </c>
      <c r="C136" s="2">
        <v>4</v>
      </c>
      <c r="D136" s="6">
        <v>5</v>
      </c>
      <c r="E136" s="6">
        <v>0</v>
      </c>
      <c r="F136" s="6">
        <v>3</v>
      </c>
      <c r="G136" s="10">
        <v>15</v>
      </c>
      <c r="H136" s="8">
        <v>5</v>
      </c>
      <c r="I136" s="9">
        <v>10</v>
      </c>
      <c r="J136" s="12" t="s">
        <v>10</v>
      </c>
      <c r="K136" s="6" t="s">
        <v>10</v>
      </c>
      <c r="L136" s="6" t="s">
        <v>10</v>
      </c>
      <c r="M136" s="12" t="s">
        <v>10</v>
      </c>
      <c r="N136" s="6" t="s">
        <v>10</v>
      </c>
      <c r="O136" s="7" t="s">
        <v>10</v>
      </c>
      <c r="P136" s="10">
        <v>152</v>
      </c>
      <c r="Q136" s="8">
        <v>149</v>
      </c>
      <c r="R136" s="9">
        <v>151</v>
      </c>
      <c r="S136" s="8" t="s">
        <v>10</v>
      </c>
      <c r="T136" s="8" t="s">
        <v>10</v>
      </c>
      <c r="U136" s="9" t="s">
        <v>10</v>
      </c>
      <c r="V136" s="10">
        <v>155</v>
      </c>
      <c r="W136" s="8">
        <v>135</v>
      </c>
      <c r="X136" s="9">
        <v>145</v>
      </c>
      <c r="Y136" s="10" t="s">
        <v>10</v>
      </c>
      <c r="Z136" s="8" t="s">
        <v>10</v>
      </c>
      <c r="AA136" s="9" t="s">
        <v>10</v>
      </c>
      <c r="AB136" s="10">
        <v>165</v>
      </c>
      <c r="AC136" s="8">
        <v>155</v>
      </c>
      <c r="AD136" s="9">
        <v>160</v>
      </c>
    </row>
    <row r="137" spans="1:30" x14ac:dyDescent="0.35">
      <c r="A137" s="2">
        <v>2013</v>
      </c>
      <c r="B137" s="2">
        <v>2</v>
      </c>
      <c r="C137" s="2">
        <v>5</v>
      </c>
      <c r="D137" s="6">
        <v>13</v>
      </c>
      <c r="E137" s="6">
        <v>4</v>
      </c>
      <c r="F137" s="6">
        <v>8.6</v>
      </c>
      <c r="G137" s="10">
        <v>15</v>
      </c>
      <c r="H137" s="8">
        <v>5</v>
      </c>
      <c r="I137" s="9">
        <v>10</v>
      </c>
      <c r="J137" s="12" t="s">
        <v>10</v>
      </c>
      <c r="K137" s="6" t="s">
        <v>10</v>
      </c>
      <c r="L137" s="6" t="s">
        <v>10</v>
      </c>
      <c r="M137" s="12" t="s">
        <v>10</v>
      </c>
      <c r="N137" s="6" t="s">
        <v>10</v>
      </c>
      <c r="O137" s="7" t="s">
        <v>10</v>
      </c>
      <c r="P137" s="10">
        <v>143.4</v>
      </c>
      <c r="Q137" s="8">
        <v>137.19999999999999</v>
      </c>
      <c r="R137" s="9">
        <v>140.6</v>
      </c>
      <c r="S137" s="8" t="s">
        <v>10</v>
      </c>
      <c r="T137" s="8" t="s">
        <v>10</v>
      </c>
      <c r="U137" s="9" t="s">
        <v>10</v>
      </c>
      <c r="V137" s="10">
        <v>155</v>
      </c>
      <c r="W137" s="8">
        <v>135</v>
      </c>
      <c r="X137" s="9">
        <v>145</v>
      </c>
      <c r="Y137" s="10" t="s">
        <v>10</v>
      </c>
      <c r="Z137" s="8" t="s">
        <v>10</v>
      </c>
      <c r="AA137" s="9" t="s">
        <v>10</v>
      </c>
      <c r="AB137" s="10">
        <v>159</v>
      </c>
      <c r="AC137" s="8">
        <v>149</v>
      </c>
      <c r="AD137" s="9">
        <v>154</v>
      </c>
    </row>
    <row r="138" spans="1:30" x14ac:dyDescent="0.35">
      <c r="A138" s="2">
        <v>2013</v>
      </c>
      <c r="B138" s="2">
        <v>2</v>
      </c>
      <c r="C138" s="2">
        <v>6</v>
      </c>
      <c r="D138" s="6">
        <v>5</v>
      </c>
      <c r="E138" s="6">
        <v>0</v>
      </c>
      <c r="F138" s="6">
        <v>3</v>
      </c>
      <c r="G138" s="10">
        <v>16.25</v>
      </c>
      <c r="H138" s="8">
        <v>10</v>
      </c>
      <c r="I138" s="9">
        <v>13.5</v>
      </c>
      <c r="J138" s="12" t="s">
        <v>10</v>
      </c>
      <c r="K138" s="6" t="s">
        <v>10</v>
      </c>
      <c r="L138" s="6" t="s">
        <v>10</v>
      </c>
      <c r="M138" s="12" t="s">
        <v>10</v>
      </c>
      <c r="N138" s="6" t="s">
        <v>10</v>
      </c>
      <c r="O138" s="7" t="s">
        <v>10</v>
      </c>
      <c r="P138" s="10">
        <v>119</v>
      </c>
      <c r="Q138" s="8">
        <v>105</v>
      </c>
      <c r="R138" s="9">
        <v>112.25</v>
      </c>
      <c r="S138" s="8" t="s">
        <v>10</v>
      </c>
      <c r="T138" s="8" t="s">
        <v>10</v>
      </c>
      <c r="U138" s="9" t="s">
        <v>10</v>
      </c>
      <c r="V138" s="10">
        <v>155</v>
      </c>
      <c r="W138" s="8">
        <v>135</v>
      </c>
      <c r="X138" s="9">
        <v>145</v>
      </c>
      <c r="Y138" s="10" t="s">
        <v>10</v>
      </c>
      <c r="Z138" s="8" t="s">
        <v>10</v>
      </c>
      <c r="AA138" s="9" t="s">
        <v>10</v>
      </c>
      <c r="AB138" s="10">
        <v>150</v>
      </c>
      <c r="AC138" s="8">
        <v>140</v>
      </c>
      <c r="AD138" s="9">
        <v>145</v>
      </c>
    </row>
    <row r="139" spans="1:30" x14ac:dyDescent="0.35">
      <c r="A139" s="2">
        <v>2013</v>
      </c>
      <c r="B139" s="2">
        <v>3</v>
      </c>
      <c r="C139" s="2">
        <v>7</v>
      </c>
      <c r="D139" s="6">
        <v>5</v>
      </c>
      <c r="E139" s="6">
        <v>0</v>
      </c>
      <c r="F139" s="6">
        <v>3</v>
      </c>
      <c r="G139" s="10">
        <v>20</v>
      </c>
      <c r="H139" s="8">
        <v>15</v>
      </c>
      <c r="I139" s="9">
        <v>18</v>
      </c>
      <c r="J139" s="12" t="s">
        <v>10</v>
      </c>
      <c r="K139" s="6" t="s">
        <v>10</v>
      </c>
      <c r="L139" s="6" t="s">
        <v>10</v>
      </c>
      <c r="M139" s="12" t="s">
        <v>10</v>
      </c>
      <c r="N139" s="6" t="s">
        <v>10</v>
      </c>
      <c r="O139" s="7" t="s">
        <v>10</v>
      </c>
      <c r="P139" s="10">
        <v>70.75</v>
      </c>
      <c r="Q139" s="8">
        <v>63.75</v>
      </c>
      <c r="R139" s="9">
        <v>67.5</v>
      </c>
      <c r="S139" s="8" t="s">
        <v>10</v>
      </c>
      <c r="T139" s="8" t="s">
        <v>10</v>
      </c>
      <c r="U139" s="9" t="s">
        <v>10</v>
      </c>
      <c r="V139" s="10">
        <v>125</v>
      </c>
      <c r="W139" s="8">
        <v>108.75</v>
      </c>
      <c r="X139" s="9">
        <v>117.25</v>
      </c>
      <c r="Y139" s="10" t="s">
        <v>10</v>
      </c>
      <c r="Z139" s="8" t="s">
        <v>10</v>
      </c>
      <c r="AA139" s="9" t="s">
        <v>10</v>
      </c>
      <c r="AB139" s="10">
        <v>135</v>
      </c>
      <c r="AC139" s="8">
        <v>123.75</v>
      </c>
      <c r="AD139" s="9">
        <v>129.5</v>
      </c>
    </row>
    <row r="140" spans="1:30" x14ac:dyDescent="0.35">
      <c r="A140" s="2">
        <v>2013</v>
      </c>
      <c r="B140" s="2">
        <v>3</v>
      </c>
      <c r="C140" s="2">
        <v>8</v>
      </c>
      <c r="D140" s="6">
        <v>5</v>
      </c>
      <c r="E140" s="6">
        <v>0</v>
      </c>
      <c r="F140" s="6">
        <v>3</v>
      </c>
      <c r="G140" s="10">
        <v>20</v>
      </c>
      <c r="H140" s="8">
        <v>15</v>
      </c>
      <c r="I140" s="9">
        <v>18</v>
      </c>
      <c r="J140" s="12" t="s">
        <v>10</v>
      </c>
      <c r="K140" s="6" t="s">
        <v>10</v>
      </c>
      <c r="L140" s="6" t="s">
        <v>10</v>
      </c>
      <c r="M140" s="12" t="s">
        <v>10</v>
      </c>
      <c r="N140" s="6" t="s">
        <v>10</v>
      </c>
      <c r="O140" s="7" t="s">
        <v>10</v>
      </c>
      <c r="P140" s="10">
        <v>69</v>
      </c>
      <c r="Q140" s="8">
        <v>59</v>
      </c>
      <c r="R140" s="9">
        <v>64</v>
      </c>
      <c r="S140" s="8" t="s">
        <v>10</v>
      </c>
      <c r="T140" s="8" t="s">
        <v>10</v>
      </c>
      <c r="U140" s="9" t="s">
        <v>10</v>
      </c>
      <c r="V140" s="10">
        <v>115</v>
      </c>
      <c r="W140" s="8">
        <v>100</v>
      </c>
      <c r="X140" s="9">
        <v>108</v>
      </c>
      <c r="Y140" s="10" t="s">
        <v>10</v>
      </c>
      <c r="Z140" s="8" t="s">
        <v>10</v>
      </c>
      <c r="AA140" s="9" t="s">
        <v>10</v>
      </c>
      <c r="AB140" s="10">
        <v>90</v>
      </c>
      <c r="AC140" s="8">
        <v>75</v>
      </c>
      <c r="AD140" s="9">
        <v>83</v>
      </c>
    </row>
    <row r="141" spans="1:30" x14ac:dyDescent="0.35">
      <c r="A141" s="2">
        <v>2013</v>
      </c>
      <c r="B141" s="2">
        <v>3</v>
      </c>
      <c r="C141" s="2">
        <v>9</v>
      </c>
      <c r="D141" s="6">
        <v>5</v>
      </c>
      <c r="E141" s="6">
        <v>0</v>
      </c>
      <c r="F141" s="6">
        <v>3</v>
      </c>
      <c r="G141" s="10">
        <v>20</v>
      </c>
      <c r="H141" s="8">
        <v>15</v>
      </c>
      <c r="I141" s="9">
        <v>18</v>
      </c>
      <c r="J141" s="12" t="s">
        <v>10</v>
      </c>
      <c r="K141" s="6" t="s">
        <v>10</v>
      </c>
      <c r="L141" s="6" t="s">
        <v>10</v>
      </c>
      <c r="M141" s="12" t="s">
        <v>10</v>
      </c>
      <c r="N141" s="6" t="s">
        <v>10</v>
      </c>
      <c r="O141" s="7" t="s">
        <v>10</v>
      </c>
      <c r="P141" s="10">
        <v>71.25</v>
      </c>
      <c r="Q141" s="8">
        <v>64.5</v>
      </c>
      <c r="R141" s="9">
        <v>68</v>
      </c>
      <c r="S141" s="8" t="s">
        <v>10</v>
      </c>
      <c r="T141" s="8" t="s">
        <v>10</v>
      </c>
      <c r="U141" s="9" t="s">
        <v>10</v>
      </c>
      <c r="V141" s="10">
        <v>115</v>
      </c>
      <c r="W141" s="8">
        <v>100</v>
      </c>
      <c r="X141" s="9">
        <v>108</v>
      </c>
      <c r="Y141" s="10" t="s">
        <v>10</v>
      </c>
      <c r="Z141" s="8" t="s">
        <v>10</v>
      </c>
      <c r="AA141" s="9" t="s">
        <v>10</v>
      </c>
      <c r="AB141" s="10">
        <v>90</v>
      </c>
      <c r="AC141" s="8">
        <v>75</v>
      </c>
      <c r="AD141" s="9">
        <v>83</v>
      </c>
    </row>
    <row r="142" spans="1:30" x14ac:dyDescent="0.35">
      <c r="A142" s="2">
        <v>2013</v>
      </c>
      <c r="B142" s="2">
        <v>4</v>
      </c>
      <c r="C142" s="2">
        <v>10</v>
      </c>
      <c r="D142" s="6">
        <v>5</v>
      </c>
      <c r="E142" s="6">
        <v>0</v>
      </c>
      <c r="F142" s="6">
        <v>3</v>
      </c>
      <c r="G142" s="10">
        <v>12</v>
      </c>
      <c r="H142" s="8">
        <v>3</v>
      </c>
      <c r="I142" s="9">
        <v>7.6</v>
      </c>
      <c r="J142" s="12" t="s">
        <v>10</v>
      </c>
      <c r="K142" s="6" t="s">
        <v>10</v>
      </c>
      <c r="L142" s="6" t="s">
        <v>10</v>
      </c>
      <c r="M142" s="12" t="s">
        <v>10</v>
      </c>
      <c r="N142" s="6" t="s">
        <v>10</v>
      </c>
      <c r="O142" s="7" t="s">
        <v>10</v>
      </c>
      <c r="P142" s="10">
        <v>68.599999999999994</v>
      </c>
      <c r="Q142" s="8">
        <v>63.8</v>
      </c>
      <c r="R142" s="9">
        <v>66.599999999999994</v>
      </c>
      <c r="S142" s="8" t="s">
        <v>10</v>
      </c>
      <c r="T142" s="8" t="s">
        <v>10</v>
      </c>
      <c r="U142" s="9" t="s">
        <v>10</v>
      </c>
      <c r="V142" s="10">
        <v>108.6</v>
      </c>
      <c r="W142" s="8">
        <v>95</v>
      </c>
      <c r="X142" s="9">
        <v>102.2</v>
      </c>
      <c r="Y142" s="10" t="s">
        <v>10</v>
      </c>
      <c r="Z142" s="8" t="s">
        <v>10</v>
      </c>
      <c r="AA142" s="9" t="s">
        <v>10</v>
      </c>
      <c r="AB142" s="10">
        <v>90</v>
      </c>
      <c r="AC142" s="8">
        <v>75</v>
      </c>
      <c r="AD142" s="9">
        <v>83</v>
      </c>
    </row>
    <row r="143" spans="1:30" x14ac:dyDescent="0.35">
      <c r="A143" s="2">
        <v>2013</v>
      </c>
      <c r="B143" s="2">
        <v>4</v>
      </c>
      <c r="C143" s="2">
        <v>11</v>
      </c>
      <c r="D143" s="6">
        <v>5</v>
      </c>
      <c r="E143" s="6">
        <v>0</v>
      </c>
      <c r="F143" s="6">
        <v>3</v>
      </c>
      <c r="G143" s="10">
        <v>10</v>
      </c>
      <c r="H143" s="8">
        <v>-2.5</v>
      </c>
      <c r="I143" s="9">
        <v>3.75</v>
      </c>
      <c r="J143" s="12" t="s">
        <v>10</v>
      </c>
      <c r="K143" s="6" t="s">
        <v>10</v>
      </c>
      <c r="L143" s="6" t="s">
        <v>10</v>
      </c>
      <c r="M143" s="12" t="s">
        <v>10</v>
      </c>
      <c r="N143" s="6" t="s">
        <v>10</v>
      </c>
      <c r="O143" s="7" t="s">
        <v>10</v>
      </c>
      <c r="P143" s="10">
        <v>94</v>
      </c>
      <c r="Q143" s="8">
        <v>86.25</v>
      </c>
      <c r="R143" s="9">
        <v>90.25</v>
      </c>
      <c r="S143" s="8" t="s">
        <v>10</v>
      </c>
      <c r="T143" s="8" t="s">
        <v>10</v>
      </c>
      <c r="U143" s="9" t="s">
        <v>10</v>
      </c>
      <c r="V143" s="10">
        <v>83</v>
      </c>
      <c r="W143" s="8">
        <v>75</v>
      </c>
      <c r="X143" s="9">
        <v>79</v>
      </c>
      <c r="Y143" s="10" t="s">
        <v>10</v>
      </c>
      <c r="Z143" s="8" t="s">
        <v>10</v>
      </c>
      <c r="AA143" s="9" t="s">
        <v>10</v>
      </c>
      <c r="AB143" s="10">
        <v>90</v>
      </c>
      <c r="AC143" s="8">
        <v>75</v>
      </c>
      <c r="AD143" s="9">
        <v>83</v>
      </c>
    </row>
    <row r="144" spans="1:30" x14ac:dyDescent="0.35">
      <c r="A144" s="2">
        <v>2013</v>
      </c>
      <c r="B144" s="2">
        <v>4</v>
      </c>
      <c r="C144" s="2">
        <v>12</v>
      </c>
      <c r="D144" s="6">
        <v>5</v>
      </c>
      <c r="E144" s="6">
        <v>0</v>
      </c>
      <c r="F144" s="6">
        <v>3</v>
      </c>
      <c r="G144" s="10">
        <v>0</v>
      </c>
      <c r="H144" s="8">
        <v>-5</v>
      </c>
      <c r="I144" s="9">
        <v>-3</v>
      </c>
      <c r="J144" s="12" t="s">
        <v>10</v>
      </c>
      <c r="K144" s="6" t="s">
        <v>10</v>
      </c>
      <c r="L144" s="6" t="s">
        <v>10</v>
      </c>
      <c r="M144" s="12" t="s">
        <v>10</v>
      </c>
      <c r="N144" s="6" t="s">
        <v>10</v>
      </c>
      <c r="O144" s="7" t="s">
        <v>10</v>
      </c>
      <c r="P144" s="10">
        <v>122.5</v>
      </c>
      <c r="Q144" s="8">
        <v>113.75</v>
      </c>
      <c r="R144" s="9">
        <v>118.25</v>
      </c>
      <c r="S144" s="8" t="s">
        <v>10</v>
      </c>
      <c r="T144" s="8" t="s">
        <v>10</v>
      </c>
      <c r="U144" s="9" t="s">
        <v>10</v>
      </c>
      <c r="V144" s="10">
        <v>83</v>
      </c>
      <c r="W144" s="8">
        <v>75</v>
      </c>
      <c r="X144" s="9">
        <v>79</v>
      </c>
      <c r="Y144" s="10" t="s">
        <v>10</v>
      </c>
      <c r="Z144" s="8" t="s">
        <v>10</v>
      </c>
      <c r="AA144" s="9" t="s">
        <v>10</v>
      </c>
      <c r="AB144" s="10">
        <v>112.5</v>
      </c>
      <c r="AC144" s="8">
        <v>101.25</v>
      </c>
      <c r="AD144" s="9">
        <v>107</v>
      </c>
    </row>
    <row r="145" spans="1:30" x14ac:dyDescent="0.35">
      <c r="A145" s="2">
        <v>2014</v>
      </c>
      <c r="B145" s="2">
        <v>1</v>
      </c>
      <c r="C145" s="2">
        <v>1</v>
      </c>
      <c r="D145" s="6">
        <v>5</v>
      </c>
      <c r="E145" s="6">
        <v>0</v>
      </c>
      <c r="F145" s="6">
        <v>3</v>
      </c>
      <c r="G145" s="10">
        <v>0</v>
      </c>
      <c r="H145" s="8">
        <v>-5</v>
      </c>
      <c r="I145" s="9">
        <v>-3</v>
      </c>
      <c r="J145" s="12" t="s">
        <v>10</v>
      </c>
      <c r="K145" s="6" t="s">
        <v>10</v>
      </c>
      <c r="L145" s="6" t="s">
        <v>10</v>
      </c>
      <c r="M145" s="12" t="s">
        <v>10</v>
      </c>
      <c r="N145" s="6" t="s">
        <v>10</v>
      </c>
      <c r="O145" s="7" t="s">
        <v>10</v>
      </c>
      <c r="P145" s="10">
        <v>148</v>
      </c>
      <c r="Q145" s="8">
        <v>140</v>
      </c>
      <c r="R145" s="9">
        <v>144.19999999999999</v>
      </c>
      <c r="S145" s="8" t="s">
        <v>10</v>
      </c>
      <c r="T145" s="8" t="s">
        <v>10</v>
      </c>
      <c r="U145" s="9" t="s">
        <v>10</v>
      </c>
      <c r="V145" s="10">
        <v>83</v>
      </c>
      <c r="W145" s="8">
        <v>75</v>
      </c>
      <c r="X145" s="9">
        <v>79</v>
      </c>
      <c r="Y145" s="10" t="s">
        <v>10</v>
      </c>
      <c r="Z145" s="8" t="s">
        <v>10</v>
      </c>
      <c r="AA145" s="9" t="s">
        <v>10</v>
      </c>
      <c r="AB145" s="10">
        <v>120</v>
      </c>
      <c r="AC145" s="8">
        <v>110</v>
      </c>
      <c r="AD145" s="9">
        <v>115</v>
      </c>
    </row>
    <row r="146" spans="1:30" x14ac:dyDescent="0.35">
      <c r="A146" s="2">
        <v>2014</v>
      </c>
      <c r="B146" s="2">
        <v>1</v>
      </c>
      <c r="C146" s="2">
        <v>2</v>
      </c>
      <c r="D146" s="6">
        <v>8.75</v>
      </c>
      <c r="E146" s="6">
        <v>3.75</v>
      </c>
      <c r="F146" s="6">
        <v>6.75</v>
      </c>
      <c r="G146" s="10">
        <v>1.25</v>
      </c>
      <c r="H146" s="8">
        <v>-3.75</v>
      </c>
      <c r="I146" s="9">
        <v>-1.5</v>
      </c>
      <c r="J146" s="12" t="s">
        <v>10</v>
      </c>
      <c r="K146" s="6" t="s">
        <v>10</v>
      </c>
      <c r="L146" s="6" t="s">
        <v>10</v>
      </c>
      <c r="M146" s="12" t="s">
        <v>10</v>
      </c>
      <c r="N146" s="6" t="s">
        <v>10</v>
      </c>
      <c r="O146" s="7" t="s">
        <v>10</v>
      </c>
      <c r="P146" s="10">
        <v>191.25</v>
      </c>
      <c r="Q146" s="8">
        <v>180</v>
      </c>
      <c r="R146" s="9">
        <v>186</v>
      </c>
      <c r="S146" s="8" t="s">
        <v>10</v>
      </c>
      <c r="T146" s="8" t="s">
        <v>10</v>
      </c>
      <c r="U146" s="9" t="s">
        <v>10</v>
      </c>
      <c r="V146" s="10">
        <v>83</v>
      </c>
      <c r="W146" s="8">
        <v>75</v>
      </c>
      <c r="X146" s="9">
        <v>79</v>
      </c>
      <c r="Y146" s="10" t="s">
        <v>10</v>
      </c>
      <c r="Z146" s="8" t="s">
        <v>10</v>
      </c>
      <c r="AA146" s="9" t="s">
        <v>10</v>
      </c>
      <c r="AB146" s="10">
        <v>120</v>
      </c>
      <c r="AC146" s="8">
        <v>110</v>
      </c>
      <c r="AD146" s="9">
        <v>115</v>
      </c>
    </row>
    <row r="147" spans="1:30" x14ac:dyDescent="0.35">
      <c r="A147" s="2">
        <v>2014</v>
      </c>
      <c r="B147" s="2">
        <v>1</v>
      </c>
      <c r="C147" s="2">
        <v>3</v>
      </c>
      <c r="D147" s="6">
        <v>10</v>
      </c>
      <c r="E147" s="6">
        <v>5</v>
      </c>
      <c r="F147" s="6">
        <v>8</v>
      </c>
      <c r="G147" s="10">
        <v>6.25</v>
      </c>
      <c r="H147" s="8">
        <v>1.25</v>
      </c>
      <c r="I147" s="9">
        <v>4.25</v>
      </c>
      <c r="J147" s="12" t="s">
        <v>10</v>
      </c>
      <c r="K147" s="6" t="s">
        <v>10</v>
      </c>
      <c r="L147" s="6" t="s">
        <v>10</v>
      </c>
      <c r="M147" s="12" t="s">
        <v>10</v>
      </c>
      <c r="N147" s="6" t="s">
        <v>10</v>
      </c>
      <c r="O147" s="7" t="s">
        <v>10</v>
      </c>
      <c r="P147" s="10">
        <v>186.25</v>
      </c>
      <c r="Q147" s="8">
        <v>180</v>
      </c>
      <c r="R147" s="9">
        <v>183.5</v>
      </c>
      <c r="S147" s="8" t="s">
        <v>10</v>
      </c>
      <c r="T147" s="8" t="s">
        <v>10</v>
      </c>
      <c r="U147" s="9" t="s">
        <v>10</v>
      </c>
      <c r="V147" s="10">
        <v>109</v>
      </c>
      <c r="W147" s="8">
        <v>102.5</v>
      </c>
      <c r="X147" s="9">
        <v>106</v>
      </c>
      <c r="Y147" s="10" t="s">
        <v>10</v>
      </c>
      <c r="Z147" s="8" t="s">
        <v>10</v>
      </c>
      <c r="AA147" s="9" t="s">
        <v>10</v>
      </c>
      <c r="AB147" s="10">
        <v>120</v>
      </c>
      <c r="AC147" s="8">
        <v>110</v>
      </c>
      <c r="AD147" s="9">
        <v>115</v>
      </c>
    </row>
    <row r="148" spans="1:30" x14ac:dyDescent="0.35">
      <c r="A148" s="2">
        <v>2014</v>
      </c>
      <c r="B148" s="2">
        <v>2</v>
      </c>
      <c r="C148" s="2">
        <v>4</v>
      </c>
      <c r="D148" s="6">
        <v>10</v>
      </c>
      <c r="E148" s="6">
        <v>5</v>
      </c>
      <c r="F148" s="6">
        <v>8</v>
      </c>
      <c r="G148" s="10">
        <v>10</v>
      </c>
      <c r="H148" s="8">
        <v>5</v>
      </c>
      <c r="I148" s="9">
        <v>8</v>
      </c>
      <c r="J148" s="12" t="s">
        <v>10</v>
      </c>
      <c r="K148" s="6" t="s">
        <v>10</v>
      </c>
      <c r="L148" s="6" t="s">
        <v>10</v>
      </c>
      <c r="M148" s="12" t="s">
        <v>10</v>
      </c>
      <c r="N148" s="6" t="s">
        <v>10</v>
      </c>
      <c r="O148" s="7" t="s">
        <v>10</v>
      </c>
      <c r="P148" s="10">
        <v>143.25</v>
      </c>
      <c r="Q148" s="8">
        <v>135</v>
      </c>
      <c r="R148" s="9">
        <v>139.5</v>
      </c>
      <c r="S148" s="8" t="s">
        <v>10</v>
      </c>
      <c r="T148" s="8" t="s">
        <v>10</v>
      </c>
      <c r="U148" s="9" t="s">
        <v>10</v>
      </c>
      <c r="V148" s="10">
        <v>135</v>
      </c>
      <c r="W148" s="8">
        <v>130</v>
      </c>
      <c r="X148" s="9">
        <v>133</v>
      </c>
      <c r="Y148" s="10" t="s">
        <v>10</v>
      </c>
      <c r="Z148" s="8" t="s">
        <v>10</v>
      </c>
      <c r="AA148" s="9" t="s">
        <v>10</v>
      </c>
      <c r="AB148" s="10" t="s">
        <v>10</v>
      </c>
      <c r="AC148" s="8" t="s">
        <v>10</v>
      </c>
      <c r="AD148" s="9" t="s">
        <v>10</v>
      </c>
    </row>
    <row r="149" spans="1:30" x14ac:dyDescent="0.35">
      <c r="A149" s="2">
        <v>2014</v>
      </c>
      <c r="B149" s="2">
        <v>2</v>
      </c>
      <c r="C149" s="2">
        <v>5</v>
      </c>
      <c r="D149" s="6">
        <v>10</v>
      </c>
      <c r="E149" s="6">
        <v>5</v>
      </c>
      <c r="F149" s="6">
        <v>8</v>
      </c>
      <c r="G149" s="10">
        <v>10</v>
      </c>
      <c r="H149" s="8">
        <v>5</v>
      </c>
      <c r="I149" s="9">
        <v>8</v>
      </c>
      <c r="J149" s="12" t="s">
        <v>10</v>
      </c>
      <c r="K149" s="6" t="s">
        <v>10</v>
      </c>
      <c r="L149" s="6" t="s">
        <v>10</v>
      </c>
      <c r="M149" s="12" t="s">
        <v>10</v>
      </c>
      <c r="N149" s="6" t="s">
        <v>10</v>
      </c>
      <c r="O149" s="7" t="s">
        <v>10</v>
      </c>
      <c r="P149" s="10">
        <v>139.80000000000001</v>
      </c>
      <c r="Q149" s="8">
        <v>128</v>
      </c>
      <c r="R149" s="9">
        <v>134.4</v>
      </c>
      <c r="S149" s="8" t="s">
        <v>10</v>
      </c>
      <c r="T149" s="8" t="s">
        <v>10</v>
      </c>
      <c r="U149" s="9" t="s">
        <v>10</v>
      </c>
      <c r="V149" s="10">
        <v>132</v>
      </c>
      <c r="W149" s="8">
        <v>126</v>
      </c>
      <c r="X149" s="9">
        <v>129.4</v>
      </c>
      <c r="Y149" s="10" t="s">
        <v>10</v>
      </c>
      <c r="Z149" s="8" t="s">
        <v>10</v>
      </c>
      <c r="AA149" s="9" t="s">
        <v>10</v>
      </c>
      <c r="AB149" s="10" t="s">
        <v>10</v>
      </c>
      <c r="AC149" s="8" t="s">
        <v>10</v>
      </c>
      <c r="AD149" s="9" t="s">
        <v>10</v>
      </c>
    </row>
    <row r="150" spans="1:30" x14ac:dyDescent="0.35">
      <c r="A150" s="2">
        <v>2014</v>
      </c>
      <c r="B150" s="2">
        <v>2</v>
      </c>
      <c r="C150" s="2">
        <v>6</v>
      </c>
      <c r="D150" s="6">
        <v>10</v>
      </c>
      <c r="E150" s="6">
        <v>5</v>
      </c>
      <c r="F150" s="6">
        <v>8</v>
      </c>
      <c r="G150" s="10">
        <v>13.75</v>
      </c>
      <c r="H150" s="8">
        <v>8.75</v>
      </c>
      <c r="I150" s="9">
        <v>11.75</v>
      </c>
      <c r="J150" s="12" t="s">
        <v>10</v>
      </c>
      <c r="K150" s="6" t="s">
        <v>10</v>
      </c>
      <c r="L150" s="6" t="s">
        <v>10</v>
      </c>
      <c r="M150" s="12" t="s">
        <v>10</v>
      </c>
      <c r="N150" s="6" t="s">
        <v>10</v>
      </c>
      <c r="O150" s="7" t="s">
        <v>10</v>
      </c>
      <c r="P150" s="10">
        <v>159</v>
      </c>
      <c r="Q150" s="8">
        <v>148.75</v>
      </c>
      <c r="R150" s="9">
        <v>154</v>
      </c>
      <c r="S150" s="8" t="s">
        <v>10</v>
      </c>
      <c r="T150" s="8" t="s">
        <v>10</v>
      </c>
      <c r="U150" s="9" t="s">
        <v>10</v>
      </c>
      <c r="V150" s="10">
        <v>135</v>
      </c>
      <c r="W150" s="8">
        <v>130</v>
      </c>
      <c r="X150" s="9">
        <v>133</v>
      </c>
      <c r="Y150" s="10" t="s">
        <v>10</v>
      </c>
      <c r="Z150" s="8" t="s">
        <v>10</v>
      </c>
      <c r="AA150" s="9" t="s">
        <v>10</v>
      </c>
      <c r="AB150" s="10" t="s">
        <v>10</v>
      </c>
      <c r="AC150" s="8" t="s">
        <v>10</v>
      </c>
      <c r="AD150" s="9" t="s">
        <v>10</v>
      </c>
    </row>
    <row r="151" spans="1:30" x14ac:dyDescent="0.35">
      <c r="A151" s="2">
        <v>2014</v>
      </c>
      <c r="B151" s="2">
        <v>3</v>
      </c>
      <c r="C151" s="2">
        <v>7</v>
      </c>
      <c r="D151" s="6">
        <v>10</v>
      </c>
      <c r="E151" s="6">
        <v>5</v>
      </c>
      <c r="F151" s="6">
        <v>8</v>
      </c>
      <c r="G151" s="10">
        <v>15</v>
      </c>
      <c r="H151" s="8">
        <v>10</v>
      </c>
      <c r="I151" s="9">
        <v>13</v>
      </c>
      <c r="J151" s="12" t="s">
        <v>10</v>
      </c>
      <c r="K151" s="6" t="s">
        <v>10</v>
      </c>
      <c r="L151" s="6" t="s">
        <v>10</v>
      </c>
      <c r="M151" s="12" t="s">
        <v>10</v>
      </c>
      <c r="N151" s="6" t="s">
        <v>10</v>
      </c>
      <c r="O151" s="7" t="s">
        <v>10</v>
      </c>
      <c r="P151" s="10">
        <v>168.4</v>
      </c>
      <c r="Q151" s="8">
        <v>160</v>
      </c>
      <c r="R151" s="9">
        <v>164.6</v>
      </c>
      <c r="S151" s="8" t="s">
        <v>10</v>
      </c>
      <c r="T151" s="8" t="s">
        <v>10</v>
      </c>
      <c r="U151" s="9" t="s">
        <v>10</v>
      </c>
      <c r="V151" s="10">
        <v>135</v>
      </c>
      <c r="W151" s="8">
        <v>130</v>
      </c>
      <c r="X151" s="9">
        <v>133</v>
      </c>
      <c r="Y151" s="10" t="s">
        <v>10</v>
      </c>
      <c r="Z151" s="8" t="s">
        <v>10</v>
      </c>
      <c r="AA151" s="9" t="s">
        <v>10</v>
      </c>
      <c r="AB151" s="10" t="s">
        <v>10</v>
      </c>
      <c r="AC151" s="8" t="s">
        <v>10</v>
      </c>
      <c r="AD151" s="9" t="s">
        <v>10</v>
      </c>
    </row>
    <row r="152" spans="1:30" x14ac:dyDescent="0.35">
      <c r="A152" s="2">
        <v>2014</v>
      </c>
      <c r="B152" s="2">
        <v>3</v>
      </c>
      <c r="C152" s="2">
        <v>8</v>
      </c>
      <c r="D152" s="6">
        <v>10</v>
      </c>
      <c r="E152" s="6">
        <v>5</v>
      </c>
      <c r="F152" s="6">
        <v>8</v>
      </c>
      <c r="G152" s="10">
        <v>15</v>
      </c>
      <c r="H152" s="8">
        <v>10</v>
      </c>
      <c r="I152" s="9">
        <v>13</v>
      </c>
      <c r="J152" s="12" t="s">
        <v>10</v>
      </c>
      <c r="K152" s="6" t="s">
        <v>10</v>
      </c>
      <c r="L152" s="6" t="s">
        <v>10</v>
      </c>
      <c r="M152" s="12" t="s">
        <v>10</v>
      </c>
      <c r="N152" s="6" t="s">
        <v>10</v>
      </c>
      <c r="O152" s="7" t="s">
        <v>10</v>
      </c>
      <c r="P152" s="10">
        <v>168.75</v>
      </c>
      <c r="Q152" s="8">
        <v>158.75</v>
      </c>
      <c r="R152" s="9">
        <v>164</v>
      </c>
      <c r="S152" s="8" t="s">
        <v>10</v>
      </c>
      <c r="T152" s="8" t="s">
        <v>10</v>
      </c>
      <c r="U152" s="9" t="s">
        <v>10</v>
      </c>
      <c r="V152" s="10">
        <v>135</v>
      </c>
      <c r="W152" s="8">
        <v>130</v>
      </c>
      <c r="X152" s="9">
        <v>133</v>
      </c>
      <c r="Y152" s="10" t="s">
        <v>10</v>
      </c>
      <c r="Z152" s="8" t="s">
        <v>10</v>
      </c>
      <c r="AA152" s="9" t="s">
        <v>10</v>
      </c>
      <c r="AB152" s="10" t="s">
        <v>10</v>
      </c>
      <c r="AC152" s="8" t="s">
        <v>10</v>
      </c>
      <c r="AD152" s="9" t="s">
        <v>10</v>
      </c>
    </row>
    <row r="153" spans="1:30" x14ac:dyDescent="0.35">
      <c r="A153" s="2">
        <v>2014</v>
      </c>
      <c r="B153" s="2">
        <v>3</v>
      </c>
      <c r="C153" s="2">
        <v>9</v>
      </c>
      <c r="D153" s="6">
        <v>12.5</v>
      </c>
      <c r="E153" s="6">
        <v>10</v>
      </c>
      <c r="F153" s="6">
        <v>11.5</v>
      </c>
      <c r="G153" s="10">
        <v>23.75</v>
      </c>
      <c r="H153" s="8">
        <v>18.75</v>
      </c>
      <c r="I153" s="9">
        <v>21.75</v>
      </c>
      <c r="J153" s="12" t="s">
        <v>10</v>
      </c>
      <c r="K153" s="6" t="s">
        <v>10</v>
      </c>
      <c r="L153" s="6" t="s">
        <v>10</v>
      </c>
      <c r="M153" s="12" t="s">
        <v>10</v>
      </c>
      <c r="N153" s="6" t="s">
        <v>10</v>
      </c>
      <c r="O153" s="7" t="s">
        <v>10</v>
      </c>
      <c r="P153" s="10">
        <v>157.5</v>
      </c>
      <c r="Q153" s="8">
        <v>150</v>
      </c>
      <c r="R153" s="9">
        <v>154</v>
      </c>
      <c r="S153" s="8" t="s">
        <v>10</v>
      </c>
      <c r="T153" s="8" t="s">
        <v>10</v>
      </c>
      <c r="U153" s="9" t="s">
        <v>10</v>
      </c>
      <c r="V153" s="10">
        <v>135</v>
      </c>
      <c r="W153" s="8">
        <v>130</v>
      </c>
      <c r="X153" s="9">
        <v>133</v>
      </c>
      <c r="Y153" s="10" t="s">
        <v>10</v>
      </c>
      <c r="Z153" s="8" t="s">
        <v>10</v>
      </c>
      <c r="AA153" s="9" t="s">
        <v>10</v>
      </c>
      <c r="AB153" s="10" t="s">
        <v>10</v>
      </c>
      <c r="AC153" s="8" t="s">
        <v>10</v>
      </c>
      <c r="AD153" s="9" t="s">
        <v>10</v>
      </c>
    </row>
    <row r="154" spans="1:30" x14ac:dyDescent="0.35">
      <c r="A154" s="2">
        <v>2014</v>
      </c>
      <c r="B154" s="2">
        <v>4</v>
      </c>
      <c r="C154" s="2">
        <v>10</v>
      </c>
      <c r="D154" s="6">
        <v>15</v>
      </c>
      <c r="E154" s="6">
        <v>10</v>
      </c>
      <c r="F154" s="6">
        <v>13</v>
      </c>
      <c r="G154" s="10">
        <v>29</v>
      </c>
      <c r="H154" s="8">
        <v>24</v>
      </c>
      <c r="I154" s="9">
        <v>27</v>
      </c>
      <c r="J154" s="12" t="s">
        <v>10</v>
      </c>
      <c r="K154" s="6" t="s">
        <v>10</v>
      </c>
      <c r="L154" s="6" t="s">
        <v>10</v>
      </c>
      <c r="M154" s="12" t="s">
        <v>10</v>
      </c>
      <c r="N154" s="6" t="s">
        <v>10</v>
      </c>
      <c r="O154" s="7" t="s">
        <v>10</v>
      </c>
      <c r="P154" s="10">
        <v>146.80000000000001</v>
      </c>
      <c r="Q154" s="8">
        <v>137.4</v>
      </c>
      <c r="R154" s="9">
        <v>142.6</v>
      </c>
      <c r="S154" s="8" t="s">
        <v>10</v>
      </c>
      <c r="T154" s="8" t="s">
        <v>10</v>
      </c>
      <c r="U154" s="9" t="s">
        <v>10</v>
      </c>
      <c r="V154" s="10">
        <v>135</v>
      </c>
      <c r="W154" s="8">
        <v>130</v>
      </c>
      <c r="X154" s="9">
        <v>133</v>
      </c>
      <c r="Y154" s="10" t="s">
        <v>10</v>
      </c>
      <c r="Z154" s="8" t="s">
        <v>10</v>
      </c>
      <c r="AA154" s="9" t="s">
        <v>10</v>
      </c>
      <c r="AB154" s="10" t="s">
        <v>10</v>
      </c>
      <c r="AC154" s="8" t="s">
        <v>10</v>
      </c>
      <c r="AD154" s="9" t="s">
        <v>10</v>
      </c>
    </row>
    <row r="155" spans="1:30" x14ac:dyDescent="0.35">
      <c r="A155" s="2">
        <v>2014</v>
      </c>
      <c r="B155" s="2">
        <v>4</v>
      </c>
      <c r="C155" s="2">
        <v>11</v>
      </c>
      <c r="D155" s="6">
        <v>20</v>
      </c>
      <c r="E155" s="6">
        <v>10</v>
      </c>
      <c r="F155" s="6">
        <v>15</v>
      </c>
      <c r="G155" s="10">
        <v>35</v>
      </c>
      <c r="H155" s="8">
        <v>30</v>
      </c>
      <c r="I155" s="9">
        <v>33</v>
      </c>
      <c r="J155" s="12" t="s">
        <v>10</v>
      </c>
      <c r="K155" s="6" t="s">
        <v>10</v>
      </c>
      <c r="L155" s="6" t="s">
        <v>10</v>
      </c>
      <c r="M155" s="12" t="s">
        <v>10</v>
      </c>
      <c r="N155" s="6" t="s">
        <v>10</v>
      </c>
      <c r="O155" s="7" t="s">
        <v>10</v>
      </c>
      <c r="P155" s="10">
        <v>140</v>
      </c>
      <c r="Q155" s="8">
        <v>119</v>
      </c>
      <c r="R155" s="9">
        <v>129.5</v>
      </c>
      <c r="S155" s="8" t="s">
        <v>10</v>
      </c>
      <c r="T155" s="8" t="s">
        <v>10</v>
      </c>
      <c r="U155" s="9" t="s">
        <v>10</v>
      </c>
      <c r="V155" s="10">
        <v>135</v>
      </c>
      <c r="W155" s="8">
        <v>130</v>
      </c>
      <c r="X155" s="9">
        <v>133</v>
      </c>
      <c r="Y155" s="10" t="s">
        <v>10</v>
      </c>
      <c r="Z155" s="8" t="s">
        <v>10</v>
      </c>
      <c r="AA155" s="9" t="s">
        <v>10</v>
      </c>
      <c r="AB155" s="10" t="s">
        <v>10</v>
      </c>
      <c r="AC155" s="8" t="s">
        <v>10</v>
      </c>
      <c r="AD155" s="9" t="s">
        <v>10</v>
      </c>
    </row>
    <row r="156" spans="1:30" x14ac:dyDescent="0.35">
      <c r="A156" s="2">
        <v>2014</v>
      </c>
      <c r="B156" s="2">
        <v>4</v>
      </c>
      <c r="C156" s="2">
        <v>12</v>
      </c>
      <c r="D156" s="6">
        <v>17.5</v>
      </c>
      <c r="E156" s="6">
        <v>7.5</v>
      </c>
      <c r="F156" s="6">
        <v>12.5</v>
      </c>
      <c r="G156" s="10">
        <v>35</v>
      </c>
      <c r="H156" s="8">
        <v>30</v>
      </c>
      <c r="I156" s="9">
        <v>33</v>
      </c>
      <c r="J156" s="12" t="s">
        <v>10</v>
      </c>
      <c r="K156" s="6" t="s">
        <v>10</v>
      </c>
      <c r="L156" s="6" t="s">
        <v>10</v>
      </c>
      <c r="M156" s="12" t="s">
        <v>10</v>
      </c>
      <c r="N156" s="6" t="s">
        <v>10</v>
      </c>
      <c r="O156" s="7" t="s">
        <v>10</v>
      </c>
      <c r="P156" s="10">
        <v>159.75</v>
      </c>
      <c r="Q156" s="8">
        <v>141.25</v>
      </c>
      <c r="R156" s="9">
        <v>151</v>
      </c>
      <c r="S156" s="8" t="s">
        <v>10</v>
      </c>
      <c r="T156" s="8" t="s">
        <v>10</v>
      </c>
      <c r="U156" s="9" t="s">
        <v>10</v>
      </c>
      <c r="V156" s="10">
        <v>135</v>
      </c>
      <c r="W156" s="8">
        <v>130</v>
      </c>
      <c r="X156" s="9">
        <v>133</v>
      </c>
      <c r="Y156" s="10" t="s">
        <v>10</v>
      </c>
      <c r="Z156" s="8" t="s">
        <v>10</v>
      </c>
      <c r="AA156" s="9" t="s">
        <v>10</v>
      </c>
      <c r="AB156" s="10" t="s">
        <v>10</v>
      </c>
      <c r="AC156" s="8" t="s">
        <v>10</v>
      </c>
      <c r="AD156" s="9" t="s">
        <v>10</v>
      </c>
    </row>
    <row r="157" spans="1:30" x14ac:dyDescent="0.35">
      <c r="A157" s="2">
        <v>2015</v>
      </c>
      <c r="B157" s="2">
        <v>1</v>
      </c>
      <c r="C157" s="2">
        <v>1</v>
      </c>
      <c r="D157" s="6">
        <v>15</v>
      </c>
      <c r="E157" s="6">
        <v>6</v>
      </c>
      <c r="F157" s="6">
        <v>10.6</v>
      </c>
      <c r="G157" s="10">
        <v>35</v>
      </c>
      <c r="H157" s="8">
        <v>29.4</v>
      </c>
      <c r="I157" s="9">
        <v>32.6</v>
      </c>
      <c r="J157" s="12" t="s">
        <v>10</v>
      </c>
      <c r="K157" s="6" t="s">
        <v>10</v>
      </c>
      <c r="L157" s="6" t="s">
        <v>10</v>
      </c>
      <c r="M157" s="12" t="s">
        <v>10</v>
      </c>
      <c r="N157" s="6" t="s">
        <v>10</v>
      </c>
      <c r="O157" s="7" t="s">
        <v>10</v>
      </c>
      <c r="P157" s="10">
        <v>182.2</v>
      </c>
      <c r="Q157" s="8">
        <v>156.4</v>
      </c>
      <c r="R157" s="9">
        <v>169.8</v>
      </c>
      <c r="S157" s="8" t="s">
        <v>10</v>
      </c>
      <c r="T157" s="8" t="s">
        <v>10</v>
      </c>
      <c r="U157" s="9" t="s">
        <v>10</v>
      </c>
      <c r="V157" s="10">
        <v>135</v>
      </c>
      <c r="W157" s="8">
        <v>130</v>
      </c>
      <c r="X157" s="9">
        <v>133</v>
      </c>
      <c r="Y157" s="10" t="s">
        <v>10</v>
      </c>
      <c r="Z157" s="8" t="s">
        <v>10</v>
      </c>
      <c r="AA157" s="9" t="s">
        <v>10</v>
      </c>
      <c r="AB157" s="10" t="s">
        <v>10</v>
      </c>
      <c r="AC157" s="8" t="s">
        <v>10</v>
      </c>
      <c r="AD157" s="9" t="s">
        <v>10</v>
      </c>
    </row>
    <row r="158" spans="1:30" x14ac:dyDescent="0.35">
      <c r="A158" s="2">
        <v>2015</v>
      </c>
      <c r="B158" s="2">
        <v>1</v>
      </c>
      <c r="C158" s="2">
        <v>2</v>
      </c>
      <c r="D158" s="6">
        <v>21</v>
      </c>
      <c r="E158" s="6">
        <v>11.25</v>
      </c>
      <c r="F158" s="6">
        <v>16.25</v>
      </c>
      <c r="G158" s="10">
        <v>35</v>
      </c>
      <c r="H158" s="8">
        <v>27</v>
      </c>
      <c r="I158" s="9">
        <v>31</v>
      </c>
      <c r="J158" s="12" t="s">
        <v>10</v>
      </c>
      <c r="K158" s="6" t="s">
        <v>10</v>
      </c>
      <c r="L158" s="6" t="s">
        <v>10</v>
      </c>
      <c r="M158" s="12" t="s">
        <v>10</v>
      </c>
      <c r="N158" s="6" t="s">
        <v>10</v>
      </c>
      <c r="O158" s="7" t="s">
        <v>10</v>
      </c>
      <c r="P158" s="10">
        <v>183.75</v>
      </c>
      <c r="Q158" s="8">
        <v>168.5</v>
      </c>
      <c r="R158" s="9">
        <v>176.5</v>
      </c>
      <c r="S158" s="8">
        <v>165</v>
      </c>
      <c r="T158" s="8">
        <v>160</v>
      </c>
      <c r="U158" s="9">
        <v>163</v>
      </c>
      <c r="V158" s="10">
        <v>135</v>
      </c>
      <c r="W158" s="8">
        <v>130</v>
      </c>
      <c r="X158" s="9">
        <v>133</v>
      </c>
      <c r="Y158" s="10" t="s">
        <v>10</v>
      </c>
      <c r="Z158" s="8" t="s">
        <v>10</v>
      </c>
      <c r="AA158" s="9" t="s">
        <v>10</v>
      </c>
      <c r="AB158" s="10" t="s">
        <v>10</v>
      </c>
      <c r="AC158" s="8" t="s">
        <v>10</v>
      </c>
      <c r="AD158" s="9" t="s">
        <v>10</v>
      </c>
    </row>
    <row r="159" spans="1:30" x14ac:dyDescent="0.35">
      <c r="A159" s="2">
        <v>2015</v>
      </c>
      <c r="B159" s="2">
        <v>1</v>
      </c>
      <c r="C159" s="2">
        <v>3</v>
      </c>
      <c r="D159" s="6">
        <v>22</v>
      </c>
      <c r="E159" s="6">
        <v>15</v>
      </c>
      <c r="F159" s="6">
        <v>19</v>
      </c>
      <c r="G159" s="10">
        <v>35</v>
      </c>
      <c r="H159" s="8">
        <v>27</v>
      </c>
      <c r="I159" s="9">
        <v>31</v>
      </c>
      <c r="J159" s="12" t="s">
        <v>10</v>
      </c>
      <c r="K159" s="6" t="s">
        <v>10</v>
      </c>
      <c r="L159" s="6" t="s">
        <v>10</v>
      </c>
      <c r="M159" s="12" t="s">
        <v>10</v>
      </c>
      <c r="N159" s="6" t="s">
        <v>10</v>
      </c>
      <c r="O159" s="7" t="s">
        <v>10</v>
      </c>
      <c r="P159" s="10">
        <v>175</v>
      </c>
      <c r="Q159" s="8">
        <v>160.75</v>
      </c>
      <c r="R159" s="9">
        <v>168.25</v>
      </c>
      <c r="S159" s="8">
        <v>165</v>
      </c>
      <c r="T159" s="8">
        <v>160</v>
      </c>
      <c r="U159" s="9">
        <v>163</v>
      </c>
      <c r="V159" s="10">
        <v>135</v>
      </c>
      <c r="W159" s="8">
        <v>130</v>
      </c>
      <c r="X159" s="9">
        <v>133</v>
      </c>
      <c r="Y159" s="10" t="s">
        <v>10</v>
      </c>
      <c r="Z159" s="8" t="s">
        <v>10</v>
      </c>
      <c r="AA159" s="9" t="s">
        <v>10</v>
      </c>
      <c r="AB159" s="10" t="s">
        <v>10</v>
      </c>
      <c r="AC159" s="8" t="s">
        <v>10</v>
      </c>
      <c r="AD159" s="9" t="s">
        <v>10</v>
      </c>
    </row>
    <row r="160" spans="1:30" x14ac:dyDescent="0.35">
      <c r="A160" s="2">
        <v>2015</v>
      </c>
      <c r="B160" s="2">
        <v>2</v>
      </c>
      <c r="C160" s="2">
        <v>4</v>
      </c>
      <c r="D160" s="6">
        <v>22</v>
      </c>
      <c r="E160" s="6">
        <v>17</v>
      </c>
      <c r="F160" s="6">
        <v>20</v>
      </c>
      <c r="G160" s="10">
        <v>35</v>
      </c>
      <c r="H160" s="8">
        <v>27</v>
      </c>
      <c r="I160" s="9">
        <v>31</v>
      </c>
      <c r="J160" s="12" t="s">
        <v>10</v>
      </c>
      <c r="K160" s="6" t="s">
        <v>10</v>
      </c>
      <c r="L160" s="6" t="s">
        <v>10</v>
      </c>
      <c r="M160" s="12" t="s">
        <v>10</v>
      </c>
      <c r="N160" s="6" t="s">
        <v>10</v>
      </c>
      <c r="O160" s="7" t="s">
        <v>10</v>
      </c>
      <c r="P160" s="10">
        <v>158</v>
      </c>
      <c r="Q160" s="8">
        <v>140</v>
      </c>
      <c r="R160" s="9">
        <v>149.4</v>
      </c>
      <c r="S160" s="8">
        <v>165</v>
      </c>
      <c r="T160" s="8">
        <v>160</v>
      </c>
      <c r="U160" s="9">
        <v>163</v>
      </c>
      <c r="V160" s="10">
        <v>135</v>
      </c>
      <c r="W160" s="8">
        <v>130</v>
      </c>
      <c r="X160" s="9">
        <v>133</v>
      </c>
      <c r="Y160" s="10" t="s">
        <v>10</v>
      </c>
      <c r="Z160" s="8" t="s">
        <v>10</v>
      </c>
      <c r="AA160" s="9" t="s">
        <v>10</v>
      </c>
      <c r="AB160" s="10" t="s">
        <v>10</v>
      </c>
      <c r="AC160" s="8" t="s">
        <v>10</v>
      </c>
      <c r="AD160" s="9" t="s">
        <v>10</v>
      </c>
    </row>
    <row r="161" spans="1:30" x14ac:dyDescent="0.35">
      <c r="A161" s="2">
        <v>2015</v>
      </c>
      <c r="B161" s="2">
        <v>2</v>
      </c>
      <c r="C161" s="2">
        <v>5</v>
      </c>
      <c r="D161" s="6">
        <v>22.75</v>
      </c>
      <c r="E161" s="6">
        <v>17</v>
      </c>
      <c r="F161" s="6">
        <v>20.25</v>
      </c>
      <c r="G161" s="10">
        <v>35</v>
      </c>
      <c r="H161" s="8">
        <v>27</v>
      </c>
      <c r="I161" s="9">
        <v>31</v>
      </c>
      <c r="J161" s="12" t="s">
        <v>10</v>
      </c>
      <c r="K161" s="6" t="s">
        <v>10</v>
      </c>
      <c r="L161" s="6" t="s">
        <v>10</v>
      </c>
      <c r="M161" s="12" t="s">
        <v>10</v>
      </c>
      <c r="N161" s="6" t="s">
        <v>10</v>
      </c>
      <c r="O161" s="7" t="s">
        <v>10</v>
      </c>
      <c r="P161" s="10">
        <v>141.25</v>
      </c>
      <c r="Q161" s="8">
        <v>139.25</v>
      </c>
      <c r="R161" s="9">
        <v>140.75</v>
      </c>
      <c r="S161" s="8">
        <v>165</v>
      </c>
      <c r="T161" s="8">
        <v>160</v>
      </c>
      <c r="U161" s="9">
        <v>163</v>
      </c>
      <c r="V161" s="10">
        <v>135</v>
      </c>
      <c r="W161" s="8">
        <v>130</v>
      </c>
      <c r="X161" s="9">
        <v>133</v>
      </c>
      <c r="Y161" s="10" t="s">
        <v>10</v>
      </c>
      <c r="Z161" s="8" t="s">
        <v>10</v>
      </c>
      <c r="AA161" s="9" t="s">
        <v>10</v>
      </c>
      <c r="AB161" s="10" t="s">
        <v>10</v>
      </c>
      <c r="AC161" s="8" t="s">
        <v>10</v>
      </c>
      <c r="AD161" s="9" t="s">
        <v>10</v>
      </c>
    </row>
    <row r="162" spans="1:30" x14ac:dyDescent="0.35">
      <c r="A162" s="2">
        <v>2015</v>
      </c>
      <c r="B162" s="2">
        <v>2</v>
      </c>
      <c r="C162" s="2">
        <v>6</v>
      </c>
      <c r="D162" s="6">
        <v>30</v>
      </c>
      <c r="E162" s="6">
        <v>20</v>
      </c>
      <c r="F162" s="6">
        <v>25</v>
      </c>
      <c r="G162" s="10">
        <v>35</v>
      </c>
      <c r="H162" s="8">
        <v>27</v>
      </c>
      <c r="I162" s="9">
        <v>31</v>
      </c>
      <c r="J162" s="12" t="s">
        <v>10</v>
      </c>
      <c r="K162" s="6" t="s">
        <v>10</v>
      </c>
      <c r="L162" s="6" t="s">
        <v>10</v>
      </c>
      <c r="M162" s="12" t="s">
        <v>10</v>
      </c>
      <c r="N162" s="6" t="s">
        <v>10</v>
      </c>
      <c r="O162" s="7" t="s">
        <v>10</v>
      </c>
      <c r="P162" s="10">
        <v>146</v>
      </c>
      <c r="Q162" s="8">
        <v>140</v>
      </c>
      <c r="R162" s="9">
        <v>143</v>
      </c>
      <c r="S162" s="8">
        <v>152</v>
      </c>
      <c r="T162" s="8">
        <v>145</v>
      </c>
      <c r="U162" s="9">
        <v>149</v>
      </c>
      <c r="V162" s="10">
        <v>135</v>
      </c>
      <c r="W162" s="8">
        <v>130</v>
      </c>
      <c r="X162" s="9">
        <v>133</v>
      </c>
      <c r="Y162" s="10" t="s">
        <v>10</v>
      </c>
      <c r="Z162" s="8" t="s">
        <v>10</v>
      </c>
      <c r="AA162" s="9" t="s">
        <v>10</v>
      </c>
      <c r="AB162" s="10" t="s">
        <v>10</v>
      </c>
      <c r="AC162" s="8" t="s">
        <v>10</v>
      </c>
      <c r="AD162" s="9" t="s">
        <v>10</v>
      </c>
    </row>
    <row r="163" spans="1:30" x14ac:dyDescent="0.35">
      <c r="A163" s="2">
        <v>2015</v>
      </c>
      <c r="B163" s="2">
        <v>3</v>
      </c>
      <c r="C163" s="2">
        <v>7</v>
      </c>
      <c r="D163" s="6">
        <v>25</v>
      </c>
      <c r="E163" s="6">
        <v>15</v>
      </c>
      <c r="F163" s="6">
        <v>20</v>
      </c>
      <c r="G163" s="10">
        <v>35</v>
      </c>
      <c r="H163" s="8">
        <v>25.4</v>
      </c>
      <c r="I163" s="9">
        <v>30.2</v>
      </c>
      <c r="J163" s="12" t="s">
        <v>10</v>
      </c>
      <c r="K163" s="6" t="s">
        <v>10</v>
      </c>
      <c r="L163" s="6" t="s">
        <v>10</v>
      </c>
      <c r="M163" s="12" t="s">
        <v>10</v>
      </c>
      <c r="N163" s="6" t="s">
        <v>10</v>
      </c>
      <c r="O163" s="7" t="s">
        <v>10</v>
      </c>
      <c r="P163" s="10">
        <v>153.6</v>
      </c>
      <c r="Q163" s="8">
        <v>147</v>
      </c>
      <c r="R163" s="9">
        <v>150.4</v>
      </c>
      <c r="S163" s="8">
        <v>152</v>
      </c>
      <c r="T163" s="8">
        <v>145</v>
      </c>
      <c r="U163" s="9">
        <v>149</v>
      </c>
      <c r="V163" s="10">
        <v>135</v>
      </c>
      <c r="W163" s="8">
        <v>130</v>
      </c>
      <c r="X163" s="9">
        <v>133</v>
      </c>
      <c r="Y163" s="10" t="s">
        <v>10</v>
      </c>
      <c r="Z163" s="8" t="s">
        <v>10</v>
      </c>
      <c r="AA163" s="9" t="s">
        <v>10</v>
      </c>
      <c r="AB163" s="10" t="s">
        <v>10</v>
      </c>
      <c r="AC163" s="8" t="s">
        <v>10</v>
      </c>
      <c r="AD163" s="9" t="s">
        <v>10</v>
      </c>
    </row>
    <row r="164" spans="1:30" x14ac:dyDescent="0.35">
      <c r="A164" s="2">
        <v>2015</v>
      </c>
      <c r="B164" s="2">
        <v>3</v>
      </c>
      <c r="C164" s="2">
        <v>8</v>
      </c>
      <c r="D164" s="6">
        <v>20</v>
      </c>
      <c r="E164" s="6">
        <v>10</v>
      </c>
      <c r="F164" s="6">
        <v>15</v>
      </c>
      <c r="G164" s="10">
        <v>32.5</v>
      </c>
      <c r="H164" s="8">
        <v>21.25</v>
      </c>
      <c r="I164" s="9">
        <v>27</v>
      </c>
      <c r="J164" s="12" t="s">
        <v>10</v>
      </c>
      <c r="K164" s="6" t="s">
        <v>10</v>
      </c>
      <c r="L164" s="6" t="s">
        <v>10</v>
      </c>
      <c r="M164" s="12" t="s">
        <v>10</v>
      </c>
      <c r="N164" s="6" t="s">
        <v>10</v>
      </c>
      <c r="O164" s="7" t="s">
        <v>10</v>
      </c>
      <c r="P164" s="10">
        <v>156</v>
      </c>
      <c r="Q164" s="8">
        <v>150</v>
      </c>
      <c r="R164" s="9">
        <v>153</v>
      </c>
      <c r="S164" s="8">
        <v>150</v>
      </c>
      <c r="T164" s="8">
        <v>145</v>
      </c>
      <c r="U164" s="9">
        <v>148</v>
      </c>
      <c r="V164" s="10">
        <v>135</v>
      </c>
      <c r="W164" s="8">
        <v>130</v>
      </c>
      <c r="X164" s="9">
        <v>133</v>
      </c>
      <c r="Y164" s="10" t="s">
        <v>10</v>
      </c>
      <c r="Z164" s="8" t="s">
        <v>10</v>
      </c>
      <c r="AA164" s="9" t="s">
        <v>10</v>
      </c>
      <c r="AB164" s="10" t="s">
        <v>10</v>
      </c>
      <c r="AC164" s="8" t="s">
        <v>10</v>
      </c>
      <c r="AD164" s="9" t="s">
        <v>10</v>
      </c>
    </row>
    <row r="165" spans="1:30" x14ac:dyDescent="0.35">
      <c r="A165" s="2">
        <v>2015</v>
      </c>
      <c r="B165" s="2">
        <v>3</v>
      </c>
      <c r="C165" s="2">
        <v>9</v>
      </c>
      <c r="D165" s="6">
        <v>21.5</v>
      </c>
      <c r="E165" s="6">
        <v>13.75</v>
      </c>
      <c r="F165" s="6">
        <v>18</v>
      </c>
      <c r="G165" s="10">
        <v>23.75</v>
      </c>
      <c r="H165" s="8">
        <v>12.5</v>
      </c>
      <c r="I165" s="9">
        <v>18.25</v>
      </c>
      <c r="J165" s="12" t="s">
        <v>10</v>
      </c>
      <c r="K165" s="6" t="s">
        <v>10</v>
      </c>
      <c r="L165" s="6" t="s">
        <v>10</v>
      </c>
      <c r="M165" s="12" t="s">
        <v>10</v>
      </c>
      <c r="N165" s="6" t="s">
        <v>10</v>
      </c>
      <c r="O165" s="7" t="s">
        <v>10</v>
      </c>
      <c r="P165" s="10">
        <v>140</v>
      </c>
      <c r="Q165" s="8">
        <v>126.5</v>
      </c>
      <c r="R165" s="9">
        <v>133.5</v>
      </c>
      <c r="S165" s="8">
        <v>150</v>
      </c>
      <c r="T165" s="8">
        <v>145</v>
      </c>
      <c r="U165" s="9">
        <v>148</v>
      </c>
      <c r="V165" s="10">
        <v>135</v>
      </c>
      <c r="W165" s="8">
        <v>130</v>
      </c>
      <c r="X165" s="9">
        <v>133</v>
      </c>
      <c r="Y165" s="10" t="s">
        <v>10</v>
      </c>
      <c r="Z165" s="8" t="s">
        <v>10</v>
      </c>
      <c r="AA165" s="9" t="s">
        <v>10</v>
      </c>
      <c r="AB165" s="10" t="s">
        <v>10</v>
      </c>
      <c r="AC165" s="8" t="s">
        <v>10</v>
      </c>
      <c r="AD165" s="9" t="s">
        <v>10</v>
      </c>
    </row>
    <row r="166" spans="1:30" x14ac:dyDescent="0.35">
      <c r="A166" s="2">
        <v>2015</v>
      </c>
      <c r="B166" s="2">
        <v>4</v>
      </c>
      <c r="C166" s="2">
        <v>10</v>
      </c>
      <c r="D166" s="6">
        <v>19.2</v>
      </c>
      <c r="E166" s="6">
        <v>11</v>
      </c>
      <c r="F166" s="6">
        <v>15.4</v>
      </c>
      <c r="G166" s="10">
        <v>14</v>
      </c>
      <c r="H166" s="8">
        <v>1</v>
      </c>
      <c r="I166" s="9">
        <v>7.8</v>
      </c>
      <c r="J166" s="12" t="s">
        <v>10</v>
      </c>
      <c r="K166" s="6" t="s">
        <v>10</v>
      </c>
      <c r="L166" s="6" t="s">
        <v>10</v>
      </c>
      <c r="M166" s="12" t="s">
        <v>10</v>
      </c>
      <c r="N166" s="6" t="s">
        <v>10</v>
      </c>
      <c r="O166" s="7" t="s">
        <v>10</v>
      </c>
      <c r="P166" s="10">
        <v>120</v>
      </c>
      <c r="Q166" s="8">
        <v>107.2</v>
      </c>
      <c r="R166" s="9">
        <v>113.8</v>
      </c>
      <c r="S166" s="8">
        <v>150</v>
      </c>
      <c r="T166" s="8">
        <v>145</v>
      </c>
      <c r="U166" s="9">
        <v>148</v>
      </c>
      <c r="V166" s="10">
        <v>135</v>
      </c>
      <c r="W166" s="8">
        <v>130</v>
      </c>
      <c r="X166" s="9">
        <v>133</v>
      </c>
      <c r="Y166" s="10" t="s">
        <v>10</v>
      </c>
      <c r="Z166" s="8" t="s">
        <v>10</v>
      </c>
      <c r="AA166" s="9" t="s">
        <v>10</v>
      </c>
      <c r="AB166" s="10" t="s">
        <v>10</v>
      </c>
      <c r="AC166" s="8" t="s">
        <v>10</v>
      </c>
      <c r="AD166" s="9" t="s">
        <v>10</v>
      </c>
    </row>
    <row r="167" spans="1:30" x14ac:dyDescent="0.35">
      <c r="A167" s="2">
        <v>2015</v>
      </c>
      <c r="B167" s="2">
        <v>4</v>
      </c>
      <c r="C167" s="2">
        <v>11</v>
      </c>
      <c r="D167" s="6">
        <v>13.75</v>
      </c>
      <c r="E167" s="6">
        <v>3.75</v>
      </c>
      <c r="F167" s="6">
        <v>8.75</v>
      </c>
      <c r="G167" s="10">
        <v>10</v>
      </c>
      <c r="H167" s="8">
        <v>0</v>
      </c>
      <c r="I167" s="9">
        <v>5</v>
      </c>
      <c r="J167" s="12" t="s">
        <v>10</v>
      </c>
      <c r="K167" s="6" t="s">
        <v>10</v>
      </c>
      <c r="L167" s="6" t="s">
        <v>10</v>
      </c>
      <c r="M167" s="12" t="s">
        <v>10</v>
      </c>
      <c r="N167" s="6" t="s">
        <v>10</v>
      </c>
      <c r="O167" s="7" t="s">
        <v>10</v>
      </c>
      <c r="P167" s="10">
        <v>130</v>
      </c>
      <c r="Q167" s="8">
        <v>122.5</v>
      </c>
      <c r="R167" s="9">
        <v>126.5</v>
      </c>
      <c r="S167" s="8">
        <v>132.5</v>
      </c>
      <c r="T167" s="8">
        <v>122.5</v>
      </c>
      <c r="U167" s="9">
        <v>128</v>
      </c>
      <c r="V167" s="10">
        <v>125</v>
      </c>
      <c r="W167" s="8">
        <v>115</v>
      </c>
      <c r="X167" s="9">
        <v>120.5</v>
      </c>
      <c r="Y167" s="10" t="s">
        <v>10</v>
      </c>
      <c r="Z167" s="8" t="s">
        <v>10</v>
      </c>
      <c r="AA167" s="9" t="s">
        <v>10</v>
      </c>
      <c r="AB167" s="10" t="s">
        <v>10</v>
      </c>
      <c r="AC167" s="8" t="s">
        <v>10</v>
      </c>
      <c r="AD167" s="9" t="s">
        <v>10</v>
      </c>
    </row>
    <row r="168" spans="1:30" x14ac:dyDescent="0.35">
      <c r="A168" s="2">
        <v>2015</v>
      </c>
      <c r="B168" s="2">
        <v>4</v>
      </c>
      <c r="C168" s="2">
        <v>12</v>
      </c>
      <c r="D168" s="6">
        <v>10</v>
      </c>
      <c r="E168" s="6">
        <v>0</v>
      </c>
      <c r="F168" s="6">
        <v>5</v>
      </c>
      <c r="G168" s="10">
        <v>10</v>
      </c>
      <c r="H168" s="8">
        <v>0</v>
      </c>
      <c r="I168" s="9">
        <v>5</v>
      </c>
      <c r="J168" s="12" t="s">
        <v>10</v>
      </c>
      <c r="K168" s="6" t="s">
        <v>10</v>
      </c>
      <c r="L168" s="6" t="s">
        <v>10</v>
      </c>
      <c r="M168" s="12" t="s">
        <v>10</v>
      </c>
      <c r="N168" s="6" t="s">
        <v>10</v>
      </c>
      <c r="O168" s="7" t="s">
        <v>10</v>
      </c>
      <c r="P168" s="10">
        <v>135</v>
      </c>
      <c r="Q168" s="8">
        <v>128</v>
      </c>
      <c r="R168" s="9">
        <v>132</v>
      </c>
      <c r="S168" s="8">
        <v>115</v>
      </c>
      <c r="T168" s="8">
        <v>100</v>
      </c>
      <c r="U168" s="9">
        <v>108</v>
      </c>
      <c r="V168" s="10">
        <v>115</v>
      </c>
      <c r="W168" s="8">
        <v>100</v>
      </c>
      <c r="X168" s="9">
        <v>108</v>
      </c>
      <c r="Y168" s="10" t="s">
        <v>10</v>
      </c>
      <c r="Z168" s="8" t="s">
        <v>10</v>
      </c>
      <c r="AA168" s="9" t="s">
        <v>10</v>
      </c>
      <c r="AB168" s="10" t="s">
        <v>10</v>
      </c>
      <c r="AC168" s="8" t="s">
        <v>10</v>
      </c>
      <c r="AD168" s="9" t="s">
        <v>10</v>
      </c>
    </row>
    <row r="169" spans="1:30" x14ac:dyDescent="0.35">
      <c r="A169" s="2">
        <v>2016</v>
      </c>
      <c r="B169" s="2">
        <v>1</v>
      </c>
      <c r="C169" s="2">
        <v>1</v>
      </c>
      <c r="D169" s="6">
        <v>10</v>
      </c>
      <c r="E169" s="6">
        <v>0</v>
      </c>
      <c r="F169" s="6">
        <v>5</v>
      </c>
      <c r="G169" s="10">
        <v>10</v>
      </c>
      <c r="H169" s="8">
        <v>0</v>
      </c>
      <c r="I169" s="9">
        <v>5</v>
      </c>
      <c r="J169" s="12" t="s">
        <v>10</v>
      </c>
      <c r="K169" s="6" t="s">
        <v>10</v>
      </c>
      <c r="L169" s="6" t="s">
        <v>10</v>
      </c>
      <c r="M169" s="12" t="s">
        <v>10</v>
      </c>
      <c r="N169" s="6" t="s">
        <v>10</v>
      </c>
      <c r="O169" s="7" t="s">
        <v>10</v>
      </c>
      <c r="P169" s="10">
        <v>121.75</v>
      </c>
      <c r="Q169" s="8">
        <v>115.25</v>
      </c>
      <c r="R169" s="9">
        <v>118.75</v>
      </c>
      <c r="S169" s="8">
        <v>115</v>
      </c>
      <c r="T169" s="8">
        <v>100</v>
      </c>
      <c r="U169" s="9">
        <v>108</v>
      </c>
      <c r="V169" s="10" t="s">
        <v>10</v>
      </c>
      <c r="W169" s="8" t="s">
        <v>10</v>
      </c>
      <c r="X169" s="9" t="s">
        <v>10</v>
      </c>
      <c r="Y169" s="10" t="s">
        <v>10</v>
      </c>
      <c r="Z169" s="8" t="s">
        <v>10</v>
      </c>
      <c r="AA169" s="9" t="s">
        <v>10</v>
      </c>
      <c r="AB169" s="10" t="s">
        <v>10</v>
      </c>
      <c r="AC169" s="8" t="s">
        <v>10</v>
      </c>
      <c r="AD169" s="9" t="s">
        <v>10</v>
      </c>
    </row>
    <row r="170" spans="1:30" x14ac:dyDescent="0.35">
      <c r="A170" s="2">
        <v>2016</v>
      </c>
      <c r="B170" s="2">
        <v>1</v>
      </c>
      <c r="C170" s="2">
        <v>2</v>
      </c>
      <c r="D170" s="6">
        <v>7.5</v>
      </c>
      <c r="E170" s="6">
        <v>-2.5</v>
      </c>
      <c r="F170" s="6">
        <v>2.5</v>
      </c>
      <c r="G170" s="10">
        <v>10</v>
      </c>
      <c r="H170" s="8">
        <v>0</v>
      </c>
      <c r="I170" s="9">
        <v>5</v>
      </c>
      <c r="J170" s="12" t="s">
        <v>10</v>
      </c>
      <c r="K170" s="6" t="s">
        <v>10</v>
      </c>
      <c r="L170" s="6" t="s">
        <v>10</v>
      </c>
      <c r="M170" s="12" t="s">
        <v>10</v>
      </c>
      <c r="N170" s="6" t="s">
        <v>10</v>
      </c>
      <c r="O170" s="7" t="s">
        <v>10</v>
      </c>
      <c r="P170" s="10">
        <v>103.75</v>
      </c>
      <c r="Q170" s="8">
        <v>88</v>
      </c>
      <c r="R170" s="9">
        <v>96</v>
      </c>
      <c r="S170" s="8">
        <v>116.5</v>
      </c>
      <c r="T170" s="8">
        <v>94</v>
      </c>
      <c r="U170" s="9">
        <v>105.75</v>
      </c>
      <c r="V170" s="10" t="s">
        <v>10</v>
      </c>
      <c r="W170" s="8" t="s">
        <v>10</v>
      </c>
      <c r="X170" s="9" t="s">
        <v>10</v>
      </c>
      <c r="Y170" s="10" t="s">
        <v>10</v>
      </c>
      <c r="Z170" s="8" t="s">
        <v>10</v>
      </c>
      <c r="AA170" s="9" t="s">
        <v>10</v>
      </c>
      <c r="AB170" s="10" t="s">
        <v>10</v>
      </c>
      <c r="AC170" s="8" t="s">
        <v>10</v>
      </c>
      <c r="AD170" s="9" t="s">
        <v>10</v>
      </c>
    </row>
    <row r="171" spans="1:30" x14ac:dyDescent="0.35">
      <c r="A171" s="2">
        <v>2016</v>
      </c>
      <c r="B171" s="2">
        <v>1</v>
      </c>
      <c r="C171" s="2">
        <v>3</v>
      </c>
      <c r="D171" s="6">
        <v>5</v>
      </c>
      <c r="E171" s="6">
        <v>-12</v>
      </c>
      <c r="F171" s="6">
        <v>-3.6</v>
      </c>
      <c r="G171" s="10">
        <v>6</v>
      </c>
      <c r="H171" s="8">
        <v>-2</v>
      </c>
      <c r="I171" s="9">
        <v>2.2000000000000002</v>
      </c>
      <c r="J171" s="12" t="s">
        <v>10</v>
      </c>
      <c r="K171" s="6" t="s">
        <v>10</v>
      </c>
      <c r="L171" s="6" t="s">
        <v>10</v>
      </c>
      <c r="M171" s="12" t="s">
        <v>10</v>
      </c>
      <c r="N171" s="6" t="s">
        <v>10</v>
      </c>
      <c r="O171" s="7" t="s">
        <v>10</v>
      </c>
      <c r="P171" s="10">
        <v>87</v>
      </c>
      <c r="Q171" s="8">
        <v>82</v>
      </c>
      <c r="R171" s="9">
        <v>85</v>
      </c>
      <c r="S171" s="8">
        <v>117</v>
      </c>
      <c r="T171" s="8">
        <v>92</v>
      </c>
      <c r="U171" s="9">
        <v>105</v>
      </c>
      <c r="V171" s="10" t="s">
        <v>10</v>
      </c>
      <c r="W171" s="8" t="s">
        <v>10</v>
      </c>
      <c r="X171" s="9" t="s">
        <v>10</v>
      </c>
      <c r="Y171" s="10" t="s">
        <v>10</v>
      </c>
      <c r="Z171" s="8" t="s">
        <v>10</v>
      </c>
      <c r="AA171" s="9" t="s">
        <v>10</v>
      </c>
      <c r="AB171" s="10" t="s">
        <v>10</v>
      </c>
      <c r="AC171" s="8" t="s">
        <v>10</v>
      </c>
      <c r="AD171" s="9" t="s">
        <v>10</v>
      </c>
    </row>
    <row r="172" spans="1:30" x14ac:dyDescent="0.35">
      <c r="A172" s="2">
        <v>2016</v>
      </c>
      <c r="B172" s="2">
        <v>2</v>
      </c>
      <c r="C172" s="2">
        <v>4</v>
      </c>
      <c r="D172" s="6">
        <v>5</v>
      </c>
      <c r="E172" s="6">
        <v>-15</v>
      </c>
      <c r="F172" s="6">
        <v>-5</v>
      </c>
      <c r="G172" s="10">
        <v>10</v>
      </c>
      <c r="H172" s="8">
        <v>0</v>
      </c>
      <c r="I172" s="9">
        <v>5</v>
      </c>
      <c r="J172" s="12" t="s">
        <v>10</v>
      </c>
      <c r="K172" s="6" t="s">
        <v>10</v>
      </c>
      <c r="L172" s="6" t="s">
        <v>10</v>
      </c>
      <c r="M172" s="12" t="s">
        <v>10</v>
      </c>
      <c r="N172" s="6" t="s">
        <v>10</v>
      </c>
      <c r="O172" s="7" t="s">
        <v>10</v>
      </c>
      <c r="P172" s="10">
        <v>85</v>
      </c>
      <c r="Q172" s="8">
        <v>80</v>
      </c>
      <c r="R172" s="9">
        <v>83</v>
      </c>
      <c r="S172" s="8">
        <v>98.5</v>
      </c>
      <c r="T172" s="8">
        <v>81</v>
      </c>
      <c r="U172" s="9">
        <v>90</v>
      </c>
      <c r="V172" s="10" t="s">
        <v>10</v>
      </c>
      <c r="W172" s="8" t="s">
        <v>10</v>
      </c>
      <c r="X172" s="9" t="s">
        <v>10</v>
      </c>
      <c r="Y172" s="10" t="s">
        <v>10</v>
      </c>
      <c r="Z172" s="8" t="s">
        <v>10</v>
      </c>
      <c r="AA172" s="9" t="s">
        <v>10</v>
      </c>
      <c r="AB172" s="10" t="s">
        <v>10</v>
      </c>
      <c r="AC172" s="8" t="s">
        <v>10</v>
      </c>
      <c r="AD172" s="9" t="s">
        <v>10</v>
      </c>
    </row>
    <row r="173" spans="1:30" x14ac:dyDescent="0.35">
      <c r="A173" s="2">
        <v>2016</v>
      </c>
      <c r="B173" s="2">
        <v>2</v>
      </c>
      <c r="C173" s="2">
        <v>5</v>
      </c>
      <c r="D173" s="6">
        <v>5</v>
      </c>
      <c r="E173" s="6">
        <v>-15</v>
      </c>
      <c r="F173" s="6">
        <v>-5</v>
      </c>
      <c r="G173" s="10">
        <v>10</v>
      </c>
      <c r="H173" s="8">
        <v>0</v>
      </c>
      <c r="I173" s="9">
        <v>5</v>
      </c>
      <c r="J173" s="12" t="s">
        <v>10</v>
      </c>
      <c r="K173" s="6" t="s">
        <v>10</v>
      </c>
      <c r="L173" s="6" t="s">
        <v>10</v>
      </c>
      <c r="M173" s="12" t="s">
        <v>10</v>
      </c>
      <c r="N173" s="6" t="s">
        <v>10</v>
      </c>
      <c r="O173" s="7" t="s">
        <v>10</v>
      </c>
      <c r="P173" s="10">
        <v>85</v>
      </c>
      <c r="Q173" s="8">
        <v>80</v>
      </c>
      <c r="R173" s="9">
        <v>83</v>
      </c>
      <c r="S173" s="8">
        <v>80</v>
      </c>
      <c r="T173" s="8">
        <v>70</v>
      </c>
      <c r="U173" s="9">
        <v>75</v>
      </c>
      <c r="V173" s="10" t="s">
        <v>10</v>
      </c>
      <c r="W173" s="8" t="s">
        <v>10</v>
      </c>
      <c r="X173" s="9" t="s">
        <v>10</v>
      </c>
      <c r="Y173" s="10" t="s">
        <v>10</v>
      </c>
      <c r="Z173" s="8" t="s">
        <v>10</v>
      </c>
      <c r="AA173" s="9" t="s">
        <v>10</v>
      </c>
      <c r="AB173" s="10" t="s">
        <v>10</v>
      </c>
      <c r="AC173" s="8" t="s">
        <v>10</v>
      </c>
      <c r="AD173" s="9" t="s">
        <v>10</v>
      </c>
    </row>
    <row r="174" spans="1:30" x14ac:dyDescent="0.35">
      <c r="A174" s="2">
        <v>2016</v>
      </c>
      <c r="B174" s="2">
        <v>2</v>
      </c>
      <c r="C174" s="2">
        <v>6</v>
      </c>
      <c r="D174" s="6">
        <v>5</v>
      </c>
      <c r="E174" s="6">
        <v>-15</v>
      </c>
      <c r="F174" s="6">
        <v>-5</v>
      </c>
      <c r="G174" s="10">
        <v>10</v>
      </c>
      <c r="H174" s="8">
        <v>0</v>
      </c>
      <c r="I174" s="9">
        <v>5</v>
      </c>
      <c r="J174" s="12" t="s">
        <v>10</v>
      </c>
      <c r="K174" s="6" t="s">
        <v>10</v>
      </c>
      <c r="L174" s="6" t="s">
        <v>10</v>
      </c>
      <c r="M174" s="12" t="s">
        <v>10</v>
      </c>
      <c r="N174" s="6" t="s">
        <v>10</v>
      </c>
      <c r="O174" s="7" t="s">
        <v>10</v>
      </c>
      <c r="P174" s="10">
        <v>85</v>
      </c>
      <c r="Q174" s="8">
        <v>78</v>
      </c>
      <c r="R174" s="9">
        <v>81.8</v>
      </c>
      <c r="S174" s="8">
        <v>80</v>
      </c>
      <c r="T174" s="8">
        <v>70</v>
      </c>
      <c r="U174" s="9">
        <v>75</v>
      </c>
      <c r="V174" s="10" t="s">
        <v>10</v>
      </c>
      <c r="W174" s="8" t="s">
        <v>10</v>
      </c>
      <c r="X174" s="9" t="s">
        <v>10</v>
      </c>
      <c r="Y174" s="10" t="s">
        <v>10</v>
      </c>
      <c r="Z174" s="8" t="s">
        <v>10</v>
      </c>
      <c r="AA174" s="9" t="s">
        <v>10</v>
      </c>
      <c r="AB174" s="10" t="s">
        <v>10</v>
      </c>
      <c r="AC174" s="8" t="s">
        <v>10</v>
      </c>
      <c r="AD174" s="9" t="s">
        <v>10</v>
      </c>
    </row>
    <row r="175" spans="1:30" x14ac:dyDescent="0.35">
      <c r="A175" s="2">
        <v>2016</v>
      </c>
      <c r="B175" s="2">
        <v>3</v>
      </c>
      <c r="C175" s="2">
        <v>7</v>
      </c>
      <c r="D175" s="6">
        <v>5</v>
      </c>
      <c r="E175" s="6">
        <v>-10</v>
      </c>
      <c r="F175" s="6">
        <v>-3</v>
      </c>
      <c r="G175" s="10">
        <v>13.75</v>
      </c>
      <c r="H175" s="8">
        <v>3.75</v>
      </c>
      <c r="I175" s="9">
        <v>8.75</v>
      </c>
      <c r="J175" s="12" t="s">
        <v>10</v>
      </c>
      <c r="K175" s="6" t="s">
        <v>10</v>
      </c>
      <c r="L175" s="6" t="s">
        <v>10</v>
      </c>
      <c r="M175" s="12" t="s">
        <v>10</v>
      </c>
      <c r="N175" s="6" t="s">
        <v>10</v>
      </c>
      <c r="O175" s="7" t="s">
        <v>10</v>
      </c>
      <c r="P175" s="10">
        <v>78.75</v>
      </c>
      <c r="Q175" s="8">
        <v>70.25</v>
      </c>
      <c r="R175" s="9">
        <v>74.5</v>
      </c>
      <c r="S175" s="8">
        <v>80</v>
      </c>
      <c r="T175" s="8">
        <v>70</v>
      </c>
      <c r="U175" s="9">
        <v>75</v>
      </c>
      <c r="V175" s="10" t="s">
        <v>10</v>
      </c>
      <c r="W175" s="8" t="s">
        <v>10</v>
      </c>
      <c r="X175" s="9" t="s">
        <v>10</v>
      </c>
      <c r="Y175" s="10" t="s">
        <v>10</v>
      </c>
      <c r="Z175" s="8" t="s">
        <v>10</v>
      </c>
      <c r="AA175" s="9" t="s">
        <v>10</v>
      </c>
      <c r="AB175" s="10" t="s">
        <v>10</v>
      </c>
      <c r="AC175" s="8" t="s">
        <v>10</v>
      </c>
      <c r="AD175" s="9" t="s">
        <v>10</v>
      </c>
    </row>
    <row r="176" spans="1:30" x14ac:dyDescent="0.35">
      <c r="A176" s="2">
        <v>2016</v>
      </c>
      <c r="B176" s="2">
        <v>3</v>
      </c>
      <c r="C176" s="2">
        <v>8</v>
      </c>
      <c r="D176" s="6">
        <v>5</v>
      </c>
      <c r="E176" s="6">
        <v>-5</v>
      </c>
      <c r="F176" s="6">
        <v>0</v>
      </c>
      <c r="G176" s="10">
        <v>17.5</v>
      </c>
      <c r="H176" s="8">
        <v>7.5</v>
      </c>
      <c r="I176" s="9">
        <v>12.5</v>
      </c>
      <c r="J176" s="12" t="s">
        <v>10</v>
      </c>
      <c r="K176" s="6" t="s">
        <v>10</v>
      </c>
      <c r="L176" s="6" t="s">
        <v>10</v>
      </c>
      <c r="M176" s="12" t="s">
        <v>10</v>
      </c>
      <c r="N176" s="6" t="s">
        <v>10</v>
      </c>
      <c r="O176" s="7" t="s">
        <v>10</v>
      </c>
      <c r="P176" s="10">
        <v>72.5</v>
      </c>
      <c r="Q176" s="8">
        <v>65.75</v>
      </c>
      <c r="R176" s="9">
        <v>69.25</v>
      </c>
      <c r="S176" s="8">
        <v>77.75</v>
      </c>
      <c r="T176" s="8">
        <v>69.25</v>
      </c>
      <c r="U176" s="9">
        <v>73.5</v>
      </c>
      <c r="V176" s="10" t="s">
        <v>10</v>
      </c>
      <c r="W176" s="8" t="s">
        <v>10</v>
      </c>
      <c r="X176" s="9" t="s">
        <v>10</v>
      </c>
      <c r="Y176" s="10" t="s">
        <v>10</v>
      </c>
      <c r="Z176" s="8" t="s">
        <v>10</v>
      </c>
      <c r="AA176" s="9" t="s">
        <v>10</v>
      </c>
      <c r="AB176" s="10" t="s">
        <v>10</v>
      </c>
      <c r="AC176" s="8" t="s">
        <v>10</v>
      </c>
      <c r="AD176" s="9" t="s">
        <v>10</v>
      </c>
    </row>
    <row r="177" spans="1:30" x14ac:dyDescent="0.35">
      <c r="A177" s="2">
        <v>2016</v>
      </c>
      <c r="B177" s="2">
        <v>3</v>
      </c>
      <c r="C177" s="2">
        <v>9</v>
      </c>
      <c r="D177" s="6">
        <v>7.4</v>
      </c>
      <c r="E177" s="6">
        <v>-5</v>
      </c>
      <c r="F177" s="6">
        <v>1.2</v>
      </c>
      <c r="G177" s="10">
        <v>19</v>
      </c>
      <c r="H177" s="8">
        <v>9</v>
      </c>
      <c r="I177" s="9">
        <v>14</v>
      </c>
      <c r="J177" s="12" t="s">
        <v>10</v>
      </c>
      <c r="K177" s="6" t="s">
        <v>10</v>
      </c>
      <c r="L177" s="6" t="s">
        <v>10</v>
      </c>
      <c r="M177" s="12" t="s">
        <v>10</v>
      </c>
      <c r="N177" s="6" t="s">
        <v>10</v>
      </c>
      <c r="O177" s="7" t="s">
        <v>10</v>
      </c>
      <c r="P177" s="10">
        <v>79</v>
      </c>
      <c r="Q177" s="8">
        <v>74</v>
      </c>
      <c r="R177" s="9">
        <v>77</v>
      </c>
      <c r="S177" s="8">
        <v>77</v>
      </c>
      <c r="T177" s="8">
        <v>69</v>
      </c>
      <c r="U177" s="9">
        <v>73</v>
      </c>
      <c r="V177" s="10" t="s">
        <v>10</v>
      </c>
      <c r="W177" s="8" t="s">
        <v>10</v>
      </c>
      <c r="X177" s="9" t="s">
        <v>10</v>
      </c>
      <c r="Y177" s="10" t="s">
        <v>10</v>
      </c>
      <c r="Z177" s="8" t="s">
        <v>10</v>
      </c>
      <c r="AA177" s="9" t="s">
        <v>10</v>
      </c>
      <c r="AB177" s="10" t="s">
        <v>10</v>
      </c>
      <c r="AC177" s="8" t="s">
        <v>10</v>
      </c>
      <c r="AD177" s="9" t="s">
        <v>10</v>
      </c>
    </row>
    <row r="178" spans="1:30" x14ac:dyDescent="0.35">
      <c r="A178" s="2">
        <v>2016</v>
      </c>
      <c r="B178" s="2">
        <v>4</v>
      </c>
      <c r="C178" s="2">
        <v>10</v>
      </c>
      <c r="D178" s="6">
        <v>8</v>
      </c>
      <c r="E178" s="6">
        <v>-5</v>
      </c>
      <c r="F178" s="6">
        <v>1.5</v>
      </c>
      <c r="G178" s="10">
        <v>14.5</v>
      </c>
      <c r="H178" s="8">
        <v>4.25</v>
      </c>
      <c r="I178" s="9">
        <v>9.5</v>
      </c>
      <c r="J178" s="12" t="s">
        <v>10</v>
      </c>
      <c r="K178" s="6" t="s">
        <v>10</v>
      </c>
      <c r="L178" s="6" t="s">
        <v>10</v>
      </c>
      <c r="M178" s="12" t="s">
        <v>10</v>
      </c>
      <c r="N178" s="6" t="s">
        <v>10</v>
      </c>
      <c r="O178" s="7" t="s">
        <v>10</v>
      </c>
      <c r="P178" s="10">
        <v>80.5</v>
      </c>
      <c r="Q178" s="8">
        <v>75.5</v>
      </c>
      <c r="R178" s="9">
        <v>78.5</v>
      </c>
      <c r="S178" s="8">
        <v>77.5</v>
      </c>
      <c r="T178" s="8">
        <v>68</v>
      </c>
      <c r="U178" s="9">
        <v>73</v>
      </c>
      <c r="V178" s="10" t="s">
        <v>10</v>
      </c>
      <c r="W178" s="8" t="s">
        <v>10</v>
      </c>
      <c r="X178" s="9" t="s">
        <v>10</v>
      </c>
      <c r="Y178" s="10" t="s">
        <v>10</v>
      </c>
      <c r="Z178" s="8" t="s">
        <v>10</v>
      </c>
      <c r="AA178" s="9" t="s">
        <v>10</v>
      </c>
      <c r="AB178" s="10" t="s">
        <v>10</v>
      </c>
      <c r="AC178" s="8" t="s">
        <v>10</v>
      </c>
      <c r="AD178" s="9" t="s">
        <v>10</v>
      </c>
    </row>
    <row r="179" spans="1:30" x14ac:dyDescent="0.35">
      <c r="A179" s="2">
        <v>2016</v>
      </c>
      <c r="B179" s="2">
        <v>4</v>
      </c>
      <c r="C179" s="2">
        <v>11</v>
      </c>
      <c r="D179" s="6">
        <v>5</v>
      </c>
      <c r="E179" s="6">
        <v>-5</v>
      </c>
      <c r="F179" s="6">
        <v>0</v>
      </c>
      <c r="G179" s="10">
        <v>14.5</v>
      </c>
      <c r="H179" s="8">
        <v>4.25</v>
      </c>
      <c r="I179" s="9">
        <v>9.5</v>
      </c>
      <c r="J179" s="12" t="s">
        <v>10</v>
      </c>
      <c r="K179" s="6" t="s">
        <v>10</v>
      </c>
      <c r="L179" s="6" t="s">
        <v>10</v>
      </c>
      <c r="M179" s="12" t="s">
        <v>10</v>
      </c>
      <c r="N179" s="6" t="s">
        <v>10</v>
      </c>
      <c r="O179" s="7" t="s">
        <v>10</v>
      </c>
      <c r="P179" s="10">
        <v>88.75</v>
      </c>
      <c r="Q179" s="8">
        <v>80.25</v>
      </c>
      <c r="R179" s="9">
        <v>84.75</v>
      </c>
      <c r="S179" s="8">
        <v>78</v>
      </c>
      <c r="T179" s="8">
        <v>67</v>
      </c>
      <c r="U179" s="9">
        <v>73</v>
      </c>
      <c r="V179" s="10" t="s">
        <v>10</v>
      </c>
      <c r="W179" s="8" t="s">
        <v>10</v>
      </c>
      <c r="X179" s="9" t="s">
        <v>10</v>
      </c>
      <c r="Y179" s="10" t="s">
        <v>10</v>
      </c>
      <c r="Z179" s="8" t="s">
        <v>10</v>
      </c>
      <c r="AA179" s="9" t="s">
        <v>10</v>
      </c>
      <c r="AB179" s="10" t="s">
        <v>10</v>
      </c>
      <c r="AC179" s="8" t="s">
        <v>10</v>
      </c>
      <c r="AD179" s="9" t="s">
        <v>10</v>
      </c>
    </row>
    <row r="180" spans="1:30" x14ac:dyDescent="0.35">
      <c r="A180" s="2">
        <v>2016</v>
      </c>
      <c r="B180" s="2">
        <v>4</v>
      </c>
      <c r="C180" s="2">
        <v>12</v>
      </c>
      <c r="D180" s="6">
        <v>5</v>
      </c>
      <c r="E180" s="6">
        <v>-8</v>
      </c>
      <c r="F180" s="6">
        <v>-1.8</v>
      </c>
      <c r="G180" s="10">
        <v>12</v>
      </c>
      <c r="H180" s="8">
        <v>3.2</v>
      </c>
      <c r="I180" s="9">
        <v>7.6</v>
      </c>
      <c r="J180" s="12" t="s">
        <v>10</v>
      </c>
      <c r="K180" s="6" t="s">
        <v>10</v>
      </c>
      <c r="L180" s="6" t="s">
        <v>10</v>
      </c>
      <c r="M180" s="12" t="s">
        <v>10</v>
      </c>
      <c r="N180" s="6" t="s">
        <v>10</v>
      </c>
      <c r="O180" s="7" t="s">
        <v>10</v>
      </c>
      <c r="P180" s="10">
        <v>94</v>
      </c>
      <c r="Q180" s="8">
        <v>87</v>
      </c>
      <c r="R180" s="9">
        <v>91</v>
      </c>
      <c r="S180" s="8">
        <v>78</v>
      </c>
      <c r="T180" s="8">
        <v>67</v>
      </c>
      <c r="U180" s="9">
        <v>73</v>
      </c>
      <c r="V180" s="10" t="s">
        <v>10</v>
      </c>
      <c r="W180" s="8" t="s">
        <v>10</v>
      </c>
      <c r="X180" s="9" t="s">
        <v>10</v>
      </c>
      <c r="Y180" s="10" t="s">
        <v>10</v>
      </c>
      <c r="Z180" s="8" t="s">
        <v>10</v>
      </c>
      <c r="AA180" s="9" t="s">
        <v>10</v>
      </c>
      <c r="AB180" s="10" t="s">
        <v>10</v>
      </c>
      <c r="AC180" s="8" t="s">
        <v>10</v>
      </c>
      <c r="AD180" s="9" t="s">
        <v>10</v>
      </c>
    </row>
    <row r="181" spans="1:30" x14ac:dyDescent="0.35">
      <c r="A181" s="2">
        <v>2017</v>
      </c>
      <c r="B181" s="2">
        <v>1</v>
      </c>
      <c r="C181" s="2">
        <v>1</v>
      </c>
      <c r="D181" s="6">
        <v>5</v>
      </c>
      <c r="E181" s="6">
        <v>-10</v>
      </c>
      <c r="F181" s="6">
        <v>-3</v>
      </c>
      <c r="G181" s="10">
        <v>11.5</v>
      </c>
      <c r="H181" s="8">
        <v>2</v>
      </c>
      <c r="I181" s="9">
        <v>7</v>
      </c>
      <c r="J181" s="12" t="s">
        <v>10</v>
      </c>
      <c r="K181" s="6" t="s">
        <v>10</v>
      </c>
      <c r="L181" s="6" t="s">
        <v>10</v>
      </c>
      <c r="M181" s="12" t="s">
        <v>10</v>
      </c>
      <c r="N181" s="6" t="s">
        <v>10</v>
      </c>
      <c r="O181" s="7" t="s">
        <v>10</v>
      </c>
      <c r="P181" s="10">
        <v>92</v>
      </c>
      <c r="Q181" s="8">
        <v>86.5</v>
      </c>
      <c r="R181" s="9">
        <v>89.5</v>
      </c>
      <c r="S181" s="8">
        <v>82.5</v>
      </c>
      <c r="T181" s="8">
        <v>69.25</v>
      </c>
      <c r="U181" s="9">
        <v>76.25</v>
      </c>
      <c r="V181" s="10" t="s">
        <v>10</v>
      </c>
      <c r="W181" s="8" t="s">
        <v>10</v>
      </c>
      <c r="X181" s="9" t="s">
        <v>10</v>
      </c>
      <c r="Y181" s="10" t="s">
        <v>10</v>
      </c>
      <c r="Z181" s="8" t="s">
        <v>10</v>
      </c>
      <c r="AA181" s="9" t="s">
        <v>10</v>
      </c>
      <c r="AB181" s="10" t="s">
        <v>10</v>
      </c>
      <c r="AC181" s="8" t="s">
        <v>10</v>
      </c>
      <c r="AD181" s="9" t="s">
        <v>10</v>
      </c>
    </row>
    <row r="182" spans="1:30" x14ac:dyDescent="0.35">
      <c r="A182" s="2">
        <v>2017</v>
      </c>
      <c r="B182" s="2">
        <v>1</v>
      </c>
      <c r="C182" s="2">
        <v>2</v>
      </c>
      <c r="D182" s="6">
        <v>5</v>
      </c>
      <c r="E182" s="6">
        <v>-10</v>
      </c>
      <c r="F182" s="6">
        <v>-3</v>
      </c>
      <c r="G182" s="10">
        <v>14.5</v>
      </c>
      <c r="H182" s="8">
        <v>4.25</v>
      </c>
      <c r="I182" s="9">
        <v>9.5</v>
      </c>
      <c r="J182" s="12" t="s">
        <v>10</v>
      </c>
      <c r="K182" s="6" t="s">
        <v>10</v>
      </c>
      <c r="L182" s="6" t="s">
        <v>10</v>
      </c>
      <c r="M182" s="12" t="s">
        <v>10</v>
      </c>
      <c r="N182" s="6" t="s">
        <v>10</v>
      </c>
      <c r="O182" s="7" t="s">
        <v>10</v>
      </c>
      <c r="P182" s="10">
        <v>90</v>
      </c>
      <c r="Q182" s="8">
        <v>86</v>
      </c>
      <c r="R182" s="9">
        <v>88</v>
      </c>
      <c r="S182" s="8">
        <v>85</v>
      </c>
      <c r="T182" s="8">
        <v>70</v>
      </c>
      <c r="U182" s="9">
        <v>78</v>
      </c>
      <c r="V182" s="10" t="s">
        <v>10</v>
      </c>
      <c r="W182" s="8" t="s">
        <v>10</v>
      </c>
      <c r="X182" s="9" t="s">
        <v>10</v>
      </c>
      <c r="Y182" s="10" t="s">
        <v>10</v>
      </c>
      <c r="Z182" s="8" t="s">
        <v>10</v>
      </c>
      <c r="AA182" s="9" t="s">
        <v>10</v>
      </c>
      <c r="AB182" s="10" t="s">
        <v>10</v>
      </c>
      <c r="AC182" s="8" t="s">
        <v>10</v>
      </c>
      <c r="AD182" s="9" t="s">
        <v>10</v>
      </c>
    </row>
    <row r="183" spans="1:30" x14ac:dyDescent="0.35">
      <c r="A183" s="2">
        <v>2017</v>
      </c>
      <c r="B183" s="2">
        <v>1</v>
      </c>
      <c r="C183" s="2">
        <v>3</v>
      </c>
      <c r="D183" s="6">
        <v>8.1999999999999993</v>
      </c>
      <c r="E183" s="6">
        <v>-9</v>
      </c>
      <c r="F183" s="6">
        <v>-0.6</v>
      </c>
      <c r="G183" s="10">
        <v>15</v>
      </c>
      <c r="H183" s="8">
        <v>5</v>
      </c>
      <c r="I183" s="9">
        <v>10</v>
      </c>
      <c r="J183" s="12" t="s">
        <v>10</v>
      </c>
      <c r="K183" s="6" t="s">
        <v>10</v>
      </c>
      <c r="L183" s="6" t="s">
        <v>10</v>
      </c>
      <c r="M183" s="12" t="s">
        <v>10</v>
      </c>
      <c r="N183" s="6" t="s">
        <v>10</v>
      </c>
      <c r="O183" s="7" t="s">
        <v>10</v>
      </c>
      <c r="P183" s="10">
        <v>90</v>
      </c>
      <c r="Q183" s="8">
        <v>84.6</v>
      </c>
      <c r="R183" s="9">
        <v>87.4</v>
      </c>
      <c r="S183" s="8">
        <v>85</v>
      </c>
      <c r="T183" s="8">
        <v>70</v>
      </c>
      <c r="U183" s="9">
        <v>78</v>
      </c>
      <c r="V183" s="10" t="s">
        <v>10</v>
      </c>
      <c r="W183" s="8" t="s">
        <v>10</v>
      </c>
      <c r="X183" s="9" t="s">
        <v>10</v>
      </c>
      <c r="Y183" s="10" t="s">
        <v>10</v>
      </c>
      <c r="Z183" s="8" t="s">
        <v>10</v>
      </c>
      <c r="AA183" s="9" t="s">
        <v>10</v>
      </c>
      <c r="AB183" s="10" t="s">
        <v>10</v>
      </c>
      <c r="AC183" s="8" t="s">
        <v>10</v>
      </c>
      <c r="AD183" s="9" t="s">
        <v>10</v>
      </c>
    </row>
    <row r="184" spans="1:30" x14ac:dyDescent="0.35">
      <c r="A184" s="2">
        <v>2017</v>
      </c>
      <c r="B184" s="2">
        <v>2</v>
      </c>
      <c r="C184" s="2">
        <v>4</v>
      </c>
      <c r="D184" s="6">
        <v>18.75</v>
      </c>
      <c r="E184" s="6">
        <v>-5</v>
      </c>
      <c r="F184" s="6">
        <v>7.25</v>
      </c>
      <c r="G184" s="10">
        <v>18.75</v>
      </c>
      <c r="H184" s="8">
        <v>8.75</v>
      </c>
      <c r="I184" s="9">
        <v>13.75</v>
      </c>
      <c r="J184" s="12" t="s">
        <v>10</v>
      </c>
      <c r="K184" s="6" t="s">
        <v>10</v>
      </c>
      <c r="L184" s="6" t="s">
        <v>10</v>
      </c>
      <c r="M184" s="12" t="s">
        <v>10</v>
      </c>
      <c r="N184" s="6" t="s">
        <v>10</v>
      </c>
      <c r="O184" s="7" t="s">
        <v>10</v>
      </c>
      <c r="P184" s="10">
        <v>84</v>
      </c>
      <c r="Q184" s="8">
        <v>77</v>
      </c>
      <c r="R184" s="9">
        <v>80.5</v>
      </c>
      <c r="S184" s="8">
        <v>85</v>
      </c>
      <c r="T184" s="8">
        <v>70</v>
      </c>
      <c r="U184" s="9">
        <v>78</v>
      </c>
      <c r="V184" s="10" t="s">
        <v>10</v>
      </c>
      <c r="W184" s="8" t="s">
        <v>10</v>
      </c>
      <c r="X184" s="9" t="s">
        <v>10</v>
      </c>
      <c r="Y184" s="10" t="s">
        <v>10</v>
      </c>
      <c r="Z184" s="8" t="s">
        <v>10</v>
      </c>
      <c r="AA184" s="9" t="s">
        <v>10</v>
      </c>
      <c r="AB184" s="10" t="s">
        <v>10</v>
      </c>
      <c r="AC184" s="8" t="s">
        <v>10</v>
      </c>
      <c r="AD184" s="9" t="s">
        <v>10</v>
      </c>
    </row>
    <row r="185" spans="1:30" x14ac:dyDescent="0.35">
      <c r="A185" s="2">
        <v>2017</v>
      </c>
      <c r="B185" s="2">
        <v>2</v>
      </c>
      <c r="C185" s="2">
        <v>5</v>
      </c>
      <c r="D185" s="6">
        <v>23.75</v>
      </c>
      <c r="E185" s="6">
        <v>-1.25</v>
      </c>
      <c r="F185" s="6">
        <v>11.75</v>
      </c>
      <c r="G185" s="10">
        <v>22.5</v>
      </c>
      <c r="H185" s="8">
        <v>12.5</v>
      </c>
      <c r="I185" s="9">
        <v>17.5</v>
      </c>
      <c r="J185" s="12" t="s">
        <v>10</v>
      </c>
      <c r="K185" s="6" t="s">
        <v>10</v>
      </c>
      <c r="L185" s="6" t="s">
        <v>10</v>
      </c>
      <c r="M185" s="12" t="s">
        <v>10</v>
      </c>
      <c r="N185" s="6" t="s">
        <v>10</v>
      </c>
      <c r="O185" s="7" t="s">
        <v>10</v>
      </c>
      <c r="P185" s="10">
        <v>79</v>
      </c>
      <c r="Q185" s="8">
        <v>72</v>
      </c>
      <c r="R185" s="9">
        <v>75.5</v>
      </c>
      <c r="S185" s="8">
        <v>85</v>
      </c>
      <c r="T185" s="8">
        <v>70</v>
      </c>
      <c r="U185" s="9">
        <v>78</v>
      </c>
      <c r="V185" s="10" t="s">
        <v>10</v>
      </c>
      <c r="W185" s="8" t="s">
        <v>10</v>
      </c>
      <c r="X185" s="9" t="s">
        <v>10</v>
      </c>
      <c r="Y185" s="10" t="s">
        <v>10</v>
      </c>
      <c r="Z185" s="8" t="s">
        <v>10</v>
      </c>
      <c r="AA185" s="9" t="s">
        <v>10</v>
      </c>
      <c r="AB185" s="10" t="s">
        <v>10</v>
      </c>
      <c r="AC185" s="8" t="s">
        <v>10</v>
      </c>
      <c r="AD185" s="9" t="s">
        <v>10</v>
      </c>
    </row>
    <row r="186" spans="1:30" x14ac:dyDescent="0.35">
      <c r="A186" s="2">
        <v>2017</v>
      </c>
      <c r="B186" s="2">
        <v>2</v>
      </c>
      <c r="C186" s="2">
        <v>6</v>
      </c>
      <c r="D186" s="6">
        <v>25</v>
      </c>
      <c r="E186" s="6">
        <v>0</v>
      </c>
      <c r="F186" s="6">
        <v>13</v>
      </c>
      <c r="G186" s="10">
        <v>25</v>
      </c>
      <c r="H186" s="8">
        <v>15</v>
      </c>
      <c r="I186" s="9">
        <v>20</v>
      </c>
      <c r="J186" s="12" t="s">
        <v>10</v>
      </c>
      <c r="K186" s="6" t="s">
        <v>10</v>
      </c>
      <c r="L186" s="6" t="s">
        <v>10</v>
      </c>
      <c r="M186" s="12" t="s">
        <v>10</v>
      </c>
      <c r="N186" s="6" t="s">
        <v>10</v>
      </c>
      <c r="O186" s="7" t="s">
        <v>10</v>
      </c>
      <c r="P186" s="10">
        <v>82.6</v>
      </c>
      <c r="Q186" s="8">
        <v>76.400000000000006</v>
      </c>
      <c r="R186" s="9">
        <v>80</v>
      </c>
      <c r="S186" s="8">
        <v>85</v>
      </c>
      <c r="T186" s="8">
        <v>70</v>
      </c>
      <c r="U186" s="9">
        <v>78</v>
      </c>
      <c r="V186" s="10" t="s">
        <v>10</v>
      </c>
      <c r="W186" s="8" t="s">
        <v>10</v>
      </c>
      <c r="X186" s="9" t="s">
        <v>10</v>
      </c>
      <c r="Y186" s="10" t="s">
        <v>10</v>
      </c>
      <c r="Z186" s="8" t="s">
        <v>10</v>
      </c>
      <c r="AA186" s="9" t="s">
        <v>10</v>
      </c>
      <c r="AB186" s="10" t="s">
        <v>10</v>
      </c>
      <c r="AC186" s="8" t="s">
        <v>10</v>
      </c>
      <c r="AD186" s="9" t="s">
        <v>10</v>
      </c>
    </row>
    <row r="187" spans="1:30" x14ac:dyDescent="0.35">
      <c r="A187" s="2">
        <v>2017</v>
      </c>
      <c r="B187" s="2">
        <v>3</v>
      </c>
      <c r="C187" s="2">
        <v>7</v>
      </c>
      <c r="D187" s="6">
        <v>26.25</v>
      </c>
      <c r="E187" s="6">
        <v>0</v>
      </c>
      <c r="F187" s="6">
        <v>13.5</v>
      </c>
      <c r="G187" s="10">
        <v>25</v>
      </c>
      <c r="H187" s="8">
        <v>15</v>
      </c>
      <c r="I187" s="9">
        <v>20</v>
      </c>
      <c r="J187" s="12" t="s">
        <v>10</v>
      </c>
      <c r="K187" s="6" t="s">
        <v>10</v>
      </c>
      <c r="L187" s="6" t="s">
        <v>10</v>
      </c>
      <c r="M187" s="12" t="s">
        <v>10</v>
      </c>
      <c r="N187" s="6" t="s">
        <v>10</v>
      </c>
      <c r="O187" s="7" t="s">
        <v>10</v>
      </c>
      <c r="P187" s="10">
        <v>90.25</v>
      </c>
      <c r="Q187" s="8">
        <v>85.25</v>
      </c>
      <c r="R187" s="9">
        <v>88.25</v>
      </c>
      <c r="S187" s="8">
        <v>85</v>
      </c>
      <c r="T187" s="8">
        <v>70</v>
      </c>
      <c r="U187" s="9">
        <v>78</v>
      </c>
      <c r="V187" s="10" t="s">
        <v>10</v>
      </c>
      <c r="W187" s="8" t="s">
        <v>10</v>
      </c>
      <c r="X187" s="9" t="s">
        <v>10</v>
      </c>
      <c r="Y187" s="10" t="s">
        <v>10</v>
      </c>
      <c r="Z187" s="8" t="s">
        <v>10</v>
      </c>
      <c r="AA187" s="9" t="s">
        <v>10</v>
      </c>
      <c r="AB187" s="10" t="s">
        <v>10</v>
      </c>
      <c r="AC187" s="8" t="s">
        <v>10</v>
      </c>
      <c r="AD187" s="9" t="s">
        <v>10</v>
      </c>
    </row>
    <row r="188" spans="1:30" x14ac:dyDescent="0.35">
      <c r="A188" s="2">
        <v>2017</v>
      </c>
      <c r="B188" s="2">
        <v>3</v>
      </c>
      <c r="C188" s="2">
        <v>8</v>
      </c>
      <c r="D188" s="6">
        <v>30</v>
      </c>
      <c r="E188" s="6">
        <v>0</v>
      </c>
      <c r="F188" s="6">
        <v>15</v>
      </c>
      <c r="G188" s="10">
        <v>29</v>
      </c>
      <c r="H188" s="8">
        <v>15</v>
      </c>
      <c r="I188" s="9">
        <v>22.4</v>
      </c>
      <c r="J188" s="12" t="s">
        <v>10</v>
      </c>
      <c r="K188" s="6" t="s">
        <v>10</v>
      </c>
      <c r="L188" s="6" t="s">
        <v>10</v>
      </c>
      <c r="M188" s="12" t="s">
        <v>10</v>
      </c>
      <c r="N188" s="6" t="s">
        <v>10</v>
      </c>
      <c r="O188" s="7" t="s">
        <v>10</v>
      </c>
      <c r="P188" s="10">
        <v>107</v>
      </c>
      <c r="Q188" s="8">
        <v>100</v>
      </c>
      <c r="R188" s="9">
        <v>103.8</v>
      </c>
      <c r="S188" s="8">
        <v>92</v>
      </c>
      <c r="T188" s="8">
        <v>78</v>
      </c>
      <c r="U188" s="9">
        <v>85</v>
      </c>
      <c r="V188" s="10" t="s">
        <v>10</v>
      </c>
      <c r="W188" s="8" t="s">
        <v>10</v>
      </c>
      <c r="X188" s="9" t="s">
        <v>10</v>
      </c>
      <c r="Y188" s="10" t="s">
        <v>10</v>
      </c>
      <c r="Z188" s="8" t="s">
        <v>10</v>
      </c>
      <c r="AA188" s="9" t="s">
        <v>10</v>
      </c>
      <c r="AB188" s="10" t="s">
        <v>10</v>
      </c>
      <c r="AC188" s="8" t="s">
        <v>10</v>
      </c>
      <c r="AD188" s="9" t="s">
        <v>10</v>
      </c>
    </row>
    <row r="189" spans="1:30" x14ac:dyDescent="0.35">
      <c r="A189" s="2">
        <v>2017</v>
      </c>
      <c r="B189" s="2">
        <v>3</v>
      </c>
      <c r="C189" s="2">
        <v>9</v>
      </c>
      <c r="D189" s="6">
        <v>30</v>
      </c>
      <c r="E189" s="6">
        <v>0</v>
      </c>
      <c r="F189" s="6">
        <v>15</v>
      </c>
      <c r="G189" s="10">
        <v>30</v>
      </c>
      <c r="H189" s="8">
        <v>20</v>
      </c>
      <c r="I189" s="9">
        <v>25</v>
      </c>
      <c r="J189" s="12" t="s">
        <v>10</v>
      </c>
      <c r="K189" s="6" t="s">
        <v>10</v>
      </c>
      <c r="L189" s="6" t="s">
        <v>10</v>
      </c>
      <c r="M189" s="12" t="s">
        <v>10</v>
      </c>
      <c r="N189" s="6" t="s">
        <v>10</v>
      </c>
      <c r="O189" s="7" t="s">
        <v>10</v>
      </c>
      <c r="P189" s="10">
        <v>111.5</v>
      </c>
      <c r="Q189" s="8">
        <v>107.5</v>
      </c>
      <c r="R189" s="9">
        <v>109.5</v>
      </c>
      <c r="S189" s="8">
        <v>92</v>
      </c>
      <c r="T189" s="8">
        <v>78</v>
      </c>
      <c r="U189" s="9">
        <v>85</v>
      </c>
      <c r="V189" s="10" t="s">
        <v>10</v>
      </c>
      <c r="W189" s="8" t="s">
        <v>10</v>
      </c>
      <c r="X189" s="9" t="s">
        <v>10</v>
      </c>
      <c r="Y189" s="10" t="s">
        <v>10</v>
      </c>
      <c r="Z189" s="8" t="s">
        <v>10</v>
      </c>
      <c r="AA189" s="9" t="s">
        <v>10</v>
      </c>
      <c r="AB189" s="10" t="s">
        <v>10</v>
      </c>
      <c r="AC189" s="8" t="s">
        <v>10</v>
      </c>
      <c r="AD189" s="9" t="s">
        <v>10</v>
      </c>
    </row>
    <row r="190" spans="1:30" x14ac:dyDescent="0.35">
      <c r="A190" s="2">
        <v>2017</v>
      </c>
      <c r="B190" s="2">
        <v>4</v>
      </c>
      <c r="C190" s="2">
        <v>10</v>
      </c>
      <c r="D190" s="6">
        <v>28.75</v>
      </c>
      <c r="E190" s="6">
        <v>0</v>
      </c>
      <c r="F190" s="6">
        <v>14.5</v>
      </c>
      <c r="G190" s="10">
        <v>30</v>
      </c>
      <c r="H190" s="8">
        <v>20</v>
      </c>
      <c r="I190" s="9">
        <v>25</v>
      </c>
      <c r="J190" s="12" t="s">
        <v>10</v>
      </c>
      <c r="K190" s="6" t="s">
        <v>10</v>
      </c>
      <c r="L190" s="6" t="s">
        <v>10</v>
      </c>
      <c r="M190" s="12" t="s">
        <v>10</v>
      </c>
      <c r="N190" s="6" t="s">
        <v>10</v>
      </c>
      <c r="O190" s="7" t="s">
        <v>10</v>
      </c>
      <c r="P190" s="10">
        <v>144</v>
      </c>
      <c r="Q190" s="8">
        <v>130.25</v>
      </c>
      <c r="R190" s="9">
        <v>137.25</v>
      </c>
      <c r="S190" s="8">
        <v>98.75</v>
      </c>
      <c r="T190" s="8">
        <v>83</v>
      </c>
      <c r="U190" s="9">
        <v>91</v>
      </c>
      <c r="V190" s="10" t="s">
        <v>10</v>
      </c>
      <c r="W190" s="8" t="s">
        <v>10</v>
      </c>
      <c r="X190" s="9" t="s">
        <v>10</v>
      </c>
      <c r="Y190" s="10" t="s">
        <v>10</v>
      </c>
      <c r="Z190" s="8" t="s">
        <v>10</v>
      </c>
      <c r="AA190" s="9" t="s">
        <v>10</v>
      </c>
      <c r="AB190" s="10" t="s">
        <v>10</v>
      </c>
      <c r="AC190" s="8" t="s">
        <v>10</v>
      </c>
      <c r="AD190" s="9" t="s">
        <v>10</v>
      </c>
    </row>
    <row r="191" spans="1:30" x14ac:dyDescent="0.35">
      <c r="A191" s="2">
        <v>2017</v>
      </c>
      <c r="B191" s="2">
        <v>4</v>
      </c>
      <c r="C191" s="2">
        <v>11</v>
      </c>
      <c r="D191" s="6">
        <v>23</v>
      </c>
      <c r="E191" s="6">
        <v>0</v>
      </c>
      <c r="F191" s="6">
        <v>11.8</v>
      </c>
      <c r="G191" s="10">
        <v>30</v>
      </c>
      <c r="H191" s="8">
        <v>20</v>
      </c>
      <c r="I191" s="9">
        <v>25</v>
      </c>
      <c r="J191" s="12" t="s">
        <v>10</v>
      </c>
      <c r="K191" s="6" t="s">
        <v>10</v>
      </c>
      <c r="L191" s="6" t="s">
        <v>10</v>
      </c>
      <c r="M191" s="12" t="s">
        <v>10</v>
      </c>
      <c r="N191" s="6" t="s">
        <v>10</v>
      </c>
      <c r="O191" s="7" t="s">
        <v>10</v>
      </c>
      <c r="P191" s="10">
        <v>199</v>
      </c>
      <c r="Q191" s="8">
        <v>184</v>
      </c>
      <c r="R191" s="9">
        <v>191.8</v>
      </c>
      <c r="S191" s="8">
        <v>119</v>
      </c>
      <c r="T191" s="8">
        <v>98</v>
      </c>
      <c r="U191" s="9">
        <v>109</v>
      </c>
      <c r="V191" s="10" t="s">
        <v>10</v>
      </c>
      <c r="W191" s="8" t="s">
        <v>10</v>
      </c>
      <c r="X191" s="9" t="s">
        <v>10</v>
      </c>
      <c r="Y191" s="10" t="s">
        <v>10</v>
      </c>
      <c r="Z191" s="8" t="s">
        <v>10</v>
      </c>
      <c r="AA191" s="9" t="s">
        <v>10</v>
      </c>
      <c r="AB191" s="10" t="s">
        <v>10</v>
      </c>
      <c r="AC191" s="8" t="s">
        <v>10</v>
      </c>
      <c r="AD191" s="9" t="s">
        <v>10</v>
      </c>
    </row>
    <row r="192" spans="1:30" x14ac:dyDescent="0.35">
      <c r="A192" s="2">
        <v>2017</v>
      </c>
      <c r="B192" s="2">
        <v>4</v>
      </c>
      <c r="C192" s="2">
        <v>12</v>
      </c>
      <c r="D192" s="6">
        <v>28.333333333333332</v>
      </c>
      <c r="E192" s="6">
        <v>0</v>
      </c>
      <c r="F192" s="6">
        <v>14.333333333333334</v>
      </c>
      <c r="G192" s="10">
        <v>30</v>
      </c>
      <c r="H192" s="8">
        <v>20</v>
      </c>
      <c r="I192" s="9">
        <v>25</v>
      </c>
      <c r="J192" s="12" t="s">
        <v>10</v>
      </c>
      <c r="K192" s="6" t="s">
        <v>10</v>
      </c>
      <c r="L192" s="6" t="s">
        <v>10</v>
      </c>
      <c r="M192" s="12" t="s">
        <v>10</v>
      </c>
      <c r="N192" s="6" t="s">
        <v>10</v>
      </c>
      <c r="O192" s="7" t="s">
        <v>10</v>
      </c>
      <c r="P192" s="10">
        <v>173.33333333333334</v>
      </c>
      <c r="Q192" s="8">
        <v>153.33333333333334</v>
      </c>
      <c r="R192" s="9">
        <v>163.33333333333334</v>
      </c>
      <c r="S192" s="8">
        <v>119</v>
      </c>
      <c r="T192" s="8">
        <v>98</v>
      </c>
      <c r="U192" s="9">
        <v>109</v>
      </c>
      <c r="V192" s="10" t="s">
        <v>10</v>
      </c>
      <c r="W192" s="8" t="s">
        <v>10</v>
      </c>
      <c r="X192" s="9" t="s">
        <v>10</v>
      </c>
      <c r="Y192" s="10" t="s">
        <v>10</v>
      </c>
      <c r="Z192" s="8" t="s">
        <v>10</v>
      </c>
      <c r="AA192" s="9" t="s">
        <v>10</v>
      </c>
      <c r="AB192" s="10" t="s">
        <v>10</v>
      </c>
      <c r="AC192" s="8" t="s">
        <v>10</v>
      </c>
      <c r="AD192" s="9" t="s">
        <v>10</v>
      </c>
    </row>
    <row r="193" spans="1:30" x14ac:dyDescent="0.35">
      <c r="A193" s="2">
        <v>2018</v>
      </c>
      <c r="B193" s="2">
        <v>1</v>
      </c>
      <c r="C193" s="2">
        <v>1</v>
      </c>
      <c r="D193" s="6">
        <v>33.75</v>
      </c>
      <c r="E193" s="6">
        <v>0</v>
      </c>
      <c r="F193" s="6">
        <v>17.25</v>
      </c>
      <c r="G193" s="10">
        <v>37.5</v>
      </c>
      <c r="H193" s="8">
        <v>26.25</v>
      </c>
      <c r="I193" s="9">
        <v>32</v>
      </c>
      <c r="J193" s="12" t="s">
        <v>10</v>
      </c>
      <c r="K193" s="6" t="s">
        <v>10</v>
      </c>
      <c r="L193" s="6" t="s">
        <v>10</v>
      </c>
      <c r="M193" s="12" t="s">
        <v>10</v>
      </c>
      <c r="N193" s="6" t="s">
        <v>10</v>
      </c>
      <c r="O193" s="7" t="s">
        <v>10</v>
      </c>
      <c r="P193" s="10">
        <v>138.75</v>
      </c>
      <c r="Q193" s="8">
        <v>126.25</v>
      </c>
      <c r="R193" s="9">
        <v>133</v>
      </c>
      <c r="S193" s="8">
        <v>126.75</v>
      </c>
      <c r="T193" s="8">
        <v>105</v>
      </c>
      <c r="U193" s="9">
        <v>116.25</v>
      </c>
      <c r="V193" s="10" t="s">
        <v>10</v>
      </c>
      <c r="W193" s="8" t="s">
        <v>10</v>
      </c>
      <c r="X193" s="9" t="s">
        <v>10</v>
      </c>
      <c r="Y193" s="10" t="s">
        <v>10</v>
      </c>
      <c r="Z193" s="8" t="s">
        <v>10</v>
      </c>
      <c r="AA193" s="9" t="s">
        <v>10</v>
      </c>
      <c r="AB193" s="10" t="s">
        <v>10</v>
      </c>
      <c r="AC193" s="8" t="s">
        <v>10</v>
      </c>
      <c r="AD193" s="9" t="s">
        <v>10</v>
      </c>
    </row>
    <row r="194" spans="1:30" x14ac:dyDescent="0.35">
      <c r="A194" s="2">
        <v>2018</v>
      </c>
      <c r="B194" s="2">
        <v>1</v>
      </c>
      <c r="C194" s="2">
        <v>2</v>
      </c>
      <c r="D194" s="6">
        <v>33.75</v>
      </c>
      <c r="E194" s="6">
        <v>2.5</v>
      </c>
      <c r="F194" s="6">
        <v>18.5</v>
      </c>
      <c r="G194" s="10">
        <v>41.25</v>
      </c>
      <c r="H194" s="8">
        <v>30</v>
      </c>
      <c r="I194" s="9">
        <v>35.75</v>
      </c>
      <c r="J194" s="12" t="s">
        <v>10</v>
      </c>
      <c r="K194" s="6" t="s">
        <v>10</v>
      </c>
      <c r="L194" s="6" t="s">
        <v>10</v>
      </c>
      <c r="M194" s="12" t="s">
        <v>10</v>
      </c>
      <c r="N194" s="6" t="s">
        <v>10</v>
      </c>
      <c r="O194" s="7" t="s">
        <v>10</v>
      </c>
      <c r="P194" s="10">
        <v>127.5</v>
      </c>
      <c r="Q194" s="8">
        <v>115</v>
      </c>
      <c r="R194" s="9">
        <v>121.5</v>
      </c>
      <c r="S194" s="8">
        <v>150</v>
      </c>
      <c r="T194" s="8">
        <v>126</v>
      </c>
      <c r="U194" s="9">
        <v>138</v>
      </c>
      <c r="V194" s="10" t="s">
        <v>10</v>
      </c>
      <c r="W194" s="8" t="s">
        <v>10</v>
      </c>
      <c r="X194" s="9" t="s">
        <v>10</v>
      </c>
      <c r="Y194" s="10" t="s">
        <v>10</v>
      </c>
      <c r="Z194" s="8" t="s">
        <v>10</v>
      </c>
      <c r="AA194" s="9" t="s">
        <v>10</v>
      </c>
      <c r="AB194" s="10" t="s">
        <v>10</v>
      </c>
      <c r="AC194" s="8" t="s">
        <v>10</v>
      </c>
      <c r="AD194" s="9" t="s">
        <v>10</v>
      </c>
    </row>
    <row r="195" spans="1:30" x14ac:dyDescent="0.35">
      <c r="A195" s="2">
        <v>2018</v>
      </c>
      <c r="B195" s="2">
        <v>1</v>
      </c>
      <c r="C195" s="2">
        <v>3</v>
      </c>
      <c r="D195" s="6">
        <v>30</v>
      </c>
      <c r="E195" s="6">
        <v>10</v>
      </c>
      <c r="F195" s="6">
        <v>20</v>
      </c>
      <c r="G195" s="10">
        <v>53</v>
      </c>
      <c r="H195" s="8">
        <v>39</v>
      </c>
      <c r="I195" s="9">
        <v>46</v>
      </c>
      <c r="J195" s="12" t="s">
        <v>10</v>
      </c>
      <c r="K195" s="6" t="s">
        <v>10</v>
      </c>
      <c r="L195" s="6" t="s">
        <v>10</v>
      </c>
      <c r="M195" s="12" t="s">
        <v>10</v>
      </c>
      <c r="N195" s="6" t="s">
        <v>10</v>
      </c>
      <c r="O195" s="7" t="s">
        <v>10</v>
      </c>
      <c r="P195" s="10">
        <v>130</v>
      </c>
      <c r="Q195" s="8">
        <v>120</v>
      </c>
      <c r="R195" s="9">
        <v>125</v>
      </c>
      <c r="S195" s="8">
        <v>150</v>
      </c>
      <c r="T195" s="8">
        <v>126</v>
      </c>
      <c r="U195" s="9">
        <v>138</v>
      </c>
      <c r="V195" s="10" t="s">
        <v>10</v>
      </c>
      <c r="W195" s="8" t="s">
        <v>10</v>
      </c>
      <c r="X195" s="9" t="s">
        <v>10</v>
      </c>
      <c r="Y195" s="10" t="s">
        <v>10</v>
      </c>
      <c r="Z195" s="8" t="s">
        <v>10</v>
      </c>
      <c r="AA195" s="9" t="s">
        <v>10</v>
      </c>
      <c r="AB195" s="10" t="s">
        <v>10</v>
      </c>
      <c r="AC195" s="8" t="s">
        <v>10</v>
      </c>
      <c r="AD195" s="9" t="s">
        <v>10</v>
      </c>
    </row>
    <row r="196" spans="1:30" x14ac:dyDescent="0.35">
      <c r="A196" s="2">
        <v>2018</v>
      </c>
      <c r="B196" s="2">
        <v>2</v>
      </c>
      <c r="C196" s="2">
        <v>4</v>
      </c>
      <c r="D196" s="6">
        <v>30</v>
      </c>
      <c r="E196" s="6">
        <v>10</v>
      </c>
      <c r="F196" s="6">
        <v>20</v>
      </c>
      <c r="G196" s="10">
        <v>60</v>
      </c>
      <c r="H196" s="8">
        <v>45</v>
      </c>
      <c r="I196" s="9">
        <v>52.5</v>
      </c>
      <c r="J196" s="12" t="s">
        <v>10</v>
      </c>
      <c r="K196" s="6" t="s">
        <v>10</v>
      </c>
      <c r="L196" s="6" t="s">
        <v>10</v>
      </c>
      <c r="M196" s="12" t="s">
        <v>10</v>
      </c>
      <c r="N196" s="6" t="s">
        <v>10</v>
      </c>
      <c r="O196" s="7" t="s">
        <v>10</v>
      </c>
      <c r="P196" s="10">
        <v>120</v>
      </c>
      <c r="Q196" s="8">
        <v>110</v>
      </c>
      <c r="R196" s="9">
        <v>115</v>
      </c>
      <c r="S196" s="8">
        <v>145.5</v>
      </c>
      <c r="T196" s="8">
        <v>122</v>
      </c>
      <c r="U196" s="9">
        <v>133.75</v>
      </c>
      <c r="V196" s="10" t="s">
        <v>10</v>
      </c>
      <c r="W196" s="8" t="s">
        <v>10</v>
      </c>
      <c r="X196" s="9" t="s">
        <v>10</v>
      </c>
      <c r="Y196" s="10" t="s">
        <v>10</v>
      </c>
      <c r="Z196" s="8" t="s">
        <v>10</v>
      </c>
      <c r="AA196" s="9" t="s">
        <v>10</v>
      </c>
      <c r="AB196" s="10" t="s">
        <v>10</v>
      </c>
      <c r="AC196" s="8" t="s">
        <v>10</v>
      </c>
      <c r="AD196" s="9" t="s">
        <v>10</v>
      </c>
    </row>
    <row r="197" spans="1:30" x14ac:dyDescent="0.35">
      <c r="A197" s="2">
        <v>2018</v>
      </c>
      <c r="B197" s="2">
        <v>2</v>
      </c>
      <c r="C197" s="2">
        <v>5</v>
      </c>
      <c r="D197" s="6">
        <v>41</v>
      </c>
      <c r="E197" s="6">
        <v>10</v>
      </c>
      <c r="F197" s="6">
        <v>25.6</v>
      </c>
      <c r="G197" s="10">
        <v>61</v>
      </c>
      <c r="H197" s="8">
        <v>51</v>
      </c>
      <c r="I197" s="9">
        <v>56</v>
      </c>
      <c r="J197" s="12" t="s">
        <v>10</v>
      </c>
      <c r="K197" s="6" t="s">
        <v>10</v>
      </c>
      <c r="L197" s="6" t="s">
        <v>10</v>
      </c>
      <c r="M197" s="12" t="s">
        <v>10</v>
      </c>
      <c r="N197" s="6" t="s">
        <v>10</v>
      </c>
      <c r="O197" s="7" t="s">
        <v>10</v>
      </c>
      <c r="P197" s="10">
        <v>131</v>
      </c>
      <c r="Q197" s="8">
        <v>122</v>
      </c>
      <c r="R197" s="9">
        <v>126.6</v>
      </c>
      <c r="S197" s="8">
        <v>132</v>
      </c>
      <c r="T197" s="8">
        <v>110</v>
      </c>
      <c r="U197" s="9">
        <v>121</v>
      </c>
      <c r="V197" s="10" t="s">
        <v>10</v>
      </c>
      <c r="W197" s="8" t="s">
        <v>10</v>
      </c>
      <c r="X197" s="9" t="s">
        <v>10</v>
      </c>
      <c r="Y197" s="10" t="s">
        <v>10</v>
      </c>
      <c r="Z197" s="8" t="s">
        <v>10</v>
      </c>
      <c r="AA197" s="9" t="s">
        <v>10</v>
      </c>
      <c r="AB197" s="10" t="s">
        <v>10</v>
      </c>
      <c r="AC197" s="8" t="s">
        <v>10</v>
      </c>
      <c r="AD197" s="9" t="s">
        <v>10</v>
      </c>
    </row>
    <row r="198" spans="1:30" x14ac:dyDescent="0.35">
      <c r="A198" s="2">
        <v>2018</v>
      </c>
      <c r="B198" s="2">
        <v>2</v>
      </c>
      <c r="C198" s="2">
        <v>6</v>
      </c>
      <c r="D198" s="6">
        <v>52.5</v>
      </c>
      <c r="E198" s="6">
        <v>10</v>
      </c>
      <c r="F198" s="6">
        <v>31.5</v>
      </c>
      <c r="G198" s="10">
        <v>65</v>
      </c>
      <c r="H198" s="8">
        <v>55</v>
      </c>
      <c r="I198" s="9">
        <v>60</v>
      </c>
      <c r="J198" s="12" t="s">
        <v>10</v>
      </c>
      <c r="K198" s="6" t="s">
        <v>10</v>
      </c>
      <c r="L198" s="6" t="s">
        <v>10</v>
      </c>
      <c r="M198" s="12" t="s">
        <v>10</v>
      </c>
      <c r="N198" s="6" t="s">
        <v>10</v>
      </c>
      <c r="O198" s="7" t="s">
        <v>10</v>
      </c>
      <c r="P198" s="10">
        <v>137.25</v>
      </c>
      <c r="Q198" s="8">
        <v>128.75</v>
      </c>
      <c r="R198" s="9">
        <v>133</v>
      </c>
      <c r="S198" s="8">
        <v>132</v>
      </c>
      <c r="T198" s="8">
        <v>110</v>
      </c>
      <c r="U198" s="9">
        <v>121</v>
      </c>
      <c r="V198" s="10" t="s">
        <v>10</v>
      </c>
      <c r="W198" s="8" t="s">
        <v>10</v>
      </c>
      <c r="X198" s="9" t="s">
        <v>10</v>
      </c>
      <c r="Y198" s="10" t="s">
        <v>10</v>
      </c>
      <c r="Z198" s="8" t="s">
        <v>10</v>
      </c>
      <c r="AA198" s="9" t="s">
        <v>10</v>
      </c>
      <c r="AB198" s="10" t="s">
        <v>10</v>
      </c>
      <c r="AC198" s="8" t="s">
        <v>10</v>
      </c>
      <c r="AD198" s="9" t="s">
        <v>10</v>
      </c>
    </row>
    <row r="199" spans="1:30" x14ac:dyDescent="0.35">
      <c r="A199" s="2">
        <v>2018</v>
      </c>
      <c r="B199" s="2">
        <v>3</v>
      </c>
      <c r="C199" s="2">
        <v>7</v>
      </c>
      <c r="D199" s="6">
        <v>55</v>
      </c>
      <c r="E199" s="6">
        <v>10</v>
      </c>
      <c r="F199" s="6">
        <v>33</v>
      </c>
      <c r="G199" s="10">
        <v>67.5</v>
      </c>
      <c r="H199" s="8">
        <v>57.5</v>
      </c>
      <c r="I199" s="9">
        <v>62.5</v>
      </c>
      <c r="J199" s="12" t="s">
        <v>10</v>
      </c>
      <c r="K199" s="6" t="s">
        <v>10</v>
      </c>
      <c r="L199" s="6" t="s">
        <v>10</v>
      </c>
      <c r="M199" s="12" t="s">
        <v>10</v>
      </c>
      <c r="N199" s="6" t="s">
        <v>10</v>
      </c>
      <c r="O199" s="7" t="s">
        <v>10</v>
      </c>
      <c r="P199" s="10">
        <v>137</v>
      </c>
      <c r="Q199" s="8">
        <v>131.25</v>
      </c>
      <c r="R199" s="9">
        <v>134.25</v>
      </c>
      <c r="S199" s="8">
        <v>140.25</v>
      </c>
      <c r="T199" s="8">
        <v>123.5</v>
      </c>
      <c r="U199" s="9">
        <v>132.25</v>
      </c>
      <c r="V199" s="10" t="s">
        <v>10</v>
      </c>
      <c r="W199" s="8" t="s">
        <v>10</v>
      </c>
      <c r="X199" s="9" t="s">
        <v>10</v>
      </c>
      <c r="Y199" s="10" t="s">
        <v>10</v>
      </c>
      <c r="Z199" s="8" t="s">
        <v>10</v>
      </c>
      <c r="AA199" s="9" t="s">
        <v>10</v>
      </c>
      <c r="AB199" s="10" t="s">
        <v>10</v>
      </c>
      <c r="AC199" s="8" t="s">
        <v>10</v>
      </c>
      <c r="AD199" s="9" t="s">
        <v>10</v>
      </c>
    </row>
    <row r="200" spans="1:30" x14ac:dyDescent="0.35">
      <c r="A200" s="2">
        <v>2018</v>
      </c>
      <c r="B200" s="2">
        <v>3</v>
      </c>
      <c r="C200" s="2">
        <v>8</v>
      </c>
      <c r="D200" s="6">
        <v>55</v>
      </c>
      <c r="E200" s="6">
        <v>10</v>
      </c>
      <c r="F200" s="6">
        <v>33</v>
      </c>
      <c r="G200" s="10">
        <v>70</v>
      </c>
      <c r="H200" s="8">
        <v>60</v>
      </c>
      <c r="I200" s="9">
        <v>65</v>
      </c>
      <c r="J200" s="12" t="s">
        <v>10</v>
      </c>
      <c r="K200" s="6" t="s">
        <v>10</v>
      </c>
      <c r="L200" s="6" t="s">
        <v>10</v>
      </c>
      <c r="M200" s="12" t="s">
        <v>10</v>
      </c>
      <c r="N200" s="6" t="s">
        <v>10</v>
      </c>
      <c r="O200" s="7" t="s">
        <v>10</v>
      </c>
      <c r="P200" s="10">
        <v>143.19999999999999</v>
      </c>
      <c r="Q200" s="8">
        <v>137.6</v>
      </c>
      <c r="R200" s="9">
        <v>140.4</v>
      </c>
      <c r="S200" s="8">
        <v>143</v>
      </c>
      <c r="T200" s="8">
        <v>128</v>
      </c>
      <c r="U200" s="9">
        <v>136</v>
      </c>
      <c r="V200" s="10" t="s">
        <v>10</v>
      </c>
      <c r="W200" s="8" t="s">
        <v>10</v>
      </c>
      <c r="X200" s="9" t="s">
        <v>10</v>
      </c>
      <c r="Y200" s="10" t="s">
        <v>10</v>
      </c>
      <c r="Z200" s="8" t="s">
        <v>10</v>
      </c>
      <c r="AA200" s="9" t="s">
        <v>10</v>
      </c>
      <c r="AB200" s="10" t="s">
        <v>10</v>
      </c>
      <c r="AC200" s="8" t="s">
        <v>10</v>
      </c>
      <c r="AD200" s="9" t="s">
        <v>10</v>
      </c>
    </row>
    <row r="201" spans="1:30" x14ac:dyDescent="0.35">
      <c r="A201" s="2">
        <v>2018</v>
      </c>
      <c r="B201" s="2">
        <v>3</v>
      </c>
      <c r="C201" s="2">
        <v>9</v>
      </c>
      <c r="D201" s="6">
        <v>58.75</v>
      </c>
      <c r="E201" s="6">
        <v>10</v>
      </c>
      <c r="F201" s="6">
        <v>34.75</v>
      </c>
      <c r="G201" s="10">
        <v>76.25</v>
      </c>
      <c r="H201" s="8">
        <v>66.25</v>
      </c>
      <c r="I201" s="9">
        <v>71.25</v>
      </c>
      <c r="J201" s="12" t="s">
        <v>10</v>
      </c>
      <c r="K201" s="6" t="s">
        <v>10</v>
      </c>
      <c r="L201" s="6" t="s">
        <v>10</v>
      </c>
      <c r="M201" s="12" t="s">
        <v>10</v>
      </c>
      <c r="N201" s="6" t="s">
        <v>10</v>
      </c>
      <c r="O201" s="7" t="s">
        <v>10</v>
      </c>
      <c r="P201" s="10">
        <v>160.5</v>
      </c>
      <c r="Q201" s="8">
        <v>154.75</v>
      </c>
      <c r="R201" s="9">
        <v>157.75</v>
      </c>
      <c r="S201" s="8">
        <v>143</v>
      </c>
      <c r="T201" s="8">
        <v>128</v>
      </c>
      <c r="U201" s="9">
        <v>136</v>
      </c>
      <c r="V201" s="10" t="s">
        <v>10</v>
      </c>
      <c r="W201" s="8" t="s">
        <v>10</v>
      </c>
      <c r="X201" s="9" t="s">
        <v>10</v>
      </c>
      <c r="Y201" s="10" t="s">
        <v>10</v>
      </c>
      <c r="Z201" s="8" t="s">
        <v>10</v>
      </c>
      <c r="AA201" s="9" t="s">
        <v>10</v>
      </c>
      <c r="AB201" s="10" t="s">
        <v>10</v>
      </c>
      <c r="AC201" s="8" t="s">
        <v>10</v>
      </c>
      <c r="AD201" s="9" t="s">
        <v>10</v>
      </c>
    </row>
    <row r="202" spans="1:30" x14ac:dyDescent="0.35">
      <c r="A202" s="2">
        <v>2018</v>
      </c>
      <c r="B202" s="2">
        <v>4</v>
      </c>
      <c r="C202" s="2">
        <v>10</v>
      </c>
      <c r="D202" s="6">
        <v>73.75</v>
      </c>
      <c r="E202" s="6">
        <v>12.5</v>
      </c>
      <c r="F202" s="6">
        <v>43.5</v>
      </c>
      <c r="G202" s="10">
        <v>80</v>
      </c>
      <c r="H202" s="8">
        <v>70</v>
      </c>
      <c r="I202" s="9">
        <v>75</v>
      </c>
      <c r="J202" s="12" t="s">
        <v>10</v>
      </c>
      <c r="K202" s="6" t="s">
        <v>10</v>
      </c>
      <c r="L202" s="6" t="s">
        <v>10</v>
      </c>
      <c r="M202" s="12" t="s">
        <v>10</v>
      </c>
      <c r="N202" s="6" t="s">
        <v>10</v>
      </c>
      <c r="O202" s="7" t="s">
        <v>10</v>
      </c>
      <c r="P202" s="10">
        <v>173.25</v>
      </c>
      <c r="Q202" s="8">
        <v>166.75</v>
      </c>
      <c r="R202" s="9">
        <v>170.25</v>
      </c>
      <c r="S202" s="8">
        <v>173</v>
      </c>
      <c r="T202" s="8">
        <v>145</v>
      </c>
      <c r="U202" s="9">
        <v>159</v>
      </c>
      <c r="V202" s="10" t="s">
        <v>10</v>
      </c>
      <c r="W202" s="8" t="s">
        <v>10</v>
      </c>
      <c r="X202" s="9" t="s">
        <v>10</v>
      </c>
      <c r="Y202" s="10" t="s">
        <v>10</v>
      </c>
      <c r="Z202" s="8" t="s">
        <v>10</v>
      </c>
      <c r="AA202" s="9" t="s">
        <v>10</v>
      </c>
      <c r="AB202" s="10" t="s">
        <v>10</v>
      </c>
      <c r="AC202" s="8" t="s">
        <v>10</v>
      </c>
      <c r="AD202" s="9" t="s">
        <v>10</v>
      </c>
    </row>
    <row r="203" spans="1:30" x14ac:dyDescent="0.35">
      <c r="A203" s="2">
        <v>2018</v>
      </c>
      <c r="B203" s="2">
        <v>4</v>
      </c>
      <c r="C203" s="2">
        <v>11</v>
      </c>
      <c r="D203" s="6">
        <v>80</v>
      </c>
      <c r="E203" s="6">
        <v>15</v>
      </c>
      <c r="F203" s="6">
        <v>48</v>
      </c>
      <c r="G203" s="10">
        <v>80</v>
      </c>
      <c r="H203" s="8">
        <v>70</v>
      </c>
      <c r="I203" s="9">
        <v>75</v>
      </c>
      <c r="J203" s="12" t="s">
        <v>10</v>
      </c>
      <c r="K203" s="6" t="s">
        <v>10</v>
      </c>
      <c r="L203" s="6" t="s">
        <v>10</v>
      </c>
      <c r="M203" s="12" t="s">
        <v>10</v>
      </c>
      <c r="N203" s="6" t="s">
        <v>10</v>
      </c>
      <c r="O203" s="7" t="s">
        <v>10</v>
      </c>
      <c r="P203" s="10">
        <v>159</v>
      </c>
      <c r="Q203" s="8">
        <v>154</v>
      </c>
      <c r="R203" s="9">
        <v>157</v>
      </c>
      <c r="S203" s="8">
        <v>173</v>
      </c>
      <c r="T203" s="8">
        <v>145</v>
      </c>
      <c r="U203" s="9">
        <v>159</v>
      </c>
      <c r="V203" s="10" t="s">
        <v>10</v>
      </c>
      <c r="W203" s="8" t="s">
        <v>10</v>
      </c>
      <c r="X203" s="9" t="s">
        <v>10</v>
      </c>
      <c r="Y203" s="10" t="s">
        <v>10</v>
      </c>
      <c r="Z203" s="8" t="s">
        <v>10</v>
      </c>
      <c r="AA203" s="9" t="s">
        <v>10</v>
      </c>
      <c r="AB203" s="10" t="s">
        <v>10</v>
      </c>
      <c r="AC203" s="8" t="s">
        <v>10</v>
      </c>
      <c r="AD203" s="9" t="s">
        <v>10</v>
      </c>
    </row>
    <row r="204" spans="1:30" x14ac:dyDescent="0.35">
      <c r="A204" s="2">
        <v>2018</v>
      </c>
      <c r="B204" s="2">
        <v>4</v>
      </c>
      <c r="C204" s="2">
        <v>12</v>
      </c>
      <c r="D204" s="6">
        <v>80</v>
      </c>
      <c r="E204" s="6">
        <v>15</v>
      </c>
      <c r="F204" s="6">
        <v>48</v>
      </c>
      <c r="G204" s="10">
        <v>83.333333333333329</v>
      </c>
      <c r="H204" s="8">
        <v>73.333333333333329</v>
      </c>
      <c r="I204" s="9">
        <v>78.333333333333329</v>
      </c>
      <c r="J204" s="12" t="s">
        <v>10</v>
      </c>
      <c r="K204" s="6" t="s">
        <v>10</v>
      </c>
      <c r="L204" s="6" t="s">
        <v>10</v>
      </c>
      <c r="M204" s="12" t="s">
        <v>10</v>
      </c>
      <c r="N204" s="6" t="s">
        <v>10</v>
      </c>
      <c r="O204" s="7" t="s">
        <v>10</v>
      </c>
      <c r="P204" s="10">
        <v>129.66666666666666</v>
      </c>
      <c r="Q204" s="8">
        <v>125.33333333333333</v>
      </c>
      <c r="R204" s="9">
        <v>127.66666666666667</v>
      </c>
      <c r="S204" s="8">
        <v>173</v>
      </c>
      <c r="T204" s="8">
        <v>145</v>
      </c>
      <c r="U204" s="9">
        <v>159</v>
      </c>
      <c r="V204" s="10" t="s">
        <v>10</v>
      </c>
      <c r="W204" s="8" t="s">
        <v>10</v>
      </c>
      <c r="X204" s="9" t="s">
        <v>10</v>
      </c>
      <c r="Y204" s="10" t="s">
        <v>10</v>
      </c>
      <c r="Z204" s="8" t="s">
        <v>10</v>
      </c>
      <c r="AA204" s="9" t="s">
        <v>10</v>
      </c>
      <c r="AB204" s="10" t="s">
        <v>10</v>
      </c>
      <c r="AC204" s="8" t="s">
        <v>10</v>
      </c>
      <c r="AD204" s="9" t="s">
        <v>10</v>
      </c>
    </row>
    <row r="205" spans="1:30" x14ac:dyDescent="0.35">
      <c r="A205" s="2">
        <v>2019</v>
      </c>
      <c r="B205" s="2">
        <v>1</v>
      </c>
      <c r="C205" s="2">
        <v>1</v>
      </c>
      <c r="D205" s="6">
        <v>74</v>
      </c>
      <c r="E205" s="6">
        <v>15</v>
      </c>
      <c r="F205" s="6">
        <v>44.8</v>
      </c>
      <c r="G205" s="10">
        <v>90</v>
      </c>
      <c r="H205" s="8">
        <v>80</v>
      </c>
      <c r="I205" s="9">
        <v>85</v>
      </c>
      <c r="J205" s="12" t="s">
        <v>10</v>
      </c>
      <c r="K205" s="6" t="s">
        <v>10</v>
      </c>
      <c r="L205" s="6" t="s">
        <v>10</v>
      </c>
      <c r="M205" s="12" t="s">
        <v>10</v>
      </c>
      <c r="N205" s="6" t="s">
        <v>10</v>
      </c>
      <c r="O205" s="7" t="s">
        <v>10</v>
      </c>
      <c r="P205" s="10">
        <v>115.2</v>
      </c>
      <c r="Q205" s="8">
        <v>110.2</v>
      </c>
      <c r="R205" s="9">
        <v>113.2</v>
      </c>
      <c r="S205" s="8">
        <v>155</v>
      </c>
      <c r="T205" s="8">
        <v>128.19999999999999</v>
      </c>
      <c r="U205" s="9">
        <v>141.80000000000001</v>
      </c>
      <c r="V205" s="10" t="s">
        <v>10</v>
      </c>
      <c r="W205" s="8" t="s">
        <v>10</v>
      </c>
      <c r="X205" s="9" t="s">
        <v>10</v>
      </c>
      <c r="Y205" s="10" t="s">
        <v>10</v>
      </c>
      <c r="Z205" s="8" t="s">
        <v>10</v>
      </c>
      <c r="AA205" s="9" t="s">
        <v>10</v>
      </c>
      <c r="AB205" s="10" t="s">
        <v>10</v>
      </c>
      <c r="AC205" s="8" t="s">
        <v>10</v>
      </c>
      <c r="AD205" s="9" t="s">
        <v>10</v>
      </c>
    </row>
    <row r="206" spans="1:30" x14ac:dyDescent="0.35">
      <c r="A206" s="2">
        <v>2019</v>
      </c>
      <c r="B206" s="2">
        <v>1</v>
      </c>
      <c r="C206" s="2">
        <v>2</v>
      </c>
      <c r="D206" s="6">
        <v>65</v>
      </c>
      <c r="E206" s="6">
        <v>15</v>
      </c>
      <c r="F206" s="6">
        <v>40</v>
      </c>
      <c r="G206" s="10">
        <v>93.75</v>
      </c>
      <c r="H206" s="8">
        <v>85</v>
      </c>
      <c r="I206" s="9">
        <v>89.5</v>
      </c>
      <c r="J206" s="12" t="s">
        <v>10</v>
      </c>
      <c r="K206" s="6" t="s">
        <v>10</v>
      </c>
      <c r="L206" s="6" t="s">
        <v>10</v>
      </c>
      <c r="M206" s="12" t="s">
        <v>10</v>
      </c>
      <c r="N206" s="6" t="s">
        <v>10</v>
      </c>
      <c r="O206" s="7" t="s">
        <v>10</v>
      </c>
      <c r="P206" s="10">
        <v>108</v>
      </c>
      <c r="Q206" s="8">
        <v>98</v>
      </c>
      <c r="R206" s="9">
        <v>103</v>
      </c>
      <c r="S206" s="8">
        <v>128</v>
      </c>
      <c r="T206" s="8">
        <v>103</v>
      </c>
      <c r="U206" s="9">
        <v>116</v>
      </c>
      <c r="V206" s="10" t="s">
        <v>10</v>
      </c>
      <c r="W206" s="8" t="s">
        <v>10</v>
      </c>
      <c r="X206" s="9" t="s">
        <v>10</v>
      </c>
      <c r="Y206" s="10" t="s">
        <v>10</v>
      </c>
      <c r="Z206" s="8" t="s">
        <v>10</v>
      </c>
      <c r="AA206" s="9" t="s">
        <v>10</v>
      </c>
      <c r="AB206" s="10" t="s">
        <v>10</v>
      </c>
      <c r="AC206" s="8" t="s">
        <v>10</v>
      </c>
      <c r="AD206" s="9" t="s">
        <v>10</v>
      </c>
    </row>
    <row r="207" spans="1:30" x14ac:dyDescent="0.35">
      <c r="A207" s="2">
        <v>2019</v>
      </c>
      <c r="B207" s="2">
        <v>1</v>
      </c>
      <c r="C207" s="2">
        <v>3</v>
      </c>
      <c r="D207" s="6">
        <v>60</v>
      </c>
      <c r="E207" s="6">
        <v>15</v>
      </c>
      <c r="F207" s="6">
        <v>37.5</v>
      </c>
      <c r="G207" s="10">
        <v>90</v>
      </c>
      <c r="H207" s="8">
        <v>85</v>
      </c>
      <c r="I207" s="9">
        <v>88</v>
      </c>
      <c r="J207" s="12" t="s">
        <v>10</v>
      </c>
      <c r="K207" s="6" t="s">
        <v>10</v>
      </c>
      <c r="L207" s="6" t="s">
        <v>10</v>
      </c>
      <c r="M207" s="12" t="s">
        <v>10</v>
      </c>
      <c r="N207" s="6" t="s">
        <v>10</v>
      </c>
      <c r="O207" s="7" t="s">
        <v>10</v>
      </c>
      <c r="P207" s="10">
        <v>107.5</v>
      </c>
      <c r="Q207" s="8">
        <v>98</v>
      </c>
      <c r="R207" s="9">
        <v>102.75</v>
      </c>
      <c r="S207" s="8">
        <v>128</v>
      </c>
      <c r="T207" s="8">
        <v>103</v>
      </c>
      <c r="U207" s="9">
        <v>116</v>
      </c>
      <c r="V207" s="10" t="s">
        <v>10</v>
      </c>
      <c r="W207" s="8" t="s">
        <v>10</v>
      </c>
      <c r="X207" s="9" t="s">
        <v>10</v>
      </c>
      <c r="Y207" s="10" t="s">
        <v>10</v>
      </c>
      <c r="Z207" s="8" t="s">
        <v>10</v>
      </c>
      <c r="AA207" s="9" t="s">
        <v>10</v>
      </c>
      <c r="AB207" s="10" t="s">
        <v>10</v>
      </c>
      <c r="AC207" s="8" t="s">
        <v>10</v>
      </c>
      <c r="AD207" s="9" t="s">
        <v>10</v>
      </c>
    </row>
    <row r="208" spans="1:30" x14ac:dyDescent="0.35">
      <c r="A208" s="2">
        <v>2019</v>
      </c>
      <c r="B208" s="2">
        <v>2</v>
      </c>
      <c r="C208" s="2">
        <v>4</v>
      </c>
      <c r="D208" s="6">
        <v>50</v>
      </c>
      <c r="E208" s="6">
        <v>15</v>
      </c>
      <c r="F208" s="6">
        <v>32.75</v>
      </c>
      <c r="G208" s="10">
        <v>78.75</v>
      </c>
      <c r="H208" s="8">
        <v>68.75</v>
      </c>
      <c r="I208" s="9">
        <v>74</v>
      </c>
      <c r="J208" s="12" t="s">
        <v>10</v>
      </c>
      <c r="K208" s="6" t="s">
        <v>10</v>
      </c>
      <c r="L208" s="6" t="s">
        <v>10</v>
      </c>
      <c r="M208" s="12" t="s">
        <v>10</v>
      </c>
      <c r="N208" s="6" t="s">
        <v>10</v>
      </c>
      <c r="O208" s="7" t="s">
        <v>10</v>
      </c>
      <c r="P208" s="10">
        <v>107.25</v>
      </c>
      <c r="Q208" s="8">
        <v>98.5</v>
      </c>
      <c r="R208" s="9">
        <v>103</v>
      </c>
      <c r="S208" s="8">
        <v>113</v>
      </c>
      <c r="T208" s="8">
        <v>91.5</v>
      </c>
      <c r="U208" s="9">
        <v>102.5</v>
      </c>
      <c r="V208" s="10" t="s">
        <v>10</v>
      </c>
      <c r="W208" s="8" t="s">
        <v>10</v>
      </c>
      <c r="X208" s="9" t="s">
        <v>10</v>
      </c>
      <c r="Y208" s="10" t="s">
        <v>10</v>
      </c>
      <c r="Z208" s="8" t="s">
        <v>10</v>
      </c>
      <c r="AA208" s="9" t="s">
        <v>10</v>
      </c>
      <c r="AB208" s="10" t="s">
        <v>10</v>
      </c>
      <c r="AC208" s="8" t="s">
        <v>10</v>
      </c>
      <c r="AD208" s="9" t="s">
        <v>10</v>
      </c>
    </row>
    <row r="209" spans="1:30" x14ac:dyDescent="0.35">
      <c r="A209" s="2">
        <v>2019</v>
      </c>
      <c r="B209" s="2">
        <v>2</v>
      </c>
      <c r="C209" s="2">
        <v>5</v>
      </c>
      <c r="D209" s="6">
        <v>38</v>
      </c>
      <c r="E209" s="6">
        <v>15</v>
      </c>
      <c r="F209" s="6">
        <v>27</v>
      </c>
      <c r="G209" s="10">
        <v>63</v>
      </c>
      <c r="H209" s="8">
        <v>51</v>
      </c>
      <c r="I209" s="9">
        <v>57.2</v>
      </c>
      <c r="J209" s="12" t="s">
        <v>10</v>
      </c>
      <c r="K209" s="6" t="s">
        <v>10</v>
      </c>
      <c r="L209" s="6" t="s">
        <v>10</v>
      </c>
      <c r="M209" s="12" t="s">
        <v>10</v>
      </c>
      <c r="N209" s="6" t="s">
        <v>10</v>
      </c>
      <c r="O209" s="7" t="s">
        <v>10</v>
      </c>
      <c r="P209" s="10">
        <v>105</v>
      </c>
      <c r="Q209" s="8">
        <v>100</v>
      </c>
      <c r="R209" s="9">
        <v>103</v>
      </c>
      <c r="S209" s="8">
        <v>98</v>
      </c>
      <c r="T209" s="8">
        <v>80</v>
      </c>
      <c r="U209" s="9">
        <v>89</v>
      </c>
      <c r="V209" s="10" t="s">
        <v>10</v>
      </c>
      <c r="W209" s="8" t="s">
        <v>10</v>
      </c>
      <c r="X209" s="9" t="s">
        <v>10</v>
      </c>
      <c r="Y209" s="10" t="s">
        <v>10</v>
      </c>
      <c r="Z209" s="8" t="s">
        <v>10</v>
      </c>
      <c r="AA209" s="9" t="s">
        <v>10</v>
      </c>
      <c r="AB209" s="10" t="s">
        <v>10</v>
      </c>
      <c r="AC209" s="8" t="s">
        <v>10</v>
      </c>
      <c r="AD209" s="9" t="s">
        <v>10</v>
      </c>
    </row>
    <row r="210" spans="1:30" x14ac:dyDescent="0.35">
      <c r="A210" s="2">
        <v>2019</v>
      </c>
      <c r="B210" s="2">
        <v>2</v>
      </c>
      <c r="C210" s="2">
        <v>6</v>
      </c>
      <c r="D210" s="6">
        <v>22.5</v>
      </c>
      <c r="E210" s="6">
        <v>7.5</v>
      </c>
      <c r="F210" s="6">
        <v>15.5</v>
      </c>
      <c r="G210" s="10">
        <v>42.5</v>
      </c>
      <c r="H210" s="8">
        <v>32.5</v>
      </c>
      <c r="I210" s="9">
        <v>37.5</v>
      </c>
      <c r="J210" s="12" t="s">
        <v>10</v>
      </c>
      <c r="K210" s="6" t="s">
        <v>10</v>
      </c>
      <c r="L210" s="6" t="s">
        <v>10</v>
      </c>
      <c r="M210" s="12" t="s">
        <v>10</v>
      </c>
      <c r="N210" s="6" t="s">
        <v>10</v>
      </c>
      <c r="O210" s="7" t="s">
        <v>10</v>
      </c>
      <c r="P210" s="10">
        <v>104.5</v>
      </c>
      <c r="Q210" s="8">
        <v>99.5</v>
      </c>
      <c r="R210" s="9">
        <v>102.5</v>
      </c>
      <c r="S210" s="8">
        <v>98</v>
      </c>
      <c r="T210" s="8">
        <v>80</v>
      </c>
      <c r="U210" s="9">
        <v>89</v>
      </c>
      <c r="V210" s="10" t="s">
        <v>10</v>
      </c>
      <c r="W210" s="8" t="s">
        <v>10</v>
      </c>
      <c r="X210" s="9" t="s">
        <v>10</v>
      </c>
      <c r="Y210" s="10" t="s">
        <v>10</v>
      </c>
      <c r="Z210" s="8" t="s">
        <v>10</v>
      </c>
      <c r="AA210" s="9" t="s">
        <v>10</v>
      </c>
      <c r="AB210" s="10" t="s">
        <v>10</v>
      </c>
      <c r="AC210" s="8" t="s">
        <v>10</v>
      </c>
      <c r="AD210" s="9" t="s">
        <v>10</v>
      </c>
    </row>
    <row r="211" spans="1:30" x14ac:dyDescent="0.35">
      <c r="A211" s="2">
        <v>2019</v>
      </c>
      <c r="B211" s="2">
        <v>3</v>
      </c>
      <c r="C211" s="2">
        <v>7</v>
      </c>
      <c r="D211" s="6">
        <v>20</v>
      </c>
      <c r="E211" s="6">
        <v>5</v>
      </c>
      <c r="F211" s="6">
        <v>13</v>
      </c>
      <c r="G211" s="10">
        <v>40</v>
      </c>
      <c r="H211" s="8">
        <v>30</v>
      </c>
      <c r="I211" s="9">
        <v>35</v>
      </c>
      <c r="J211" s="12" t="s">
        <v>10</v>
      </c>
      <c r="K211" s="6" t="s">
        <v>10</v>
      </c>
      <c r="L211" s="6" t="s">
        <v>10</v>
      </c>
      <c r="M211" s="12" t="s">
        <v>10</v>
      </c>
      <c r="N211" s="6" t="s">
        <v>10</v>
      </c>
      <c r="O211" s="7" t="s">
        <v>10</v>
      </c>
      <c r="P211" s="10">
        <v>97.75</v>
      </c>
      <c r="Q211" s="8">
        <v>92.25</v>
      </c>
      <c r="R211" s="9">
        <v>95.25</v>
      </c>
      <c r="S211" s="8">
        <v>98</v>
      </c>
      <c r="T211" s="8">
        <v>80</v>
      </c>
      <c r="U211" s="9">
        <v>89</v>
      </c>
      <c r="V211" s="10" t="s">
        <v>10</v>
      </c>
      <c r="W211" s="8" t="s">
        <v>10</v>
      </c>
      <c r="X211" s="9" t="s">
        <v>10</v>
      </c>
      <c r="Y211" s="10" t="s">
        <v>10</v>
      </c>
      <c r="Z211" s="8" t="s">
        <v>10</v>
      </c>
      <c r="AA211" s="9" t="s">
        <v>10</v>
      </c>
      <c r="AB211" s="10" t="s">
        <v>10</v>
      </c>
      <c r="AC211" s="8" t="s">
        <v>10</v>
      </c>
      <c r="AD211" s="9" t="s">
        <v>10</v>
      </c>
    </row>
    <row r="212" spans="1:30" x14ac:dyDescent="0.35">
      <c r="A212" s="2">
        <v>2019</v>
      </c>
      <c r="B212" s="2">
        <v>3</v>
      </c>
      <c r="C212" s="2">
        <v>8</v>
      </c>
      <c r="D212" s="6">
        <v>20</v>
      </c>
      <c r="E212" s="6">
        <v>5</v>
      </c>
      <c r="F212" s="6">
        <v>13</v>
      </c>
      <c r="G212" s="10">
        <v>35</v>
      </c>
      <c r="H212" s="8">
        <v>25</v>
      </c>
      <c r="I212" s="9">
        <v>30</v>
      </c>
      <c r="J212" s="12" t="s">
        <v>10</v>
      </c>
      <c r="K212" s="6" t="s">
        <v>10</v>
      </c>
      <c r="L212" s="6" t="s">
        <v>10</v>
      </c>
      <c r="M212" s="12" t="s">
        <v>10</v>
      </c>
      <c r="N212" s="6" t="s">
        <v>10</v>
      </c>
      <c r="O212" s="7" t="s">
        <v>10</v>
      </c>
      <c r="P212" s="10">
        <v>75</v>
      </c>
      <c r="Q212" s="8">
        <v>70</v>
      </c>
      <c r="R212" s="9">
        <v>73</v>
      </c>
      <c r="S212" s="8">
        <v>98</v>
      </c>
      <c r="T212" s="8">
        <v>80</v>
      </c>
      <c r="U212" s="9">
        <v>89</v>
      </c>
      <c r="V212" s="10" t="s">
        <v>10</v>
      </c>
      <c r="W212" s="8" t="s">
        <v>10</v>
      </c>
      <c r="X212" s="9" t="s">
        <v>10</v>
      </c>
      <c r="Y212" s="10" t="s">
        <v>10</v>
      </c>
      <c r="Z212" s="8" t="s">
        <v>10</v>
      </c>
      <c r="AA212" s="9" t="s">
        <v>10</v>
      </c>
      <c r="AB212" s="10" t="s">
        <v>10</v>
      </c>
      <c r="AC212" s="8" t="s">
        <v>10</v>
      </c>
      <c r="AD212" s="9" t="s">
        <v>10</v>
      </c>
    </row>
    <row r="213" spans="1:30" x14ac:dyDescent="0.35">
      <c r="A213" s="2">
        <v>2019</v>
      </c>
      <c r="B213" s="2">
        <v>3</v>
      </c>
      <c r="C213" s="2">
        <v>9</v>
      </c>
      <c r="D213" s="6">
        <v>13.5</v>
      </c>
      <c r="E213" s="6">
        <v>5</v>
      </c>
      <c r="F213" s="6">
        <v>9.5</v>
      </c>
      <c r="G213" s="10">
        <v>36.25</v>
      </c>
      <c r="H213" s="8">
        <v>26.25</v>
      </c>
      <c r="I213" s="9">
        <v>31.25</v>
      </c>
      <c r="J213" s="12" t="s">
        <v>10</v>
      </c>
      <c r="K213" s="6" t="s">
        <v>10</v>
      </c>
      <c r="L213" s="6" t="s">
        <v>10</v>
      </c>
      <c r="M213" s="12" t="s">
        <v>10</v>
      </c>
      <c r="N213" s="6" t="s">
        <v>10</v>
      </c>
      <c r="O213" s="7" t="s">
        <v>10</v>
      </c>
      <c r="P213" s="10">
        <v>59.25</v>
      </c>
      <c r="Q213" s="8">
        <v>51.75</v>
      </c>
      <c r="R213" s="9">
        <v>56</v>
      </c>
      <c r="S213" s="8">
        <v>98</v>
      </c>
      <c r="T213" s="8">
        <v>80</v>
      </c>
      <c r="U213" s="9">
        <v>89</v>
      </c>
      <c r="V213" s="10" t="s">
        <v>10</v>
      </c>
      <c r="W213" s="8" t="s">
        <v>10</v>
      </c>
      <c r="X213" s="9" t="s">
        <v>10</v>
      </c>
      <c r="Y213" s="10" t="s">
        <v>10</v>
      </c>
      <c r="Z213" s="8" t="s">
        <v>10</v>
      </c>
      <c r="AA213" s="9" t="s">
        <v>10</v>
      </c>
      <c r="AB213" s="10" t="s">
        <v>10</v>
      </c>
      <c r="AC213" s="8" t="s">
        <v>10</v>
      </c>
      <c r="AD213" s="9" t="s">
        <v>10</v>
      </c>
    </row>
    <row r="214" spans="1:30" x14ac:dyDescent="0.35">
      <c r="A214" s="2">
        <v>2019</v>
      </c>
      <c r="B214" s="2">
        <v>4</v>
      </c>
      <c r="C214" s="2">
        <v>10</v>
      </c>
      <c r="D214" s="6">
        <v>12</v>
      </c>
      <c r="E214" s="6">
        <v>5</v>
      </c>
      <c r="F214" s="6">
        <v>9</v>
      </c>
      <c r="G214" s="10">
        <v>44</v>
      </c>
      <c r="H214" s="8">
        <v>34</v>
      </c>
      <c r="I214" s="9">
        <v>39</v>
      </c>
      <c r="J214" s="12" t="s">
        <v>10</v>
      </c>
      <c r="K214" s="6" t="s">
        <v>10</v>
      </c>
      <c r="L214" s="6" t="s">
        <v>10</v>
      </c>
      <c r="M214" s="12" t="s">
        <v>10</v>
      </c>
      <c r="N214" s="6" t="s">
        <v>10</v>
      </c>
      <c r="O214" s="7" t="s">
        <v>10</v>
      </c>
      <c r="P214" s="10">
        <v>49</v>
      </c>
      <c r="Q214" s="8">
        <v>44.4</v>
      </c>
      <c r="R214" s="9">
        <v>47.2</v>
      </c>
      <c r="S214" s="8">
        <v>78.2</v>
      </c>
      <c r="T214" s="8">
        <v>63.2</v>
      </c>
      <c r="U214" s="9">
        <v>71</v>
      </c>
      <c r="V214" s="10" t="s">
        <v>10</v>
      </c>
      <c r="W214" s="8" t="s">
        <v>10</v>
      </c>
      <c r="X214" s="9" t="s">
        <v>10</v>
      </c>
      <c r="Y214" s="10" t="s">
        <v>10</v>
      </c>
      <c r="Z214" s="8" t="s">
        <v>10</v>
      </c>
      <c r="AA214" s="9" t="s">
        <v>10</v>
      </c>
      <c r="AB214" s="10" t="s">
        <v>10</v>
      </c>
      <c r="AC214" s="8" t="s">
        <v>10</v>
      </c>
      <c r="AD214" s="9" t="s">
        <v>10</v>
      </c>
    </row>
    <row r="215" spans="1:30" x14ac:dyDescent="0.35">
      <c r="A215" s="2">
        <v>2019</v>
      </c>
      <c r="B215" s="2">
        <v>4</v>
      </c>
      <c r="C215" s="2">
        <v>11</v>
      </c>
      <c r="D215" s="6">
        <v>10.5</v>
      </c>
      <c r="E215" s="6">
        <v>5</v>
      </c>
      <c r="F215" s="6">
        <v>8.25</v>
      </c>
      <c r="G215" s="10">
        <v>40</v>
      </c>
      <c r="H215" s="8">
        <v>30</v>
      </c>
      <c r="I215" s="9">
        <v>35</v>
      </c>
      <c r="J215" s="12" t="s">
        <v>10</v>
      </c>
      <c r="K215" s="6" t="s">
        <v>10</v>
      </c>
      <c r="L215" s="6" t="s">
        <v>10</v>
      </c>
      <c r="M215" s="12" t="s">
        <v>10</v>
      </c>
      <c r="N215" s="6" t="s">
        <v>10</v>
      </c>
      <c r="O215" s="7" t="s">
        <v>10</v>
      </c>
      <c r="P215" s="10">
        <v>45</v>
      </c>
      <c r="Q215" s="8">
        <v>40</v>
      </c>
      <c r="R215" s="9">
        <v>43</v>
      </c>
      <c r="S215" s="8">
        <v>65</v>
      </c>
      <c r="T215" s="8">
        <v>52</v>
      </c>
      <c r="U215" s="9">
        <v>59</v>
      </c>
      <c r="V215" s="10" t="s">
        <v>10</v>
      </c>
      <c r="W215" s="8" t="s">
        <v>10</v>
      </c>
      <c r="X215" s="9" t="s">
        <v>10</v>
      </c>
      <c r="Y215" s="10" t="s">
        <v>10</v>
      </c>
      <c r="Z215" s="8" t="s">
        <v>10</v>
      </c>
      <c r="AA215" s="9" t="s">
        <v>10</v>
      </c>
      <c r="AB215" s="10" t="s">
        <v>10</v>
      </c>
      <c r="AC215" s="8" t="s">
        <v>10</v>
      </c>
      <c r="AD215" s="9" t="s">
        <v>10</v>
      </c>
    </row>
    <row r="216" spans="1:30" x14ac:dyDescent="0.35">
      <c r="A216" s="2">
        <v>2019</v>
      </c>
      <c r="B216" s="2">
        <v>4</v>
      </c>
      <c r="C216" s="2">
        <v>12</v>
      </c>
      <c r="D216" s="6">
        <v>10</v>
      </c>
      <c r="E216" s="6">
        <v>5</v>
      </c>
      <c r="F216" s="6">
        <v>8</v>
      </c>
      <c r="G216" s="10">
        <v>40</v>
      </c>
      <c r="H216" s="8">
        <v>30</v>
      </c>
      <c r="I216" s="9">
        <v>35</v>
      </c>
      <c r="J216" s="12" t="s">
        <v>10</v>
      </c>
      <c r="K216" s="6" t="s">
        <v>10</v>
      </c>
      <c r="L216" s="6" t="s">
        <v>10</v>
      </c>
      <c r="M216" s="12" t="s">
        <v>10</v>
      </c>
      <c r="N216" s="6" t="s">
        <v>10</v>
      </c>
      <c r="O216" s="7" t="s">
        <v>10</v>
      </c>
      <c r="P216" s="10">
        <v>42.333333333333336</v>
      </c>
      <c r="Q216" s="8">
        <v>38</v>
      </c>
      <c r="R216" s="9">
        <v>40.666666666666664</v>
      </c>
      <c r="S216" s="8">
        <v>65</v>
      </c>
      <c r="T216" s="8">
        <v>52</v>
      </c>
      <c r="U216" s="9">
        <v>59</v>
      </c>
      <c r="V216" s="10" t="s">
        <v>10</v>
      </c>
      <c r="W216" s="8" t="s">
        <v>10</v>
      </c>
      <c r="X216" s="9" t="s">
        <v>10</v>
      </c>
      <c r="Y216" s="10" t="s">
        <v>10</v>
      </c>
      <c r="Z216" s="8" t="s">
        <v>10</v>
      </c>
      <c r="AA216" s="9" t="s">
        <v>10</v>
      </c>
      <c r="AB216" s="10" t="s">
        <v>10</v>
      </c>
      <c r="AC216" s="8" t="s">
        <v>10</v>
      </c>
      <c r="AD216" s="9" t="s">
        <v>10</v>
      </c>
    </row>
    <row r="217" spans="1:30" x14ac:dyDescent="0.35">
      <c r="A217" s="2">
        <v>2020</v>
      </c>
      <c r="B217" s="2">
        <v>1</v>
      </c>
      <c r="C217" s="2">
        <v>1</v>
      </c>
      <c r="D217" s="6">
        <v>7.6</v>
      </c>
      <c r="E217" s="6">
        <v>2</v>
      </c>
      <c r="F217" s="6">
        <v>5.2</v>
      </c>
      <c r="G217" s="10">
        <v>34</v>
      </c>
      <c r="H217" s="8">
        <v>28</v>
      </c>
      <c r="I217" s="9">
        <v>31.4</v>
      </c>
      <c r="J217" s="12" t="s">
        <v>10</v>
      </c>
      <c r="K217" s="6" t="s">
        <v>10</v>
      </c>
      <c r="L217" s="6" t="s">
        <v>10</v>
      </c>
      <c r="M217" s="12" t="s">
        <v>10</v>
      </c>
      <c r="N217" s="6" t="s">
        <v>10</v>
      </c>
      <c r="O217" s="7" t="s">
        <v>10</v>
      </c>
      <c r="P217" s="10">
        <v>41.4</v>
      </c>
      <c r="Q217" s="8">
        <v>38</v>
      </c>
      <c r="R217" s="9">
        <v>40.200000000000003</v>
      </c>
      <c r="S217" s="8">
        <v>59</v>
      </c>
      <c r="T217" s="8">
        <v>47.2</v>
      </c>
      <c r="U217" s="9">
        <v>53.6</v>
      </c>
      <c r="V217" s="10" t="s">
        <v>10</v>
      </c>
      <c r="W217" s="8" t="s">
        <v>10</v>
      </c>
      <c r="X217" s="9" t="s">
        <v>10</v>
      </c>
      <c r="Y217" s="10" t="s">
        <v>10</v>
      </c>
      <c r="Z217" s="8" t="s">
        <v>10</v>
      </c>
      <c r="AA217" s="9" t="s">
        <v>10</v>
      </c>
      <c r="AB217" s="10" t="s">
        <v>10</v>
      </c>
      <c r="AC217" s="8" t="s">
        <v>10</v>
      </c>
      <c r="AD217" s="9" t="s">
        <v>10</v>
      </c>
    </row>
    <row r="218" spans="1:30" x14ac:dyDescent="0.35">
      <c r="A218" s="2">
        <v>2020</v>
      </c>
      <c r="B218" s="2">
        <v>1</v>
      </c>
      <c r="C218" s="2">
        <v>2</v>
      </c>
      <c r="D218" s="6">
        <v>3.75</v>
      </c>
      <c r="E218" s="6">
        <v>-8.75</v>
      </c>
      <c r="F218" s="6">
        <v>-2.5</v>
      </c>
      <c r="G218" s="10">
        <v>22.5</v>
      </c>
      <c r="H218" s="8">
        <v>12.5</v>
      </c>
      <c r="I218" s="9">
        <v>17.75</v>
      </c>
      <c r="J218" s="12" t="s">
        <v>10</v>
      </c>
      <c r="K218" s="6" t="s">
        <v>10</v>
      </c>
      <c r="L218" s="6" t="s">
        <v>10</v>
      </c>
      <c r="M218" s="12" t="s">
        <v>10</v>
      </c>
      <c r="N218" s="6" t="s">
        <v>10</v>
      </c>
      <c r="O218" s="7" t="s">
        <v>10</v>
      </c>
      <c r="P218" s="10">
        <v>44</v>
      </c>
      <c r="Q218" s="8">
        <v>39</v>
      </c>
      <c r="R218" s="9">
        <v>42</v>
      </c>
      <c r="S218" s="8">
        <v>55</v>
      </c>
      <c r="T218" s="8">
        <v>44</v>
      </c>
      <c r="U218" s="9">
        <v>50</v>
      </c>
      <c r="V218" s="10" t="s">
        <v>10</v>
      </c>
      <c r="W218" s="8" t="s">
        <v>10</v>
      </c>
      <c r="X218" s="9" t="s">
        <v>10</v>
      </c>
      <c r="Y218" s="10" t="s">
        <v>10</v>
      </c>
      <c r="Z218" s="8" t="s">
        <v>10</v>
      </c>
      <c r="AA218" s="9" t="s">
        <v>10</v>
      </c>
      <c r="AB218" s="10" t="s">
        <v>10</v>
      </c>
      <c r="AC218" s="8" t="s">
        <v>10</v>
      </c>
      <c r="AD218" s="9" t="s">
        <v>10</v>
      </c>
    </row>
    <row r="219" spans="1:30" x14ac:dyDescent="0.35">
      <c r="A219" s="2">
        <v>2020</v>
      </c>
      <c r="B219" s="2">
        <v>1</v>
      </c>
      <c r="C219" s="2">
        <v>3</v>
      </c>
      <c r="D219" s="6">
        <v>-11.25</v>
      </c>
      <c r="E219" s="6">
        <v>-21.25</v>
      </c>
      <c r="F219" s="6">
        <v>-16.5</v>
      </c>
      <c r="G219" s="10">
        <v>17.5</v>
      </c>
      <c r="H219" s="8">
        <v>7.5</v>
      </c>
      <c r="I219" s="9">
        <v>12.5</v>
      </c>
      <c r="J219" s="12" t="s">
        <v>10</v>
      </c>
      <c r="K219" s="6" t="s">
        <v>10</v>
      </c>
      <c r="L219" s="6" t="s">
        <v>10</v>
      </c>
      <c r="M219" s="12" t="s">
        <v>10</v>
      </c>
      <c r="N219" s="6" t="s">
        <v>10</v>
      </c>
      <c r="O219" s="7" t="s">
        <v>10</v>
      </c>
      <c r="P219" s="10">
        <v>56.5</v>
      </c>
      <c r="Q219" s="8">
        <v>49</v>
      </c>
      <c r="R219" s="9">
        <v>53</v>
      </c>
      <c r="S219" s="8">
        <v>55</v>
      </c>
      <c r="T219" s="8">
        <v>44</v>
      </c>
      <c r="U219" s="9">
        <v>50</v>
      </c>
      <c r="V219" s="10" t="s">
        <v>10</v>
      </c>
      <c r="W219" s="8" t="s">
        <v>10</v>
      </c>
      <c r="X219" s="9" t="s">
        <v>10</v>
      </c>
      <c r="Y219" s="10" t="s">
        <v>10</v>
      </c>
      <c r="Z219" s="8" t="s">
        <v>10</v>
      </c>
      <c r="AA219" s="9" t="s">
        <v>10</v>
      </c>
      <c r="AB219" s="10" t="s">
        <v>10</v>
      </c>
      <c r="AC219" s="8" t="s">
        <v>10</v>
      </c>
      <c r="AD219" s="9" t="s">
        <v>10</v>
      </c>
    </row>
    <row r="220" spans="1:30" x14ac:dyDescent="0.35">
      <c r="A220" s="2">
        <v>2020</v>
      </c>
      <c r="B220" s="2">
        <v>2</v>
      </c>
      <c r="C220" s="2">
        <v>4</v>
      </c>
      <c r="D220" s="6">
        <v>-15</v>
      </c>
      <c r="E220" s="6">
        <v>-37</v>
      </c>
      <c r="F220" s="6">
        <v>-26.4</v>
      </c>
      <c r="G220" s="10">
        <v>1</v>
      </c>
      <c r="H220" s="8">
        <v>-10</v>
      </c>
      <c r="I220" s="9">
        <v>-4.4000000000000004</v>
      </c>
      <c r="J220" s="12" t="s">
        <v>10</v>
      </c>
      <c r="K220" s="6" t="s">
        <v>10</v>
      </c>
      <c r="L220" s="6" t="s">
        <v>10</v>
      </c>
      <c r="M220" s="12" t="s">
        <v>10</v>
      </c>
      <c r="N220" s="6" t="s">
        <v>10</v>
      </c>
      <c r="O220" s="7" t="s">
        <v>10</v>
      </c>
      <c r="P220" s="10">
        <v>61.8</v>
      </c>
      <c r="Q220" s="8">
        <v>54.8</v>
      </c>
      <c r="R220" s="9">
        <v>58.6</v>
      </c>
      <c r="S220" s="8">
        <v>62.8</v>
      </c>
      <c r="T220" s="8">
        <v>52.4</v>
      </c>
      <c r="U220" s="9">
        <v>57.8</v>
      </c>
      <c r="V220" s="10" t="s">
        <v>10</v>
      </c>
      <c r="W220" s="8" t="s">
        <v>10</v>
      </c>
      <c r="X220" s="9" t="s">
        <v>10</v>
      </c>
      <c r="Y220" s="10" t="s">
        <v>10</v>
      </c>
      <c r="Z220" s="8" t="s">
        <v>10</v>
      </c>
      <c r="AA220" s="9" t="s">
        <v>10</v>
      </c>
      <c r="AB220" s="10" t="s">
        <v>10</v>
      </c>
      <c r="AC220" s="8" t="s">
        <v>10</v>
      </c>
      <c r="AD220" s="9" t="s">
        <v>10</v>
      </c>
    </row>
    <row r="221" spans="1:30" x14ac:dyDescent="0.35">
      <c r="A221" s="2">
        <v>2020</v>
      </c>
      <c r="B221" s="2">
        <v>2</v>
      </c>
      <c r="C221" s="2">
        <v>5</v>
      </c>
      <c r="D221" s="6">
        <v>-12.5</v>
      </c>
      <c r="E221" s="6">
        <v>-23.75</v>
      </c>
      <c r="F221" s="6">
        <v>-18.25</v>
      </c>
      <c r="G221" s="10">
        <v>2.5</v>
      </c>
      <c r="H221" s="8">
        <v>-10</v>
      </c>
      <c r="I221" s="9">
        <v>-4</v>
      </c>
      <c r="J221" s="12" t="s">
        <v>10</v>
      </c>
      <c r="K221" s="6" t="s">
        <v>10</v>
      </c>
      <c r="L221" s="6" t="s">
        <v>10</v>
      </c>
      <c r="M221" s="12" t="s">
        <v>10</v>
      </c>
      <c r="N221" s="6" t="s">
        <v>10</v>
      </c>
      <c r="O221" s="7" t="s">
        <v>10</v>
      </c>
      <c r="P221" s="10">
        <v>55</v>
      </c>
      <c r="Q221" s="8">
        <v>50</v>
      </c>
      <c r="R221" s="9">
        <v>53</v>
      </c>
      <c r="S221" s="8">
        <v>68</v>
      </c>
      <c r="T221" s="8">
        <v>58</v>
      </c>
      <c r="U221" s="9">
        <v>63</v>
      </c>
      <c r="V221" s="10" t="s">
        <v>10</v>
      </c>
      <c r="W221" s="8" t="s">
        <v>10</v>
      </c>
      <c r="X221" s="9" t="s">
        <v>10</v>
      </c>
      <c r="Y221" s="10" t="s">
        <v>10</v>
      </c>
      <c r="Z221" s="8" t="s">
        <v>10</v>
      </c>
      <c r="AA221" s="9" t="s">
        <v>10</v>
      </c>
      <c r="AB221" s="10" t="s">
        <v>10</v>
      </c>
      <c r="AC221" s="8" t="s">
        <v>10</v>
      </c>
      <c r="AD221" s="9" t="s">
        <v>10</v>
      </c>
    </row>
    <row r="222" spans="1:30" x14ac:dyDescent="0.35">
      <c r="A222" s="2">
        <v>2020</v>
      </c>
      <c r="B222" s="2">
        <v>2</v>
      </c>
      <c r="C222" s="2">
        <v>6</v>
      </c>
      <c r="D222" s="6">
        <v>-10</v>
      </c>
      <c r="E222" s="6">
        <v>-20</v>
      </c>
      <c r="F222" s="6">
        <v>-15</v>
      </c>
      <c r="G222" s="10">
        <v>5</v>
      </c>
      <c r="H222" s="8">
        <v>-2.5</v>
      </c>
      <c r="I222" s="9">
        <v>1.5</v>
      </c>
      <c r="J222" s="12" t="s">
        <v>10</v>
      </c>
      <c r="K222" s="6" t="s">
        <v>10</v>
      </c>
      <c r="L222" s="6" t="s">
        <v>10</v>
      </c>
      <c r="M222" s="12" t="s">
        <v>10</v>
      </c>
      <c r="N222" s="6" t="s">
        <v>10</v>
      </c>
      <c r="O222" s="7" t="s">
        <v>10</v>
      </c>
      <c r="P222" s="10">
        <v>62</v>
      </c>
      <c r="Q222" s="8">
        <v>56</v>
      </c>
      <c r="R222" s="9">
        <v>59.5</v>
      </c>
      <c r="S222" s="8">
        <v>68</v>
      </c>
      <c r="T222" s="8">
        <v>58</v>
      </c>
      <c r="U222" s="9">
        <v>63</v>
      </c>
      <c r="V222" s="10" t="s">
        <v>10</v>
      </c>
      <c r="W222" s="8" t="s">
        <v>10</v>
      </c>
      <c r="X222" s="9" t="s">
        <v>10</v>
      </c>
      <c r="Y222" s="10" t="s">
        <v>10</v>
      </c>
      <c r="Z222" s="8" t="s">
        <v>10</v>
      </c>
      <c r="AA222" s="9" t="s">
        <v>10</v>
      </c>
      <c r="AB222" s="10" t="s">
        <v>10</v>
      </c>
      <c r="AC222" s="8" t="s">
        <v>10</v>
      </c>
      <c r="AD222" s="9" t="s">
        <v>10</v>
      </c>
    </row>
    <row r="223" spans="1:30" x14ac:dyDescent="0.35">
      <c r="A223" s="2">
        <v>2020</v>
      </c>
      <c r="B223" s="2">
        <v>3</v>
      </c>
      <c r="C223" s="2">
        <v>7</v>
      </c>
      <c r="D223" s="6">
        <v>-10</v>
      </c>
      <c r="E223" s="6">
        <v>-20</v>
      </c>
      <c r="F223" s="6">
        <v>-15</v>
      </c>
      <c r="G223" s="10">
        <v>10</v>
      </c>
      <c r="H223" s="8">
        <v>0</v>
      </c>
      <c r="I223" s="9">
        <v>5</v>
      </c>
      <c r="J223" s="12" t="s">
        <v>10</v>
      </c>
      <c r="K223" s="6" t="s">
        <v>10</v>
      </c>
      <c r="L223" s="6" t="s">
        <v>10</v>
      </c>
      <c r="M223" s="12" t="s">
        <v>10</v>
      </c>
      <c r="N223" s="6" t="s">
        <v>10</v>
      </c>
      <c r="O223" s="7" t="s">
        <v>10</v>
      </c>
      <c r="P223" s="10">
        <v>60</v>
      </c>
      <c r="Q223" s="8">
        <v>53.8</v>
      </c>
      <c r="R223" s="9">
        <v>57.4</v>
      </c>
      <c r="S223" s="8">
        <v>68</v>
      </c>
      <c r="T223" s="8">
        <v>58</v>
      </c>
      <c r="U223" s="9">
        <v>63</v>
      </c>
      <c r="V223" s="10" t="s">
        <v>10</v>
      </c>
      <c r="W223" s="8" t="s">
        <v>10</v>
      </c>
      <c r="X223" s="9" t="s">
        <v>10</v>
      </c>
      <c r="Y223" s="10" t="s">
        <v>10</v>
      </c>
      <c r="Z223" s="8" t="s">
        <v>10</v>
      </c>
      <c r="AA223" s="9" t="s">
        <v>10</v>
      </c>
      <c r="AB223" s="10" t="s">
        <v>10</v>
      </c>
      <c r="AC223" s="8" t="s">
        <v>10</v>
      </c>
      <c r="AD223" s="9" t="s">
        <v>10</v>
      </c>
    </row>
    <row r="224" spans="1:30" x14ac:dyDescent="0.35">
      <c r="A224" s="2">
        <v>2020</v>
      </c>
      <c r="B224" s="2">
        <v>3</v>
      </c>
      <c r="C224" s="2">
        <v>8</v>
      </c>
      <c r="D224" s="6">
        <v>-10</v>
      </c>
      <c r="E224" s="6">
        <v>-20</v>
      </c>
      <c r="F224" s="6">
        <v>-15</v>
      </c>
      <c r="G224" s="10">
        <v>15</v>
      </c>
      <c r="H224" s="8">
        <v>5</v>
      </c>
      <c r="I224" s="9">
        <v>10</v>
      </c>
      <c r="J224" s="12" t="s">
        <v>10</v>
      </c>
      <c r="K224" s="6" t="s">
        <v>10</v>
      </c>
      <c r="L224" s="6" t="s">
        <v>10</v>
      </c>
      <c r="M224" s="12" t="s">
        <v>10</v>
      </c>
      <c r="N224" s="6" t="s">
        <v>10</v>
      </c>
      <c r="O224" s="7" t="s">
        <v>10</v>
      </c>
      <c r="P224" s="10">
        <v>54.25</v>
      </c>
      <c r="Q224" s="8">
        <v>50.5</v>
      </c>
      <c r="R224" s="9">
        <v>52.75</v>
      </c>
      <c r="S224" s="8">
        <v>68</v>
      </c>
      <c r="T224" s="8">
        <v>58</v>
      </c>
      <c r="U224" s="9">
        <v>63</v>
      </c>
      <c r="V224" s="10" t="s">
        <v>10</v>
      </c>
      <c r="W224" s="8" t="s">
        <v>10</v>
      </c>
      <c r="X224" s="9" t="s">
        <v>10</v>
      </c>
      <c r="Y224" s="10" t="s">
        <v>10</v>
      </c>
      <c r="Z224" s="8" t="s">
        <v>10</v>
      </c>
      <c r="AA224" s="9" t="s">
        <v>10</v>
      </c>
      <c r="AB224" s="10" t="s">
        <v>10</v>
      </c>
      <c r="AC224" s="8" t="s">
        <v>10</v>
      </c>
      <c r="AD224" s="9" t="s">
        <v>10</v>
      </c>
    </row>
    <row r="225" spans="1:30" x14ac:dyDescent="0.35">
      <c r="A225" s="2">
        <v>2020</v>
      </c>
      <c r="B225" s="2">
        <v>3</v>
      </c>
      <c r="C225" s="2">
        <v>9</v>
      </c>
      <c r="D225" s="6">
        <v>-10</v>
      </c>
      <c r="E225" s="6">
        <v>-15</v>
      </c>
      <c r="F225" s="6">
        <v>-13</v>
      </c>
      <c r="G225" s="10">
        <v>17.5</v>
      </c>
      <c r="H225" s="8">
        <v>8.75</v>
      </c>
      <c r="I225" s="9">
        <v>13.25</v>
      </c>
      <c r="J225" s="12" t="s">
        <v>10</v>
      </c>
      <c r="K225" s="6" t="s">
        <v>10</v>
      </c>
      <c r="L225" s="6" t="s">
        <v>10</v>
      </c>
      <c r="M225" s="12" t="s">
        <v>10</v>
      </c>
      <c r="N225" s="6" t="s">
        <v>10</v>
      </c>
      <c r="O225" s="7" t="s">
        <v>10</v>
      </c>
      <c r="P225" s="10">
        <v>65.75</v>
      </c>
      <c r="Q225" s="8">
        <v>59.5</v>
      </c>
      <c r="R225" s="9">
        <v>63</v>
      </c>
      <c r="S225" s="8">
        <v>68</v>
      </c>
      <c r="T225" s="8">
        <v>58</v>
      </c>
      <c r="U225" s="9">
        <v>63</v>
      </c>
      <c r="V225" s="10" t="s">
        <v>10</v>
      </c>
      <c r="W225" s="8" t="s">
        <v>10</v>
      </c>
      <c r="X225" s="9" t="s">
        <v>10</v>
      </c>
      <c r="Y225" s="10" t="s">
        <v>10</v>
      </c>
      <c r="Z225" s="8" t="s">
        <v>10</v>
      </c>
      <c r="AA225" s="9" t="s">
        <v>10</v>
      </c>
      <c r="AB225" s="10" t="s">
        <v>10</v>
      </c>
      <c r="AC225" s="8" t="s">
        <v>10</v>
      </c>
      <c r="AD225" s="9" t="s">
        <v>10</v>
      </c>
    </row>
    <row r="226" spans="1:30" x14ac:dyDescent="0.35">
      <c r="A226" s="2">
        <v>2020</v>
      </c>
      <c r="B226" s="2">
        <v>4</v>
      </c>
      <c r="C226" s="2">
        <v>10</v>
      </c>
      <c r="D226" s="6">
        <v>-5</v>
      </c>
      <c r="E226" s="6">
        <v>-15</v>
      </c>
      <c r="F226" s="6">
        <v>-10.4</v>
      </c>
      <c r="G226" s="10">
        <v>20</v>
      </c>
      <c r="H226" s="8">
        <v>13</v>
      </c>
      <c r="I226" s="9">
        <v>16.8</v>
      </c>
      <c r="J226" s="12" t="s">
        <v>10</v>
      </c>
      <c r="K226" s="6" t="s">
        <v>10</v>
      </c>
      <c r="L226" s="6" t="s">
        <v>10</v>
      </c>
      <c r="M226" s="12" t="s">
        <v>10</v>
      </c>
      <c r="N226" s="6" t="s">
        <v>10</v>
      </c>
      <c r="O226" s="7" t="s">
        <v>10</v>
      </c>
      <c r="P226" s="10">
        <v>72.599999999999994</v>
      </c>
      <c r="Q226" s="8">
        <v>68</v>
      </c>
      <c r="R226" s="9">
        <v>70.8</v>
      </c>
      <c r="S226" s="8">
        <v>71.599999999999994</v>
      </c>
      <c r="T226" s="8">
        <v>61.6</v>
      </c>
      <c r="U226" s="9">
        <v>66.599999999999994</v>
      </c>
      <c r="V226" s="10" t="s">
        <v>10</v>
      </c>
      <c r="W226" s="8" t="s">
        <v>10</v>
      </c>
      <c r="X226" s="9" t="s">
        <v>10</v>
      </c>
      <c r="Y226" s="10" t="s">
        <v>10</v>
      </c>
      <c r="Z226" s="8" t="s">
        <v>10</v>
      </c>
      <c r="AA226" s="9" t="s">
        <v>10</v>
      </c>
      <c r="AB226" s="10" t="s">
        <v>10</v>
      </c>
      <c r="AC226" s="8" t="s">
        <v>10</v>
      </c>
      <c r="AD226" s="9" t="s">
        <v>10</v>
      </c>
    </row>
    <row r="227" spans="1:30" x14ac:dyDescent="0.35">
      <c r="A227" s="2">
        <v>2020</v>
      </c>
      <c r="B227" s="2">
        <v>4</v>
      </c>
      <c r="C227" s="2">
        <v>11</v>
      </c>
      <c r="D227" s="6">
        <v>5</v>
      </c>
      <c r="E227" s="6">
        <v>-15</v>
      </c>
      <c r="F227" s="6">
        <v>-5</v>
      </c>
      <c r="G227" s="10">
        <v>25</v>
      </c>
      <c r="H227" s="8">
        <v>15</v>
      </c>
      <c r="I227" s="9">
        <v>20</v>
      </c>
      <c r="J227" s="12" t="s">
        <v>10</v>
      </c>
      <c r="K227" s="6" t="s">
        <v>10</v>
      </c>
      <c r="L227" s="6" t="s">
        <v>10</v>
      </c>
      <c r="M227" s="12" t="s">
        <v>10</v>
      </c>
      <c r="N227" s="6" t="s">
        <v>10</v>
      </c>
      <c r="O227" s="7" t="s">
        <v>10</v>
      </c>
      <c r="P227" s="10">
        <v>79.25</v>
      </c>
      <c r="Q227" s="8">
        <v>74.25</v>
      </c>
      <c r="R227" s="9">
        <v>77.25</v>
      </c>
      <c r="S227" s="8">
        <v>74</v>
      </c>
      <c r="T227" s="8">
        <v>64</v>
      </c>
      <c r="U227" s="9">
        <v>69</v>
      </c>
      <c r="V227" s="10" t="s">
        <v>10</v>
      </c>
      <c r="W227" s="8" t="s">
        <v>10</v>
      </c>
      <c r="X227" s="9" t="s">
        <v>10</v>
      </c>
      <c r="Y227" s="10" t="s">
        <v>10</v>
      </c>
      <c r="Z227" s="8" t="s">
        <v>10</v>
      </c>
      <c r="AA227" s="9" t="s">
        <v>10</v>
      </c>
      <c r="AB227" s="10" t="s">
        <v>10</v>
      </c>
      <c r="AC227" s="8" t="s">
        <v>10</v>
      </c>
      <c r="AD227" s="9" t="s">
        <v>10</v>
      </c>
    </row>
    <row r="228" spans="1:30" x14ac:dyDescent="0.35">
      <c r="A228" s="2">
        <v>2020</v>
      </c>
      <c r="B228" s="2">
        <v>4</v>
      </c>
      <c r="C228" s="2">
        <v>12</v>
      </c>
      <c r="D228" s="6">
        <v>15</v>
      </c>
      <c r="E228" s="6">
        <v>-15</v>
      </c>
      <c r="F228" s="6">
        <v>0</v>
      </c>
      <c r="G228" s="10">
        <v>28.75</v>
      </c>
      <c r="H228" s="8">
        <v>18.75</v>
      </c>
      <c r="I228" s="9">
        <v>23.75</v>
      </c>
      <c r="J228" s="12" t="s">
        <v>10</v>
      </c>
      <c r="K228" s="6" t="s">
        <v>10</v>
      </c>
      <c r="L228" s="6" t="s">
        <v>10</v>
      </c>
      <c r="M228" s="12" t="s">
        <v>10</v>
      </c>
      <c r="N228" s="6" t="s">
        <v>10</v>
      </c>
      <c r="O228" s="7" t="s">
        <v>10</v>
      </c>
      <c r="P228" s="10">
        <v>94</v>
      </c>
      <c r="Q228" s="8">
        <v>87.75</v>
      </c>
      <c r="R228" s="9">
        <v>91.25</v>
      </c>
      <c r="S228" s="8">
        <v>74</v>
      </c>
      <c r="T228" s="8">
        <v>64</v>
      </c>
      <c r="U228" s="9">
        <v>69</v>
      </c>
      <c r="V228" s="10" t="s">
        <v>10</v>
      </c>
      <c r="W228" s="8" t="s">
        <v>10</v>
      </c>
      <c r="X228" s="9" t="s">
        <v>10</v>
      </c>
      <c r="Y228" s="10" t="s">
        <v>10</v>
      </c>
      <c r="Z228" s="8" t="s">
        <v>10</v>
      </c>
      <c r="AA228" s="9" t="s">
        <v>10</v>
      </c>
      <c r="AB228" s="10" t="s">
        <v>10</v>
      </c>
      <c r="AC228" s="8" t="s">
        <v>10</v>
      </c>
      <c r="AD228" s="9" t="s">
        <v>10</v>
      </c>
    </row>
    <row r="229" spans="1:30" x14ac:dyDescent="0.35">
      <c r="A229" s="2">
        <v>2021</v>
      </c>
      <c r="B229" s="2">
        <v>1</v>
      </c>
      <c r="C229" s="2">
        <v>1</v>
      </c>
      <c r="D229" s="6">
        <v>37.5</v>
      </c>
      <c r="E229" s="6">
        <v>-3.75</v>
      </c>
      <c r="F229" s="6">
        <v>17</v>
      </c>
      <c r="G229" s="10">
        <v>37.5</v>
      </c>
      <c r="H229" s="8">
        <v>27.5</v>
      </c>
      <c r="I229" s="9">
        <v>32.5</v>
      </c>
      <c r="J229" s="12" t="s">
        <v>10</v>
      </c>
      <c r="K229" s="6" t="s">
        <v>10</v>
      </c>
      <c r="L229" s="6" t="s">
        <v>10</v>
      </c>
      <c r="M229" s="12" t="s">
        <v>10</v>
      </c>
      <c r="N229" s="6" t="s">
        <v>10</v>
      </c>
      <c r="O229" s="7" t="s">
        <v>10</v>
      </c>
      <c r="P229" s="10">
        <v>114.5</v>
      </c>
      <c r="Q229" s="8">
        <v>105.75</v>
      </c>
      <c r="R229" s="9">
        <v>110.25</v>
      </c>
      <c r="S229" s="8">
        <v>90.5</v>
      </c>
      <c r="T229" s="8">
        <v>74.5</v>
      </c>
      <c r="U229" s="9">
        <v>82.5</v>
      </c>
      <c r="V229" s="10" t="s">
        <v>10</v>
      </c>
      <c r="W229" s="8" t="s">
        <v>10</v>
      </c>
      <c r="X229" s="9" t="s">
        <v>10</v>
      </c>
      <c r="Y229" s="10" t="s">
        <v>10</v>
      </c>
      <c r="Z229" s="8" t="s">
        <v>10</v>
      </c>
      <c r="AA229" s="9" t="s">
        <v>10</v>
      </c>
      <c r="AB229" s="10" t="s">
        <v>10</v>
      </c>
      <c r="AC229" s="8" t="s">
        <v>10</v>
      </c>
      <c r="AD229" s="9" t="s">
        <v>10</v>
      </c>
    </row>
    <row r="230" spans="1:30" x14ac:dyDescent="0.35">
      <c r="A230" s="2">
        <v>2021</v>
      </c>
      <c r="B230" s="2">
        <v>1</v>
      </c>
      <c r="C230" s="2">
        <v>2</v>
      </c>
      <c r="D230" s="6">
        <v>60</v>
      </c>
      <c r="E230" s="6">
        <v>0</v>
      </c>
      <c r="F230" s="6">
        <v>30</v>
      </c>
      <c r="G230" s="10">
        <v>65</v>
      </c>
      <c r="H230" s="8">
        <v>47.5</v>
      </c>
      <c r="I230" s="9">
        <v>56.25</v>
      </c>
      <c r="J230" s="12" t="s">
        <v>10</v>
      </c>
      <c r="K230" s="6" t="s">
        <v>10</v>
      </c>
      <c r="L230" s="6" t="s">
        <v>10</v>
      </c>
      <c r="M230" s="12" t="s">
        <v>10</v>
      </c>
      <c r="N230" s="6" t="s">
        <v>10</v>
      </c>
      <c r="O230" s="7" t="s">
        <v>10</v>
      </c>
      <c r="P230" s="10">
        <v>158.75</v>
      </c>
      <c r="Q230" s="8">
        <v>145</v>
      </c>
      <c r="R230" s="9">
        <v>152</v>
      </c>
      <c r="S230" s="8">
        <v>96</v>
      </c>
      <c r="T230" s="8">
        <v>78</v>
      </c>
      <c r="U230" s="9">
        <v>87</v>
      </c>
      <c r="V230" s="10" t="s">
        <v>10</v>
      </c>
      <c r="W230" s="8" t="s">
        <v>10</v>
      </c>
      <c r="X230" s="9" t="s">
        <v>10</v>
      </c>
      <c r="Y230" s="10" t="s">
        <v>10</v>
      </c>
      <c r="Z230" s="8" t="s">
        <v>10</v>
      </c>
      <c r="AA230" s="9" t="s">
        <v>10</v>
      </c>
      <c r="AB230" s="10" t="s">
        <v>10</v>
      </c>
      <c r="AC230" s="8" t="s">
        <v>10</v>
      </c>
      <c r="AD230" s="9" t="s">
        <v>10</v>
      </c>
    </row>
    <row r="231" spans="1:30" x14ac:dyDescent="0.35">
      <c r="A231" s="2">
        <v>2021</v>
      </c>
      <c r="B231" s="2">
        <v>1</v>
      </c>
      <c r="C231" s="2">
        <v>3</v>
      </c>
      <c r="D231" s="6">
        <v>67.5</v>
      </c>
      <c r="E231" s="6">
        <v>0</v>
      </c>
      <c r="F231" s="6">
        <v>33.75</v>
      </c>
      <c r="G231" s="10">
        <v>90</v>
      </c>
      <c r="H231" s="8">
        <v>78.75</v>
      </c>
      <c r="I231" s="9">
        <v>84.5</v>
      </c>
      <c r="J231" s="12" t="s">
        <v>10</v>
      </c>
      <c r="K231" s="6" t="s">
        <v>10</v>
      </c>
      <c r="L231" s="6" t="s">
        <v>10</v>
      </c>
      <c r="M231" s="12" t="s">
        <v>10</v>
      </c>
      <c r="N231" s="6" t="s">
        <v>10</v>
      </c>
      <c r="O231" s="7" t="s">
        <v>10</v>
      </c>
      <c r="P231" s="10">
        <v>196.25</v>
      </c>
      <c r="Q231" s="8">
        <v>180</v>
      </c>
      <c r="R231" s="9">
        <v>188.25</v>
      </c>
      <c r="S231" s="8">
        <v>96</v>
      </c>
      <c r="T231" s="8">
        <v>78</v>
      </c>
      <c r="U231" s="9">
        <v>87</v>
      </c>
      <c r="V231" s="10" t="s">
        <v>10</v>
      </c>
      <c r="W231" s="8" t="s">
        <v>10</v>
      </c>
      <c r="X231" s="9" t="s">
        <v>10</v>
      </c>
      <c r="Y231" s="10" t="s">
        <v>10</v>
      </c>
      <c r="Z231" s="8" t="s">
        <v>10</v>
      </c>
      <c r="AA231" s="9" t="s">
        <v>10</v>
      </c>
      <c r="AB231" s="10" t="s">
        <v>10</v>
      </c>
      <c r="AC231" s="8" t="s">
        <v>10</v>
      </c>
      <c r="AD231" s="9" t="s">
        <v>10</v>
      </c>
    </row>
    <row r="232" spans="1:30" x14ac:dyDescent="0.35">
      <c r="A232" s="2">
        <v>2021</v>
      </c>
      <c r="B232" s="2">
        <v>2</v>
      </c>
      <c r="C232" s="2">
        <v>4</v>
      </c>
      <c r="D232" s="6">
        <v>81</v>
      </c>
      <c r="E232" s="6">
        <v>15</v>
      </c>
      <c r="F232" s="6">
        <v>48.4</v>
      </c>
      <c r="G232" s="10">
        <v>102</v>
      </c>
      <c r="H232" s="8">
        <v>92</v>
      </c>
      <c r="I232" s="9">
        <v>97</v>
      </c>
      <c r="J232" s="12">
        <v>91.25</v>
      </c>
      <c r="K232" s="6">
        <v>83.75</v>
      </c>
      <c r="L232" s="6">
        <v>87.75</v>
      </c>
      <c r="M232" s="12" t="s">
        <v>10</v>
      </c>
      <c r="N232" s="6" t="s">
        <v>10</v>
      </c>
      <c r="O232" s="7" t="s">
        <v>10</v>
      </c>
      <c r="P232" s="10">
        <v>190</v>
      </c>
      <c r="Q232" s="8">
        <v>180</v>
      </c>
      <c r="R232" s="9">
        <v>185</v>
      </c>
      <c r="S232" s="8">
        <v>145.6</v>
      </c>
      <c r="T232" s="8">
        <v>121.6</v>
      </c>
      <c r="U232" s="9">
        <v>133.80000000000001</v>
      </c>
      <c r="V232" s="10" t="s">
        <v>10</v>
      </c>
      <c r="W232" s="8" t="s">
        <v>10</v>
      </c>
      <c r="X232" s="9" t="s">
        <v>10</v>
      </c>
      <c r="Y232" s="10" t="s">
        <v>10</v>
      </c>
      <c r="Z232" s="8" t="s">
        <v>10</v>
      </c>
      <c r="AA232" s="9" t="s">
        <v>10</v>
      </c>
      <c r="AB232" s="10" t="s">
        <v>10</v>
      </c>
      <c r="AC232" s="8" t="s">
        <v>10</v>
      </c>
      <c r="AD232" s="9" t="s">
        <v>10</v>
      </c>
    </row>
    <row r="233" spans="1:30" x14ac:dyDescent="0.35">
      <c r="A233" s="2">
        <v>2021</v>
      </c>
      <c r="B233" s="2">
        <v>2</v>
      </c>
      <c r="C233" s="2">
        <v>5</v>
      </c>
      <c r="D233" s="6">
        <v>88.75</v>
      </c>
      <c r="E233" s="6">
        <v>15</v>
      </c>
      <c r="F233" s="6">
        <v>52</v>
      </c>
      <c r="G233" s="10">
        <v>120</v>
      </c>
      <c r="H233" s="8">
        <v>107.5</v>
      </c>
      <c r="I233" s="9">
        <v>113.75</v>
      </c>
      <c r="J233" s="12">
        <v>100</v>
      </c>
      <c r="K233" s="6">
        <v>90</v>
      </c>
      <c r="L233" s="6">
        <v>95</v>
      </c>
      <c r="M233" s="12" t="s">
        <v>10</v>
      </c>
      <c r="N233" s="6" t="s">
        <v>10</v>
      </c>
      <c r="O233" s="7" t="s">
        <v>10</v>
      </c>
      <c r="P233" s="10">
        <v>190</v>
      </c>
      <c r="Q233" s="8">
        <v>180</v>
      </c>
      <c r="R233" s="9">
        <v>185</v>
      </c>
      <c r="S233" s="8">
        <v>220</v>
      </c>
      <c r="T233" s="8">
        <v>187</v>
      </c>
      <c r="U233" s="9">
        <v>204</v>
      </c>
      <c r="V233" s="10" t="s">
        <v>10</v>
      </c>
      <c r="W233" s="8" t="s">
        <v>10</v>
      </c>
      <c r="X233" s="9" t="s">
        <v>10</v>
      </c>
      <c r="Y233" s="10" t="s">
        <v>10</v>
      </c>
      <c r="Z233" s="8" t="s">
        <v>10</v>
      </c>
      <c r="AA233" s="9" t="s">
        <v>10</v>
      </c>
      <c r="AB233" s="10" t="s">
        <v>10</v>
      </c>
      <c r="AC233" s="8" t="s">
        <v>10</v>
      </c>
      <c r="AD233" s="9" t="s">
        <v>10</v>
      </c>
    </row>
    <row r="234" spans="1:30" x14ac:dyDescent="0.35">
      <c r="A234" s="2">
        <v>2021</v>
      </c>
      <c r="B234" s="2">
        <v>2</v>
      </c>
      <c r="C234" s="2">
        <v>6</v>
      </c>
      <c r="D234" s="6">
        <v>105</v>
      </c>
      <c r="E234" s="6">
        <v>15</v>
      </c>
      <c r="F234" s="6">
        <v>60.5</v>
      </c>
      <c r="G234" s="10">
        <v>142.5</v>
      </c>
      <c r="H234" s="8">
        <v>122.5</v>
      </c>
      <c r="I234" s="9">
        <v>132.5</v>
      </c>
      <c r="J234" s="12">
        <v>125</v>
      </c>
      <c r="K234" s="6">
        <v>110</v>
      </c>
      <c r="L234" s="6">
        <v>117.5</v>
      </c>
      <c r="M234" s="12" t="s">
        <v>10</v>
      </c>
      <c r="N234" s="6" t="s">
        <v>10</v>
      </c>
      <c r="O234" s="7" t="s">
        <v>10</v>
      </c>
      <c r="P234" s="10">
        <v>188.5</v>
      </c>
      <c r="Q234" s="8">
        <v>183</v>
      </c>
      <c r="R234" s="9">
        <v>186</v>
      </c>
      <c r="S234" s="8">
        <v>220</v>
      </c>
      <c r="T234" s="8">
        <v>187</v>
      </c>
      <c r="U234" s="9">
        <v>204</v>
      </c>
      <c r="V234" s="10" t="s">
        <v>10</v>
      </c>
      <c r="W234" s="8" t="s">
        <v>10</v>
      </c>
      <c r="X234" s="9" t="s">
        <v>10</v>
      </c>
      <c r="Y234" s="10" t="s">
        <v>10</v>
      </c>
      <c r="Z234" s="8" t="s">
        <v>10</v>
      </c>
      <c r="AA234" s="9" t="s">
        <v>10</v>
      </c>
      <c r="AB234" s="10" t="s">
        <v>10</v>
      </c>
      <c r="AC234" s="8" t="s">
        <v>10</v>
      </c>
      <c r="AD234" s="9" t="s">
        <v>10</v>
      </c>
    </row>
    <row r="235" spans="1:30" x14ac:dyDescent="0.35">
      <c r="A235" s="2">
        <v>2021</v>
      </c>
      <c r="B235" s="2">
        <v>3</v>
      </c>
      <c r="C235" s="2">
        <v>7</v>
      </c>
      <c r="D235" s="6">
        <v>122</v>
      </c>
      <c r="E235" s="6">
        <v>27</v>
      </c>
      <c r="F235" s="6">
        <v>74.599999999999994</v>
      </c>
      <c r="G235" s="10">
        <v>172</v>
      </c>
      <c r="H235" s="8">
        <v>148</v>
      </c>
      <c r="I235" s="9">
        <v>160</v>
      </c>
      <c r="J235" s="12">
        <v>138</v>
      </c>
      <c r="K235" s="6">
        <v>128</v>
      </c>
      <c r="L235" s="6">
        <v>133</v>
      </c>
      <c r="M235" s="12" t="s">
        <v>10</v>
      </c>
      <c r="N235" s="6" t="s">
        <v>10</v>
      </c>
      <c r="O235" s="7" t="s">
        <v>10</v>
      </c>
      <c r="P235" s="10">
        <v>177.8</v>
      </c>
      <c r="Q235" s="8">
        <v>171.8</v>
      </c>
      <c r="R235" s="9">
        <v>175.2</v>
      </c>
      <c r="S235" s="8">
        <v>220</v>
      </c>
      <c r="T235" s="8">
        <v>187</v>
      </c>
      <c r="U235" s="9">
        <v>204</v>
      </c>
      <c r="V235" s="10" t="s">
        <v>10</v>
      </c>
      <c r="W235" s="8" t="s">
        <v>10</v>
      </c>
      <c r="X235" s="9" t="s">
        <v>10</v>
      </c>
      <c r="Y235" s="10" t="s">
        <v>10</v>
      </c>
      <c r="Z235" s="8" t="s">
        <v>10</v>
      </c>
      <c r="AA235" s="9" t="s">
        <v>10</v>
      </c>
      <c r="AB235" s="10" t="s">
        <v>10</v>
      </c>
      <c r="AC235" s="8" t="s">
        <v>10</v>
      </c>
      <c r="AD235" s="9" t="s">
        <v>10</v>
      </c>
    </row>
    <row r="236" spans="1:30" x14ac:dyDescent="0.35">
      <c r="A236" s="2">
        <v>2021</v>
      </c>
      <c r="B236" s="2">
        <v>3</v>
      </c>
      <c r="C236" s="2">
        <v>8</v>
      </c>
      <c r="D236" s="6">
        <v>130</v>
      </c>
      <c r="E236" s="6">
        <v>30</v>
      </c>
      <c r="F236" s="6">
        <v>80</v>
      </c>
      <c r="G236" s="10">
        <v>192.5</v>
      </c>
      <c r="H236" s="8">
        <v>172.5</v>
      </c>
      <c r="I236" s="9">
        <v>182.5</v>
      </c>
      <c r="J236" s="12">
        <v>145</v>
      </c>
      <c r="K236" s="6">
        <v>132.5</v>
      </c>
      <c r="L236" s="6">
        <v>139</v>
      </c>
      <c r="M236" s="12" t="s">
        <v>10</v>
      </c>
      <c r="N236" s="6" t="s">
        <v>10</v>
      </c>
      <c r="O236" s="7" t="s">
        <v>10</v>
      </c>
      <c r="P236" s="10">
        <v>176.25</v>
      </c>
      <c r="Q236" s="8">
        <v>162.5</v>
      </c>
      <c r="R236" s="9">
        <v>169.75</v>
      </c>
      <c r="S236" s="8">
        <v>215</v>
      </c>
      <c r="T236" s="8">
        <v>187</v>
      </c>
      <c r="U236" s="9">
        <v>201</v>
      </c>
      <c r="V236" s="10" t="s">
        <v>10</v>
      </c>
      <c r="W236" s="8" t="s">
        <v>10</v>
      </c>
      <c r="X236" s="9" t="s">
        <v>10</v>
      </c>
      <c r="Y236" s="10" t="s">
        <v>10</v>
      </c>
      <c r="Z236" s="8" t="s">
        <v>10</v>
      </c>
      <c r="AA236" s="9" t="s">
        <v>10</v>
      </c>
      <c r="AB236" s="10" t="s">
        <v>10</v>
      </c>
      <c r="AC236" s="8" t="s">
        <v>10</v>
      </c>
      <c r="AD236" s="9" t="s">
        <v>10</v>
      </c>
    </row>
    <row r="237" spans="1:30" x14ac:dyDescent="0.35">
      <c r="A237" s="2">
        <v>2021</v>
      </c>
      <c r="B237" s="2">
        <v>3</v>
      </c>
      <c r="C237" s="2">
        <v>9</v>
      </c>
      <c r="D237" s="6">
        <v>150</v>
      </c>
      <c r="E237" s="6">
        <v>30</v>
      </c>
      <c r="F237" s="6">
        <v>90</v>
      </c>
      <c r="G237" s="10">
        <v>202</v>
      </c>
      <c r="H237" s="8">
        <v>182</v>
      </c>
      <c r="I237" s="9">
        <v>192</v>
      </c>
      <c r="J237" s="12">
        <v>175</v>
      </c>
      <c r="K237" s="6">
        <v>150</v>
      </c>
      <c r="L237" s="6">
        <v>163</v>
      </c>
      <c r="M237" s="12" t="s">
        <v>10</v>
      </c>
      <c r="N237" s="6" t="s">
        <v>10</v>
      </c>
      <c r="O237" s="7" t="s">
        <v>10</v>
      </c>
      <c r="P237" s="10">
        <v>187</v>
      </c>
      <c r="Q237" s="8">
        <v>176</v>
      </c>
      <c r="R237" s="9">
        <v>181.6</v>
      </c>
      <c r="S237" s="8">
        <v>215</v>
      </c>
      <c r="T237" s="8">
        <v>187</v>
      </c>
      <c r="U237" s="9">
        <v>201</v>
      </c>
      <c r="V237" s="10" t="s">
        <v>10</v>
      </c>
      <c r="W237" s="8" t="s">
        <v>10</v>
      </c>
      <c r="X237" s="9" t="s">
        <v>10</v>
      </c>
      <c r="Y237" s="10" t="s">
        <v>10</v>
      </c>
      <c r="Z237" s="8" t="s">
        <v>10</v>
      </c>
      <c r="AA237" s="9" t="s">
        <v>10</v>
      </c>
      <c r="AB237" s="10" t="s">
        <v>10</v>
      </c>
      <c r="AC237" s="8" t="s">
        <v>10</v>
      </c>
      <c r="AD237" s="9" t="s">
        <v>10</v>
      </c>
    </row>
    <row r="238" spans="1:30" x14ac:dyDescent="0.35">
      <c r="A238" s="2">
        <v>2021</v>
      </c>
      <c r="B238" s="2">
        <v>4</v>
      </c>
      <c r="C238" s="2">
        <v>10</v>
      </c>
      <c r="D238" s="6">
        <v>150</v>
      </c>
      <c r="E238" s="6">
        <v>60</v>
      </c>
      <c r="F238" s="6">
        <v>105</v>
      </c>
      <c r="G238" s="10">
        <v>210</v>
      </c>
      <c r="H238" s="8">
        <v>190</v>
      </c>
      <c r="I238" s="9">
        <v>200</v>
      </c>
      <c r="J238" s="12">
        <v>175</v>
      </c>
      <c r="K238" s="6">
        <v>160</v>
      </c>
      <c r="L238" s="6">
        <v>168</v>
      </c>
      <c r="M238" s="12" t="s">
        <v>10</v>
      </c>
      <c r="N238" s="6" t="s">
        <v>10</v>
      </c>
      <c r="O238" s="7" t="s">
        <v>10</v>
      </c>
      <c r="P238" s="10">
        <v>212.5</v>
      </c>
      <c r="Q238" s="8">
        <v>202.5</v>
      </c>
      <c r="R238" s="9">
        <v>207.5</v>
      </c>
      <c r="S238" s="8">
        <v>226.25</v>
      </c>
      <c r="T238" s="8">
        <v>193.75</v>
      </c>
      <c r="U238" s="9">
        <v>210</v>
      </c>
      <c r="V238" s="10" t="s">
        <v>10</v>
      </c>
      <c r="W238" s="8" t="s">
        <v>10</v>
      </c>
      <c r="X238" s="9" t="s">
        <v>10</v>
      </c>
      <c r="Y238" s="10" t="s">
        <v>10</v>
      </c>
      <c r="Z238" s="8" t="s">
        <v>10</v>
      </c>
      <c r="AA238" s="9" t="s">
        <v>10</v>
      </c>
      <c r="AB238" s="10" t="s">
        <v>10</v>
      </c>
      <c r="AC238" s="8" t="s">
        <v>10</v>
      </c>
      <c r="AD238" s="9" t="s">
        <v>10</v>
      </c>
    </row>
    <row r="239" spans="1:30" x14ac:dyDescent="0.35">
      <c r="A239" s="2">
        <v>2021</v>
      </c>
      <c r="B239" s="2">
        <v>4</v>
      </c>
      <c r="C239" s="2">
        <v>11</v>
      </c>
      <c r="D239" s="6">
        <v>150</v>
      </c>
      <c r="E239" s="6">
        <v>60</v>
      </c>
      <c r="F239" s="6">
        <v>105</v>
      </c>
      <c r="G239" s="10">
        <v>210</v>
      </c>
      <c r="H239" s="8">
        <v>190</v>
      </c>
      <c r="I239" s="9">
        <v>200</v>
      </c>
      <c r="J239" s="12">
        <v>167.5</v>
      </c>
      <c r="K239" s="6">
        <v>150</v>
      </c>
      <c r="L239" s="6">
        <v>158.75</v>
      </c>
      <c r="M239" s="12" t="s">
        <v>10</v>
      </c>
      <c r="N239" s="6" t="s">
        <v>10</v>
      </c>
      <c r="O239" s="7" t="s">
        <v>10</v>
      </c>
      <c r="P239" s="10">
        <v>253.75</v>
      </c>
      <c r="Q239" s="8">
        <v>236.25</v>
      </c>
      <c r="R239" s="9">
        <v>245</v>
      </c>
      <c r="S239" s="8">
        <v>230</v>
      </c>
      <c r="T239" s="8">
        <v>196</v>
      </c>
      <c r="U239" s="9">
        <v>213</v>
      </c>
      <c r="V239" s="10" t="s">
        <v>10</v>
      </c>
      <c r="W239" s="8" t="s">
        <v>10</v>
      </c>
      <c r="X239" s="9" t="s">
        <v>10</v>
      </c>
      <c r="Y239" s="10" t="s">
        <v>10</v>
      </c>
      <c r="Z239" s="8" t="s">
        <v>10</v>
      </c>
      <c r="AA239" s="9" t="s">
        <v>10</v>
      </c>
      <c r="AB239" s="10" t="s">
        <v>10</v>
      </c>
      <c r="AC239" s="8" t="s">
        <v>10</v>
      </c>
      <c r="AD239" s="9" t="s">
        <v>10</v>
      </c>
    </row>
    <row r="240" spans="1:30" x14ac:dyDescent="0.35">
      <c r="A240" s="2">
        <v>2021</v>
      </c>
      <c r="B240" s="2">
        <v>4</v>
      </c>
      <c r="C240" s="2">
        <v>12</v>
      </c>
      <c r="D240" s="6">
        <v>146.25</v>
      </c>
      <c r="E240" s="6">
        <v>60</v>
      </c>
      <c r="F240" s="6">
        <v>103.5</v>
      </c>
      <c r="G240" s="10">
        <v>222.5</v>
      </c>
      <c r="H240" s="8">
        <v>202.5</v>
      </c>
      <c r="I240" s="9">
        <v>212.5</v>
      </c>
      <c r="J240" s="12">
        <v>147.5</v>
      </c>
      <c r="K240" s="6">
        <v>135</v>
      </c>
      <c r="L240" s="6">
        <v>141.25</v>
      </c>
      <c r="M240" s="12" t="s">
        <v>10</v>
      </c>
      <c r="N240" s="6" t="s">
        <v>10</v>
      </c>
      <c r="O240" s="7" t="s">
        <v>10</v>
      </c>
      <c r="P240" s="10">
        <v>281.25</v>
      </c>
      <c r="Q240" s="8">
        <v>265</v>
      </c>
      <c r="R240" s="9">
        <v>273.25</v>
      </c>
      <c r="S240" s="8">
        <v>230</v>
      </c>
      <c r="T240" s="8">
        <v>196</v>
      </c>
      <c r="U240" s="9">
        <v>213</v>
      </c>
      <c r="V240" s="10" t="s">
        <v>10</v>
      </c>
      <c r="W240" s="8" t="s">
        <v>10</v>
      </c>
      <c r="X240" s="9" t="s">
        <v>10</v>
      </c>
      <c r="Y240" s="10" t="s">
        <v>10</v>
      </c>
      <c r="Z240" s="8" t="s">
        <v>10</v>
      </c>
      <c r="AA240" s="9" t="s">
        <v>10</v>
      </c>
      <c r="AB240" s="10" t="s">
        <v>10</v>
      </c>
      <c r="AC240" s="8" t="s">
        <v>10</v>
      </c>
      <c r="AD240" s="9" t="s">
        <v>10</v>
      </c>
    </row>
    <row r="241" spans="1:30" x14ac:dyDescent="0.35">
      <c r="A241" s="2">
        <v>2022</v>
      </c>
      <c r="B241" s="2">
        <v>1</v>
      </c>
      <c r="C241" s="2">
        <v>1</v>
      </c>
      <c r="D241" s="6">
        <v>143.75</v>
      </c>
      <c r="E241" s="6">
        <v>30</v>
      </c>
      <c r="F241" s="6">
        <v>87.25</v>
      </c>
      <c r="G241" s="10">
        <v>230</v>
      </c>
      <c r="H241" s="8">
        <v>210</v>
      </c>
      <c r="I241" s="9">
        <v>220</v>
      </c>
      <c r="J241" s="12">
        <v>145</v>
      </c>
      <c r="K241" s="6">
        <v>135</v>
      </c>
      <c r="L241" s="6">
        <v>140</v>
      </c>
      <c r="M241" s="12" t="s">
        <v>10</v>
      </c>
      <c r="N241" s="6" t="s">
        <v>10</v>
      </c>
      <c r="O241" s="7" t="s">
        <v>10</v>
      </c>
      <c r="P241" s="10">
        <v>308.75</v>
      </c>
      <c r="Q241" s="8">
        <v>298.75</v>
      </c>
      <c r="R241" s="9">
        <v>303.75</v>
      </c>
      <c r="S241" s="8">
        <v>297.5</v>
      </c>
      <c r="T241" s="8">
        <v>260.5</v>
      </c>
      <c r="U241" s="9">
        <v>279</v>
      </c>
      <c r="V241" s="10" t="s">
        <v>10</v>
      </c>
      <c r="W241" s="8" t="s">
        <v>10</v>
      </c>
      <c r="X241" s="9" t="s">
        <v>10</v>
      </c>
      <c r="Y241" s="10" t="s">
        <v>10</v>
      </c>
      <c r="Z241" s="8" t="s">
        <v>10</v>
      </c>
      <c r="AA241" s="9" t="s">
        <v>10</v>
      </c>
      <c r="AB241" s="10" t="s">
        <v>10</v>
      </c>
      <c r="AC241" s="8" t="s">
        <v>10</v>
      </c>
      <c r="AD241" s="9" t="s">
        <v>10</v>
      </c>
    </row>
    <row r="242" spans="1:30" x14ac:dyDescent="0.35">
      <c r="A242" s="2">
        <v>2022</v>
      </c>
      <c r="B242" s="2">
        <v>1</v>
      </c>
      <c r="C242" s="2">
        <v>2</v>
      </c>
      <c r="D242" s="6">
        <v>136.25</v>
      </c>
      <c r="E242" s="6">
        <v>30</v>
      </c>
      <c r="F242" s="6">
        <v>83.5</v>
      </c>
      <c r="G242" s="10">
        <v>230</v>
      </c>
      <c r="H242" s="8">
        <v>210</v>
      </c>
      <c r="I242" s="9">
        <v>220</v>
      </c>
      <c r="J242" s="12">
        <v>141.25</v>
      </c>
      <c r="K242" s="6">
        <v>130</v>
      </c>
      <c r="L242" s="6">
        <v>135.75</v>
      </c>
      <c r="M242" s="12" t="s">
        <v>10</v>
      </c>
      <c r="N242" s="6" t="s">
        <v>10</v>
      </c>
      <c r="O242" s="7" t="s">
        <v>10</v>
      </c>
      <c r="P242" s="10">
        <v>320</v>
      </c>
      <c r="Q242" s="8">
        <v>307.5</v>
      </c>
      <c r="R242" s="9">
        <v>313.75</v>
      </c>
      <c r="S242" s="8">
        <v>320</v>
      </c>
      <c r="T242" s="8">
        <v>282</v>
      </c>
      <c r="U242" s="9">
        <v>301</v>
      </c>
      <c r="V242" s="10" t="s">
        <v>10</v>
      </c>
      <c r="W242" s="8" t="s">
        <v>10</v>
      </c>
      <c r="X242" s="9" t="s">
        <v>10</v>
      </c>
      <c r="Y242" s="10" t="s">
        <v>10</v>
      </c>
      <c r="Z242" s="8" t="s">
        <v>10</v>
      </c>
      <c r="AA242" s="9" t="s">
        <v>10</v>
      </c>
      <c r="AB242" s="10" t="s">
        <v>10</v>
      </c>
      <c r="AC242" s="8" t="s">
        <v>10</v>
      </c>
      <c r="AD242" s="9" t="s">
        <v>10</v>
      </c>
    </row>
    <row r="243" spans="1:30" x14ac:dyDescent="0.35">
      <c r="A243" s="2">
        <v>2022</v>
      </c>
      <c r="B243" s="2">
        <v>1</v>
      </c>
      <c r="C243" s="2">
        <v>3</v>
      </c>
      <c r="D243" s="6">
        <v>133</v>
      </c>
      <c r="E243" s="6">
        <v>30</v>
      </c>
      <c r="F243" s="6">
        <v>81.8</v>
      </c>
      <c r="G243" s="10">
        <v>230</v>
      </c>
      <c r="H243" s="8">
        <v>210</v>
      </c>
      <c r="I243" s="9">
        <v>220</v>
      </c>
      <c r="J243" s="12">
        <v>136</v>
      </c>
      <c r="K243" s="6">
        <v>123</v>
      </c>
      <c r="L243" s="6">
        <v>129.6</v>
      </c>
      <c r="M243" s="12" t="s">
        <v>10</v>
      </c>
      <c r="N243" s="6" t="s">
        <v>10</v>
      </c>
      <c r="O243" s="7" t="s">
        <v>10</v>
      </c>
      <c r="P243" s="10">
        <v>412</v>
      </c>
      <c r="Q243" s="8">
        <v>374</v>
      </c>
      <c r="R243" s="9">
        <v>393</v>
      </c>
      <c r="S243" s="8">
        <v>320</v>
      </c>
      <c r="T243" s="8">
        <v>282</v>
      </c>
      <c r="U243" s="9">
        <v>301</v>
      </c>
      <c r="V243" s="10" t="s">
        <v>10</v>
      </c>
      <c r="W243" s="8" t="s">
        <v>10</v>
      </c>
      <c r="X243" s="9" t="s">
        <v>10</v>
      </c>
      <c r="Y243" s="10" t="s">
        <v>10</v>
      </c>
      <c r="Z243" s="8" t="s">
        <v>10</v>
      </c>
      <c r="AA243" s="9" t="s">
        <v>10</v>
      </c>
      <c r="AB243" s="10" t="s">
        <v>10</v>
      </c>
      <c r="AC243" s="8" t="s">
        <v>10</v>
      </c>
      <c r="AD243" s="9" t="s">
        <v>10</v>
      </c>
    </row>
    <row r="244" spans="1:30" x14ac:dyDescent="0.35">
      <c r="A244" s="2">
        <v>2022</v>
      </c>
      <c r="B244" s="2">
        <v>2</v>
      </c>
      <c r="C244" s="2">
        <v>4</v>
      </c>
      <c r="D244" s="6">
        <v>135</v>
      </c>
      <c r="E244" s="6">
        <v>42.5</v>
      </c>
      <c r="F244" s="6">
        <v>89</v>
      </c>
      <c r="G244" s="10">
        <v>230</v>
      </c>
      <c r="H244" s="8">
        <v>210</v>
      </c>
      <c r="I244" s="9">
        <v>220</v>
      </c>
      <c r="J244" s="12">
        <v>145</v>
      </c>
      <c r="K244" s="6">
        <v>130</v>
      </c>
      <c r="L244" s="6">
        <v>137.5</v>
      </c>
      <c r="M244" s="12" t="s">
        <v>10</v>
      </c>
      <c r="N244" s="6" t="s">
        <v>10</v>
      </c>
      <c r="O244" s="7" t="s">
        <v>10</v>
      </c>
      <c r="P244" s="10">
        <v>462.5</v>
      </c>
      <c r="Q244" s="8">
        <v>445</v>
      </c>
      <c r="R244" s="9">
        <v>453.75</v>
      </c>
      <c r="S244" s="8">
        <v>445</v>
      </c>
      <c r="T244" s="8">
        <v>395</v>
      </c>
      <c r="U244" s="9">
        <v>420</v>
      </c>
      <c r="V244" s="10" t="s">
        <v>10</v>
      </c>
      <c r="W244" s="8" t="s">
        <v>10</v>
      </c>
      <c r="X244" s="9" t="s">
        <v>10</v>
      </c>
      <c r="Y244" s="10" t="s">
        <v>10</v>
      </c>
      <c r="Z244" s="8" t="s">
        <v>10</v>
      </c>
      <c r="AA244" s="9" t="s">
        <v>10</v>
      </c>
      <c r="AB244" s="10" t="s">
        <v>10</v>
      </c>
      <c r="AC244" s="8" t="s">
        <v>10</v>
      </c>
      <c r="AD244" s="9" t="s">
        <v>10</v>
      </c>
    </row>
    <row r="245" spans="1:30" x14ac:dyDescent="0.35">
      <c r="A245" s="2">
        <v>2022</v>
      </c>
      <c r="B245" s="2">
        <v>2</v>
      </c>
      <c r="C245" s="2">
        <v>5</v>
      </c>
      <c r="D245" s="6">
        <v>141.25</v>
      </c>
      <c r="E245" s="6">
        <v>50</v>
      </c>
      <c r="F245" s="6">
        <v>95.75</v>
      </c>
      <c r="G245" s="10">
        <v>230</v>
      </c>
      <c r="H245" s="8">
        <v>210</v>
      </c>
      <c r="I245" s="9">
        <v>220</v>
      </c>
      <c r="J245" s="12">
        <v>151.25</v>
      </c>
      <c r="K245" s="6">
        <v>141.25</v>
      </c>
      <c r="L245" s="6">
        <v>146.25</v>
      </c>
      <c r="M245" s="12" t="s">
        <v>10</v>
      </c>
      <c r="N245" s="6" t="s">
        <v>10</v>
      </c>
      <c r="O245" s="7" t="s">
        <v>10</v>
      </c>
      <c r="P245" s="10">
        <v>477.50000000000006</v>
      </c>
      <c r="Q245" s="8">
        <v>461.25</v>
      </c>
      <c r="R245" s="9">
        <v>469.75</v>
      </c>
      <c r="S245" s="8">
        <v>445</v>
      </c>
      <c r="T245" s="8">
        <v>395</v>
      </c>
      <c r="U245" s="9">
        <v>420</v>
      </c>
      <c r="V245" s="10" t="s">
        <v>10</v>
      </c>
      <c r="W245" s="8" t="s">
        <v>10</v>
      </c>
      <c r="X245" s="9" t="s">
        <v>10</v>
      </c>
      <c r="Y245" s="10" t="s">
        <v>10</v>
      </c>
      <c r="Z245" s="8" t="s">
        <v>10</v>
      </c>
      <c r="AA245" s="9" t="s">
        <v>10</v>
      </c>
      <c r="AB245" s="10" t="s">
        <v>10</v>
      </c>
      <c r="AC245" s="8" t="s">
        <v>10</v>
      </c>
      <c r="AD245" s="9" t="s">
        <v>10</v>
      </c>
    </row>
    <row r="246" spans="1:30" x14ac:dyDescent="0.35">
      <c r="A246" s="2">
        <v>2022</v>
      </c>
      <c r="B246" s="2">
        <v>2</v>
      </c>
      <c r="C246" s="2">
        <v>6</v>
      </c>
      <c r="D246" s="6">
        <v>141</v>
      </c>
      <c r="E246" s="6">
        <v>52</v>
      </c>
      <c r="F246" s="6">
        <v>96.8</v>
      </c>
      <c r="G246" s="10">
        <v>228</v>
      </c>
      <c r="H246" s="8">
        <v>208</v>
      </c>
      <c r="I246" s="9">
        <v>218</v>
      </c>
      <c r="J246" s="12">
        <v>149</v>
      </c>
      <c r="K246" s="6">
        <v>137</v>
      </c>
      <c r="L246" s="6">
        <v>143</v>
      </c>
      <c r="M246" s="12" t="s">
        <v>10</v>
      </c>
      <c r="N246" s="6" t="s">
        <v>10</v>
      </c>
      <c r="O246" s="7" t="s">
        <v>10</v>
      </c>
      <c r="P246" s="10">
        <v>471</v>
      </c>
      <c r="Q246" s="8">
        <v>456</v>
      </c>
      <c r="R246" s="9">
        <v>463.8</v>
      </c>
      <c r="S246" s="8">
        <v>445</v>
      </c>
      <c r="T246" s="8">
        <v>395</v>
      </c>
      <c r="U246" s="9">
        <v>420</v>
      </c>
      <c r="V246" s="10" t="s">
        <v>10</v>
      </c>
      <c r="W246" s="8" t="s">
        <v>10</v>
      </c>
      <c r="X246" s="9" t="s">
        <v>10</v>
      </c>
      <c r="Y246" s="10" t="s">
        <v>10</v>
      </c>
      <c r="Z246" s="8" t="s">
        <v>10</v>
      </c>
      <c r="AA246" s="9" t="s">
        <v>10</v>
      </c>
      <c r="AB246" s="10" t="s">
        <v>10</v>
      </c>
      <c r="AC246" s="8" t="s">
        <v>10</v>
      </c>
      <c r="AD246" s="9" t="s">
        <v>10</v>
      </c>
    </row>
    <row r="247" spans="1:30" x14ac:dyDescent="0.35">
      <c r="A247" s="2">
        <v>2022</v>
      </c>
      <c r="B247" s="2">
        <v>3</v>
      </c>
      <c r="C247" s="2">
        <v>7</v>
      </c>
      <c r="D247" s="6">
        <v>122.5</v>
      </c>
      <c r="E247" s="6">
        <v>60</v>
      </c>
      <c r="F247" s="6">
        <v>91.25</v>
      </c>
      <c r="G247" s="10">
        <v>207.5</v>
      </c>
      <c r="H247" s="8">
        <v>190</v>
      </c>
      <c r="I247" s="9">
        <v>198.75</v>
      </c>
      <c r="J247" s="12">
        <v>122.5</v>
      </c>
      <c r="K247" s="6">
        <v>112.5</v>
      </c>
      <c r="L247" s="6">
        <v>117.5</v>
      </c>
      <c r="M247" s="12" t="s">
        <v>10</v>
      </c>
      <c r="N247" s="6" t="s">
        <v>10</v>
      </c>
      <c r="O247" s="7" t="s">
        <v>10</v>
      </c>
      <c r="P247" s="10">
        <v>275</v>
      </c>
      <c r="Q247" s="8">
        <v>245</v>
      </c>
      <c r="R247" s="9">
        <v>260</v>
      </c>
      <c r="S247" s="8">
        <v>452.5</v>
      </c>
      <c r="T247" s="8">
        <v>391.25</v>
      </c>
      <c r="U247" s="9">
        <v>422.25</v>
      </c>
      <c r="V247" s="10" t="s">
        <v>10</v>
      </c>
      <c r="W247" s="8" t="s">
        <v>10</v>
      </c>
      <c r="X247" s="9" t="s">
        <v>10</v>
      </c>
      <c r="Y247" s="10" t="s">
        <v>10</v>
      </c>
      <c r="Z247" s="8" t="s">
        <v>10</v>
      </c>
      <c r="AA247" s="9" t="s">
        <v>10</v>
      </c>
      <c r="AB247" s="10" t="s">
        <v>10</v>
      </c>
      <c r="AC247" s="8" t="s">
        <v>10</v>
      </c>
      <c r="AD247" s="9" t="s">
        <v>10</v>
      </c>
    </row>
    <row r="248" spans="1:30" x14ac:dyDescent="0.35">
      <c r="A248" s="2">
        <v>2022</v>
      </c>
      <c r="B248" s="2">
        <v>3</v>
      </c>
      <c r="C248" s="2">
        <v>8</v>
      </c>
      <c r="D248" s="6">
        <v>72.5</v>
      </c>
      <c r="E248" s="6">
        <v>50</v>
      </c>
      <c r="F248" s="6">
        <v>61.25</v>
      </c>
      <c r="G248" s="10">
        <v>175</v>
      </c>
      <c r="H248" s="8">
        <v>132.5</v>
      </c>
      <c r="I248" s="9">
        <v>153.75</v>
      </c>
      <c r="J248" s="12">
        <v>70</v>
      </c>
      <c r="K248" s="6">
        <v>45</v>
      </c>
      <c r="L248" s="6">
        <v>57.5</v>
      </c>
      <c r="M248" s="12" t="s">
        <v>10</v>
      </c>
      <c r="N248" s="6" t="s">
        <v>10</v>
      </c>
      <c r="O248" s="7" t="s">
        <v>10</v>
      </c>
      <c r="P248" s="10">
        <v>90</v>
      </c>
      <c r="Q248" s="8">
        <v>66.25</v>
      </c>
      <c r="R248" s="9">
        <v>78.5</v>
      </c>
      <c r="S248" s="8">
        <v>301.25</v>
      </c>
      <c r="T248" s="8">
        <v>150</v>
      </c>
      <c r="U248" s="9">
        <v>225.75</v>
      </c>
      <c r="V248" s="10" t="s">
        <v>10</v>
      </c>
      <c r="W248" s="8" t="s">
        <v>10</v>
      </c>
      <c r="X248" s="9" t="s">
        <v>10</v>
      </c>
      <c r="Y248" s="10" t="s">
        <v>10</v>
      </c>
      <c r="Z248" s="8" t="s">
        <v>10</v>
      </c>
      <c r="AA248" s="9" t="s">
        <v>10</v>
      </c>
      <c r="AB248" s="10" t="s">
        <v>10</v>
      </c>
      <c r="AC248" s="8" t="s">
        <v>10</v>
      </c>
      <c r="AD248" s="9" t="s">
        <v>10</v>
      </c>
    </row>
    <row r="249" spans="1:30" x14ac:dyDescent="0.35">
      <c r="A249" s="2">
        <v>2022</v>
      </c>
      <c r="B249" s="2">
        <v>3</v>
      </c>
      <c r="C249" s="2">
        <v>9</v>
      </c>
      <c r="D249" s="6">
        <v>44</v>
      </c>
      <c r="E249" s="6">
        <v>20</v>
      </c>
      <c r="F249" s="6">
        <v>32</v>
      </c>
      <c r="G249" s="10">
        <v>92</v>
      </c>
      <c r="H249" s="8">
        <v>51</v>
      </c>
      <c r="I249" s="9">
        <v>71.599999999999994</v>
      </c>
      <c r="J249" s="12">
        <v>24</v>
      </c>
      <c r="K249" s="6">
        <v>4</v>
      </c>
      <c r="L249" s="6">
        <v>14</v>
      </c>
      <c r="M249" s="12" t="s">
        <v>10</v>
      </c>
      <c r="N249" s="6" t="s">
        <v>10</v>
      </c>
      <c r="O249" s="7" t="s">
        <v>10</v>
      </c>
      <c r="P249" s="10">
        <v>103.4</v>
      </c>
      <c r="Q249" s="8">
        <v>88</v>
      </c>
      <c r="R249" s="9">
        <v>95.8</v>
      </c>
      <c r="S249" s="8">
        <v>250</v>
      </c>
      <c r="T249" s="8">
        <v>70</v>
      </c>
      <c r="U249" s="9">
        <v>160</v>
      </c>
      <c r="V249" s="10" t="s">
        <v>10</v>
      </c>
      <c r="W249" s="8" t="s">
        <v>10</v>
      </c>
      <c r="X249" s="9" t="s">
        <v>10</v>
      </c>
      <c r="Y249" s="10" t="s">
        <v>10</v>
      </c>
      <c r="Z249" s="8" t="s">
        <v>10</v>
      </c>
      <c r="AA249" s="9" t="s">
        <v>10</v>
      </c>
      <c r="AB249" s="10" t="s">
        <v>10</v>
      </c>
      <c r="AC249" s="8" t="s">
        <v>10</v>
      </c>
      <c r="AD249" s="9" t="s">
        <v>10</v>
      </c>
    </row>
    <row r="250" spans="1:30" x14ac:dyDescent="0.35">
      <c r="A250" s="2">
        <v>2022</v>
      </c>
      <c r="B250" s="2">
        <v>4</v>
      </c>
      <c r="C250" s="2">
        <v>10</v>
      </c>
      <c r="D250" s="6">
        <v>25</v>
      </c>
      <c r="E250" s="6">
        <v>10</v>
      </c>
      <c r="F250" s="6">
        <v>17.5</v>
      </c>
      <c r="G250" s="10">
        <v>60</v>
      </c>
      <c r="H250" s="8">
        <v>35</v>
      </c>
      <c r="I250" s="9">
        <v>48</v>
      </c>
      <c r="J250" s="12">
        <v>20</v>
      </c>
      <c r="K250" s="6">
        <v>7.5</v>
      </c>
      <c r="L250" s="6">
        <v>13.75</v>
      </c>
      <c r="M250" s="12" t="s">
        <v>10</v>
      </c>
      <c r="N250" s="6" t="s">
        <v>10</v>
      </c>
      <c r="O250" s="7" t="s">
        <v>10</v>
      </c>
      <c r="P250" s="10">
        <v>125</v>
      </c>
      <c r="Q250" s="8">
        <v>112.5</v>
      </c>
      <c r="R250" s="9">
        <v>118.75</v>
      </c>
      <c r="S250" s="8">
        <v>154.75</v>
      </c>
      <c r="T250" s="8">
        <v>94</v>
      </c>
      <c r="U250" s="9">
        <v>124.75</v>
      </c>
      <c r="V250" s="10" t="s">
        <v>10</v>
      </c>
      <c r="W250" s="8" t="s">
        <v>10</v>
      </c>
      <c r="X250" s="9" t="s">
        <v>10</v>
      </c>
      <c r="Y250" s="10" t="s">
        <v>10</v>
      </c>
      <c r="Z250" s="8" t="s">
        <v>10</v>
      </c>
      <c r="AA250" s="9" t="s">
        <v>10</v>
      </c>
      <c r="AB250" s="10" t="s">
        <v>10</v>
      </c>
      <c r="AC250" s="8" t="s">
        <v>10</v>
      </c>
      <c r="AD250" s="9" t="s">
        <v>10</v>
      </c>
    </row>
    <row r="251" spans="1:30" x14ac:dyDescent="0.35">
      <c r="A251" s="2">
        <v>2022</v>
      </c>
      <c r="B251" s="2">
        <v>4</v>
      </c>
      <c r="C251" s="2">
        <v>11</v>
      </c>
      <c r="D251" s="6">
        <v>20</v>
      </c>
      <c r="E251" s="6">
        <v>10</v>
      </c>
      <c r="F251" s="6">
        <v>15</v>
      </c>
      <c r="G251" s="10">
        <v>51.25</v>
      </c>
      <c r="H251" s="8">
        <v>25</v>
      </c>
      <c r="I251" s="9">
        <v>38.5</v>
      </c>
      <c r="J251" s="12">
        <v>20</v>
      </c>
      <c r="K251" s="6">
        <v>13.75</v>
      </c>
      <c r="L251" s="6">
        <v>17.25</v>
      </c>
      <c r="M251" s="12" t="s">
        <v>10</v>
      </c>
      <c r="N251" s="6" t="s">
        <v>10</v>
      </c>
      <c r="O251" s="7" t="s">
        <v>10</v>
      </c>
      <c r="P251" s="10">
        <v>177.5</v>
      </c>
      <c r="Q251" s="8">
        <v>160</v>
      </c>
      <c r="R251" s="9">
        <v>168.75</v>
      </c>
      <c r="S251" s="8">
        <v>123</v>
      </c>
      <c r="T251" s="8">
        <v>102</v>
      </c>
      <c r="U251" s="9">
        <v>113</v>
      </c>
      <c r="V251" s="10" t="s">
        <v>10</v>
      </c>
      <c r="W251" s="8" t="s">
        <v>10</v>
      </c>
      <c r="X251" s="9" t="s">
        <v>10</v>
      </c>
      <c r="Y251" s="10" t="s">
        <v>10</v>
      </c>
      <c r="Z251" s="8" t="s">
        <v>10</v>
      </c>
      <c r="AA251" s="9" t="s">
        <v>10</v>
      </c>
      <c r="AB251" s="10" t="s">
        <v>10</v>
      </c>
      <c r="AC251" s="8" t="s">
        <v>10</v>
      </c>
      <c r="AD251" s="9" t="s">
        <v>10</v>
      </c>
    </row>
    <row r="252" spans="1:30" x14ac:dyDescent="0.35">
      <c r="A252" s="2">
        <v>2022</v>
      </c>
      <c r="B252" s="2">
        <v>4</v>
      </c>
      <c r="C252" s="2">
        <v>12</v>
      </c>
      <c r="D252" s="6">
        <v>20</v>
      </c>
      <c r="E252" s="6">
        <v>10</v>
      </c>
      <c r="F252" s="6">
        <v>15</v>
      </c>
      <c r="G252" s="10">
        <v>47.5</v>
      </c>
      <c r="H252" s="8">
        <v>25</v>
      </c>
      <c r="I252" s="9">
        <v>36.5</v>
      </c>
      <c r="J252" s="12">
        <v>20</v>
      </c>
      <c r="K252" s="6">
        <v>12.5</v>
      </c>
      <c r="L252" s="6">
        <v>16.5</v>
      </c>
      <c r="M252" s="12" t="s">
        <v>10</v>
      </c>
      <c r="N252" s="6" t="s">
        <v>10</v>
      </c>
      <c r="O252" s="7" t="s">
        <v>10</v>
      </c>
      <c r="P252" s="10">
        <v>185</v>
      </c>
      <c r="Q252" s="8">
        <v>170</v>
      </c>
      <c r="R252" s="9">
        <v>177.75</v>
      </c>
      <c r="S252" s="8">
        <v>123</v>
      </c>
      <c r="T252" s="8">
        <v>102</v>
      </c>
      <c r="U252" s="9">
        <v>113</v>
      </c>
      <c r="V252" s="10" t="s">
        <v>10</v>
      </c>
      <c r="W252" s="8" t="s">
        <v>10</v>
      </c>
      <c r="X252" s="9" t="s">
        <v>10</v>
      </c>
      <c r="Y252" s="10" t="s">
        <v>10</v>
      </c>
      <c r="Z252" s="8" t="s">
        <v>10</v>
      </c>
      <c r="AA252" s="9" t="s">
        <v>10</v>
      </c>
      <c r="AB252" s="10" t="s">
        <v>10</v>
      </c>
      <c r="AC252" s="8" t="s">
        <v>10</v>
      </c>
      <c r="AD252" s="9" t="s">
        <v>10</v>
      </c>
    </row>
    <row r="253" spans="1:30" x14ac:dyDescent="0.35">
      <c r="A253" s="2">
        <v>2023</v>
      </c>
      <c r="B253" s="2">
        <v>1</v>
      </c>
      <c r="C253" s="2">
        <v>1</v>
      </c>
      <c r="D253" s="6">
        <v>18.75</v>
      </c>
      <c r="E253" s="6">
        <v>2.5</v>
      </c>
      <c r="F253" s="6">
        <v>10.75</v>
      </c>
      <c r="G253" s="10">
        <v>42.5</v>
      </c>
      <c r="H253" s="8">
        <v>25</v>
      </c>
      <c r="I253" s="9">
        <v>34</v>
      </c>
      <c r="J253" s="12">
        <v>20</v>
      </c>
      <c r="K253" s="6">
        <v>10</v>
      </c>
      <c r="L253" s="6">
        <v>15</v>
      </c>
      <c r="M253" s="12" t="s">
        <v>10</v>
      </c>
      <c r="N253" s="6" t="s">
        <v>10</v>
      </c>
      <c r="O253" s="7" t="s">
        <v>10</v>
      </c>
      <c r="P253" s="10">
        <v>146.25</v>
      </c>
      <c r="Q253" s="8">
        <v>136.25</v>
      </c>
      <c r="R253" s="9">
        <v>141.25</v>
      </c>
      <c r="S253" s="8">
        <v>154.5</v>
      </c>
      <c r="T253" s="8">
        <v>143.25</v>
      </c>
      <c r="U253" s="9">
        <v>149</v>
      </c>
      <c r="V253" s="10" t="s">
        <v>10</v>
      </c>
      <c r="W253" s="8" t="s">
        <v>10</v>
      </c>
      <c r="X253" s="9" t="s">
        <v>10</v>
      </c>
      <c r="Y253" s="10" t="s">
        <v>10</v>
      </c>
      <c r="Z253" s="8" t="s">
        <v>10</v>
      </c>
      <c r="AA253" s="9" t="s">
        <v>10</v>
      </c>
      <c r="AB253" s="10" t="s">
        <v>10</v>
      </c>
      <c r="AC253" s="8" t="s">
        <v>10</v>
      </c>
      <c r="AD253" s="9" t="s">
        <v>10</v>
      </c>
    </row>
    <row r="254" spans="1:30" x14ac:dyDescent="0.35">
      <c r="A254" s="2">
        <v>2023</v>
      </c>
      <c r="B254" s="2">
        <v>1</v>
      </c>
      <c r="C254" s="2">
        <v>2</v>
      </c>
      <c r="D254" s="6">
        <v>12.5</v>
      </c>
      <c r="E254" s="6">
        <v>0</v>
      </c>
      <c r="F254" s="6">
        <v>6.75</v>
      </c>
      <c r="G254" s="10">
        <v>35</v>
      </c>
      <c r="H254" s="8">
        <v>20</v>
      </c>
      <c r="I254" s="9">
        <v>28</v>
      </c>
      <c r="J254" s="12">
        <v>11.25</v>
      </c>
      <c r="K254" s="6">
        <v>3.75</v>
      </c>
      <c r="L254" s="6">
        <v>7.75</v>
      </c>
      <c r="M254" s="12" t="s">
        <v>10</v>
      </c>
      <c r="N254" s="6" t="s">
        <v>10</v>
      </c>
      <c r="O254" s="7" t="s">
        <v>10</v>
      </c>
      <c r="P254" s="10">
        <v>131</v>
      </c>
      <c r="Q254" s="8">
        <v>124.75</v>
      </c>
      <c r="R254" s="9">
        <v>128.25</v>
      </c>
      <c r="S254" s="8">
        <v>165</v>
      </c>
      <c r="T254" s="8">
        <v>157</v>
      </c>
      <c r="U254" s="9">
        <v>161</v>
      </c>
      <c r="V254" s="10" t="s">
        <v>10</v>
      </c>
      <c r="W254" s="8" t="s">
        <v>10</v>
      </c>
      <c r="X254" s="9" t="s">
        <v>10</v>
      </c>
      <c r="Y254" s="10" t="s">
        <v>10</v>
      </c>
      <c r="Z254" s="8" t="s">
        <v>10</v>
      </c>
      <c r="AA254" s="9" t="s">
        <v>10</v>
      </c>
      <c r="AB254" s="10" t="s">
        <v>10</v>
      </c>
      <c r="AC254" s="8" t="s">
        <v>10</v>
      </c>
      <c r="AD254" s="9" t="s">
        <v>10</v>
      </c>
    </row>
    <row r="255" spans="1:30" x14ac:dyDescent="0.35">
      <c r="A255" s="2">
        <v>2023</v>
      </c>
      <c r="B255" s="2">
        <v>1</v>
      </c>
      <c r="C255" s="2">
        <v>3</v>
      </c>
      <c r="D255" s="6">
        <v>2</v>
      </c>
      <c r="E255" s="6">
        <v>-11</v>
      </c>
      <c r="F255" s="6">
        <v>-4.8</v>
      </c>
      <c r="G255" s="10">
        <v>17</v>
      </c>
      <c r="H255" s="8">
        <v>6</v>
      </c>
      <c r="I255" s="9">
        <v>11.6</v>
      </c>
      <c r="J255" s="12">
        <v>5</v>
      </c>
      <c r="K255" s="6">
        <v>-4</v>
      </c>
      <c r="L255" s="6">
        <v>0.6</v>
      </c>
      <c r="M255" s="12" t="s">
        <v>10</v>
      </c>
      <c r="N255" s="6" t="s">
        <v>10</v>
      </c>
      <c r="O255" s="7" t="s">
        <v>10</v>
      </c>
      <c r="P255" s="10">
        <v>131</v>
      </c>
      <c r="Q255" s="8">
        <v>120</v>
      </c>
      <c r="R255" s="9">
        <v>125.6</v>
      </c>
      <c r="S255" s="8">
        <v>165</v>
      </c>
      <c r="T255" s="8">
        <v>157</v>
      </c>
      <c r="U255" s="9">
        <v>161</v>
      </c>
      <c r="V255" s="10" t="s">
        <v>10</v>
      </c>
      <c r="W255" s="8" t="s">
        <v>10</v>
      </c>
      <c r="X255" s="9" t="s">
        <v>10</v>
      </c>
      <c r="Y255" s="10" t="s">
        <v>10</v>
      </c>
      <c r="Z255" s="8" t="s">
        <v>10</v>
      </c>
      <c r="AA255" s="9" t="s">
        <v>10</v>
      </c>
      <c r="AB255" s="10" t="s">
        <v>10</v>
      </c>
      <c r="AC255" s="8" t="s">
        <v>10</v>
      </c>
      <c r="AD255" s="9" t="s">
        <v>10</v>
      </c>
    </row>
    <row r="256" spans="1:30" x14ac:dyDescent="0.35">
      <c r="A256" s="2">
        <v>2023</v>
      </c>
      <c r="B256" s="2">
        <v>2</v>
      </c>
      <c r="C256" s="2">
        <v>4</v>
      </c>
      <c r="D256" s="6">
        <v>5</v>
      </c>
      <c r="E256" s="6">
        <v>-6.25</v>
      </c>
      <c r="F256" s="6">
        <v>-0.75</v>
      </c>
      <c r="G256" s="10">
        <v>15</v>
      </c>
      <c r="H256" s="8">
        <v>5</v>
      </c>
      <c r="I256" s="9">
        <v>10</v>
      </c>
      <c r="J256" s="12">
        <v>5</v>
      </c>
      <c r="K256" s="6">
        <v>0</v>
      </c>
      <c r="L256" s="6">
        <v>3</v>
      </c>
      <c r="M256" s="12" t="s">
        <v>10</v>
      </c>
      <c r="N256" s="6" t="s">
        <v>10</v>
      </c>
      <c r="O256" s="7" t="s">
        <v>10</v>
      </c>
      <c r="P256" s="10">
        <v>100.25</v>
      </c>
      <c r="Q256" s="8">
        <v>92.5</v>
      </c>
      <c r="R256" s="9">
        <v>96.5</v>
      </c>
      <c r="S256" s="8">
        <v>147.5</v>
      </c>
      <c r="T256" s="8">
        <v>138.5</v>
      </c>
      <c r="U256" s="9">
        <v>143</v>
      </c>
      <c r="V256" s="10" t="s">
        <v>10</v>
      </c>
      <c r="W256" s="8" t="s">
        <v>10</v>
      </c>
      <c r="X256" s="9" t="s">
        <v>10</v>
      </c>
      <c r="Y256" s="10" t="s">
        <v>10</v>
      </c>
      <c r="Z256" s="8" t="s">
        <v>10</v>
      </c>
      <c r="AA256" s="9" t="s">
        <v>10</v>
      </c>
      <c r="AB256" s="10" t="s">
        <v>10</v>
      </c>
      <c r="AC256" s="8" t="s">
        <v>10</v>
      </c>
      <c r="AD256" s="9" t="s">
        <v>10</v>
      </c>
    </row>
    <row r="257" spans="1:30" x14ac:dyDescent="0.35">
      <c r="A257" s="2">
        <v>2023</v>
      </c>
      <c r="B257" s="2">
        <v>2</v>
      </c>
      <c r="C257" s="2">
        <v>5</v>
      </c>
      <c r="D257" s="6">
        <v>8.75</v>
      </c>
      <c r="E257" s="6">
        <v>-5</v>
      </c>
      <c r="F257" s="6">
        <v>2.25</v>
      </c>
      <c r="G257" s="10">
        <v>20</v>
      </c>
      <c r="H257" s="8">
        <v>5</v>
      </c>
      <c r="I257" s="9">
        <v>13</v>
      </c>
      <c r="J257" s="12">
        <v>8.75</v>
      </c>
      <c r="K257" s="6">
        <v>0</v>
      </c>
      <c r="L257" s="6">
        <v>4.5</v>
      </c>
      <c r="M257" s="12" t="s">
        <v>10</v>
      </c>
      <c r="N257" s="6" t="s">
        <v>10</v>
      </c>
      <c r="O257" s="7" t="s">
        <v>10</v>
      </c>
      <c r="P257" s="10">
        <v>87</v>
      </c>
      <c r="Q257" s="8">
        <v>83</v>
      </c>
      <c r="R257" s="9">
        <v>85</v>
      </c>
      <c r="S257" s="8">
        <v>130</v>
      </c>
      <c r="T257" s="8">
        <v>120</v>
      </c>
      <c r="U257" s="9">
        <v>125</v>
      </c>
      <c r="V257" s="10" t="s">
        <v>10</v>
      </c>
      <c r="W257" s="8" t="s">
        <v>10</v>
      </c>
      <c r="X257" s="9" t="s">
        <v>10</v>
      </c>
      <c r="Y257" s="10" t="s">
        <v>10</v>
      </c>
      <c r="Z257" s="8" t="s">
        <v>10</v>
      </c>
      <c r="AA257" s="9" t="s">
        <v>10</v>
      </c>
      <c r="AB257" s="10" t="s">
        <v>10</v>
      </c>
      <c r="AC257" s="8" t="s">
        <v>10</v>
      </c>
      <c r="AD257" s="9" t="s">
        <v>10</v>
      </c>
    </row>
    <row r="258" spans="1:30" x14ac:dyDescent="0.35">
      <c r="A258" s="2">
        <v>2023</v>
      </c>
      <c r="B258" s="2">
        <v>2</v>
      </c>
      <c r="C258" s="2">
        <v>6</v>
      </c>
      <c r="D258" s="6">
        <v>5</v>
      </c>
      <c r="E258" s="6">
        <v>-5</v>
      </c>
      <c r="F258" s="6">
        <v>0</v>
      </c>
      <c r="G258" s="10">
        <v>18</v>
      </c>
      <c r="H258" s="8">
        <v>5</v>
      </c>
      <c r="I258" s="9">
        <v>11.8</v>
      </c>
      <c r="J258" s="12">
        <v>5</v>
      </c>
      <c r="K258" s="6">
        <v>0</v>
      </c>
      <c r="L258" s="6">
        <v>3</v>
      </c>
      <c r="M258" s="12" t="s">
        <v>10</v>
      </c>
      <c r="N258" s="6" t="s">
        <v>10</v>
      </c>
      <c r="O258" s="7" t="s">
        <v>10</v>
      </c>
      <c r="P258" s="10">
        <v>76.400000000000006</v>
      </c>
      <c r="Q258" s="8">
        <v>70.599999999999994</v>
      </c>
      <c r="R258" s="9">
        <v>73.8</v>
      </c>
      <c r="S258" s="8">
        <v>130</v>
      </c>
      <c r="T258" s="8">
        <v>120</v>
      </c>
      <c r="U258" s="9">
        <v>125</v>
      </c>
      <c r="V258" s="10" t="s">
        <v>10</v>
      </c>
      <c r="W258" s="8" t="s">
        <v>10</v>
      </c>
      <c r="X258" s="9" t="s">
        <v>10</v>
      </c>
      <c r="Y258" s="10" t="s">
        <v>10</v>
      </c>
      <c r="Z258" s="8" t="s">
        <v>10</v>
      </c>
      <c r="AA258" s="9" t="s">
        <v>10</v>
      </c>
      <c r="AB258" s="10" t="s">
        <v>10</v>
      </c>
      <c r="AC258" s="8" t="s">
        <v>10</v>
      </c>
      <c r="AD258" s="9" t="s">
        <v>10</v>
      </c>
    </row>
    <row r="259" spans="1:30" x14ac:dyDescent="0.35">
      <c r="A259" s="2">
        <v>2023</v>
      </c>
      <c r="B259" s="2">
        <v>3</v>
      </c>
      <c r="C259" s="2">
        <v>7</v>
      </c>
      <c r="D259" s="6">
        <v>1.25</v>
      </c>
      <c r="E259" s="6">
        <v>-8.75</v>
      </c>
      <c r="F259" s="6">
        <v>-3.75</v>
      </c>
      <c r="G259" s="10">
        <v>15</v>
      </c>
      <c r="H259" s="8">
        <v>5</v>
      </c>
      <c r="I259" s="9">
        <v>10</v>
      </c>
      <c r="J259" s="12">
        <v>1.25</v>
      </c>
      <c r="K259" s="6">
        <v>-8.75</v>
      </c>
      <c r="L259" s="6">
        <v>-3.75</v>
      </c>
      <c r="M259" s="12" t="s">
        <v>10</v>
      </c>
      <c r="N259" s="6" t="s">
        <v>10</v>
      </c>
      <c r="O259" s="7" t="s">
        <v>10</v>
      </c>
      <c r="P259" s="10">
        <v>73.75</v>
      </c>
      <c r="Q259" s="8">
        <v>65</v>
      </c>
      <c r="R259" s="9">
        <v>69.5</v>
      </c>
      <c r="S259" s="8">
        <v>92.5</v>
      </c>
      <c r="T259" s="8">
        <v>85.5</v>
      </c>
      <c r="U259" s="9">
        <v>89</v>
      </c>
      <c r="V259" s="10" t="s">
        <v>10</v>
      </c>
      <c r="W259" s="8" t="s">
        <v>10</v>
      </c>
      <c r="X259" s="9" t="s">
        <v>10</v>
      </c>
      <c r="Y259" s="10" t="s">
        <v>10</v>
      </c>
      <c r="Z259" s="8" t="s">
        <v>10</v>
      </c>
      <c r="AA259" s="9" t="s">
        <v>10</v>
      </c>
      <c r="AB259" s="10" t="s">
        <v>10</v>
      </c>
      <c r="AC259" s="8" t="s">
        <v>10</v>
      </c>
      <c r="AD259" s="9" t="s">
        <v>10</v>
      </c>
    </row>
    <row r="260" spans="1:30" x14ac:dyDescent="0.35">
      <c r="A260" s="2">
        <v>2023</v>
      </c>
      <c r="B260" s="2">
        <v>3</v>
      </c>
      <c r="C260" s="2">
        <v>8</v>
      </c>
      <c r="D260" s="6">
        <v>8</v>
      </c>
      <c r="E260" s="6">
        <v>-10</v>
      </c>
      <c r="F260" s="6">
        <v>-1</v>
      </c>
      <c r="G260" s="10">
        <v>21</v>
      </c>
      <c r="H260" s="8">
        <v>11</v>
      </c>
      <c r="I260" s="9">
        <v>16</v>
      </c>
      <c r="J260" s="12">
        <v>15</v>
      </c>
      <c r="K260" s="6">
        <v>-1</v>
      </c>
      <c r="L260" s="6">
        <v>7</v>
      </c>
      <c r="M260" s="12">
        <v>120</v>
      </c>
      <c r="N260" s="6">
        <v>60</v>
      </c>
      <c r="O260" s="7">
        <v>90</v>
      </c>
      <c r="P260" s="10">
        <v>96</v>
      </c>
      <c r="Q260" s="8">
        <v>87</v>
      </c>
      <c r="R260" s="9">
        <v>91.6</v>
      </c>
      <c r="S260" s="8">
        <v>80</v>
      </c>
      <c r="T260" s="8">
        <v>74</v>
      </c>
      <c r="U260" s="9">
        <v>77</v>
      </c>
      <c r="V260" s="10" t="s">
        <v>10</v>
      </c>
      <c r="W260" s="8" t="s">
        <v>10</v>
      </c>
      <c r="X260" s="9" t="s">
        <v>10</v>
      </c>
      <c r="Y260" s="10" t="s">
        <v>10</v>
      </c>
      <c r="Z260" s="8" t="s">
        <v>10</v>
      </c>
      <c r="AA260" s="9" t="s">
        <v>10</v>
      </c>
      <c r="AB260" s="10" t="s">
        <v>10</v>
      </c>
      <c r="AC260" s="8" t="s">
        <v>10</v>
      </c>
      <c r="AD260" s="9" t="s">
        <v>10</v>
      </c>
    </row>
    <row r="261" spans="1:30" x14ac:dyDescent="0.35">
      <c r="A261" s="2">
        <v>2023</v>
      </c>
      <c r="B261" s="2">
        <v>3</v>
      </c>
      <c r="C261" s="2">
        <v>9</v>
      </c>
      <c r="D261" s="6">
        <v>35</v>
      </c>
      <c r="E261" s="6">
        <v>-10</v>
      </c>
      <c r="F261" s="6">
        <v>12.75</v>
      </c>
      <c r="G261" s="10">
        <v>53.75</v>
      </c>
      <c r="H261" s="8">
        <v>40</v>
      </c>
      <c r="I261" s="9">
        <v>47</v>
      </c>
      <c r="J261" s="12">
        <v>40</v>
      </c>
      <c r="K261" s="6">
        <v>28.75</v>
      </c>
      <c r="L261" s="6">
        <v>34.5</v>
      </c>
      <c r="M261" s="12">
        <v>120</v>
      </c>
      <c r="N261" s="6">
        <v>60</v>
      </c>
      <c r="O261" s="7">
        <v>90</v>
      </c>
      <c r="P261" s="10">
        <v>113.75</v>
      </c>
      <c r="Q261" s="8">
        <v>100</v>
      </c>
      <c r="R261" s="9">
        <v>107.25</v>
      </c>
      <c r="S261" s="8">
        <v>80</v>
      </c>
      <c r="T261" s="8">
        <v>74</v>
      </c>
      <c r="U261" s="9">
        <v>77</v>
      </c>
      <c r="V261" s="10" t="s">
        <v>10</v>
      </c>
      <c r="W261" s="8" t="s">
        <v>10</v>
      </c>
      <c r="X261" s="9" t="s">
        <v>10</v>
      </c>
      <c r="Y261" s="10" t="s">
        <v>10</v>
      </c>
      <c r="Z261" s="8" t="s">
        <v>10</v>
      </c>
      <c r="AA261" s="9" t="s">
        <v>10</v>
      </c>
      <c r="AB261" s="10" t="s">
        <v>10</v>
      </c>
      <c r="AC261" s="8" t="s">
        <v>10</v>
      </c>
      <c r="AD261" s="9" t="s">
        <v>10</v>
      </c>
    </row>
    <row r="262" spans="1:30" x14ac:dyDescent="0.35">
      <c r="A262" s="2">
        <v>2023</v>
      </c>
      <c r="B262" s="2">
        <v>4</v>
      </c>
      <c r="C262" s="2">
        <v>10</v>
      </c>
      <c r="D262" s="6">
        <v>45</v>
      </c>
      <c r="E262" s="6">
        <v>-10</v>
      </c>
      <c r="F262" s="6">
        <v>18</v>
      </c>
      <c r="G262" s="10">
        <v>75</v>
      </c>
      <c r="H262" s="8">
        <v>62.5</v>
      </c>
      <c r="I262" s="9">
        <v>68.75</v>
      </c>
      <c r="J262" s="12">
        <v>44.5</v>
      </c>
      <c r="K262" s="6">
        <v>38.25</v>
      </c>
      <c r="L262" s="6">
        <v>41.75</v>
      </c>
      <c r="M262" s="12">
        <v>120</v>
      </c>
      <c r="N262" s="6">
        <v>80</v>
      </c>
      <c r="O262" s="7">
        <v>100</v>
      </c>
      <c r="P262" s="10">
        <v>112.5</v>
      </c>
      <c r="Q262" s="8">
        <v>102.5</v>
      </c>
      <c r="R262" s="9">
        <v>107.75</v>
      </c>
      <c r="S262" s="8">
        <v>100</v>
      </c>
      <c r="T262" s="8">
        <v>92</v>
      </c>
      <c r="U262" s="9">
        <v>96</v>
      </c>
      <c r="V262" s="10" t="s">
        <v>10</v>
      </c>
      <c r="W262" s="8" t="s">
        <v>10</v>
      </c>
      <c r="X262" s="9" t="s">
        <v>10</v>
      </c>
      <c r="Y262" s="10" t="s">
        <v>10</v>
      </c>
      <c r="Z262" s="8" t="s">
        <v>10</v>
      </c>
      <c r="AA262" s="9" t="s">
        <v>10</v>
      </c>
      <c r="AB262" s="10" t="s">
        <v>10</v>
      </c>
      <c r="AC262" s="8" t="s">
        <v>10</v>
      </c>
      <c r="AD262" s="9" t="s">
        <v>10</v>
      </c>
    </row>
    <row r="263" spans="1:30" x14ac:dyDescent="0.35">
      <c r="A263" s="2">
        <v>2023</v>
      </c>
      <c r="B263" s="2">
        <v>4</v>
      </c>
      <c r="C263" s="2">
        <v>11</v>
      </c>
      <c r="D263" s="6">
        <v>38</v>
      </c>
      <c r="E263" s="6">
        <v>-10</v>
      </c>
      <c r="F263" s="6">
        <v>14.4</v>
      </c>
      <c r="G263" s="10">
        <v>63</v>
      </c>
      <c r="H263" s="8">
        <v>53</v>
      </c>
      <c r="I263" s="9">
        <v>58</v>
      </c>
      <c r="J263" s="12">
        <v>37</v>
      </c>
      <c r="K263" s="6">
        <v>31</v>
      </c>
      <c r="L263" s="6">
        <v>34.4</v>
      </c>
      <c r="M263" s="12">
        <v>120</v>
      </c>
      <c r="N263" s="6">
        <v>80</v>
      </c>
      <c r="O263" s="7">
        <v>100</v>
      </c>
      <c r="P263" s="10">
        <v>96</v>
      </c>
      <c r="Q263" s="8">
        <v>89</v>
      </c>
      <c r="R263" s="9">
        <v>92.8</v>
      </c>
      <c r="S263" s="8">
        <v>120</v>
      </c>
      <c r="T263" s="8">
        <v>110</v>
      </c>
      <c r="U263" s="9">
        <v>115</v>
      </c>
      <c r="V263" s="10" t="s">
        <v>10</v>
      </c>
      <c r="W263" s="8" t="s">
        <v>10</v>
      </c>
      <c r="X263" s="9" t="s">
        <v>10</v>
      </c>
      <c r="Y263" s="10" t="s">
        <v>10</v>
      </c>
      <c r="Z263" s="8" t="s">
        <v>10</v>
      </c>
      <c r="AA263" s="9" t="s">
        <v>10</v>
      </c>
      <c r="AB263" s="10" t="s">
        <v>10</v>
      </c>
      <c r="AC263" s="8" t="s">
        <v>10</v>
      </c>
      <c r="AD263" s="9" t="s">
        <v>10</v>
      </c>
    </row>
    <row r="264" spans="1:30" x14ac:dyDescent="0.35">
      <c r="A264" s="2">
        <v>2023</v>
      </c>
      <c r="B264" s="2">
        <v>4</v>
      </c>
      <c r="C264" s="2">
        <v>12</v>
      </c>
      <c r="D264" s="6">
        <v>23.333333333333332</v>
      </c>
      <c r="E264" s="6">
        <v>-10</v>
      </c>
      <c r="F264" s="6">
        <v>6.666666666666667</v>
      </c>
      <c r="G264" s="10">
        <v>53.333333333333336</v>
      </c>
      <c r="H264" s="8">
        <v>45</v>
      </c>
      <c r="I264" s="9">
        <v>49.333333333333336</v>
      </c>
      <c r="J264" s="12">
        <v>25</v>
      </c>
      <c r="K264" s="6">
        <v>20</v>
      </c>
      <c r="L264" s="6">
        <v>23</v>
      </c>
      <c r="M264" s="12">
        <v>110</v>
      </c>
      <c r="N264" s="6">
        <v>80</v>
      </c>
      <c r="O264" s="7">
        <v>95</v>
      </c>
      <c r="P264" s="10">
        <v>81.666666666666671</v>
      </c>
      <c r="Q264" s="8">
        <v>76.666666666666671</v>
      </c>
      <c r="R264" s="9">
        <v>79.666666666666671</v>
      </c>
      <c r="S264" s="8">
        <v>120</v>
      </c>
      <c r="T264" s="8">
        <v>110</v>
      </c>
      <c r="U264" s="9">
        <v>115</v>
      </c>
      <c r="V264" s="10" t="s">
        <v>10</v>
      </c>
      <c r="W264" s="8" t="s">
        <v>10</v>
      </c>
      <c r="X264" s="9" t="s">
        <v>10</v>
      </c>
      <c r="Y264" s="10" t="s">
        <v>10</v>
      </c>
      <c r="Z264" s="8" t="s">
        <v>10</v>
      </c>
      <c r="AA264" s="9" t="s">
        <v>10</v>
      </c>
      <c r="AB264" s="10" t="s">
        <v>10</v>
      </c>
      <c r="AC264" s="8" t="s">
        <v>10</v>
      </c>
      <c r="AD264" s="9" t="s">
        <v>10</v>
      </c>
    </row>
    <row r="265" spans="1:30" x14ac:dyDescent="0.35">
      <c r="A265" s="2">
        <v>2024</v>
      </c>
      <c r="B265" s="2">
        <v>1</v>
      </c>
      <c r="C265" s="2">
        <v>1</v>
      </c>
      <c r="D265" s="6">
        <v>15</v>
      </c>
      <c r="E265" s="6">
        <v>-10</v>
      </c>
      <c r="F265" s="6">
        <v>2.75</v>
      </c>
      <c r="G265" s="10">
        <v>45</v>
      </c>
      <c r="H265" s="8">
        <v>37.5</v>
      </c>
      <c r="I265" s="9">
        <v>41.5</v>
      </c>
      <c r="J265" s="12">
        <v>17.5</v>
      </c>
      <c r="K265" s="6">
        <v>11.25</v>
      </c>
      <c r="L265" s="6">
        <v>14.75</v>
      </c>
      <c r="M265" s="12">
        <v>90</v>
      </c>
      <c r="N265" s="6">
        <v>76.25</v>
      </c>
      <c r="O265" s="7">
        <v>83.5</v>
      </c>
      <c r="P265" s="10">
        <v>74.75</v>
      </c>
      <c r="Q265" s="8">
        <v>69.75</v>
      </c>
      <c r="R265" s="9">
        <v>72.75</v>
      </c>
      <c r="S265" s="8">
        <v>110</v>
      </c>
      <c r="T265" s="8">
        <v>100</v>
      </c>
      <c r="U265" s="9">
        <v>105</v>
      </c>
      <c r="V265" s="10" t="s">
        <v>10</v>
      </c>
      <c r="W265" s="8" t="s">
        <v>10</v>
      </c>
      <c r="X265" s="9" t="s">
        <v>10</v>
      </c>
      <c r="Y265" s="10" t="s">
        <v>10</v>
      </c>
      <c r="Z265" s="8" t="s">
        <v>10</v>
      </c>
      <c r="AA265" s="9" t="s">
        <v>10</v>
      </c>
      <c r="AB265" s="10" t="s">
        <v>10</v>
      </c>
      <c r="AC265" s="8" t="s">
        <v>10</v>
      </c>
      <c r="AD265" s="9" t="s">
        <v>10</v>
      </c>
    </row>
    <row r="266" spans="1:30" x14ac:dyDescent="0.35">
      <c r="A266" s="2">
        <v>2024</v>
      </c>
      <c r="B266" s="2">
        <v>1</v>
      </c>
      <c r="C266" s="2">
        <v>2</v>
      </c>
      <c r="D266" s="6">
        <v>6</v>
      </c>
      <c r="E266" s="6">
        <v>-10</v>
      </c>
      <c r="F266" s="6">
        <v>-2.4</v>
      </c>
      <c r="G266" s="10">
        <v>47</v>
      </c>
      <c r="H266" s="8">
        <v>37</v>
      </c>
      <c r="I266" s="9">
        <v>42</v>
      </c>
      <c r="J266" s="12">
        <v>15</v>
      </c>
      <c r="K266" s="6">
        <v>6</v>
      </c>
      <c r="L266" s="6">
        <v>10.6</v>
      </c>
      <c r="M266" s="12">
        <v>85</v>
      </c>
      <c r="N266" s="6">
        <v>75</v>
      </c>
      <c r="O266" s="7">
        <v>80</v>
      </c>
      <c r="P266" s="10">
        <v>73</v>
      </c>
      <c r="Q266" s="8">
        <v>68</v>
      </c>
      <c r="R266" s="9">
        <v>71</v>
      </c>
      <c r="S266" s="8">
        <v>100</v>
      </c>
      <c r="T266" s="8">
        <v>90</v>
      </c>
      <c r="U266" s="9">
        <v>95</v>
      </c>
      <c r="V266" s="10" t="s">
        <v>10</v>
      </c>
      <c r="W266" s="8" t="s">
        <v>10</v>
      </c>
      <c r="X266" s="9" t="s">
        <v>10</v>
      </c>
      <c r="Y266" s="10" t="s">
        <v>10</v>
      </c>
      <c r="Z266" s="8" t="s">
        <v>10</v>
      </c>
      <c r="AA266" s="9" t="s">
        <v>10</v>
      </c>
      <c r="AB266" s="10" t="s">
        <v>10</v>
      </c>
      <c r="AC266" s="8" t="s">
        <v>10</v>
      </c>
      <c r="AD266" s="9" t="s">
        <v>10</v>
      </c>
    </row>
    <row r="267" spans="1:30" x14ac:dyDescent="0.35">
      <c r="A267" s="2">
        <v>2024</v>
      </c>
      <c r="B267" s="2">
        <v>1</v>
      </c>
      <c r="C267" s="2">
        <v>3</v>
      </c>
      <c r="D267" s="6">
        <v>10</v>
      </c>
      <c r="E267" s="6">
        <v>-10</v>
      </c>
      <c r="F267" s="6">
        <v>0</v>
      </c>
      <c r="G267" s="10">
        <v>53.75</v>
      </c>
      <c r="H267" s="8">
        <v>47.5</v>
      </c>
      <c r="I267" s="9">
        <v>51</v>
      </c>
      <c r="J267" s="12">
        <v>15</v>
      </c>
      <c r="K267" s="6">
        <v>10</v>
      </c>
      <c r="L267" s="6">
        <v>13</v>
      </c>
      <c r="M267" s="12">
        <v>85</v>
      </c>
      <c r="N267" s="6">
        <v>77.5</v>
      </c>
      <c r="O267" s="7">
        <v>81.5</v>
      </c>
      <c r="P267" s="10">
        <v>85.25</v>
      </c>
      <c r="Q267" s="8">
        <v>76.5</v>
      </c>
      <c r="R267" s="9">
        <v>81</v>
      </c>
      <c r="S267" s="8">
        <v>100</v>
      </c>
      <c r="T267" s="8">
        <v>90</v>
      </c>
      <c r="U267" s="9">
        <v>95</v>
      </c>
      <c r="V267" s="10" t="s">
        <v>10</v>
      </c>
      <c r="W267" s="8" t="s">
        <v>10</v>
      </c>
      <c r="X267" s="9" t="s">
        <v>10</v>
      </c>
      <c r="Y267" s="10" t="s">
        <v>10</v>
      </c>
      <c r="Z267" s="8" t="s">
        <v>10</v>
      </c>
      <c r="AA267" s="9" t="s">
        <v>10</v>
      </c>
      <c r="AB267" s="10" t="s">
        <v>10</v>
      </c>
      <c r="AC267" s="8" t="s">
        <v>10</v>
      </c>
      <c r="AD267" s="9" t="s">
        <v>10</v>
      </c>
    </row>
    <row r="268" spans="1:30" x14ac:dyDescent="0.35">
      <c r="A268" s="2">
        <v>2024</v>
      </c>
      <c r="B268" s="2">
        <v>2</v>
      </c>
      <c r="C268" s="2">
        <v>4</v>
      </c>
      <c r="D268" s="6">
        <v>20</v>
      </c>
      <c r="E268" s="6">
        <v>-15</v>
      </c>
      <c r="F268" s="6">
        <v>2.5</v>
      </c>
      <c r="G268" s="10">
        <v>65</v>
      </c>
      <c r="H268" s="8">
        <v>55</v>
      </c>
      <c r="I268" s="9">
        <v>60.5</v>
      </c>
      <c r="J268" s="12">
        <v>32.5</v>
      </c>
      <c r="K268" s="6">
        <v>15</v>
      </c>
      <c r="L268" s="6">
        <v>24</v>
      </c>
      <c r="M268" s="12">
        <v>120</v>
      </c>
      <c r="N268" s="6">
        <v>90</v>
      </c>
      <c r="O268" s="7">
        <v>105</v>
      </c>
      <c r="P268" s="10">
        <v>89</v>
      </c>
      <c r="Q268" s="8">
        <v>82.75</v>
      </c>
      <c r="R268" s="9">
        <v>86.25</v>
      </c>
      <c r="S268" s="8">
        <v>105</v>
      </c>
      <c r="T268" s="8">
        <v>95</v>
      </c>
      <c r="U268" s="9">
        <v>100</v>
      </c>
      <c r="V268" s="10" t="s">
        <v>10</v>
      </c>
      <c r="W268" s="8" t="s">
        <v>10</v>
      </c>
      <c r="X268" s="9" t="s">
        <v>10</v>
      </c>
      <c r="Y268" s="10" t="s">
        <v>10</v>
      </c>
      <c r="Z268" s="8" t="s">
        <v>10</v>
      </c>
      <c r="AA268" s="9" t="s">
        <v>10</v>
      </c>
      <c r="AB268" s="10" t="s">
        <v>10</v>
      </c>
      <c r="AC268" s="8" t="s">
        <v>10</v>
      </c>
      <c r="AD268" s="9" t="s">
        <v>10</v>
      </c>
    </row>
    <row r="269" spans="1:30" x14ac:dyDescent="0.35">
      <c r="A269" s="2">
        <v>2024</v>
      </c>
      <c r="B269" s="2">
        <v>2</v>
      </c>
      <c r="C269" s="2">
        <v>5</v>
      </c>
      <c r="D269" s="6">
        <v>21</v>
      </c>
      <c r="E269" s="6">
        <v>-15</v>
      </c>
      <c r="F269" s="6">
        <v>3.4</v>
      </c>
      <c r="G269" s="10">
        <v>78</v>
      </c>
      <c r="H269" s="8">
        <v>66</v>
      </c>
      <c r="I269" s="9">
        <v>72.2</v>
      </c>
      <c r="J269" s="12">
        <v>28</v>
      </c>
      <c r="K269" s="6">
        <v>20</v>
      </c>
      <c r="L269" s="6">
        <v>24.4</v>
      </c>
      <c r="M269" s="12">
        <v>140</v>
      </c>
      <c r="N269" s="6">
        <v>100</v>
      </c>
      <c r="O269" s="7">
        <v>120</v>
      </c>
      <c r="P269" s="10">
        <v>85.2</v>
      </c>
      <c r="Q269" s="8">
        <v>80.2</v>
      </c>
      <c r="R269" s="9">
        <v>83.2</v>
      </c>
      <c r="S269" s="8">
        <v>105</v>
      </c>
      <c r="T269" s="8">
        <v>95</v>
      </c>
      <c r="U269" s="9">
        <v>100</v>
      </c>
      <c r="V269" s="10" t="s">
        <v>10</v>
      </c>
      <c r="W269" s="8" t="s">
        <v>10</v>
      </c>
      <c r="X269" s="9" t="s">
        <v>10</v>
      </c>
      <c r="Y269" s="10" t="s">
        <v>10</v>
      </c>
      <c r="Z269" s="8" t="s">
        <v>10</v>
      </c>
      <c r="AA269" s="9" t="s">
        <v>10</v>
      </c>
      <c r="AB269" s="10" t="s">
        <v>10</v>
      </c>
      <c r="AC269" s="8" t="s">
        <v>10</v>
      </c>
      <c r="AD269" s="9" t="s">
        <v>10</v>
      </c>
    </row>
    <row r="270" spans="1:30" x14ac:dyDescent="0.35">
      <c r="A270" s="2">
        <v>2024</v>
      </c>
      <c r="B270" s="2">
        <v>2</v>
      </c>
      <c r="C270" s="2">
        <v>6</v>
      </c>
      <c r="D270" s="6">
        <v>22.5</v>
      </c>
      <c r="E270" s="6">
        <v>-15</v>
      </c>
      <c r="F270" s="6">
        <v>4</v>
      </c>
      <c r="G270" s="10">
        <v>80</v>
      </c>
      <c r="H270" s="8">
        <v>70</v>
      </c>
      <c r="I270" s="9">
        <v>75</v>
      </c>
      <c r="J270" s="12">
        <v>32.5</v>
      </c>
      <c r="K270" s="6">
        <v>25</v>
      </c>
      <c r="L270" s="6">
        <v>29</v>
      </c>
      <c r="M270" s="12">
        <v>145</v>
      </c>
      <c r="N270" s="6">
        <v>100</v>
      </c>
      <c r="O270" s="7">
        <v>122.5</v>
      </c>
      <c r="P270" s="10">
        <v>80.75</v>
      </c>
      <c r="Q270" s="8">
        <v>76.25</v>
      </c>
      <c r="R270" s="9">
        <v>79</v>
      </c>
      <c r="S270" s="8">
        <v>105</v>
      </c>
      <c r="T270" s="8">
        <v>95</v>
      </c>
      <c r="U270" s="9">
        <v>100</v>
      </c>
      <c r="V270" s="10" t="s">
        <v>10</v>
      </c>
      <c r="W270" s="8" t="s">
        <v>10</v>
      </c>
      <c r="X270" s="9" t="s">
        <v>10</v>
      </c>
      <c r="Y270" s="10" t="s">
        <v>10</v>
      </c>
      <c r="Z270" s="8" t="s">
        <v>10</v>
      </c>
      <c r="AA270" s="9" t="s">
        <v>10</v>
      </c>
      <c r="AB270" s="10" t="s">
        <v>10</v>
      </c>
      <c r="AC270" s="8" t="s">
        <v>10</v>
      </c>
      <c r="AD270" s="9" t="s">
        <v>10</v>
      </c>
    </row>
    <row r="271" spans="1:30" x14ac:dyDescent="0.35">
      <c r="A271" s="2">
        <v>2024</v>
      </c>
      <c r="B271" s="2">
        <v>3</v>
      </c>
      <c r="C271" s="2">
        <v>7</v>
      </c>
      <c r="D271" s="6">
        <v>32.5</v>
      </c>
      <c r="E271" s="6">
        <v>-15</v>
      </c>
      <c r="F271" s="6">
        <v>9</v>
      </c>
      <c r="G271" s="10">
        <v>85</v>
      </c>
      <c r="H271" s="8">
        <v>75</v>
      </c>
      <c r="I271" s="9">
        <v>80</v>
      </c>
      <c r="J271" s="12">
        <v>43.75</v>
      </c>
      <c r="K271" s="6">
        <v>33.75</v>
      </c>
      <c r="L271" s="6">
        <v>38.75</v>
      </c>
      <c r="M271" s="12">
        <v>150</v>
      </c>
      <c r="N271" s="6">
        <v>100</v>
      </c>
      <c r="O271" s="7">
        <v>125</v>
      </c>
      <c r="P271" s="10">
        <v>93.25</v>
      </c>
      <c r="Q271" s="8">
        <v>85</v>
      </c>
      <c r="R271" s="9">
        <v>89.25</v>
      </c>
      <c r="S271" s="8">
        <v>104</v>
      </c>
      <c r="T271" s="8">
        <v>94.5</v>
      </c>
      <c r="U271" s="9">
        <v>99.5</v>
      </c>
      <c r="V271" s="10" t="s">
        <v>10</v>
      </c>
      <c r="W271" s="8" t="s">
        <v>10</v>
      </c>
      <c r="X271" s="9" t="s">
        <v>10</v>
      </c>
      <c r="Y271" s="10" t="s">
        <v>10</v>
      </c>
      <c r="Z271" s="8" t="s">
        <v>10</v>
      </c>
      <c r="AA271" s="9" t="s">
        <v>10</v>
      </c>
      <c r="AB271" s="10" t="s">
        <v>10</v>
      </c>
      <c r="AC271" s="8" t="s">
        <v>10</v>
      </c>
      <c r="AD271" s="9" t="s">
        <v>10</v>
      </c>
    </row>
    <row r="272" spans="1:30" x14ac:dyDescent="0.35">
      <c r="A272" s="2">
        <v>2024</v>
      </c>
      <c r="B272" s="2">
        <v>3</v>
      </c>
      <c r="C272" s="2">
        <v>8</v>
      </c>
      <c r="D272" s="6">
        <v>45</v>
      </c>
      <c r="E272" s="6">
        <v>-11</v>
      </c>
      <c r="F272" s="6">
        <v>17</v>
      </c>
      <c r="G272" s="10">
        <v>89</v>
      </c>
      <c r="H272" s="8">
        <v>79</v>
      </c>
      <c r="I272" s="9">
        <v>84</v>
      </c>
      <c r="J272" s="12">
        <v>55</v>
      </c>
      <c r="K272" s="6">
        <v>50</v>
      </c>
      <c r="L272" s="6">
        <v>53</v>
      </c>
      <c r="M272" s="12">
        <v>150</v>
      </c>
      <c r="N272" s="6">
        <v>100</v>
      </c>
      <c r="O272" s="7">
        <v>125</v>
      </c>
      <c r="P272" s="10">
        <v>119.4</v>
      </c>
      <c r="Q272" s="8">
        <v>113.4</v>
      </c>
      <c r="R272" s="9">
        <v>116.8</v>
      </c>
      <c r="S272" s="8">
        <v>103</v>
      </c>
      <c r="T272" s="8">
        <v>94</v>
      </c>
      <c r="U272" s="9">
        <v>99</v>
      </c>
      <c r="V272" s="10" t="s">
        <v>10</v>
      </c>
      <c r="W272" s="8" t="s">
        <v>10</v>
      </c>
      <c r="X272" s="9" t="s">
        <v>10</v>
      </c>
      <c r="Y272" s="10" t="s">
        <v>10</v>
      </c>
      <c r="Z272" s="8" t="s">
        <v>10</v>
      </c>
      <c r="AA272" s="9" t="s">
        <v>10</v>
      </c>
      <c r="AB272" s="10" t="s">
        <v>10</v>
      </c>
      <c r="AC272" s="8" t="s">
        <v>10</v>
      </c>
      <c r="AD272" s="9" t="s">
        <v>10</v>
      </c>
    </row>
    <row r="273" spans="1:30" x14ac:dyDescent="0.35">
      <c r="A273" s="2">
        <v>2024</v>
      </c>
      <c r="B273" s="2">
        <v>3</v>
      </c>
      <c r="C273" s="2">
        <v>9</v>
      </c>
      <c r="D273" s="6">
        <v>45</v>
      </c>
      <c r="E273" s="6">
        <v>-5</v>
      </c>
      <c r="F273" s="6">
        <v>20</v>
      </c>
      <c r="G273" s="10">
        <v>90</v>
      </c>
      <c r="H273" s="8">
        <v>80</v>
      </c>
      <c r="I273" s="9">
        <v>85</v>
      </c>
      <c r="J273" s="12">
        <v>52.5</v>
      </c>
      <c r="K273" s="6">
        <v>47</v>
      </c>
      <c r="L273" s="6">
        <v>50.25</v>
      </c>
      <c r="M273" s="12">
        <v>152.5</v>
      </c>
      <c r="N273" s="6">
        <v>102.5</v>
      </c>
      <c r="O273" s="7">
        <v>127.5</v>
      </c>
      <c r="P273" s="10">
        <v>130</v>
      </c>
      <c r="Q273" s="8">
        <v>123</v>
      </c>
      <c r="R273" s="9">
        <v>127</v>
      </c>
      <c r="S273" s="8">
        <v>103</v>
      </c>
      <c r="T273" s="8">
        <v>94</v>
      </c>
      <c r="U273" s="9">
        <v>99</v>
      </c>
      <c r="V273" s="10" t="s">
        <v>10</v>
      </c>
      <c r="W273" s="8" t="s">
        <v>10</v>
      </c>
      <c r="X273" s="9" t="s">
        <v>10</v>
      </c>
      <c r="Y273" s="10" t="s">
        <v>10</v>
      </c>
      <c r="Z273" s="8" t="s">
        <v>10</v>
      </c>
      <c r="AA273" s="9" t="s">
        <v>10</v>
      </c>
      <c r="AB273" s="10" t="s">
        <v>10</v>
      </c>
      <c r="AC273" s="8" t="s">
        <v>10</v>
      </c>
      <c r="AD273" s="9" t="s">
        <v>10</v>
      </c>
    </row>
    <row r="274" spans="1:30" x14ac:dyDescent="0.35">
      <c r="A274" s="2">
        <v>2024</v>
      </c>
      <c r="B274" s="2">
        <v>4</v>
      </c>
      <c r="C274" s="2">
        <v>10</v>
      </c>
      <c r="D274" s="6">
        <v>46</v>
      </c>
      <c r="E274" s="6">
        <v>-5</v>
      </c>
      <c r="F274" s="6">
        <v>20.6</v>
      </c>
      <c r="G274" s="10">
        <v>107</v>
      </c>
      <c r="H274" s="8">
        <v>97</v>
      </c>
      <c r="I274" s="9">
        <v>102</v>
      </c>
      <c r="J274" s="12">
        <v>54</v>
      </c>
      <c r="K274" s="6">
        <v>48.2</v>
      </c>
      <c r="L274" s="6">
        <v>51.6</v>
      </c>
      <c r="M274" s="12">
        <v>160</v>
      </c>
      <c r="N274" s="6">
        <v>116</v>
      </c>
      <c r="O274" s="7">
        <v>138</v>
      </c>
      <c r="P274" s="10">
        <v>134.4</v>
      </c>
      <c r="Q274" s="8">
        <v>129.80000000000001</v>
      </c>
      <c r="R274" s="9">
        <v>132.4</v>
      </c>
      <c r="S274" s="8">
        <v>103</v>
      </c>
      <c r="T274" s="8">
        <v>94</v>
      </c>
      <c r="U274" s="9">
        <v>99</v>
      </c>
      <c r="V274" s="10" t="s">
        <v>10</v>
      </c>
      <c r="W274" s="8" t="s">
        <v>10</v>
      </c>
      <c r="X274" s="9" t="s">
        <v>10</v>
      </c>
      <c r="Y274" s="10" t="s">
        <v>10</v>
      </c>
      <c r="Z274" s="8" t="s">
        <v>10</v>
      </c>
      <c r="AA274" s="9" t="s">
        <v>10</v>
      </c>
      <c r="AB274" s="10" t="s">
        <v>10</v>
      </c>
      <c r="AC274" s="8" t="s">
        <v>10</v>
      </c>
      <c r="AD274" s="9" t="s">
        <v>10</v>
      </c>
    </row>
    <row r="275" spans="1:30" x14ac:dyDescent="0.35">
      <c r="A275" s="2">
        <v>2024</v>
      </c>
      <c r="B275" s="2">
        <v>4</v>
      </c>
      <c r="C275" s="2">
        <v>11</v>
      </c>
      <c r="D275" s="6">
        <v>53.75</v>
      </c>
      <c r="E275" s="6">
        <v>-5</v>
      </c>
      <c r="F275" s="6">
        <v>24.5</v>
      </c>
      <c r="G275" s="10">
        <v>110</v>
      </c>
      <c r="H275" s="8">
        <v>100</v>
      </c>
      <c r="I275" s="9">
        <v>105</v>
      </c>
      <c r="J275" s="12">
        <v>58.75</v>
      </c>
      <c r="K275" s="6">
        <v>50</v>
      </c>
      <c r="L275" s="6">
        <v>54.5</v>
      </c>
      <c r="M275" s="12">
        <v>160</v>
      </c>
      <c r="N275" s="6">
        <v>140</v>
      </c>
      <c r="O275" s="7">
        <v>150</v>
      </c>
      <c r="P275" s="10">
        <v>148.25</v>
      </c>
      <c r="Q275" s="8">
        <v>145.5</v>
      </c>
      <c r="R275" s="9">
        <v>147</v>
      </c>
      <c r="S275" s="8">
        <v>140</v>
      </c>
      <c r="T275" s="8">
        <v>120</v>
      </c>
      <c r="U275" s="9">
        <v>130</v>
      </c>
      <c r="V275" s="10" t="s">
        <v>10</v>
      </c>
      <c r="W275" s="8" t="s">
        <v>10</v>
      </c>
      <c r="X275" s="9" t="s">
        <v>10</v>
      </c>
      <c r="Y275" s="10" t="s">
        <v>10</v>
      </c>
      <c r="Z275" s="8" t="s">
        <v>10</v>
      </c>
      <c r="AA275" s="9" t="s">
        <v>10</v>
      </c>
      <c r="AB275" s="10" t="s">
        <v>10</v>
      </c>
      <c r="AC275" s="8" t="s">
        <v>10</v>
      </c>
      <c r="AD275" s="9" t="s">
        <v>10</v>
      </c>
    </row>
    <row r="276" spans="1:30" x14ac:dyDescent="0.35">
      <c r="A276" s="2">
        <v>2024</v>
      </c>
      <c r="B276" s="2">
        <v>4</v>
      </c>
      <c r="C276" s="2">
        <v>12</v>
      </c>
      <c r="D276" s="6">
        <v>53</v>
      </c>
      <c r="E276" s="6">
        <v>-5</v>
      </c>
      <c r="F276" s="6">
        <v>24.333333333333332</v>
      </c>
      <c r="G276" s="10">
        <v>110</v>
      </c>
      <c r="H276" s="8">
        <v>100</v>
      </c>
      <c r="I276" s="9">
        <v>105</v>
      </c>
      <c r="J276" s="12">
        <v>56.666666666666664</v>
      </c>
      <c r="K276" s="6">
        <v>46.666666666666664</v>
      </c>
      <c r="L276" s="6">
        <v>51.666666666666664</v>
      </c>
      <c r="M276" s="12">
        <v>160</v>
      </c>
      <c r="N276" s="6">
        <v>140</v>
      </c>
      <c r="O276" s="7">
        <v>150</v>
      </c>
      <c r="P276" s="10">
        <v>168.33333333333334</v>
      </c>
      <c r="Q276" s="8">
        <v>161.66666666666666</v>
      </c>
      <c r="R276" s="9">
        <v>165.33333333333334</v>
      </c>
      <c r="S276" s="8">
        <v>140</v>
      </c>
      <c r="T276" s="8">
        <v>120</v>
      </c>
      <c r="U276" s="9">
        <v>130</v>
      </c>
      <c r="V276" s="10" t="s">
        <v>10</v>
      </c>
      <c r="W276" s="8" t="s">
        <v>10</v>
      </c>
      <c r="X276" s="9" t="s">
        <v>10</v>
      </c>
      <c r="Y276" s="10" t="s">
        <v>10</v>
      </c>
      <c r="Z276" s="8" t="s">
        <v>10</v>
      </c>
      <c r="AA276" s="9" t="s">
        <v>10</v>
      </c>
      <c r="AB276" s="10" t="s">
        <v>10</v>
      </c>
      <c r="AC276" s="8" t="s">
        <v>10</v>
      </c>
      <c r="AD276" s="9" t="s">
        <v>10</v>
      </c>
    </row>
    <row r="277" spans="1:30" x14ac:dyDescent="0.35">
      <c r="A277" s="2">
        <v>2025</v>
      </c>
      <c r="B277" s="2">
        <v>1</v>
      </c>
      <c r="C277" s="2">
        <v>1</v>
      </c>
      <c r="D277" s="6">
        <v>54</v>
      </c>
      <c r="E277" s="6">
        <v>4</v>
      </c>
      <c r="F277" s="6">
        <v>29.4</v>
      </c>
      <c r="G277" s="10">
        <v>120</v>
      </c>
      <c r="H277" s="8">
        <v>110</v>
      </c>
      <c r="I277" s="9">
        <v>115</v>
      </c>
      <c r="J277" s="12">
        <v>55</v>
      </c>
      <c r="K277" s="6">
        <v>49</v>
      </c>
      <c r="L277" s="6">
        <v>52.4</v>
      </c>
      <c r="M277" s="12">
        <v>160</v>
      </c>
      <c r="N277" s="6">
        <v>140</v>
      </c>
      <c r="O277" s="7">
        <v>150</v>
      </c>
      <c r="P277" s="10">
        <v>170</v>
      </c>
      <c r="Q277" s="8">
        <v>160</v>
      </c>
      <c r="R277" s="9">
        <v>165</v>
      </c>
      <c r="S277" s="8">
        <v>158</v>
      </c>
      <c r="T277" s="8">
        <v>144</v>
      </c>
      <c r="U277" s="9">
        <v>151</v>
      </c>
      <c r="V277" s="10" t="s">
        <v>10</v>
      </c>
      <c r="W277" s="8" t="s">
        <v>10</v>
      </c>
      <c r="X277" s="9" t="s">
        <v>10</v>
      </c>
      <c r="Y277" s="10" t="s">
        <v>10</v>
      </c>
      <c r="Z277" s="8" t="s">
        <v>10</v>
      </c>
      <c r="AA277" s="9" t="s">
        <v>10</v>
      </c>
      <c r="AB277" s="10" t="s">
        <v>10</v>
      </c>
      <c r="AC277" s="8" t="s">
        <v>10</v>
      </c>
      <c r="AD277" s="9" t="s">
        <v>10</v>
      </c>
    </row>
    <row r="278" spans="1:30" x14ac:dyDescent="0.35">
      <c r="A278" s="2">
        <v>2025</v>
      </c>
      <c r="B278" s="2">
        <v>1</v>
      </c>
      <c r="C278" s="2">
        <v>2</v>
      </c>
      <c r="D278" s="6">
        <v>55</v>
      </c>
      <c r="E278" s="6">
        <v>10</v>
      </c>
      <c r="F278" s="6">
        <v>33</v>
      </c>
      <c r="G278" s="10">
        <v>116.25</v>
      </c>
      <c r="H278" s="8">
        <v>101.25</v>
      </c>
      <c r="I278" s="9">
        <v>108.75</v>
      </c>
      <c r="J278" s="12">
        <v>55</v>
      </c>
      <c r="K278" s="6">
        <v>50</v>
      </c>
      <c r="L278" s="6">
        <v>53</v>
      </c>
      <c r="M278" s="12">
        <v>160</v>
      </c>
      <c r="N278" s="6">
        <v>140</v>
      </c>
      <c r="O278" s="7">
        <v>150</v>
      </c>
      <c r="P278" s="10">
        <v>188</v>
      </c>
      <c r="Q278" s="8">
        <v>178</v>
      </c>
      <c r="R278" s="9">
        <v>183</v>
      </c>
      <c r="S278" s="8">
        <v>170</v>
      </c>
      <c r="T278" s="8">
        <v>160</v>
      </c>
      <c r="U278" s="9">
        <v>165</v>
      </c>
      <c r="V278" s="10" t="s">
        <v>10</v>
      </c>
      <c r="W278" s="8" t="s">
        <v>10</v>
      </c>
      <c r="X278" s="9" t="s">
        <v>10</v>
      </c>
      <c r="Y278" s="10" t="s">
        <v>10</v>
      </c>
      <c r="Z278" s="8" t="s">
        <v>10</v>
      </c>
      <c r="AA278" s="9" t="s">
        <v>10</v>
      </c>
      <c r="AB278" s="10" t="s">
        <v>10</v>
      </c>
      <c r="AC278" s="8" t="s">
        <v>10</v>
      </c>
      <c r="AD278" s="9" t="s">
        <v>10</v>
      </c>
    </row>
    <row r="279" spans="1:30" x14ac:dyDescent="0.35">
      <c r="A279" s="2">
        <v>2025</v>
      </c>
      <c r="B279" s="2">
        <v>1</v>
      </c>
      <c r="C279" s="2">
        <v>3</v>
      </c>
      <c r="D279" s="6">
        <v>58.75</v>
      </c>
      <c r="E279" s="6">
        <v>10</v>
      </c>
      <c r="F279" s="6">
        <v>34.5</v>
      </c>
      <c r="G279" s="10">
        <v>72.5</v>
      </c>
      <c r="H279" s="8">
        <v>66.25</v>
      </c>
      <c r="I279" s="9">
        <v>69.75</v>
      </c>
      <c r="J279" s="12">
        <v>67.5</v>
      </c>
      <c r="K279" s="6">
        <v>62.5</v>
      </c>
      <c r="L279" s="6">
        <v>65.5</v>
      </c>
      <c r="M279" s="12">
        <v>125</v>
      </c>
      <c r="N279" s="6">
        <v>110</v>
      </c>
      <c r="O279" s="7">
        <v>117.5</v>
      </c>
      <c r="P279" s="10">
        <v>259.5</v>
      </c>
      <c r="Q279" s="8">
        <v>253</v>
      </c>
      <c r="R279" s="9">
        <v>256.5</v>
      </c>
      <c r="S279" s="8">
        <v>170</v>
      </c>
      <c r="T279" s="8">
        <v>160</v>
      </c>
      <c r="U279" s="9">
        <v>165</v>
      </c>
      <c r="V279" s="10" t="s">
        <v>10</v>
      </c>
      <c r="W279" s="8" t="s">
        <v>10</v>
      </c>
      <c r="X279" s="9" t="s">
        <v>10</v>
      </c>
      <c r="Y279" s="10" t="s">
        <v>10</v>
      </c>
      <c r="Z279" s="8" t="s">
        <v>10</v>
      </c>
      <c r="AA279" s="9" t="s">
        <v>10</v>
      </c>
      <c r="AB279" s="10" t="s">
        <v>10</v>
      </c>
      <c r="AC279" s="8" t="s">
        <v>10</v>
      </c>
      <c r="AD279" s="9" t="s">
        <v>10</v>
      </c>
    </row>
    <row r="280" spans="1:30" x14ac:dyDescent="0.35">
      <c r="A280" s="2">
        <v>2025</v>
      </c>
      <c r="B280" s="2">
        <v>2</v>
      </c>
      <c r="C280" s="2">
        <v>4</v>
      </c>
      <c r="D280" s="6">
        <v>63.75</v>
      </c>
      <c r="E280" s="6">
        <v>12.5</v>
      </c>
      <c r="F280" s="6">
        <v>38.25</v>
      </c>
      <c r="G280" s="10">
        <v>100</v>
      </c>
      <c r="H280" s="8">
        <v>88.75</v>
      </c>
      <c r="I280" s="9">
        <v>94.5</v>
      </c>
      <c r="J280" s="12">
        <v>76.25</v>
      </c>
      <c r="K280" s="6">
        <v>68.75</v>
      </c>
      <c r="L280" s="6">
        <v>72.75</v>
      </c>
      <c r="M280" s="12">
        <v>131.25</v>
      </c>
      <c r="N280" s="6">
        <v>111.25</v>
      </c>
      <c r="O280" s="7">
        <v>121.25</v>
      </c>
      <c r="P280" s="10">
        <v>285</v>
      </c>
      <c r="Q280" s="8">
        <v>275</v>
      </c>
      <c r="R280" s="9">
        <v>280</v>
      </c>
      <c r="S280" s="8">
        <v>250</v>
      </c>
      <c r="T280" s="8">
        <v>245</v>
      </c>
      <c r="U280" s="9">
        <v>248</v>
      </c>
      <c r="V280" s="10" t="s">
        <v>10</v>
      </c>
      <c r="W280" s="8" t="s">
        <v>10</v>
      </c>
      <c r="X280" s="9" t="s">
        <v>10</v>
      </c>
      <c r="Y280" s="10" t="s">
        <v>10</v>
      </c>
      <c r="Z280" s="8" t="s">
        <v>10</v>
      </c>
      <c r="AA280" s="9" t="s">
        <v>10</v>
      </c>
      <c r="AB280" s="10" t="s">
        <v>10</v>
      </c>
      <c r="AC280" s="8" t="s">
        <v>10</v>
      </c>
      <c r="AD280" s="9" t="s">
        <v>10</v>
      </c>
    </row>
    <row r="281" spans="1:30" x14ac:dyDescent="0.35">
      <c r="A281" s="2">
        <v>2025</v>
      </c>
      <c r="B281" s="2">
        <v>2</v>
      </c>
      <c r="C281" s="2">
        <v>5</v>
      </c>
      <c r="D281" s="6">
        <v>72</v>
      </c>
      <c r="E281" s="6">
        <v>15</v>
      </c>
      <c r="F281" s="6">
        <v>43.8</v>
      </c>
      <c r="G281" s="10">
        <v>115.6</v>
      </c>
      <c r="H281" s="8">
        <v>106.6</v>
      </c>
      <c r="I281" s="9">
        <v>111.2</v>
      </c>
      <c r="J281" s="12">
        <v>76.2</v>
      </c>
      <c r="K281" s="6">
        <v>71.2</v>
      </c>
      <c r="L281" s="6">
        <v>74.2</v>
      </c>
      <c r="M281" s="12">
        <v>170</v>
      </c>
      <c r="N281" s="6">
        <v>136</v>
      </c>
      <c r="O281" s="7">
        <v>153</v>
      </c>
      <c r="P281" s="10">
        <v>301</v>
      </c>
      <c r="Q281" s="8">
        <v>288</v>
      </c>
      <c r="R281" s="9">
        <v>295</v>
      </c>
      <c r="S281" s="8">
        <v>250</v>
      </c>
      <c r="T281" s="8">
        <v>245</v>
      </c>
      <c r="U281" s="9">
        <v>248</v>
      </c>
      <c r="V281" s="10" t="s">
        <v>10</v>
      </c>
      <c r="W281" s="8" t="s">
        <v>10</v>
      </c>
      <c r="X281" s="9" t="s">
        <v>10</v>
      </c>
      <c r="Y281" s="10" t="s">
        <v>10</v>
      </c>
      <c r="Z281" s="8" t="s">
        <v>10</v>
      </c>
      <c r="AA281" s="9" t="s">
        <v>10</v>
      </c>
      <c r="AB281" s="10" t="s">
        <v>10</v>
      </c>
      <c r="AC281" s="8" t="s">
        <v>10</v>
      </c>
      <c r="AD281" s="9" t="s">
        <v>10</v>
      </c>
    </row>
    <row r="282" spans="1:30" x14ac:dyDescent="0.35">
      <c r="A282" s="2">
        <v>2025</v>
      </c>
      <c r="B282" s="2">
        <v>2</v>
      </c>
      <c r="C282" s="2">
        <v>6</v>
      </c>
      <c r="D282" s="6">
        <v>78.75</v>
      </c>
      <c r="E282" s="6">
        <v>15</v>
      </c>
      <c r="F282" s="6">
        <v>47</v>
      </c>
      <c r="G282" s="10">
        <v>136.25</v>
      </c>
      <c r="H282" s="8">
        <v>126.25</v>
      </c>
      <c r="I282" s="9">
        <v>131.25</v>
      </c>
      <c r="J282" s="12">
        <v>92.5</v>
      </c>
      <c r="K282" s="6">
        <v>86.25</v>
      </c>
      <c r="L282" s="6">
        <v>89.75</v>
      </c>
      <c r="M282" s="12">
        <v>170</v>
      </c>
      <c r="N282" s="6">
        <v>150</v>
      </c>
      <c r="O282" s="7">
        <v>160</v>
      </c>
      <c r="P282" s="10">
        <v>281.25</v>
      </c>
      <c r="Q282" s="8">
        <v>271.25</v>
      </c>
      <c r="R282" s="9">
        <v>276.25</v>
      </c>
      <c r="S282" s="8">
        <v>250</v>
      </c>
      <c r="T282" s="8">
        <v>245</v>
      </c>
      <c r="U282" s="9">
        <v>248</v>
      </c>
      <c r="V282" s="10" t="s">
        <v>10</v>
      </c>
      <c r="W282" s="8" t="s">
        <v>10</v>
      </c>
      <c r="X282" s="9" t="s">
        <v>10</v>
      </c>
      <c r="Y282" s="10" t="s">
        <v>10</v>
      </c>
      <c r="Z282" s="8" t="s">
        <v>10</v>
      </c>
      <c r="AA282" s="9" t="s">
        <v>10</v>
      </c>
      <c r="AB282" s="10" t="s">
        <v>10</v>
      </c>
      <c r="AC282" s="8" t="s">
        <v>10</v>
      </c>
      <c r="AD282" s="9" t="s">
        <v>10</v>
      </c>
    </row>
    <row r="283" spans="1:30" x14ac:dyDescent="0.35">
      <c r="A283" s="2">
        <v>2025</v>
      </c>
      <c r="B283" s="2">
        <v>3</v>
      </c>
      <c r="C283" s="2">
        <v>7</v>
      </c>
      <c r="D283" s="6">
        <v>88</v>
      </c>
      <c r="E283" s="6">
        <v>15</v>
      </c>
      <c r="F283" s="6">
        <v>52</v>
      </c>
      <c r="G283" s="10">
        <v>129</v>
      </c>
      <c r="H283" s="8">
        <v>119</v>
      </c>
      <c r="I283" s="9">
        <v>124</v>
      </c>
      <c r="J283" s="12">
        <v>96.2</v>
      </c>
      <c r="K283" s="6">
        <v>91.2</v>
      </c>
      <c r="L283" s="6">
        <v>94.2</v>
      </c>
      <c r="M283" s="12">
        <v>180</v>
      </c>
      <c r="N283" s="6">
        <v>160</v>
      </c>
      <c r="O283" s="7">
        <v>170</v>
      </c>
      <c r="P283" s="10">
        <v>265</v>
      </c>
      <c r="Q283" s="8">
        <v>255</v>
      </c>
      <c r="R283" s="9">
        <v>260</v>
      </c>
      <c r="S283" s="8">
        <v>260</v>
      </c>
      <c r="T283" s="8">
        <v>251</v>
      </c>
      <c r="U283" s="9">
        <v>256</v>
      </c>
      <c r="V283" s="10" t="s">
        <v>10</v>
      </c>
      <c r="W283" s="8" t="s">
        <v>10</v>
      </c>
      <c r="X283" s="9" t="s">
        <v>10</v>
      </c>
      <c r="Y283" s="10" t="s">
        <v>10</v>
      </c>
      <c r="Z283" s="8" t="s">
        <v>10</v>
      </c>
      <c r="AA283" s="9" t="s">
        <v>10</v>
      </c>
      <c r="AB283" s="10" t="s">
        <v>10</v>
      </c>
      <c r="AC283" s="8" t="s">
        <v>10</v>
      </c>
      <c r="AD283" s="9" t="s">
        <v>10</v>
      </c>
    </row>
    <row r="284" spans="1:30" x14ac:dyDescent="0.35">
      <c r="A284" s="2">
        <v>2025</v>
      </c>
      <c r="B284" s="2">
        <v>3</v>
      </c>
      <c r="C284" s="2">
        <v>8</v>
      </c>
      <c r="D284" s="6" t="s">
        <v>10</v>
      </c>
      <c r="E284" s="6" t="s">
        <v>10</v>
      </c>
      <c r="F284" s="6" t="s">
        <v>10</v>
      </c>
      <c r="G284" s="10">
        <v>121.25</v>
      </c>
      <c r="H284" s="8">
        <v>111.25</v>
      </c>
      <c r="I284" s="9">
        <v>116.25</v>
      </c>
      <c r="J284" s="12">
        <v>98</v>
      </c>
      <c r="K284" s="6">
        <v>93</v>
      </c>
      <c r="L284" s="6">
        <v>96</v>
      </c>
      <c r="M284" s="12">
        <v>175</v>
      </c>
      <c r="N284" s="6">
        <v>155</v>
      </c>
      <c r="O284" s="7">
        <v>165</v>
      </c>
      <c r="P284" s="10">
        <v>279.5</v>
      </c>
      <c r="Q284" s="8">
        <v>269.75</v>
      </c>
      <c r="R284" s="9">
        <v>274.75</v>
      </c>
      <c r="S284" s="8">
        <v>275</v>
      </c>
      <c r="T284" s="8">
        <v>260</v>
      </c>
      <c r="U284" s="9">
        <v>268</v>
      </c>
      <c r="V284" s="10" t="s">
        <v>10</v>
      </c>
      <c r="W284" s="8" t="s">
        <v>10</v>
      </c>
      <c r="X284" s="9" t="s">
        <v>10</v>
      </c>
      <c r="Y284" s="10" t="s">
        <v>10</v>
      </c>
      <c r="Z284" s="8" t="s">
        <v>10</v>
      </c>
      <c r="AA284" s="9" t="s">
        <v>10</v>
      </c>
      <c r="AB284" s="10" t="s">
        <v>10</v>
      </c>
      <c r="AC284" s="8" t="s">
        <v>10</v>
      </c>
      <c r="AD284" s="9" t="s">
        <v>10</v>
      </c>
    </row>
    <row r="285" spans="1:30" x14ac:dyDescent="0.35">
      <c r="A285" s="2">
        <v>2025</v>
      </c>
      <c r="B285" s="2">
        <v>3</v>
      </c>
      <c r="C285" s="2">
        <v>9</v>
      </c>
      <c r="D285" s="6" t="s">
        <v>10</v>
      </c>
      <c r="E285" s="6" t="s">
        <v>10</v>
      </c>
      <c r="F285" s="6" t="s">
        <v>10</v>
      </c>
      <c r="G285" s="10">
        <v>83.75</v>
      </c>
      <c r="H285" s="8">
        <v>75</v>
      </c>
      <c r="I285" s="9">
        <v>79.5</v>
      </c>
      <c r="J285" s="12">
        <v>78</v>
      </c>
      <c r="K285" s="6">
        <v>73.25</v>
      </c>
      <c r="L285" s="6">
        <v>76</v>
      </c>
      <c r="M285" s="12">
        <v>140</v>
      </c>
      <c r="N285" s="6">
        <v>120</v>
      </c>
      <c r="O285" s="7">
        <v>130</v>
      </c>
      <c r="P285" s="10">
        <v>312.75</v>
      </c>
      <c r="Q285" s="8">
        <v>302.5</v>
      </c>
      <c r="R285" s="9">
        <v>307.75</v>
      </c>
      <c r="S285" s="8">
        <v>275</v>
      </c>
      <c r="T285" s="8">
        <v>260</v>
      </c>
      <c r="U285" s="9">
        <v>268</v>
      </c>
      <c r="V285" s="10" t="s">
        <v>10</v>
      </c>
      <c r="W285" s="8" t="s">
        <v>10</v>
      </c>
      <c r="X285" s="9" t="s">
        <v>10</v>
      </c>
      <c r="Y285" s="10" t="s">
        <v>10</v>
      </c>
      <c r="Z285" s="8" t="s">
        <v>10</v>
      </c>
      <c r="AA285" s="9" t="s">
        <v>10</v>
      </c>
      <c r="AB285" s="10" t="s">
        <v>10</v>
      </c>
      <c r="AC285" s="8" t="s">
        <v>10</v>
      </c>
      <c r="AD285" s="9" t="s">
        <v>10</v>
      </c>
    </row>
    <row r="286" spans="1:30" x14ac:dyDescent="0.35">
      <c r="A286" s="2">
        <v>2025</v>
      </c>
      <c r="B286" s="2">
        <v>4</v>
      </c>
      <c r="C286" s="2">
        <v>10</v>
      </c>
      <c r="D286" s="6" t="s">
        <v>10</v>
      </c>
      <c r="E286" s="6" t="s">
        <v>10</v>
      </c>
      <c r="F286" s="6" t="s">
        <v>10</v>
      </c>
      <c r="G286" s="10">
        <v>84</v>
      </c>
      <c r="H286" s="8">
        <v>76</v>
      </c>
      <c r="I286" s="9">
        <v>80.2</v>
      </c>
      <c r="J286" s="12">
        <v>83</v>
      </c>
      <c r="K286" s="6">
        <v>75</v>
      </c>
      <c r="L286" s="6">
        <v>79.2</v>
      </c>
      <c r="M286" s="12">
        <v>140</v>
      </c>
      <c r="N286" s="6">
        <v>120</v>
      </c>
      <c r="O286" s="7">
        <v>130</v>
      </c>
      <c r="P286" s="10">
        <v>364.6</v>
      </c>
      <c r="Q286" s="8">
        <v>355</v>
      </c>
      <c r="R286" s="9">
        <v>359.8</v>
      </c>
      <c r="S286" s="8">
        <v>311</v>
      </c>
      <c r="T286" s="8">
        <v>292</v>
      </c>
      <c r="U286" s="9">
        <v>301.60000000000002</v>
      </c>
      <c r="V286" s="10" t="s">
        <v>10</v>
      </c>
      <c r="W286" s="8" t="s">
        <v>10</v>
      </c>
      <c r="X286" s="9" t="s">
        <v>10</v>
      </c>
      <c r="Y286" s="10" t="s">
        <v>10</v>
      </c>
      <c r="Z286" s="8" t="s">
        <v>10</v>
      </c>
      <c r="AA286" s="9" t="s">
        <v>10</v>
      </c>
      <c r="AB286" s="10" t="s">
        <v>10</v>
      </c>
      <c r="AC286" s="8" t="s">
        <v>10</v>
      </c>
      <c r="AD286" s="9" t="s">
        <v>10</v>
      </c>
    </row>
    <row r="287" spans="1:30" x14ac:dyDescent="0.35">
      <c r="A287" s="2">
        <v>2025</v>
      </c>
      <c r="B287" s="2">
        <v>4</v>
      </c>
      <c r="C287" s="2">
        <v>11</v>
      </c>
      <c r="D287" s="6" t="s">
        <v>10</v>
      </c>
      <c r="E287" s="6" t="s">
        <v>10</v>
      </c>
      <c r="F287" s="6" t="s">
        <v>10</v>
      </c>
      <c r="G287" s="10">
        <v>102.5</v>
      </c>
      <c r="H287" s="8">
        <v>92.5</v>
      </c>
      <c r="I287" s="9">
        <v>97.75</v>
      </c>
      <c r="J287" s="12">
        <v>110</v>
      </c>
      <c r="K287" s="6">
        <v>101.25</v>
      </c>
      <c r="L287" s="6">
        <v>105.75</v>
      </c>
      <c r="M287" s="12">
        <v>140</v>
      </c>
      <c r="N287" s="6">
        <v>125</v>
      </c>
      <c r="O287" s="7">
        <v>132.5</v>
      </c>
      <c r="P287" s="10">
        <v>468.75</v>
      </c>
      <c r="Q287" s="8">
        <v>435</v>
      </c>
      <c r="R287" s="9">
        <v>452</v>
      </c>
      <c r="S287" s="8">
        <v>320</v>
      </c>
      <c r="T287" s="8">
        <v>300</v>
      </c>
      <c r="U287" s="9">
        <v>310</v>
      </c>
      <c r="V287" s="10" t="s">
        <v>10</v>
      </c>
      <c r="W287" s="8" t="s">
        <v>10</v>
      </c>
      <c r="X287" s="9" t="s">
        <v>10</v>
      </c>
      <c r="Y287" s="10" t="s">
        <v>10</v>
      </c>
      <c r="Z287" s="8" t="s">
        <v>10</v>
      </c>
      <c r="AA287" s="9" t="s">
        <v>10</v>
      </c>
      <c r="AB287" s="10" t="s">
        <v>10</v>
      </c>
      <c r="AC287" s="8" t="s">
        <v>10</v>
      </c>
      <c r="AD287" s="9" t="s">
        <v>10</v>
      </c>
    </row>
    <row r="288" spans="1:30" x14ac:dyDescent="0.35">
      <c r="A288" s="2">
        <v>2025</v>
      </c>
      <c r="B288" s="2">
        <v>4</v>
      </c>
      <c r="C288" s="2">
        <v>12</v>
      </c>
      <c r="D288" s="6" t="s">
        <v>10</v>
      </c>
      <c r="E288" s="6" t="s">
        <v>10</v>
      </c>
      <c r="F288" s="6" t="s">
        <v>10</v>
      </c>
      <c r="G288" s="10">
        <v>110</v>
      </c>
      <c r="H288" s="8">
        <v>101.66666666666667</v>
      </c>
      <c r="I288" s="9">
        <v>106</v>
      </c>
      <c r="J288" s="12">
        <v>115</v>
      </c>
      <c r="K288" s="6">
        <v>110</v>
      </c>
      <c r="L288" s="6">
        <v>113</v>
      </c>
      <c r="M288" s="12">
        <v>140</v>
      </c>
      <c r="N288" s="6">
        <v>131.66666666666666</v>
      </c>
      <c r="O288" s="7">
        <v>136</v>
      </c>
      <c r="P288" s="10">
        <v>518.33333333333337</v>
      </c>
      <c r="Q288" s="8">
        <v>495</v>
      </c>
      <c r="R288" s="9">
        <v>507</v>
      </c>
      <c r="S288" s="8">
        <v>320</v>
      </c>
      <c r="T288" s="8">
        <v>300</v>
      </c>
      <c r="U288" s="9">
        <v>310</v>
      </c>
      <c r="V288" s="10" t="s">
        <v>10</v>
      </c>
      <c r="W288" s="8" t="s">
        <v>10</v>
      </c>
      <c r="X288" s="9" t="s">
        <v>10</v>
      </c>
      <c r="Y288" s="10" t="s">
        <v>10</v>
      </c>
      <c r="Z288" s="8" t="s">
        <v>10</v>
      </c>
      <c r="AA288" s="9" t="s">
        <v>10</v>
      </c>
      <c r="AB288" s="10" t="s">
        <v>10</v>
      </c>
      <c r="AC288" s="8" t="s">
        <v>10</v>
      </c>
      <c r="AD288" s="9" t="s">
        <v>10</v>
      </c>
    </row>
    <row r="289" spans="7:15" x14ac:dyDescent="0.35">
      <c r="G289" s="6"/>
      <c r="H289" s="6"/>
      <c r="I289" s="6"/>
      <c r="J289" s="6"/>
      <c r="M289" s="6"/>
      <c r="O289" s="6"/>
    </row>
    <row r="290" spans="7:15" x14ac:dyDescent="0.35">
      <c r="G290" s="6"/>
      <c r="H290" s="6"/>
      <c r="I290" s="6"/>
      <c r="J290" s="6"/>
      <c r="M290" s="6"/>
      <c r="O290" s="6"/>
    </row>
    <row r="291" spans="7:15" x14ac:dyDescent="0.35">
      <c r="G291" s="6"/>
      <c r="H291" s="6"/>
      <c r="I291" s="6"/>
      <c r="J291" s="6"/>
      <c r="M291" s="6"/>
      <c r="O291" s="6"/>
    </row>
    <row r="292" spans="7:15" x14ac:dyDescent="0.35">
      <c r="G292" s="6"/>
      <c r="H292" s="6"/>
      <c r="I292" s="6"/>
      <c r="J292" s="6"/>
      <c r="M292" s="6"/>
      <c r="O292" s="6"/>
    </row>
    <row r="293" spans="7:15" x14ac:dyDescent="0.35">
      <c r="G293" s="6"/>
      <c r="H293" s="6"/>
      <c r="I293" s="6"/>
      <c r="J293" s="6"/>
      <c r="M293" s="6"/>
      <c r="O293" s="6"/>
    </row>
    <row r="294" spans="7:15" x14ac:dyDescent="0.35">
      <c r="G294" s="6"/>
      <c r="H294" s="6"/>
      <c r="I294" s="6"/>
      <c r="J294" s="6"/>
      <c r="M294" s="6"/>
      <c r="O294" s="6"/>
    </row>
    <row r="295" spans="7:15" x14ac:dyDescent="0.35">
      <c r="G295" s="6"/>
      <c r="H295" s="6"/>
      <c r="I295" s="6"/>
      <c r="J295" s="6"/>
      <c r="M295" s="6"/>
      <c r="O295" s="6"/>
    </row>
    <row r="296" spans="7:15" x14ac:dyDescent="0.35">
      <c r="G296" s="6"/>
      <c r="H296" s="6"/>
      <c r="I296" s="6"/>
      <c r="J296" s="6"/>
      <c r="M296" s="6"/>
      <c r="O296" s="6"/>
    </row>
    <row r="297" spans="7:15" x14ac:dyDescent="0.35">
      <c r="G297" s="6"/>
      <c r="H297" s="6"/>
      <c r="I297" s="6"/>
      <c r="J297" s="6"/>
      <c r="M297" s="6"/>
      <c r="O297" s="6"/>
    </row>
    <row r="298" spans="7:15" x14ac:dyDescent="0.35">
      <c r="G298" s="6"/>
      <c r="H298" s="6"/>
      <c r="I298" s="6"/>
      <c r="J298" s="6"/>
      <c r="M298" s="6"/>
      <c r="O298" s="6"/>
    </row>
    <row r="299" spans="7:15" x14ac:dyDescent="0.35">
      <c r="G299" s="6"/>
      <c r="H299" s="6"/>
      <c r="I299" s="6"/>
      <c r="J299" s="6"/>
      <c r="M299" s="6"/>
      <c r="O299" s="6"/>
    </row>
    <row r="300" spans="7:15" x14ac:dyDescent="0.35">
      <c r="G300" s="6"/>
      <c r="H300" s="6"/>
      <c r="I300" s="6"/>
      <c r="J300" s="6"/>
      <c r="M300" s="6"/>
      <c r="O300" s="6"/>
    </row>
    <row r="301" spans="7:15" x14ac:dyDescent="0.35">
      <c r="G301" s="6"/>
      <c r="H301" s="6"/>
      <c r="I301" s="6"/>
      <c r="J301" s="6"/>
      <c r="M301" s="6"/>
      <c r="O301" s="6"/>
    </row>
    <row r="302" spans="7:15" x14ac:dyDescent="0.35">
      <c r="G302" s="6"/>
      <c r="H302" s="6"/>
      <c r="I302" s="6"/>
      <c r="J302" s="6"/>
      <c r="M302" s="6"/>
      <c r="O302" s="6"/>
    </row>
    <row r="303" spans="7:15" x14ac:dyDescent="0.35">
      <c r="G303" s="6"/>
      <c r="H303" s="6"/>
      <c r="I303" s="6"/>
      <c r="J303" s="6"/>
      <c r="M303" s="6"/>
      <c r="O303" s="6"/>
    </row>
    <row r="304" spans="7:15" x14ac:dyDescent="0.35">
      <c r="G304" s="6"/>
      <c r="H304" s="6"/>
      <c r="I304" s="6"/>
      <c r="J304" s="6"/>
      <c r="M304" s="6"/>
      <c r="O304" s="6"/>
    </row>
    <row r="305" spans="7:15" x14ac:dyDescent="0.35">
      <c r="G305" s="6"/>
      <c r="H305" s="6"/>
      <c r="I305" s="6"/>
      <c r="J305" s="6"/>
      <c r="M305" s="6"/>
      <c r="O305" s="6"/>
    </row>
    <row r="306" spans="7:15" x14ac:dyDescent="0.35">
      <c r="G306" s="6"/>
      <c r="H306" s="6"/>
      <c r="I306" s="6"/>
      <c r="J306" s="6"/>
      <c r="M306" s="6"/>
      <c r="O306" s="6"/>
    </row>
    <row r="307" spans="7:15" x14ac:dyDescent="0.35">
      <c r="G307" s="6"/>
      <c r="H307" s="6"/>
      <c r="I307" s="6"/>
      <c r="J307" s="6"/>
      <c r="M307" s="6"/>
      <c r="O307" s="6"/>
    </row>
    <row r="308" spans="7:15" x14ac:dyDescent="0.35">
      <c r="G308" s="6"/>
      <c r="H308" s="6"/>
      <c r="I308" s="6"/>
      <c r="J308" s="6"/>
      <c r="M308" s="6"/>
      <c r="O308" s="6"/>
    </row>
    <row r="309" spans="7:15" x14ac:dyDescent="0.35">
      <c r="G309" s="6"/>
      <c r="H309" s="6"/>
      <c r="I309" s="6"/>
      <c r="J309" s="6"/>
      <c r="M309" s="6"/>
      <c r="O309" s="6"/>
    </row>
    <row r="310" spans="7:15" x14ac:dyDescent="0.35">
      <c r="G310" s="6"/>
      <c r="H310" s="6"/>
      <c r="I310" s="6"/>
      <c r="J310" s="6"/>
      <c r="M310" s="6"/>
      <c r="O310" s="6"/>
    </row>
    <row r="311" spans="7:15" x14ac:dyDescent="0.35">
      <c r="G311" s="6"/>
      <c r="H311" s="6"/>
      <c r="I311" s="6"/>
      <c r="J311" s="6"/>
      <c r="M311" s="6"/>
      <c r="O311" s="6"/>
    </row>
    <row r="312" spans="7:15" x14ac:dyDescent="0.35">
      <c r="G312" s="6"/>
      <c r="H312" s="6"/>
      <c r="I312" s="6"/>
      <c r="J312" s="6"/>
      <c r="M312" s="6"/>
      <c r="O312" s="6"/>
    </row>
    <row r="313" spans="7:15" x14ac:dyDescent="0.35">
      <c r="G313" s="6"/>
      <c r="H313" s="6"/>
      <c r="I313" s="6"/>
      <c r="J313" s="6"/>
      <c r="M313" s="6"/>
      <c r="O313" s="6"/>
    </row>
    <row r="314" spans="7:15" x14ac:dyDescent="0.35">
      <c r="G314" s="6"/>
      <c r="H314" s="6"/>
      <c r="I314" s="6"/>
      <c r="J314" s="6"/>
      <c r="M314" s="6"/>
      <c r="O314" s="6"/>
    </row>
    <row r="315" spans="7:15" x14ac:dyDescent="0.35">
      <c r="G315" s="6"/>
      <c r="H315" s="6"/>
      <c r="I315" s="6"/>
      <c r="J315" s="6"/>
      <c r="M315" s="6"/>
      <c r="O315" s="6"/>
    </row>
    <row r="316" spans="7:15" x14ac:dyDescent="0.35">
      <c r="G316" s="6"/>
      <c r="H316" s="6"/>
      <c r="I316" s="6"/>
      <c r="J316" s="6"/>
      <c r="M316" s="6"/>
      <c r="O316" s="6"/>
    </row>
    <row r="317" spans="7:15" x14ac:dyDescent="0.35">
      <c r="G317" s="6"/>
      <c r="H317" s="6"/>
      <c r="I317" s="6"/>
      <c r="J317" s="6"/>
      <c r="M317" s="6"/>
      <c r="O317" s="6"/>
    </row>
    <row r="318" spans="7:15" x14ac:dyDescent="0.35">
      <c r="G318" s="6"/>
      <c r="H318" s="6"/>
      <c r="I318" s="6"/>
      <c r="J318" s="6"/>
      <c r="M318" s="6"/>
      <c r="O318" s="6"/>
    </row>
    <row r="319" spans="7:15" x14ac:dyDescent="0.35">
      <c r="G319" s="6"/>
      <c r="H319" s="6"/>
      <c r="I319" s="6"/>
      <c r="J319" s="6"/>
      <c r="M319" s="6"/>
      <c r="O319" s="6"/>
    </row>
    <row r="320" spans="7:15" x14ac:dyDescent="0.35">
      <c r="G320" s="6"/>
      <c r="H320" s="6"/>
      <c r="I320" s="6"/>
      <c r="J320" s="6"/>
      <c r="M320" s="6"/>
      <c r="O320" s="6"/>
    </row>
    <row r="321" spans="7:15" x14ac:dyDescent="0.35">
      <c r="G321" s="6"/>
      <c r="H321" s="6"/>
      <c r="I321" s="6"/>
      <c r="J321" s="6"/>
      <c r="M321" s="6"/>
      <c r="O321" s="6"/>
    </row>
    <row r="322" spans="7:15" x14ac:dyDescent="0.35">
      <c r="G322" s="6"/>
      <c r="H322" s="6"/>
      <c r="I322" s="6"/>
      <c r="J322" s="6"/>
      <c r="M322" s="6"/>
      <c r="O322" s="6"/>
    </row>
    <row r="323" spans="7:15" x14ac:dyDescent="0.35">
      <c r="G323" s="6"/>
      <c r="H323" s="6"/>
      <c r="I323" s="6"/>
      <c r="J323" s="6"/>
      <c r="M323" s="6"/>
      <c r="O323" s="6"/>
    </row>
    <row r="324" spans="7:15" x14ac:dyDescent="0.35">
      <c r="G324" s="6"/>
      <c r="H324" s="6"/>
      <c r="I324" s="6"/>
      <c r="J324" s="6"/>
      <c r="M324" s="6"/>
      <c r="O324" s="6"/>
    </row>
    <row r="325" spans="7:15" x14ac:dyDescent="0.35">
      <c r="G325" s="6"/>
      <c r="H325" s="6"/>
      <c r="I325" s="6"/>
      <c r="J325" s="6"/>
      <c r="M325" s="6"/>
      <c r="O325" s="6"/>
    </row>
    <row r="326" spans="7:15" x14ac:dyDescent="0.35">
      <c r="G326" s="6"/>
      <c r="H326" s="6"/>
      <c r="I326" s="6"/>
      <c r="J326" s="6"/>
      <c r="M326" s="6"/>
      <c r="O326" s="6"/>
    </row>
    <row r="327" spans="7:15" x14ac:dyDescent="0.35">
      <c r="G327" s="6"/>
      <c r="H327" s="6"/>
      <c r="I327" s="6"/>
      <c r="J327" s="6"/>
      <c r="M327" s="6"/>
      <c r="O327" s="6"/>
    </row>
    <row r="328" spans="7:15" x14ac:dyDescent="0.35">
      <c r="G328" s="6"/>
      <c r="H328" s="6"/>
      <c r="I328" s="6"/>
      <c r="J328" s="6"/>
      <c r="M328" s="6"/>
      <c r="O328" s="6"/>
    </row>
    <row r="329" spans="7:15" x14ac:dyDescent="0.35">
      <c r="G329" s="6"/>
      <c r="H329" s="6"/>
      <c r="I329" s="6"/>
      <c r="J329" s="6"/>
      <c r="M329" s="6"/>
      <c r="O329" s="6"/>
    </row>
    <row r="330" spans="7:15" x14ac:dyDescent="0.35">
      <c r="G330" s="6"/>
      <c r="H330" s="6"/>
      <c r="I330" s="6"/>
      <c r="J330" s="6"/>
      <c r="M330" s="6"/>
      <c r="O330" s="6"/>
    </row>
    <row r="331" spans="7:15" x14ac:dyDescent="0.35">
      <c r="G331" s="6"/>
      <c r="H331" s="6"/>
      <c r="I331" s="6"/>
      <c r="J331" s="6"/>
      <c r="M331" s="6"/>
      <c r="O331" s="6"/>
    </row>
    <row r="332" spans="7:15" x14ac:dyDescent="0.35">
      <c r="G332" s="6"/>
      <c r="H332" s="6"/>
      <c r="I332" s="6"/>
      <c r="J332" s="6"/>
      <c r="M332" s="6"/>
      <c r="O332" s="6"/>
    </row>
    <row r="333" spans="7:15" x14ac:dyDescent="0.35">
      <c r="G333" s="6"/>
      <c r="H333" s="6"/>
      <c r="I333" s="6"/>
      <c r="J333" s="6"/>
      <c r="M333" s="6"/>
      <c r="O333" s="6"/>
    </row>
    <row r="334" spans="7:15" x14ac:dyDescent="0.35">
      <c r="G334" s="6"/>
      <c r="H334" s="6"/>
      <c r="I334" s="6"/>
      <c r="J334" s="6"/>
      <c r="M334" s="6"/>
      <c r="O334" s="6"/>
    </row>
    <row r="335" spans="7:15" x14ac:dyDescent="0.35">
      <c r="G335" s="6"/>
      <c r="H335" s="6"/>
      <c r="I335" s="6"/>
      <c r="J335" s="6"/>
      <c r="M335" s="6"/>
      <c r="O335" s="6"/>
    </row>
    <row r="336" spans="7:15" x14ac:dyDescent="0.35">
      <c r="G336" s="6"/>
      <c r="H336" s="6"/>
      <c r="I336" s="6"/>
      <c r="J336" s="6"/>
      <c r="M336" s="6"/>
      <c r="O336" s="6"/>
    </row>
    <row r="337" spans="7:15" x14ac:dyDescent="0.35">
      <c r="G337" s="6"/>
      <c r="H337" s="6"/>
      <c r="I337" s="6"/>
      <c r="J337" s="6"/>
      <c r="M337" s="6"/>
      <c r="O337" s="6"/>
    </row>
    <row r="338" spans="7:15" x14ac:dyDescent="0.35">
      <c r="G338" s="6"/>
      <c r="H338" s="6"/>
      <c r="I338" s="6"/>
      <c r="J338" s="6"/>
      <c r="M338" s="6"/>
      <c r="O338" s="6"/>
    </row>
    <row r="339" spans="7:15" x14ac:dyDescent="0.35">
      <c r="G339" s="6"/>
      <c r="H339" s="6"/>
      <c r="I339" s="6"/>
      <c r="J339" s="6"/>
      <c r="M339" s="6"/>
      <c r="O339" s="6"/>
    </row>
    <row r="340" spans="7:15" x14ac:dyDescent="0.35">
      <c r="G340" s="6"/>
      <c r="H340" s="6"/>
      <c r="I340" s="6"/>
      <c r="J340" s="6"/>
      <c r="M340" s="6"/>
      <c r="O340" s="6"/>
    </row>
    <row r="341" spans="7:15" x14ac:dyDescent="0.35">
      <c r="G341" s="6"/>
      <c r="H341" s="6"/>
      <c r="I341" s="6"/>
      <c r="J341" s="6"/>
      <c r="M341" s="6"/>
      <c r="O341" s="6"/>
    </row>
    <row r="342" spans="7:15" x14ac:dyDescent="0.35">
      <c r="G342" s="6"/>
      <c r="H342" s="6"/>
      <c r="I342" s="6"/>
      <c r="J342" s="6"/>
      <c r="M342" s="6"/>
      <c r="O342" s="6"/>
    </row>
    <row r="343" spans="7:15" x14ac:dyDescent="0.35">
      <c r="G343" s="6"/>
      <c r="H343" s="6"/>
      <c r="I343" s="6"/>
      <c r="J343" s="6"/>
      <c r="M343" s="6"/>
      <c r="O343" s="6"/>
    </row>
    <row r="344" spans="7:15" x14ac:dyDescent="0.35">
      <c r="G344" s="6"/>
      <c r="H344" s="6"/>
      <c r="I344" s="6"/>
      <c r="J344" s="6"/>
      <c r="M344" s="6"/>
      <c r="O344" s="6"/>
    </row>
    <row r="345" spans="7:15" x14ac:dyDescent="0.35">
      <c r="G345" s="6"/>
      <c r="H345" s="6"/>
      <c r="I345" s="6"/>
      <c r="J345" s="6"/>
      <c r="M345" s="6"/>
      <c r="O345" s="6"/>
    </row>
    <row r="346" spans="7:15" x14ac:dyDescent="0.35">
      <c r="G346" s="6"/>
      <c r="H346" s="6"/>
      <c r="I346" s="6"/>
      <c r="J346" s="6"/>
      <c r="M346" s="6"/>
      <c r="O346" s="6"/>
    </row>
    <row r="347" spans="7:15" x14ac:dyDescent="0.35">
      <c r="G347" s="6"/>
      <c r="H347" s="6"/>
      <c r="I347" s="6"/>
      <c r="J347" s="6"/>
      <c r="M347" s="6"/>
      <c r="O347" s="6"/>
    </row>
    <row r="348" spans="7:15" x14ac:dyDescent="0.35">
      <c r="G348" s="6"/>
      <c r="H348" s="6"/>
      <c r="I348" s="6"/>
      <c r="J348" s="6"/>
      <c r="M348" s="6"/>
      <c r="O348" s="6"/>
    </row>
    <row r="349" spans="7:15" x14ac:dyDescent="0.35">
      <c r="G349" s="6"/>
      <c r="H349" s="6"/>
      <c r="I349" s="6"/>
      <c r="J349" s="6"/>
      <c r="M349" s="6"/>
      <c r="O349" s="6"/>
    </row>
    <row r="350" spans="7:15" x14ac:dyDescent="0.35">
      <c r="G350" s="6"/>
      <c r="H350" s="6"/>
      <c r="I350" s="6"/>
      <c r="J350" s="6"/>
      <c r="M350" s="6"/>
      <c r="O350" s="6"/>
    </row>
    <row r="351" spans="7:15" x14ac:dyDescent="0.35">
      <c r="G351" s="6"/>
      <c r="H351" s="6"/>
      <c r="I351" s="6"/>
      <c r="J351" s="6"/>
      <c r="M351" s="6"/>
      <c r="O351" s="6"/>
    </row>
    <row r="352" spans="7:15" x14ac:dyDescent="0.35">
      <c r="G352" s="6"/>
      <c r="H352" s="6"/>
      <c r="I352" s="6"/>
      <c r="J352" s="6"/>
      <c r="M352" s="6"/>
      <c r="O352" s="6"/>
    </row>
    <row r="353" spans="7:15" x14ac:dyDescent="0.35">
      <c r="G353" s="6"/>
      <c r="H353" s="6"/>
      <c r="I353" s="6"/>
      <c r="J353" s="6"/>
      <c r="M353" s="6"/>
      <c r="O353" s="6"/>
    </row>
    <row r="354" spans="7:15" x14ac:dyDescent="0.35">
      <c r="G354" s="6"/>
      <c r="H354" s="6"/>
      <c r="I354" s="6"/>
      <c r="J354" s="6"/>
      <c r="M354" s="6"/>
      <c r="O354" s="6"/>
    </row>
    <row r="355" spans="7:15" x14ac:dyDescent="0.35">
      <c r="G355" s="6"/>
      <c r="H355" s="6"/>
      <c r="I355" s="6"/>
      <c r="J355" s="6"/>
      <c r="M355" s="6"/>
      <c r="O355" s="6"/>
    </row>
    <row r="356" spans="7:15" x14ac:dyDescent="0.35">
      <c r="G356" s="6"/>
      <c r="H356" s="6"/>
      <c r="I356" s="6"/>
      <c r="J356" s="6"/>
      <c r="M356" s="6"/>
      <c r="O356" s="6"/>
    </row>
    <row r="357" spans="7:15" x14ac:dyDescent="0.35">
      <c r="G357" s="6"/>
      <c r="H357" s="6"/>
      <c r="I357" s="6"/>
      <c r="J357" s="6"/>
      <c r="M357" s="6"/>
      <c r="O357" s="6"/>
    </row>
    <row r="358" spans="7:15" x14ac:dyDescent="0.35">
      <c r="G358" s="6"/>
      <c r="H358" s="6"/>
      <c r="I358" s="6"/>
      <c r="J358" s="6"/>
      <c r="M358" s="6"/>
      <c r="O358" s="6"/>
    </row>
    <row r="359" spans="7:15" x14ac:dyDescent="0.35">
      <c r="G359" s="6"/>
      <c r="H359" s="6"/>
      <c r="I359" s="6"/>
      <c r="J359" s="6"/>
      <c r="M359" s="6"/>
      <c r="O359" s="6"/>
    </row>
    <row r="360" spans="7:15" x14ac:dyDescent="0.35">
      <c r="G360" s="6"/>
      <c r="H360" s="6"/>
      <c r="I360" s="6"/>
      <c r="J360" s="6"/>
      <c r="M360" s="6"/>
      <c r="O360" s="6"/>
    </row>
    <row r="361" spans="7:15" x14ac:dyDescent="0.35">
      <c r="G361" s="6"/>
      <c r="H361" s="6"/>
      <c r="I361" s="6"/>
      <c r="J361" s="6"/>
      <c r="M361" s="6"/>
      <c r="O361" s="6"/>
    </row>
    <row r="362" spans="7:15" x14ac:dyDescent="0.35">
      <c r="G362" s="6"/>
      <c r="H362" s="6"/>
      <c r="I362" s="6"/>
      <c r="J362" s="6"/>
      <c r="M362" s="6"/>
      <c r="O362" s="6"/>
    </row>
    <row r="363" spans="7:15" x14ac:dyDescent="0.35">
      <c r="G363" s="6"/>
      <c r="H363" s="6"/>
      <c r="I363" s="6"/>
      <c r="J363" s="6"/>
      <c r="M363" s="6"/>
      <c r="O363" s="6"/>
    </row>
    <row r="364" spans="7:15" x14ac:dyDescent="0.35">
      <c r="G364" s="6"/>
      <c r="H364" s="6"/>
      <c r="I364" s="6"/>
      <c r="J364" s="6"/>
      <c r="M364" s="6"/>
      <c r="O364" s="6"/>
    </row>
    <row r="365" spans="7:15" x14ac:dyDescent="0.35">
      <c r="G365" s="6"/>
      <c r="H365" s="6"/>
      <c r="I365" s="6"/>
      <c r="J365" s="6"/>
      <c r="M365" s="6"/>
      <c r="O365" s="6"/>
    </row>
    <row r="366" spans="7:15" x14ac:dyDescent="0.35">
      <c r="G366" s="6"/>
      <c r="H366" s="6"/>
      <c r="I366" s="6"/>
      <c r="J366" s="6"/>
      <c r="M366" s="6"/>
      <c r="O366" s="6"/>
    </row>
    <row r="367" spans="7:15" x14ac:dyDescent="0.35">
      <c r="G367" s="6"/>
      <c r="H367" s="6"/>
      <c r="I367" s="6"/>
      <c r="J367" s="6"/>
      <c r="M367" s="6"/>
      <c r="O367" s="6"/>
    </row>
    <row r="368" spans="7:15" x14ac:dyDescent="0.35">
      <c r="G368" s="6"/>
      <c r="H368" s="6"/>
      <c r="I368" s="6"/>
      <c r="J368" s="6"/>
      <c r="M368" s="6"/>
      <c r="O368" s="6"/>
    </row>
    <row r="369" spans="7:15" x14ac:dyDescent="0.35">
      <c r="G369" s="6"/>
      <c r="H369" s="6"/>
      <c r="I369" s="6"/>
      <c r="J369" s="6"/>
      <c r="M369" s="6"/>
      <c r="O369" s="6"/>
    </row>
    <row r="370" spans="7:15" x14ac:dyDescent="0.35">
      <c r="G370" s="6"/>
      <c r="H370" s="6"/>
      <c r="I370" s="6"/>
      <c r="J370" s="6"/>
      <c r="M370" s="6"/>
      <c r="O370" s="6"/>
    </row>
    <row r="371" spans="7:15" x14ac:dyDescent="0.35">
      <c r="G371" s="6"/>
      <c r="H371" s="6"/>
      <c r="I371" s="6"/>
      <c r="J371" s="6"/>
      <c r="M371" s="6"/>
      <c r="O371" s="6"/>
    </row>
    <row r="372" spans="7:15" x14ac:dyDescent="0.35">
      <c r="G372" s="6"/>
      <c r="H372" s="6"/>
      <c r="I372" s="6"/>
      <c r="J372" s="6"/>
      <c r="M372" s="6"/>
      <c r="O372" s="6"/>
    </row>
    <row r="373" spans="7:15" x14ac:dyDescent="0.35">
      <c r="G373" s="6"/>
      <c r="H373" s="6"/>
      <c r="I373" s="6"/>
      <c r="J373" s="6"/>
      <c r="M373" s="6"/>
      <c r="O373" s="6"/>
    </row>
    <row r="374" spans="7:15" x14ac:dyDescent="0.35">
      <c r="G374" s="6"/>
      <c r="H374" s="6"/>
      <c r="I374" s="6"/>
      <c r="J374" s="6"/>
      <c r="M374" s="6"/>
      <c r="O374" s="6"/>
    </row>
    <row r="375" spans="7:15" x14ac:dyDescent="0.35">
      <c r="G375" s="6"/>
      <c r="H375" s="6"/>
      <c r="I375" s="6"/>
      <c r="J375" s="6"/>
      <c r="M375" s="6"/>
      <c r="O375" s="6"/>
    </row>
    <row r="376" spans="7:15" x14ac:dyDescent="0.35">
      <c r="G376" s="6"/>
      <c r="H376" s="6"/>
      <c r="I376" s="6"/>
      <c r="J376" s="6"/>
      <c r="M376" s="6"/>
      <c r="O376" s="6"/>
    </row>
    <row r="377" spans="7:15" x14ac:dyDescent="0.35">
      <c r="G377" s="6"/>
      <c r="H377" s="6"/>
      <c r="I377" s="6"/>
      <c r="J377" s="6"/>
      <c r="M377" s="6"/>
      <c r="O377" s="6"/>
    </row>
    <row r="378" spans="7:15" x14ac:dyDescent="0.35">
      <c r="G378" s="6"/>
      <c r="H378" s="6"/>
      <c r="I378" s="6"/>
      <c r="J378" s="6"/>
      <c r="M378" s="6"/>
      <c r="O378" s="6"/>
    </row>
    <row r="379" spans="7:15" x14ac:dyDescent="0.35">
      <c r="G379" s="6"/>
      <c r="H379" s="6"/>
      <c r="I379" s="6"/>
      <c r="J379" s="6"/>
      <c r="M379" s="6"/>
      <c r="O379" s="6"/>
    </row>
    <row r="380" spans="7:15" x14ac:dyDescent="0.35">
      <c r="G380" s="6"/>
      <c r="H380" s="6"/>
      <c r="I380" s="6"/>
      <c r="J380" s="6"/>
      <c r="M380" s="6"/>
      <c r="O380" s="6"/>
    </row>
    <row r="381" spans="7:15" x14ac:dyDescent="0.35">
      <c r="G381" s="6"/>
      <c r="H381" s="6"/>
      <c r="I381" s="6"/>
      <c r="J381" s="6"/>
      <c r="M381" s="6"/>
      <c r="O381" s="6"/>
    </row>
    <row r="382" spans="7:15" x14ac:dyDescent="0.35">
      <c r="G382" s="6"/>
      <c r="H382" s="6"/>
      <c r="I382" s="6"/>
      <c r="J382" s="6"/>
      <c r="M382" s="6"/>
      <c r="O382" s="6"/>
    </row>
    <row r="383" spans="7:15" x14ac:dyDescent="0.35">
      <c r="G383" s="6"/>
      <c r="H383" s="6"/>
      <c r="I383" s="6"/>
      <c r="J383" s="6"/>
      <c r="M383" s="6"/>
      <c r="O383" s="6"/>
    </row>
    <row r="384" spans="7:15" x14ac:dyDescent="0.35">
      <c r="G384" s="6"/>
      <c r="H384" s="6"/>
      <c r="I384" s="6"/>
      <c r="J384" s="6"/>
      <c r="M384" s="6"/>
      <c r="O384" s="6"/>
    </row>
    <row r="385" spans="7:15" x14ac:dyDescent="0.35">
      <c r="G385" s="6"/>
      <c r="H385" s="6"/>
      <c r="I385" s="6"/>
      <c r="J385" s="6"/>
      <c r="M385" s="6"/>
      <c r="O385" s="6"/>
    </row>
    <row r="386" spans="7:15" x14ac:dyDescent="0.35">
      <c r="G386" s="6"/>
      <c r="H386" s="6"/>
      <c r="I386" s="6"/>
      <c r="J386" s="6"/>
      <c r="M386" s="6"/>
      <c r="O386" s="6"/>
    </row>
    <row r="387" spans="7:15" x14ac:dyDescent="0.35">
      <c r="G387" s="6"/>
      <c r="H387" s="6"/>
      <c r="I387" s="6"/>
      <c r="J387" s="6"/>
      <c r="M387" s="6"/>
      <c r="O387" s="6"/>
    </row>
    <row r="388" spans="7:15" x14ac:dyDescent="0.35">
      <c r="G388" s="6"/>
      <c r="H388" s="6"/>
      <c r="I388" s="6"/>
      <c r="J388" s="6"/>
      <c r="M388" s="6"/>
      <c r="O388" s="6"/>
    </row>
    <row r="389" spans="7:15" x14ac:dyDescent="0.35">
      <c r="G389" s="6"/>
      <c r="H389" s="6"/>
      <c r="I389" s="6"/>
      <c r="J389" s="6"/>
      <c r="M389" s="6"/>
      <c r="O389" s="6"/>
    </row>
    <row r="390" spans="7:15" x14ac:dyDescent="0.35">
      <c r="G390" s="6"/>
      <c r="H390" s="6"/>
      <c r="I390" s="6"/>
      <c r="J390" s="6"/>
      <c r="M390" s="6"/>
      <c r="O390" s="6"/>
    </row>
    <row r="391" spans="7:15" x14ac:dyDescent="0.35">
      <c r="G391" s="6"/>
      <c r="H391" s="6"/>
      <c r="I391" s="6"/>
      <c r="J391" s="6"/>
      <c r="M391" s="6"/>
      <c r="O391" s="6"/>
    </row>
    <row r="392" spans="7:15" x14ac:dyDescent="0.35">
      <c r="G392" s="6"/>
      <c r="H392" s="6"/>
      <c r="I392" s="6"/>
      <c r="J392" s="6"/>
      <c r="M392" s="6"/>
      <c r="O392" s="6"/>
    </row>
    <row r="393" spans="7:15" x14ac:dyDescent="0.35">
      <c r="G393" s="6"/>
      <c r="H393" s="6"/>
      <c r="I393" s="6"/>
      <c r="J393" s="6"/>
      <c r="M393" s="6"/>
      <c r="O393" s="6"/>
    </row>
    <row r="394" spans="7:15" x14ac:dyDescent="0.35">
      <c r="G394" s="6"/>
      <c r="H394" s="6"/>
      <c r="I394" s="6"/>
      <c r="J394" s="6"/>
      <c r="M394" s="6"/>
      <c r="O394" s="6"/>
    </row>
    <row r="395" spans="7:15" x14ac:dyDescent="0.35">
      <c r="G395" s="6"/>
      <c r="H395" s="6"/>
      <c r="I395" s="6"/>
      <c r="J395" s="6"/>
      <c r="M395" s="6"/>
      <c r="O395" s="6"/>
    </row>
    <row r="396" spans="7:15" x14ac:dyDescent="0.35">
      <c r="G396" s="6"/>
      <c r="H396" s="6"/>
      <c r="I396" s="6"/>
      <c r="J396" s="6"/>
      <c r="M396" s="6"/>
      <c r="O396" s="6"/>
    </row>
    <row r="397" spans="7:15" x14ac:dyDescent="0.35">
      <c r="G397" s="6"/>
      <c r="H397" s="6"/>
      <c r="I397" s="6"/>
      <c r="J397" s="6"/>
      <c r="M397" s="6"/>
      <c r="O397" s="6"/>
    </row>
    <row r="398" spans="7:15" x14ac:dyDescent="0.35">
      <c r="G398" s="6"/>
      <c r="H398" s="6"/>
      <c r="I398" s="6"/>
      <c r="J398" s="6"/>
      <c r="M398" s="6"/>
      <c r="O398" s="6"/>
    </row>
    <row r="399" spans="7:15" x14ac:dyDescent="0.35">
      <c r="G399" s="6"/>
      <c r="H399" s="6"/>
      <c r="I399" s="6"/>
      <c r="J399" s="6"/>
      <c r="M399" s="6"/>
      <c r="O399" s="6"/>
    </row>
    <row r="400" spans="7:15" x14ac:dyDescent="0.35">
      <c r="G400" s="6"/>
      <c r="H400" s="6"/>
      <c r="I400" s="6"/>
      <c r="J400" s="6"/>
      <c r="M400" s="6"/>
      <c r="O400" s="6"/>
    </row>
    <row r="401" spans="7:15" x14ac:dyDescent="0.35">
      <c r="G401" s="6"/>
      <c r="H401" s="6"/>
      <c r="I401" s="6"/>
      <c r="J401" s="6"/>
      <c r="M401" s="6"/>
      <c r="O401" s="6"/>
    </row>
    <row r="402" spans="7:15" x14ac:dyDescent="0.35">
      <c r="G402" s="6"/>
      <c r="H402" s="6"/>
      <c r="I402" s="6"/>
      <c r="J402" s="6"/>
      <c r="M402" s="6"/>
      <c r="O402" s="6"/>
    </row>
    <row r="403" spans="7:15" x14ac:dyDescent="0.35">
      <c r="G403" s="6"/>
      <c r="H403" s="6"/>
      <c r="I403" s="6"/>
      <c r="J403" s="6"/>
      <c r="M403" s="6"/>
      <c r="O403" s="6"/>
    </row>
    <row r="404" spans="7:15" x14ac:dyDescent="0.35">
      <c r="G404" s="6"/>
      <c r="H404" s="6"/>
      <c r="I404" s="6"/>
      <c r="J404" s="6"/>
      <c r="M404" s="6"/>
      <c r="O404" s="6"/>
    </row>
    <row r="405" spans="7:15" x14ac:dyDescent="0.35">
      <c r="G405" s="6"/>
      <c r="H405" s="6"/>
      <c r="I405" s="6"/>
      <c r="J405" s="6"/>
      <c r="M405" s="6"/>
      <c r="O405" s="6"/>
    </row>
    <row r="406" spans="7:15" x14ac:dyDescent="0.35">
      <c r="G406" s="6"/>
      <c r="H406" s="6"/>
      <c r="I406" s="6"/>
      <c r="J406" s="6"/>
      <c r="M406" s="6"/>
      <c r="O406" s="6"/>
    </row>
    <row r="407" spans="7:15" x14ac:dyDescent="0.35">
      <c r="G407" s="6"/>
      <c r="H407" s="6"/>
      <c r="I407" s="6"/>
      <c r="J407" s="6"/>
      <c r="M407" s="6"/>
      <c r="O407" s="6"/>
    </row>
    <row r="408" spans="7:15" x14ac:dyDescent="0.35">
      <c r="G408" s="6"/>
      <c r="H408" s="6"/>
      <c r="I408" s="6"/>
      <c r="J408" s="6"/>
      <c r="M408" s="6"/>
      <c r="O408" s="6"/>
    </row>
    <row r="409" spans="7:15" x14ac:dyDescent="0.35">
      <c r="G409" s="6"/>
      <c r="H409" s="6"/>
      <c r="I409" s="6"/>
      <c r="J409" s="6"/>
      <c r="M409" s="6"/>
      <c r="O409" s="6"/>
    </row>
    <row r="410" spans="7:15" x14ac:dyDescent="0.35">
      <c r="G410" s="6"/>
      <c r="H410" s="6"/>
      <c r="I410" s="6"/>
      <c r="J410" s="6"/>
      <c r="M410" s="6"/>
      <c r="O410" s="6"/>
    </row>
    <row r="411" spans="7:15" x14ac:dyDescent="0.35">
      <c r="G411" s="6"/>
      <c r="H411" s="6"/>
      <c r="I411" s="6"/>
      <c r="J411" s="6"/>
      <c r="M411" s="6"/>
      <c r="O411" s="6"/>
    </row>
    <row r="412" spans="7:15" x14ac:dyDescent="0.35">
      <c r="G412" s="6"/>
      <c r="H412" s="6"/>
      <c r="I412" s="6"/>
      <c r="J412" s="6"/>
      <c r="M412" s="6"/>
      <c r="O412" s="6"/>
    </row>
    <row r="413" spans="7:15" x14ac:dyDescent="0.35">
      <c r="G413" s="6"/>
      <c r="H413" s="6"/>
      <c r="I413" s="6"/>
      <c r="J413" s="6"/>
      <c r="M413" s="6"/>
      <c r="O413" s="6"/>
    </row>
    <row r="414" spans="7:15" x14ac:dyDescent="0.35">
      <c r="G414" s="6"/>
      <c r="H414" s="6"/>
      <c r="I414" s="6"/>
      <c r="J414" s="6"/>
      <c r="M414" s="6"/>
      <c r="O414" s="6"/>
    </row>
    <row r="415" spans="7:15" x14ac:dyDescent="0.35">
      <c r="G415" s="6"/>
      <c r="H415" s="6"/>
      <c r="I415" s="6"/>
      <c r="J415" s="6"/>
      <c r="M415" s="6"/>
      <c r="O415" s="6"/>
    </row>
    <row r="416" spans="7:15" x14ac:dyDescent="0.35">
      <c r="G416" s="6"/>
      <c r="H416" s="6"/>
      <c r="I416" s="6"/>
      <c r="J416" s="6"/>
      <c r="M416" s="6"/>
      <c r="O416" s="6"/>
    </row>
    <row r="417" spans="7:15" x14ac:dyDescent="0.35">
      <c r="G417" s="6"/>
      <c r="H417" s="6"/>
      <c r="I417" s="6"/>
      <c r="J417" s="6"/>
      <c r="M417" s="6"/>
      <c r="O417" s="6"/>
    </row>
    <row r="418" spans="7:15" x14ac:dyDescent="0.35">
      <c r="G418" s="6"/>
      <c r="H418" s="6"/>
      <c r="I418" s="6"/>
      <c r="J418" s="6"/>
      <c r="M418" s="6"/>
      <c r="O418" s="6"/>
    </row>
    <row r="419" spans="7:15" x14ac:dyDescent="0.35">
      <c r="G419" s="6"/>
      <c r="H419" s="6"/>
      <c r="I419" s="6"/>
      <c r="J419" s="6"/>
      <c r="M419" s="6"/>
      <c r="O419" s="6"/>
    </row>
    <row r="420" spans="7:15" x14ac:dyDescent="0.35">
      <c r="G420" s="6"/>
      <c r="H420" s="6"/>
      <c r="I420" s="6"/>
      <c r="J420" s="6"/>
      <c r="M420" s="6"/>
      <c r="O420" s="6"/>
    </row>
    <row r="421" spans="7:15" x14ac:dyDescent="0.35">
      <c r="G421" s="6"/>
      <c r="H421" s="6"/>
      <c r="I421" s="6"/>
      <c r="J421" s="6"/>
      <c r="M421" s="6"/>
      <c r="O421" s="6"/>
    </row>
    <row r="422" spans="7:15" x14ac:dyDescent="0.35">
      <c r="G422" s="6"/>
      <c r="H422" s="6"/>
      <c r="I422" s="6"/>
      <c r="J422" s="6"/>
      <c r="M422" s="6"/>
      <c r="O422" s="6"/>
    </row>
    <row r="423" spans="7:15" x14ac:dyDescent="0.35">
      <c r="G423" s="6"/>
      <c r="H423" s="6"/>
      <c r="I423" s="6"/>
      <c r="J423" s="6"/>
      <c r="M423" s="6"/>
      <c r="O423" s="6"/>
    </row>
    <row r="424" spans="7:15" x14ac:dyDescent="0.35">
      <c r="G424" s="6"/>
      <c r="H424" s="6"/>
      <c r="I424" s="6"/>
      <c r="J424" s="6"/>
      <c r="M424" s="6"/>
      <c r="O424" s="6"/>
    </row>
    <row r="425" spans="7:15" x14ac:dyDescent="0.35">
      <c r="G425" s="6"/>
      <c r="H425" s="6"/>
      <c r="I425" s="6"/>
      <c r="J425" s="6"/>
      <c r="M425" s="6"/>
      <c r="O425" s="6"/>
    </row>
    <row r="426" spans="7:15" x14ac:dyDescent="0.35">
      <c r="G426" s="6"/>
      <c r="H426" s="6"/>
      <c r="I426" s="6"/>
      <c r="J426" s="6"/>
      <c r="M426" s="6"/>
      <c r="O426" s="6"/>
    </row>
    <row r="427" spans="7:15" x14ac:dyDescent="0.35">
      <c r="G427" s="6"/>
      <c r="H427" s="6"/>
      <c r="I427" s="6"/>
      <c r="J427" s="6"/>
      <c r="M427" s="6"/>
      <c r="O427" s="6"/>
    </row>
    <row r="428" spans="7:15" x14ac:dyDescent="0.35">
      <c r="G428" s="6"/>
      <c r="H428" s="6"/>
      <c r="I428" s="6"/>
      <c r="J428" s="6"/>
      <c r="M428" s="6"/>
      <c r="O428" s="6"/>
    </row>
    <row r="429" spans="7:15" x14ac:dyDescent="0.35">
      <c r="G429" s="6"/>
      <c r="H429" s="6"/>
      <c r="I429" s="6"/>
      <c r="J429" s="6"/>
      <c r="M429" s="6"/>
      <c r="O429" s="6"/>
    </row>
    <row r="430" spans="7:15" x14ac:dyDescent="0.35">
      <c r="G430" s="6"/>
      <c r="H430" s="6"/>
      <c r="I430" s="6"/>
      <c r="J430" s="6"/>
      <c r="M430" s="6"/>
      <c r="O430" s="6"/>
    </row>
    <row r="431" spans="7:15" x14ac:dyDescent="0.35">
      <c r="G431" s="6"/>
      <c r="H431" s="6"/>
      <c r="I431" s="6"/>
      <c r="J431" s="6"/>
      <c r="M431" s="6"/>
      <c r="O431" s="6"/>
    </row>
    <row r="432" spans="7:15" x14ac:dyDescent="0.35">
      <c r="G432" s="6"/>
      <c r="H432" s="6"/>
      <c r="I432" s="6"/>
      <c r="J432" s="6"/>
      <c r="M432" s="6"/>
      <c r="O432" s="6"/>
    </row>
    <row r="433" spans="7:15" x14ac:dyDescent="0.35">
      <c r="G433" s="6"/>
      <c r="H433" s="6"/>
      <c r="I433" s="6"/>
      <c r="J433" s="6"/>
      <c r="M433" s="6"/>
      <c r="O433" s="6"/>
    </row>
    <row r="434" spans="7:15" x14ac:dyDescent="0.35">
      <c r="G434" s="6"/>
      <c r="H434" s="6"/>
      <c r="I434" s="6"/>
      <c r="J434" s="6"/>
      <c r="M434" s="6"/>
      <c r="O434" s="6"/>
    </row>
    <row r="435" spans="7:15" x14ac:dyDescent="0.35">
      <c r="G435" s="6"/>
      <c r="H435" s="6"/>
      <c r="I435" s="6"/>
      <c r="J435" s="6"/>
      <c r="M435" s="6"/>
      <c r="O435" s="6"/>
    </row>
    <row r="436" spans="7:15" x14ac:dyDescent="0.35">
      <c r="G436" s="6"/>
      <c r="H436" s="6"/>
      <c r="I436" s="6"/>
      <c r="J436" s="6"/>
      <c r="M436" s="6"/>
      <c r="O436" s="6"/>
    </row>
    <row r="437" spans="7:15" x14ac:dyDescent="0.35">
      <c r="G437" s="6"/>
      <c r="H437" s="6"/>
      <c r="I437" s="6"/>
      <c r="J437" s="6"/>
      <c r="M437" s="6"/>
      <c r="O437" s="6"/>
    </row>
    <row r="438" spans="7:15" x14ac:dyDescent="0.35">
      <c r="G438" s="6"/>
      <c r="H438" s="6"/>
      <c r="I438" s="6"/>
      <c r="J438" s="6"/>
      <c r="M438" s="6"/>
      <c r="O438" s="6"/>
    </row>
    <row r="439" spans="7:15" x14ac:dyDescent="0.35">
      <c r="G439" s="6"/>
      <c r="H439" s="6"/>
      <c r="I439" s="6"/>
      <c r="J439" s="6"/>
      <c r="M439" s="6"/>
      <c r="O439" s="6"/>
    </row>
    <row r="440" spans="7:15" x14ac:dyDescent="0.35">
      <c r="G440" s="6"/>
      <c r="H440" s="6"/>
      <c r="I440" s="6"/>
      <c r="J440" s="6"/>
      <c r="M440" s="6"/>
      <c r="O440" s="6"/>
    </row>
    <row r="441" spans="7:15" x14ac:dyDescent="0.35">
      <c r="G441" s="6"/>
      <c r="H441" s="6"/>
      <c r="I441" s="6"/>
      <c r="J441" s="6"/>
      <c r="M441" s="6"/>
      <c r="O441" s="6"/>
    </row>
    <row r="442" spans="7:15" x14ac:dyDescent="0.35">
      <c r="G442" s="6"/>
      <c r="H442" s="6"/>
      <c r="I442" s="6"/>
      <c r="J442" s="6"/>
      <c r="M442" s="6"/>
      <c r="O442" s="6"/>
    </row>
    <row r="443" spans="7:15" x14ac:dyDescent="0.35">
      <c r="G443" s="6"/>
      <c r="H443" s="6"/>
      <c r="I443" s="6"/>
      <c r="J443" s="6"/>
      <c r="M443" s="6"/>
      <c r="O443" s="6"/>
    </row>
    <row r="444" spans="7:15" x14ac:dyDescent="0.35">
      <c r="G444" s="6"/>
      <c r="H444" s="6"/>
      <c r="I444" s="6"/>
      <c r="J444" s="6"/>
      <c r="M444" s="6"/>
      <c r="O444" s="6"/>
    </row>
    <row r="445" spans="7:15" x14ac:dyDescent="0.35">
      <c r="G445" s="6"/>
      <c r="H445" s="6"/>
      <c r="I445" s="6"/>
      <c r="J445" s="6"/>
      <c r="M445" s="6"/>
      <c r="O445" s="6"/>
    </row>
    <row r="446" spans="7:15" x14ac:dyDescent="0.35">
      <c r="G446" s="6"/>
      <c r="H446" s="6"/>
      <c r="I446" s="6"/>
      <c r="J446" s="6"/>
      <c r="M446" s="6"/>
      <c r="O446" s="6"/>
    </row>
    <row r="447" spans="7:15" x14ac:dyDescent="0.35">
      <c r="G447" s="6"/>
      <c r="H447" s="6"/>
      <c r="I447" s="6"/>
      <c r="J447" s="6"/>
      <c r="M447" s="6"/>
      <c r="O447" s="6"/>
    </row>
    <row r="448" spans="7:15" x14ac:dyDescent="0.35">
      <c r="G448" s="6"/>
      <c r="H448" s="6"/>
      <c r="I448" s="6"/>
      <c r="J448" s="6"/>
      <c r="M448" s="6"/>
      <c r="O448" s="6"/>
    </row>
    <row r="449" spans="7:15" x14ac:dyDescent="0.35">
      <c r="G449" s="6"/>
      <c r="H449" s="6"/>
      <c r="I449" s="6"/>
      <c r="J449" s="6"/>
      <c r="M449" s="6"/>
      <c r="O449" s="6"/>
    </row>
    <row r="450" spans="7:15" x14ac:dyDescent="0.35">
      <c r="G450" s="6"/>
      <c r="H450" s="6"/>
      <c r="I450" s="6"/>
      <c r="J450" s="6"/>
      <c r="M450" s="6"/>
      <c r="O450" s="6"/>
    </row>
    <row r="451" spans="7:15" x14ac:dyDescent="0.35">
      <c r="G451" s="6"/>
      <c r="H451" s="6"/>
      <c r="I451" s="6"/>
      <c r="J451" s="6"/>
      <c r="M451" s="6"/>
      <c r="O451" s="6"/>
    </row>
    <row r="452" spans="7:15" x14ac:dyDescent="0.35">
      <c r="G452" s="6"/>
      <c r="H452" s="6"/>
      <c r="I452" s="6"/>
      <c r="J452" s="6"/>
      <c r="M452" s="6"/>
      <c r="O452" s="6"/>
    </row>
    <row r="453" spans="7:15" x14ac:dyDescent="0.35">
      <c r="G453" s="6"/>
      <c r="H453" s="6"/>
      <c r="I453" s="6"/>
      <c r="J453" s="6"/>
      <c r="M453" s="6"/>
      <c r="O453" s="6"/>
    </row>
    <row r="454" spans="7:15" x14ac:dyDescent="0.35">
      <c r="G454" s="6"/>
      <c r="H454" s="6"/>
      <c r="I454" s="6"/>
      <c r="J454" s="6"/>
      <c r="M454" s="6"/>
      <c r="O454" s="6"/>
    </row>
    <row r="455" spans="7:15" x14ac:dyDescent="0.35">
      <c r="G455" s="6"/>
      <c r="H455" s="6"/>
      <c r="I455" s="6"/>
      <c r="J455" s="6"/>
      <c r="M455" s="6"/>
      <c r="O455" s="6"/>
    </row>
    <row r="456" spans="7:15" x14ac:dyDescent="0.35">
      <c r="G456" s="6"/>
      <c r="H456" s="6"/>
      <c r="I456" s="6"/>
      <c r="J456" s="6"/>
      <c r="M456" s="6"/>
      <c r="O456" s="6"/>
    </row>
    <row r="457" spans="7:15" x14ac:dyDescent="0.35">
      <c r="G457" s="6"/>
      <c r="H457" s="6"/>
      <c r="I457" s="6"/>
      <c r="J457" s="6"/>
      <c r="M457" s="6"/>
      <c r="O457" s="6"/>
    </row>
    <row r="458" spans="7:15" x14ac:dyDescent="0.35">
      <c r="G458" s="6"/>
      <c r="H458" s="6"/>
      <c r="I458" s="6"/>
      <c r="J458" s="6"/>
      <c r="M458" s="6"/>
      <c r="O458" s="6"/>
    </row>
    <row r="459" spans="7:15" x14ac:dyDescent="0.35">
      <c r="G459" s="6"/>
      <c r="H459" s="6"/>
      <c r="I459" s="6"/>
      <c r="J459" s="6"/>
      <c r="M459" s="6"/>
      <c r="O459" s="6"/>
    </row>
    <row r="460" spans="7:15" x14ac:dyDescent="0.35">
      <c r="G460" s="6"/>
      <c r="H460" s="6"/>
      <c r="I460" s="6"/>
      <c r="J460" s="6"/>
      <c r="M460" s="6"/>
      <c r="O460" s="6"/>
    </row>
    <row r="461" spans="7:15" x14ac:dyDescent="0.35">
      <c r="G461" s="6"/>
      <c r="H461" s="6"/>
      <c r="I461" s="6"/>
      <c r="J461" s="6"/>
      <c r="M461" s="6"/>
      <c r="O461" s="6"/>
    </row>
    <row r="462" spans="7:15" x14ac:dyDescent="0.35">
      <c r="G462" s="6"/>
      <c r="H462" s="6"/>
      <c r="I462" s="6"/>
      <c r="J462" s="6"/>
      <c r="M462" s="6"/>
      <c r="O462" s="6"/>
    </row>
    <row r="463" spans="7:15" x14ac:dyDescent="0.35">
      <c r="G463" s="6"/>
      <c r="H463" s="6"/>
      <c r="I463" s="6"/>
      <c r="J463" s="6"/>
      <c r="M463" s="6"/>
      <c r="O463" s="6"/>
    </row>
    <row r="464" spans="7:15" x14ac:dyDescent="0.35">
      <c r="G464" s="6"/>
      <c r="H464" s="6"/>
      <c r="I464" s="6"/>
      <c r="J464" s="6"/>
      <c r="M464" s="6"/>
      <c r="O464" s="6"/>
    </row>
    <row r="465" spans="7:15" x14ac:dyDescent="0.35">
      <c r="G465" s="6"/>
      <c r="H465" s="6"/>
      <c r="I465" s="6"/>
      <c r="J465" s="6"/>
      <c r="M465" s="6"/>
      <c r="O465" s="6"/>
    </row>
    <row r="466" spans="7:15" x14ac:dyDescent="0.35">
      <c r="G466" s="6"/>
      <c r="H466" s="6"/>
      <c r="I466" s="6"/>
      <c r="J466" s="6"/>
      <c r="M466" s="6"/>
      <c r="O466" s="6"/>
    </row>
    <row r="467" spans="7:15" x14ac:dyDescent="0.35">
      <c r="G467" s="6"/>
      <c r="H467" s="6"/>
      <c r="I467" s="6"/>
      <c r="J467" s="6"/>
      <c r="M467" s="6"/>
      <c r="O467" s="6"/>
    </row>
    <row r="468" spans="7:15" x14ac:dyDescent="0.35">
      <c r="G468" s="6"/>
      <c r="H468" s="6"/>
      <c r="I468" s="6"/>
      <c r="J468" s="6"/>
      <c r="M468" s="6"/>
      <c r="O468" s="6"/>
    </row>
    <row r="469" spans="7:15" x14ac:dyDescent="0.35">
      <c r="G469" s="6"/>
      <c r="H469" s="6"/>
      <c r="I469" s="6"/>
      <c r="J469" s="6"/>
      <c r="M469" s="6"/>
      <c r="O469" s="6"/>
    </row>
    <row r="470" spans="7:15" x14ac:dyDescent="0.35">
      <c r="G470" s="6"/>
      <c r="H470" s="6"/>
      <c r="I470" s="6"/>
      <c r="J470" s="6"/>
      <c r="M470" s="6"/>
      <c r="O470" s="6"/>
    </row>
    <row r="471" spans="7:15" x14ac:dyDescent="0.35">
      <c r="G471" s="6"/>
      <c r="H471" s="6"/>
      <c r="I471" s="6"/>
      <c r="J471" s="6"/>
      <c r="M471" s="6"/>
      <c r="O471" s="6"/>
    </row>
    <row r="472" spans="7:15" x14ac:dyDescent="0.35">
      <c r="G472" s="6"/>
      <c r="H472" s="6"/>
      <c r="I472" s="6"/>
      <c r="J472" s="6"/>
      <c r="M472" s="6"/>
      <c r="O472" s="6"/>
    </row>
    <row r="473" spans="7:15" x14ac:dyDescent="0.35">
      <c r="G473" s="6"/>
      <c r="H473" s="6"/>
      <c r="I473" s="6"/>
      <c r="J473" s="6"/>
      <c r="M473" s="6"/>
      <c r="O473" s="6"/>
    </row>
    <row r="474" spans="7:15" x14ac:dyDescent="0.35">
      <c r="G474" s="6"/>
      <c r="H474" s="6"/>
      <c r="I474" s="6"/>
      <c r="J474" s="6"/>
      <c r="M474" s="6"/>
      <c r="O474" s="6"/>
    </row>
    <row r="475" spans="7:15" x14ac:dyDescent="0.35">
      <c r="G475" s="6"/>
      <c r="H475" s="6"/>
      <c r="I475" s="6"/>
      <c r="J475" s="6"/>
      <c r="M475" s="6"/>
      <c r="O475" s="6"/>
    </row>
    <row r="476" spans="7:15" x14ac:dyDescent="0.35">
      <c r="G476" s="6"/>
      <c r="H476" s="6"/>
      <c r="I476" s="6"/>
      <c r="J476" s="6"/>
      <c r="M476" s="6"/>
      <c r="O476" s="6"/>
    </row>
    <row r="477" spans="7:15" x14ac:dyDescent="0.35">
      <c r="G477" s="6"/>
      <c r="H477" s="6"/>
      <c r="I477" s="6"/>
      <c r="J477" s="6"/>
      <c r="M477" s="6"/>
      <c r="O477" s="6"/>
    </row>
    <row r="478" spans="7:15" x14ac:dyDescent="0.35">
      <c r="G478" s="6"/>
      <c r="H478" s="6"/>
      <c r="I478" s="6"/>
      <c r="J478" s="6"/>
      <c r="M478" s="6"/>
      <c r="O478" s="6"/>
    </row>
    <row r="479" spans="7:15" x14ac:dyDescent="0.35">
      <c r="G479" s="6"/>
      <c r="H479" s="6"/>
      <c r="I479" s="6"/>
      <c r="J479" s="6"/>
      <c r="M479" s="6"/>
      <c r="O479" s="6"/>
    </row>
    <row r="480" spans="7:15" x14ac:dyDescent="0.35">
      <c r="G480" s="6"/>
      <c r="H480" s="6"/>
      <c r="I480" s="6"/>
      <c r="J480" s="6"/>
      <c r="M480" s="6"/>
      <c r="O480" s="6"/>
    </row>
    <row r="481" spans="7:15" x14ac:dyDescent="0.35">
      <c r="G481" s="6"/>
      <c r="H481" s="6"/>
      <c r="I481" s="6"/>
      <c r="J481" s="6"/>
      <c r="M481" s="6"/>
      <c r="O481" s="6"/>
    </row>
    <row r="482" spans="7:15" x14ac:dyDescent="0.35">
      <c r="G482" s="6"/>
      <c r="H482" s="6"/>
      <c r="I482" s="6"/>
      <c r="J482" s="6"/>
      <c r="M482" s="6"/>
      <c r="O482" s="6"/>
    </row>
    <row r="483" spans="7:15" x14ac:dyDescent="0.35">
      <c r="G483" s="6"/>
      <c r="H483" s="6"/>
      <c r="I483" s="6"/>
      <c r="J483" s="6"/>
      <c r="M483" s="6"/>
      <c r="O483" s="6"/>
    </row>
    <row r="484" spans="7:15" x14ac:dyDescent="0.35">
      <c r="G484" s="6"/>
      <c r="H484" s="6"/>
      <c r="I484" s="6"/>
      <c r="J484" s="6"/>
      <c r="M484" s="6"/>
      <c r="O484" s="6"/>
    </row>
    <row r="485" spans="7:15" x14ac:dyDescent="0.35">
      <c r="G485" s="6"/>
      <c r="H485" s="6"/>
      <c r="I485" s="6"/>
      <c r="J485" s="6"/>
      <c r="M485" s="6"/>
      <c r="O485" s="6"/>
    </row>
    <row r="486" spans="7:15" x14ac:dyDescent="0.35">
      <c r="G486" s="6"/>
      <c r="H486" s="6"/>
      <c r="I486" s="6"/>
      <c r="J486" s="6"/>
      <c r="M486" s="6"/>
      <c r="O486" s="6"/>
    </row>
    <row r="487" spans="7:15" x14ac:dyDescent="0.35">
      <c r="G487" s="6"/>
      <c r="H487" s="6"/>
      <c r="I487" s="6"/>
      <c r="J487" s="6"/>
      <c r="M487" s="6"/>
      <c r="O487" s="6"/>
    </row>
    <row r="488" spans="7:15" x14ac:dyDescent="0.35">
      <c r="G488" s="6"/>
      <c r="H488" s="6"/>
      <c r="I488" s="6"/>
      <c r="J488" s="6"/>
      <c r="M488" s="6"/>
      <c r="O488" s="6"/>
    </row>
    <row r="489" spans="7:15" x14ac:dyDescent="0.35">
      <c r="G489" s="6"/>
      <c r="H489" s="6"/>
      <c r="I489" s="6"/>
      <c r="J489" s="6"/>
      <c r="M489" s="6"/>
      <c r="O489" s="6"/>
    </row>
    <row r="490" spans="7:15" x14ac:dyDescent="0.35">
      <c r="G490" s="6"/>
      <c r="H490" s="6"/>
      <c r="I490" s="6"/>
      <c r="J490" s="6"/>
      <c r="M490" s="6"/>
      <c r="O490" s="6"/>
    </row>
    <row r="491" spans="7:15" x14ac:dyDescent="0.35">
      <c r="G491" s="6"/>
      <c r="H491" s="6"/>
      <c r="I491" s="6"/>
      <c r="J491" s="6"/>
      <c r="M491" s="6"/>
      <c r="O491" s="6"/>
    </row>
    <row r="492" spans="7:15" x14ac:dyDescent="0.35">
      <c r="G492" s="6"/>
      <c r="H492" s="6"/>
      <c r="I492" s="6"/>
      <c r="J492" s="6"/>
      <c r="M492" s="6"/>
      <c r="O492" s="6"/>
    </row>
    <row r="493" spans="7:15" x14ac:dyDescent="0.35">
      <c r="G493" s="6"/>
      <c r="H493" s="6"/>
      <c r="I493" s="6"/>
      <c r="J493" s="6"/>
      <c r="M493" s="6"/>
      <c r="O493" s="6"/>
    </row>
    <row r="494" spans="7:15" x14ac:dyDescent="0.35">
      <c r="G494" s="6"/>
      <c r="H494" s="6"/>
      <c r="I494" s="6"/>
      <c r="J494" s="6"/>
      <c r="M494" s="6"/>
      <c r="O494" s="6"/>
    </row>
    <row r="495" spans="7:15" x14ac:dyDescent="0.35">
      <c r="G495" s="6"/>
      <c r="H495" s="6"/>
      <c r="I495" s="6"/>
      <c r="J495" s="6"/>
      <c r="M495" s="6"/>
      <c r="O495" s="6"/>
    </row>
    <row r="496" spans="7:15" x14ac:dyDescent="0.35">
      <c r="G496" s="6"/>
      <c r="H496" s="6"/>
      <c r="I496" s="6"/>
      <c r="J496" s="6"/>
      <c r="M496" s="6"/>
      <c r="O496" s="6"/>
    </row>
    <row r="497" spans="7:15" x14ac:dyDescent="0.35">
      <c r="G497" s="6"/>
      <c r="H497" s="6"/>
      <c r="I497" s="6"/>
      <c r="J497" s="6"/>
      <c r="M497" s="6"/>
      <c r="O497" s="6"/>
    </row>
    <row r="498" spans="7:15" x14ac:dyDescent="0.35">
      <c r="G498" s="6"/>
      <c r="H498" s="6"/>
      <c r="I498" s="6"/>
      <c r="J498" s="6"/>
      <c r="M498" s="6"/>
      <c r="O498" s="6"/>
    </row>
    <row r="499" spans="7:15" x14ac:dyDescent="0.35">
      <c r="G499" s="6"/>
      <c r="H499" s="6"/>
      <c r="I499" s="6"/>
      <c r="J499" s="6"/>
      <c r="M499" s="6"/>
      <c r="O499" s="6"/>
    </row>
    <row r="500" spans="7:15" x14ac:dyDescent="0.35">
      <c r="G500" s="6"/>
      <c r="H500" s="6"/>
      <c r="I500" s="6"/>
      <c r="J500" s="6"/>
      <c r="M500" s="6"/>
      <c r="O500" s="6"/>
    </row>
    <row r="501" spans="7:15" x14ac:dyDescent="0.35">
      <c r="G501" s="6"/>
      <c r="H501" s="6"/>
      <c r="I501" s="6"/>
      <c r="J501" s="6"/>
      <c r="M501" s="6"/>
      <c r="O501" s="6"/>
    </row>
    <row r="502" spans="7:15" x14ac:dyDescent="0.35">
      <c r="G502" s="6"/>
      <c r="H502" s="6"/>
      <c r="I502" s="6"/>
      <c r="J502" s="6"/>
      <c r="M502" s="6"/>
      <c r="O502" s="6"/>
    </row>
    <row r="503" spans="7:15" x14ac:dyDescent="0.35">
      <c r="G503" s="6"/>
      <c r="H503" s="6"/>
      <c r="I503" s="6"/>
      <c r="J503" s="6"/>
      <c r="M503" s="6"/>
      <c r="O503" s="6"/>
    </row>
    <row r="504" spans="7:15" x14ac:dyDescent="0.35">
      <c r="G504" s="6"/>
      <c r="H504" s="6"/>
      <c r="I504" s="6"/>
      <c r="J504" s="6"/>
      <c r="M504" s="6"/>
      <c r="O504" s="6"/>
    </row>
    <row r="505" spans="7:15" x14ac:dyDescent="0.35">
      <c r="G505" s="6"/>
      <c r="H505" s="6"/>
      <c r="I505" s="6"/>
      <c r="J505" s="6"/>
      <c r="M505" s="6"/>
      <c r="O505" s="6"/>
    </row>
    <row r="506" spans="7:15" x14ac:dyDescent="0.35">
      <c r="G506" s="6"/>
      <c r="H506" s="6"/>
      <c r="I506" s="6"/>
      <c r="J506" s="6"/>
      <c r="M506" s="6"/>
      <c r="O506" s="6"/>
    </row>
    <row r="507" spans="7:15" x14ac:dyDescent="0.35">
      <c r="G507" s="6"/>
      <c r="H507" s="6"/>
      <c r="I507" s="6"/>
      <c r="J507" s="6"/>
      <c r="M507" s="6"/>
      <c r="O507" s="6"/>
    </row>
    <row r="508" spans="7:15" x14ac:dyDescent="0.35">
      <c r="G508" s="6"/>
      <c r="H508" s="6"/>
      <c r="I508" s="6"/>
      <c r="J508" s="6"/>
      <c r="M508" s="6"/>
      <c r="O508" s="6"/>
    </row>
    <row r="509" spans="7:15" x14ac:dyDescent="0.35">
      <c r="G509" s="6"/>
      <c r="H509" s="6"/>
      <c r="I509" s="6"/>
      <c r="J509" s="6"/>
      <c r="M509" s="6"/>
      <c r="O509" s="6"/>
    </row>
    <row r="510" spans="7:15" x14ac:dyDescent="0.35">
      <c r="G510" s="6"/>
      <c r="H510" s="6"/>
      <c r="I510" s="6"/>
      <c r="J510" s="6"/>
      <c r="M510" s="6"/>
      <c r="O510" s="6"/>
    </row>
    <row r="511" spans="7:15" x14ac:dyDescent="0.35">
      <c r="G511" s="6"/>
      <c r="H511" s="6"/>
      <c r="I511" s="6"/>
      <c r="J511" s="6"/>
      <c r="M511" s="6"/>
      <c r="O511" s="6"/>
    </row>
    <row r="512" spans="7:15" x14ac:dyDescent="0.35">
      <c r="G512" s="6"/>
      <c r="H512" s="6"/>
      <c r="I512" s="6"/>
      <c r="J512" s="6"/>
      <c r="M512" s="6"/>
      <c r="O512" s="6"/>
    </row>
    <row r="513" spans="7:15" x14ac:dyDescent="0.35">
      <c r="G513" s="6"/>
      <c r="H513" s="6"/>
      <c r="I513" s="6"/>
      <c r="J513" s="6"/>
      <c r="M513" s="6"/>
      <c r="O513" s="6"/>
    </row>
    <row r="514" spans="7:15" x14ac:dyDescent="0.35">
      <c r="G514" s="6"/>
      <c r="H514" s="6"/>
      <c r="I514" s="6"/>
      <c r="J514" s="6"/>
      <c r="M514" s="6"/>
      <c r="O514" s="6"/>
    </row>
    <row r="515" spans="7:15" x14ac:dyDescent="0.35">
      <c r="G515" s="6"/>
      <c r="H515" s="6"/>
      <c r="I515" s="6"/>
      <c r="J515" s="6"/>
      <c r="M515" s="6"/>
      <c r="O515" s="6"/>
    </row>
    <row r="516" spans="7:15" x14ac:dyDescent="0.35">
      <c r="G516" s="6"/>
      <c r="H516" s="6"/>
      <c r="I516" s="6"/>
      <c r="J516" s="6"/>
      <c r="M516" s="6"/>
      <c r="O516" s="6"/>
    </row>
    <row r="517" spans="7:15" x14ac:dyDescent="0.35">
      <c r="G517" s="6"/>
      <c r="H517" s="6"/>
      <c r="I517" s="6"/>
      <c r="J517" s="6"/>
      <c r="M517" s="6"/>
      <c r="O517" s="6"/>
    </row>
    <row r="518" spans="7:15" x14ac:dyDescent="0.35">
      <c r="G518" s="6"/>
      <c r="H518" s="6"/>
      <c r="I518" s="6"/>
      <c r="J518" s="6"/>
      <c r="M518" s="6"/>
      <c r="O518" s="6"/>
    </row>
    <row r="519" spans="7:15" x14ac:dyDescent="0.35">
      <c r="G519" s="6"/>
      <c r="H519" s="6"/>
      <c r="I519" s="6"/>
      <c r="J519" s="6"/>
      <c r="M519" s="6"/>
      <c r="O519" s="6"/>
    </row>
    <row r="520" spans="7:15" x14ac:dyDescent="0.35">
      <c r="G520" s="6"/>
      <c r="H520" s="6"/>
      <c r="I520" s="6"/>
      <c r="J520" s="6"/>
      <c r="M520" s="6"/>
      <c r="O520" s="6"/>
    </row>
    <row r="521" spans="7:15" x14ac:dyDescent="0.35">
      <c r="G521" s="6"/>
      <c r="H521" s="6"/>
      <c r="I521" s="6"/>
      <c r="J521" s="6"/>
      <c r="M521" s="6"/>
      <c r="O521" s="6"/>
    </row>
    <row r="522" spans="7:15" x14ac:dyDescent="0.35">
      <c r="G522" s="6"/>
      <c r="H522" s="6"/>
      <c r="I522" s="6"/>
      <c r="J522" s="6"/>
      <c r="M522" s="6"/>
      <c r="O522" s="6"/>
    </row>
    <row r="523" spans="7:15" x14ac:dyDescent="0.35">
      <c r="G523" s="6"/>
      <c r="H523" s="6"/>
      <c r="I523" s="6"/>
      <c r="J523" s="6"/>
      <c r="M523" s="6"/>
      <c r="O523" s="6"/>
    </row>
    <row r="524" spans="7:15" x14ac:dyDescent="0.35">
      <c r="G524" s="6"/>
      <c r="H524" s="6"/>
      <c r="I524" s="6"/>
      <c r="J524" s="6"/>
      <c r="M524" s="6"/>
      <c r="O524" s="6"/>
    </row>
    <row r="525" spans="7:15" x14ac:dyDescent="0.35">
      <c r="G525" s="6"/>
      <c r="H525" s="6"/>
      <c r="I525" s="6"/>
      <c r="J525" s="6"/>
      <c r="M525" s="6"/>
      <c r="O525" s="6"/>
    </row>
    <row r="526" spans="7:15" x14ac:dyDescent="0.35">
      <c r="G526" s="6"/>
      <c r="H526" s="6"/>
      <c r="I526" s="6"/>
      <c r="J526" s="6"/>
      <c r="M526" s="6"/>
      <c r="O526" s="6"/>
    </row>
    <row r="527" spans="7:15" x14ac:dyDescent="0.35">
      <c r="G527" s="6"/>
      <c r="H527" s="6"/>
      <c r="I527" s="6"/>
      <c r="J527" s="6"/>
      <c r="M527" s="6"/>
      <c r="O527" s="6"/>
    </row>
    <row r="528" spans="7:15" x14ac:dyDescent="0.35">
      <c r="G528" s="6"/>
      <c r="H528" s="6"/>
      <c r="I528" s="6"/>
      <c r="J528" s="6"/>
      <c r="M528" s="6"/>
      <c r="O528" s="6"/>
    </row>
    <row r="529" spans="7:15" x14ac:dyDescent="0.35">
      <c r="G529" s="6"/>
      <c r="H529" s="6"/>
      <c r="I529" s="6"/>
      <c r="J529" s="6"/>
      <c r="M529" s="6"/>
      <c r="O529" s="6"/>
    </row>
    <row r="530" spans="7:15" x14ac:dyDescent="0.35">
      <c r="G530" s="6"/>
      <c r="H530" s="6"/>
      <c r="I530" s="6"/>
      <c r="J530" s="6"/>
      <c r="M530" s="6"/>
      <c r="O530" s="6"/>
    </row>
    <row r="531" spans="7:15" x14ac:dyDescent="0.35">
      <c r="G531" s="6"/>
      <c r="H531" s="6"/>
      <c r="I531" s="6"/>
      <c r="J531" s="6"/>
      <c r="M531" s="6"/>
      <c r="O531" s="6"/>
    </row>
    <row r="532" spans="7:15" x14ac:dyDescent="0.35">
      <c r="G532" s="6"/>
      <c r="H532" s="6"/>
      <c r="I532" s="6"/>
      <c r="J532" s="6"/>
      <c r="M532" s="6"/>
      <c r="O532" s="6"/>
    </row>
    <row r="533" spans="7:15" x14ac:dyDescent="0.35">
      <c r="G533" s="6"/>
      <c r="H533" s="6"/>
      <c r="I533" s="6"/>
      <c r="J533" s="6"/>
      <c r="M533" s="6"/>
      <c r="O533" s="6"/>
    </row>
    <row r="534" spans="7:15" x14ac:dyDescent="0.35">
      <c r="G534" s="6"/>
      <c r="H534" s="6"/>
      <c r="I534" s="6"/>
      <c r="J534" s="6"/>
      <c r="M534" s="6"/>
      <c r="O534" s="6"/>
    </row>
    <row r="535" spans="7:15" x14ac:dyDescent="0.35">
      <c r="G535" s="6"/>
      <c r="H535" s="6"/>
      <c r="I535" s="6"/>
      <c r="J535" s="6"/>
      <c r="M535" s="6"/>
      <c r="O535" s="6"/>
    </row>
    <row r="536" spans="7:15" x14ac:dyDescent="0.35">
      <c r="G536" s="6"/>
      <c r="H536" s="6"/>
      <c r="I536" s="6"/>
      <c r="J536" s="6"/>
      <c r="M536" s="6"/>
      <c r="O536" s="6"/>
    </row>
    <row r="537" spans="7:15" x14ac:dyDescent="0.35">
      <c r="G537" s="6"/>
      <c r="H537" s="6"/>
      <c r="I537" s="6"/>
      <c r="J537" s="6"/>
      <c r="M537" s="6"/>
      <c r="O537" s="6"/>
    </row>
    <row r="538" spans="7:15" x14ac:dyDescent="0.35">
      <c r="G538" s="6"/>
      <c r="H538" s="6"/>
      <c r="I538" s="6"/>
      <c r="J538" s="6"/>
      <c r="M538" s="6"/>
      <c r="O538" s="6"/>
    </row>
    <row r="539" spans="7:15" x14ac:dyDescent="0.35">
      <c r="G539" s="6"/>
      <c r="H539" s="6"/>
      <c r="I539" s="6"/>
      <c r="J539" s="6"/>
      <c r="M539" s="6"/>
      <c r="O539" s="6"/>
    </row>
    <row r="540" spans="7:15" x14ac:dyDescent="0.35">
      <c r="G540" s="6"/>
      <c r="H540" s="6"/>
      <c r="I540" s="6"/>
      <c r="J540" s="6"/>
      <c r="M540" s="6"/>
      <c r="O540" s="6"/>
    </row>
    <row r="541" spans="7:15" x14ac:dyDescent="0.35">
      <c r="G541" s="6"/>
      <c r="H541" s="6"/>
      <c r="I541" s="6"/>
      <c r="J541" s="6"/>
      <c r="M541" s="6"/>
      <c r="O541" s="6"/>
    </row>
    <row r="542" spans="7:15" x14ac:dyDescent="0.35">
      <c r="G542" s="6"/>
      <c r="H542" s="6"/>
      <c r="I542" s="6"/>
      <c r="J542" s="6"/>
      <c r="M542" s="6"/>
      <c r="O542" s="6"/>
    </row>
    <row r="543" spans="7:15" x14ac:dyDescent="0.35">
      <c r="G543" s="6"/>
      <c r="H543" s="6"/>
      <c r="I543" s="6"/>
      <c r="J543" s="6"/>
      <c r="M543" s="6"/>
      <c r="O543" s="6"/>
    </row>
    <row r="544" spans="7:15" x14ac:dyDescent="0.35">
      <c r="G544" s="6"/>
      <c r="H544" s="6"/>
      <c r="I544" s="6"/>
      <c r="J544" s="6"/>
      <c r="M544" s="6"/>
      <c r="O544" s="6"/>
    </row>
    <row r="545" spans="7:15" x14ac:dyDescent="0.35">
      <c r="G545" s="6"/>
      <c r="H545" s="6"/>
      <c r="I545" s="6"/>
      <c r="J545" s="6"/>
      <c r="M545" s="6"/>
      <c r="O545" s="6"/>
    </row>
    <row r="546" spans="7:15" x14ac:dyDescent="0.35">
      <c r="G546" s="6"/>
      <c r="H546" s="6"/>
      <c r="I546" s="6"/>
      <c r="J546" s="6"/>
      <c r="M546" s="6"/>
      <c r="O546" s="6"/>
    </row>
    <row r="547" spans="7:15" x14ac:dyDescent="0.35">
      <c r="G547" s="6"/>
      <c r="H547" s="6"/>
      <c r="I547" s="6"/>
      <c r="J547" s="6"/>
      <c r="M547" s="6"/>
      <c r="O547" s="6"/>
    </row>
    <row r="548" spans="7:15" x14ac:dyDescent="0.35">
      <c r="G548" s="6"/>
      <c r="H548" s="6"/>
      <c r="I548" s="6"/>
      <c r="J548" s="6"/>
      <c r="M548" s="6"/>
      <c r="O548" s="6"/>
    </row>
    <row r="549" spans="7:15" x14ac:dyDescent="0.35">
      <c r="G549" s="6"/>
      <c r="H549" s="6"/>
      <c r="I549" s="6"/>
      <c r="J549" s="6"/>
      <c r="M549" s="6"/>
      <c r="O549" s="6"/>
    </row>
    <row r="550" spans="7:15" x14ac:dyDescent="0.35">
      <c r="G550" s="6"/>
      <c r="H550" s="6"/>
      <c r="I550" s="6"/>
      <c r="J550" s="6"/>
      <c r="M550" s="6"/>
      <c r="O550" s="6"/>
    </row>
    <row r="551" spans="7:15" x14ac:dyDescent="0.35">
      <c r="G551" s="6"/>
      <c r="H551" s="6"/>
      <c r="I551" s="6"/>
      <c r="J551" s="6"/>
      <c r="M551" s="6"/>
      <c r="O551" s="6"/>
    </row>
    <row r="552" spans="7:15" x14ac:dyDescent="0.35">
      <c r="G552" s="6"/>
      <c r="H552" s="6"/>
      <c r="I552" s="6"/>
      <c r="J552" s="6"/>
      <c r="M552" s="6"/>
      <c r="O552" s="6"/>
    </row>
    <row r="553" spans="7:15" x14ac:dyDescent="0.35">
      <c r="G553" s="6"/>
      <c r="H553" s="6"/>
      <c r="I553" s="6"/>
      <c r="J553" s="6"/>
      <c r="M553" s="6"/>
      <c r="O553" s="6"/>
    </row>
    <row r="554" spans="7:15" x14ac:dyDescent="0.35">
      <c r="G554" s="6"/>
      <c r="H554" s="6"/>
      <c r="I554" s="6"/>
      <c r="J554" s="6"/>
      <c r="M554" s="6"/>
      <c r="O554" s="6"/>
    </row>
    <row r="555" spans="7:15" x14ac:dyDescent="0.35">
      <c r="G555" s="6"/>
      <c r="H555" s="6"/>
      <c r="I555" s="6"/>
      <c r="J555" s="6"/>
      <c r="M555" s="6"/>
      <c r="O555" s="6"/>
    </row>
    <row r="556" spans="7:15" x14ac:dyDescent="0.35">
      <c r="G556" s="6"/>
      <c r="H556" s="6"/>
      <c r="I556" s="6"/>
      <c r="J556" s="6"/>
      <c r="M556" s="6"/>
      <c r="O556" s="6"/>
    </row>
    <row r="557" spans="7:15" x14ac:dyDescent="0.35">
      <c r="G557" s="6"/>
      <c r="H557" s="6"/>
      <c r="I557" s="6"/>
      <c r="J557" s="6"/>
      <c r="M557" s="6"/>
      <c r="O557" s="6"/>
    </row>
    <row r="558" spans="7:15" x14ac:dyDescent="0.35">
      <c r="G558" s="6"/>
      <c r="H558" s="6"/>
      <c r="I558" s="6"/>
      <c r="J558" s="6"/>
      <c r="M558" s="6"/>
      <c r="O558" s="6"/>
    </row>
    <row r="559" spans="7:15" x14ac:dyDescent="0.35">
      <c r="G559" s="6"/>
      <c r="H559" s="6"/>
      <c r="I559" s="6"/>
      <c r="J559" s="6"/>
      <c r="M559" s="6"/>
      <c r="O559" s="6"/>
    </row>
    <row r="560" spans="7:15" x14ac:dyDescent="0.35">
      <c r="G560" s="6"/>
      <c r="H560" s="6"/>
      <c r="I560" s="6"/>
      <c r="J560" s="6"/>
      <c r="M560" s="6"/>
      <c r="O560" s="6"/>
    </row>
    <row r="561" spans="7:15" x14ac:dyDescent="0.35">
      <c r="G561" s="6"/>
      <c r="H561" s="6"/>
      <c r="I561" s="6"/>
      <c r="J561" s="6"/>
      <c r="M561" s="6"/>
      <c r="O561" s="6"/>
    </row>
    <row r="562" spans="7:15" x14ac:dyDescent="0.35">
      <c r="G562" s="6"/>
      <c r="H562" s="6"/>
      <c r="I562" s="6"/>
      <c r="J562" s="6"/>
      <c r="M562" s="6"/>
      <c r="O562" s="6"/>
    </row>
    <row r="563" spans="7:15" x14ac:dyDescent="0.35">
      <c r="G563" s="6"/>
      <c r="H563" s="6"/>
      <c r="I563" s="6"/>
      <c r="J563" s="6"/>
      <c r="M563" s="6"/>
      <c r="O563" s="6"/>
    </row>
    <row r="564" spans="7:15" x14ac:dyDescent="0.35">
      <c r="G564" s="6"/>
      <c r="H564" s="6"/>
      <c r="I564" s="6"/>
      <c r="J564" s="6"/>
      <c r="M564" s="6"/>
      <c r="O564" s="6"/>
    </row>
    <row r="565" spans="7:15" x14ac:dyDescent="0.35">
      <c r="G565" s="6"/>
      <c r="H565" s="6"/>
      <c r="I565" s="6"/>
      <c r="J565" s="6"/>
      <c r="M565" s="6"/>
      <c r="O565" s="6"/>
    </row>
    <row r="566" spans="7:15" x14ac:dyDescent="0.35">
      <c r="G566" s="6"/>
      <c r="H566" s="6"/>
      <c r="I566" s="6"/>
      <c r="J566" s="6"/>
      <c r="M566" s="6"/>
      <c r="O566" s="6"/>
    </row>
    <row r="567" spans="7:15" x14ac:dyDescent="0.35">
      <c r="G567" s="6"/>
      <c r="H567" s="6"/>
      <c r="I567" s="6"/>
      <c r="J567" s="6"/>
      <c r="M567" s="6"/>
      <c r="O567" s="6"/>
    </row>
    <row r="568" spans="7:15" x14ac:dyDescent="0.35">
      <c r="G568" s="6"/>
      <c r="H568" s="6"/>
      <c r="I568" s="6"/>
      <c r="J568" s="6"/>
      <c r="M568" s="6"/>
      <c r="O568" s="6"/>
    </row>
    <row r="569" spans="7:15" x14ac:dyDescent="0.35">
      <c r="G569" s="6"/>
      <c r="H569" s="6"/>
      <c r="I569" s="6"/>
      <c r="J569" s="6"/>
      <c r="M569" s="6"/>
      <c r="O569" s="6"/>
    </row>
    <row r="570" spans="7:15" x14ac:dyDescent="0.35">
      <c r="G570" s="6"/>
      <c r="H570" s="6"/>
      <c r="I570" s="6"/>
      <c r="J570" s="6"/>
      <c r="M570" s="6"/>
      <c r="O570" s="6"/>
    </row>
    <row r="571" spans="7:15" x14ac:dyDescent="0.35">
      <c r="G571" s="6"/>
      <c r="H571" s="6"/>
      <c r="I571" s="6"/>
      <c r="J571" s="6"/>
      <c r="M571" s="6"/>
      <c r="O571" s="6"/>
    </row>
    <row r="572" spans="7:15" x14ac:dyDescent="0.35">
      <c r="G572" s="6"/>
      <c r="H572" s="6"/>
      <c r="I572" s="6"/>
      <c r="J572" s="6"/>
      <c r="M572" s="6"/>
      <c r="O572" s="6"/>
    </row>
    <row r="573" spans="7:15" x14ac:dyDescent="0.35">
      <c r="G573" s="6"/>
      <c r="H573" s="6"/>
      <c r="I573" s="6"/>
      <c r="J573" s="6"/>
      <c r="M573" s="6"/>
      <c r="O573" s="6"/>
    </row>
    <row r="574" spans="7:15" x14ac:dyDescent="0.35">
      <c r="G574" s="6"/>
      <c r="H574" s="6"/>
      <c r="I574" s="6"/>
      <c r="J574" s="6"/>
      <c r="M574" s="6"/>
      <c r="O574" s="6"/>
    </row>
    <row r="575" spans="7:15" x14ac:dyDescent="0.35">
      <c r="G575" s="6"/>
      <c r="H575" s="6"/>
      <c r="I575" s="6"/>
      <c r="J575" s="6"/>
      <c r="M575" s="6"/>
      <c r="O575" s="6"/>
    </row>
    <row r="576" spans="7:15" x14ac:dyDescent="0.35">
      <c r="G576" s="6"/>
      <c r="H576" s="6"/>
      <c r="I576" s="6"/>
      <c r="J576" s="6"/>
      <c r="M576" s="6"/>
      <c r="O576" s="6"/>
    </row>
    <row r="577" spans="7:15" x14ac:dyDescent="0.35">
      <c r="G577" s="6"/>
      <c r="H577" s="6"/>
      <c r="I577" s="6"/>
      <c r="J577" s="6"/>
      <c r="M577" s="6"/>
      <c r="O577" s="6"/>
    </row>
    <row r="578" spans="7:15" x14ac:dyDescent="0.35">
      <c r="G578" s="6"/>
      <c r="H578" s="6"/>
      <c r="I578" s="6"/>
      <c r="J578" s="6"/>
      <c r="M578" s="6"/>
      <c r="O578" s="6"/>
    </row>
    <row r="579" spans="7:15" x14ac:dyDescent="0.35">
      <c r="G579" s="6"/>
      <c r="H579" s="6"/>
      <c r="I579" s="6"/>
      <c r="J579" s="6"/>
      <c r="M579" s="6"/>
      <c r="O579" s="6"/>
    </row>
    <row r="580" spans="7:15" x14ac:dyDescent="0.35">
      <c r="G580" s="6"/>
      <c r="H580" s="6"/>
      <c r="I580" s="6"/>
      <c r="J580" s="6"/>
      <c r="M580" s="6"/>
      <c r="O580" s="6"/>
    </row>
    <row r="581" spans="7:15" x14ac:dyDescent="0.35">
      <c r="G581" s="6"/>
      <c r="H581" s="6"/>
      <c r="I581" s="6"/>
      <c r="J581" s="6"/>
      <c r="M581" s="6"/>
      <c r="O581" s="6"/>
    </row>
    <row r="582" spans="7:15" x14ac:dyDescent="0.35">
      <c r="G582" s="6"/>
      <c r="H582" s="6"/>
      <c r="I582" s="6"/>
      <c r="J582" s="6"/>
      <c r="M582" s="6"/>
      <c r="O582" s="6"/>
    </row>
    <row r="583" spans="7:15" x14ac:dyDescent="0.35">
      <c r="G583" s="6"/>
      <c r="H583" s="6"/>
      <c r="I583" s="6"/>
      <c r="J583" s="6"/>
      <c r="M583" s="6"/>
      <c r="O583" s="6"/>
    </row>
    <row r="584" spans="7:15" x14ac:dyDescent="0.35">
      <c r="G584" s="6"/>
      <c r="H584" s="6"/>
      <c r="I584" s="6"/>
      <c r="J584" s="6"/>
      <c r="M584" s="6"/>
      <c r="O584" s="6"/>
    </row>
    <row r="585" spans="7:15" x14ac:dyDescent="0.35">
      <c r="G585" s="6"/>
      <c r="H585" s="6"/>
      <c r="I585" s="6"/>
      <c r="J585" s="6"/>
      <c r="M585" s="6"/>
      <c r="O585" s="6"/>
    </row>
    <row r="586" spans="7:15" x14ac:dyDescent="0.35">
      <c r="G586" s="6"/>
      <c r="H586" s="6"/>
      <c r="I586" s="6"/>
      <c r="J586" s="6"/>
      <c r="M586" s="6"/>
      <c r="O586" s="6"/>
    </row>
    <row r="587" spans="7:15" x14ac:dyDescent="0.35">
      <c r="G587" s="6"/>
      <c r="H587" s="6"/>
      <c r="I587" s="6"/>
      <c r="J587" s="6"/>
      <c r="M587" s="6"/>
      <c r="O587" s="6"/>
    </row>
    <row r="588" spans="7:15" x14ac:dyDescent="0.35">
      <c r="G588" s="6"/>
      <c r="H588" s="6"/>
      <c r="I588" s="6"/>
      <c r="J588" s="6"/>
      <c r="M588" s="6"/>
      <c r="O588" s="6"/>
    </row>
    <row r="589" spans="7:15" x14ac:dyDescent="0.35">
      <c r="G589" s="6"/>
      <c r="H589" s="6"/>
      <c r="I589" s="6"/>
      <c r="J589" s="6"/>
      <c r="M589" s="6"/>
      <c r="O589" s="6"/>
    </row>
    <row r="590" spans="7:15" x14ac:dyDescent="0.35">
      <c r="G590" s="6"/>
      <c r="H590" s="6"/>
      <c r="I590" s="6"/>
      <c r="J590" s="6"/>
      <c r="M590" s="6"/>
      <c r="O590" s="6"/>
    </row>
    <row r="591" spans="7:15" x14ac:dyDescent="0.35">
      <c r="G591" s="6"/>
      <c r="H591" s="6"/>
      <c r="I591" s="6"/>
      <c r="J591" s="6"/>
      <c r="M591" s="6"/>
      <c r="O591" s="6"/>
    </row>
    <row r="592" spans="7:15" x14ac:dyDescent="0.35">
      <c r="G592" s="6"/>
      <c r="H592" s="6"/>
      <c r="I592" s="6"/>
      <c r="J592" s="6"/>
      <c r="M592" s="6"/>
      <c r="O592" s="6"/>
    </row>
    <row r="593" spans="7:15" x14ac:dyDescent="0.35">
      <c r="G593" s="6"/>
      <c r="H593" s="6"/>
      <c r="I593" s="6"/>
      <c r="J593" s="6"/>
      <c r="M593" s="6"/>
      <c r="O593" s="6"/>
    </row>
    <row r="594" spans="7:15" x14ac:dyDescent="0.35">
      <c r="G594" s="6"/>
      <c r="H594" s="6"/>
      <c r="I594" s="6"/>
      <c r="J594" s="6"/>
      <c r="M594" s="6"/>
      <c r="O594" s="6"/>
    </row>
    <row r="595" spans="7:15" x14ac:dyDescent="0.35">
      <c r="G595" s="6"/>
      <c r="H595" s="6"/>
      <c r="I595" s="6"/>
      <c r="J595" s="6"/>
      <c r="M595" s="6"/>
      <c r="O595" s="6"/>
    </row>
    <row r="596" spans="7:15" x14ac:dyDescent="0.35">
      <c r="G596" s="6"/>
      <c r="H596" s="6"/>
      <c r="I596" s="6"/>
      <c r="J596" s="6"/>
      <c r="M596" s="6"/>
      <c r="O596" s="6"/>
    </row>
    <row r="597" spans="7:15" x14ac:dyDescent="0.35">
      <c r="G597" s="6"/>
      <c r="H597" s="6"/>
      <c r="I597" s="6"/>
      <c r="J597" s="6"/>
      <c r="M597" s="6"/>
      <c r="O597" s="6"/>
    </row>
    <row r="598" spans="7:15" x14ac:dyDescent="0.35">
      <c r="G598" s="6"/>
      <c r="H598" s="6"/>
      <c r="I598" s="6"/>
      <c r="J598" s="6"/>
      <c r="M598" s="6"/>
      <c r="O598" s="6"/>
    </row>
    <row r="599" spans="7:15" x14ac:dyDescent="0.35">
      <c r="G599" s="6"/>
      <c r="H599" s="6"/>
      <c r="I599" s="6"/>
      <c r="J599" s="6"/>
      <c r="M599" s="6"/>
      <c r="O599" s="6"/>
    </row>
    <row r="600" spans="7:15" x14ac:dyDescent="0.35">
      <c r="G600" s="6"/>
      <c r="H600" s="6"/>
      <c r="I600" s="6"/>
      <c r="J600" s="6"/>
      <c r="M600" s="6"/>
      <c r="O600" s="6"/>
    </row>
    <row r="601" spans="7:15" x14ac:dyDescent="0.35">
      <c r="G601" s="6"/>
      <c r="H601" s="6"/>
      <c r="I601" s="6"/>
      <c r="J601" s="6"/>
      <c r="M601" s="6"/>
      <c r="O601" s="6"/>
    </row>
    <row r="602" spans="7:15" x14ac:dyDescent="0.35">
      <c r="G602" s="6"/>
      <c r="H602" s="6"/>
      <c r="I602" s="6"/>
      <c r="J602" s="6"/>
      <c r="M602" s="6"/>
      <c r="O602" s="6"/>
    </row>
    <row r="603" spans="7:15" x14ac:dyDescent="0.35">
      <c r="G603" s="6"/>
      <c r="H603" s="6"/>
      <c r="I603" s="6"/>
      <c r="J603" s="6"/>
      <c r="M603" s="6"/>
      <c r="O603" s="6"/>
    </row>
    <row r="604" spans="7:15" x14ac:dyDescent="0.35">
      <c r="G604" s="6"/>
      <c r="H604" s="6"/>
      <c r="I604" s="6"/>
      <c r="J604" s="6"/>
      <c r="M604" s="6"/>
      <c r="O604" s="6"/>
    </row>
    <row r="605" spans="7:15" x14ac:dyDescent="0.35">
      <c r="G605" s="6"/>
      <c r="H605" s="6"/>
      <c r="I605" s="6"/>
      <c r="J605" s="6"/>
      <c r="M605" s="6"/>
      <c r="O605" s="6"/>
    </row>
    <row r="606" spans="7:15" x14ac:dyDescent="0.35">
      <c r="G606" s="6"/>
      <c r="H606" s="6"/>
      <c r="I606" s="6"/>
      <c r="J606" s="6"/>
      <c r="M606" s="6"/>
      <c r="O606" s="6"/>
    </row>
    <row r="607" spans="7:15" x14ac:dyDescent="0.35">
      <c r="G607" s="6"/>
      <c r="H607" s="6"/>
      <c r="I607" s="6"/>
      <c r="J607" s="6"/>
      <c r="M607" s="6"/>
      <c r="O607" s="6"/>
    </row>
    <row r="608" spans="7:15" x14ac:dyDescent="0.35">
      <c r="G608" s="6"/>
      <c r="H608" s="6"/>
      <c r="I608" s="6"/>
      <c r="J608" s="6"/>
      <c r="M608" s="6"/>
      <c r="O608" s="6"/>
    </row>
    <row r="609" spans="7:15" x14ac:dyDescent="0.35">
      <c r="G609" s="6"/>
      <c r="H609" s="6"/>
      <c r="I609" s="6"/>
      <c r="J609" s="6"/>
      <c r="M609" s="6"/>
      <c r="O609" s="6"/>
    </row>
    <row r="610" spans="7:15" x14ac:dyDescent="0.35">
      <c r="G610" s="6"/>
      <c r="H610" s="6"/>
      <c r="I610" s="6"/>
      <c r="J610" s="6"/>
      <c r="M610" s="6"/>
      <c r="O610" s="6"/>
    </row>
    <row r="611" spans="7:15" x14ac:dyDescent="0.35">
      <c r="G611" s="6"/>
      <c r="H611" s="6"/>
      <c r="I611" s="6"/>
      <c r="J611" s="6"/>
      <c r="M611" s="6"/>
      <c r="O611" s="6"/>
    </row>
    <row r="612" spans="7:15" x14ac:dyDescent="0.35">
      <c r="G612" s="6"/>
      <c r="H612" s="6"/>
      <c r="I612" s="6"/>
      <c r="J612" s="6"/>
      <c r="M612" s="6"/>
      <c r="O612" s="6"/>
    </row>
    <row r="613" spans="7:15" x14ac:dyDescent="0.35">
      <c r="G613" s="6"/>
      <c r="H613" s="6"/>
      <c r="I613" s="6"/>
      <c r="J613" s="6"/>
      <c r="M613" s="6"/>
      <c r="O613" s="6"/>
    </row>
    <row r="614" spans="7:15" x14ac:dyDescent="0.35">
      <c r="G614" s="6"/>
      <c r="H614" s="6"/>
      <c r="I614" s="6"/>
      <c r="J614" s="6"/>
      <c r="M614" s="6"/>
      <c r="O614" s="6"/>
    </row>
    <row r="615" spans="7:15" x14ac:dyDescent="0.35">
      <c r="G615" s="6"/>
      <c r="H615" s="6"/>
      <c r="I615" s="6"/>
      <c r="J615" s="6"/>
      <c r="M615" s="6"/>
      <c r="O615" s="6"/>
    </row>
    <row r="616" spans="7:15" x14ac:dyDescent="0.35">
      <c r="G616" s="6"/>
      <c r="H616" s="6"/>
      <c r="I616" s="6"/>
      <c r="J616" s="6"/>
      <c r="M616" s="6"/>
      <c r="O616" s="6"/>
    </row>
    <row r="617" spans="7:15" x14ac:dyDescent="0.35">
      <c r="G617" s="6"/>
      <c r="H617" s="6"/>
      <c r="I617" s="6"/>
      <c r="J617" s="6"/>
      <c r="M617" s="6"/>
      <c r="O617" s="6"/>
    </row>
    <row r="618" spans="7:15" x14ac:dyDescent="0.35">
      <c r="G618" s="6"/>
      <c r="H618" s="6"/>
      <c r="I618" s="6"/>
      <c r="J618" s="6"/>
      <c r="M618" s="6"/>
      <c r="O618" s="6"/>
    </row>
    <row r="619" spans="7:15" x14ac:dyDescent="0.35">
      <c r="G619" s="6"/>
      <c r="H619" s="6"/>
      <c r="I619" s="6"/>
      <c r="J619" s="6"/>
      <c r="M619" s="6"/>
      <c r="O619" s="6"/>
    </row>
    <row r="620" spans="7:15" x14ac:dyDescent="0.35">
      <c r="G620" s="6"/>
      <c r="H620" s="6"/>
      <c r="I620" s="6"/>
      <c r="J620" s="6"/>
      <c r="M620" s="6"/>
      <c r="O620" s="6"/>
    </row>
    <row r="621" spans="7:15" x14ac:dyDescent="0.35">
      <c r="G621" s="6"/>
      <c r="H621" s="6"/>
      <c r="I621" s="6"/>
      <c r="J621" s="6"/>
      <c r="M621" s="6"/>
      <c r="O621" s="6"/>
    </row>
    <row r="622" spans="7:15" x14ac:dyDescent="0.35">
      <c r="G622" s="6"/>
      <c r="H622" s="6"/>
      <c r="I622" s="6"/>
      <c r="J622" s="6"/>
      <c r="M622" s="6"/>
      <c r="O622" s="6"/>
    </row>
    <row r="623" spans="7:15" x14ac:dyDescent="0.35">
      <c r="G623" s="6"/>
      <c r="H623" s="6"/>
      <c r="I623" s="6"/>
      <c r="J623" s="6"/>
      <c r="M623" s="6"/>
      <c r="O623" s="6"/>
    </row>
    <row r="624" spans="7:15" x14ac:dyDescent="0.35">
      <c r="G624" s="6"/>
      <c r="H624" s="6"/>
      <c r="I624" s="6"/>
      <c r="J624" s="6"/>
      <c r="M624" s="6"/>
      <c r="O624" s="6"/>
    </row>
    <row r="625" spans="7:15" x14ac:dyDescent="0.35">
      <c r="G625" s="6"/>
      <c r="H625" s="6"/>
      <c r="I625" s="6"/>
      <c r="J625" s="6"/>
      <c r="M625" s="6"/>
      <c r="O625" s="6"/>
    </row>
    <row r="626" spans="7:15" x14ac:dyDescent="0.35">
      <c r="G626" s="6"/>
      <c r="H626" s="6"/>
      <c r="I626" s="6"/>
      <c r="J626" s="6"/>
      <c r="M626" s="6"/>
      <c r="O626" s="6"/>
    </row>
    <row r="627" spans="7:15" x14ac:dyDescent="0.35">
      <c r="G627" s="6"/>
      <c r="H627" s="6"/>
      <c r="I627" s="6"/>
      <c r="J627" s="6"/>
      <c r="M627" s="6"/>
      <c r="O627" s="6"/>
    </row>
    <row r="628" spans="7:15" x14ac:dyDescent="0.35">
      <c r="G628" s="6"/>
      <c r="H628" s="6"/>
      <c r="I628" s="6"/>
      <c r="J628" s="6"/>
      <c r="M628" s="6"/>
      <c r="O628" s="6"/>
    </row>
    <row r="629" spans="7:15" x14ac:dyDescent="0.35">
      <c r="G629" s="6"/>
      <c r="H629" s="6"/>
      <c r="I629" s="6"/>
      <c r="J629" s="6"/>
      <c r="M629" s="6"/>
      <c r="O629" s="6"/>
    </row>
    <row r="630" spans="7:15" x14ac:dyDescent="0.35">
      <c r="G630" s="6"/>
      <c r="H630" s="6"/>
      <c r="I630" s="6"/>
      <c r="J630" s="6"/>
      <c r="M630" s="6"/>
      <c r="O630" s="6"/>
    </row>
    <row r="631" spans="7:15" x14ac:dyDescent="0.35">
      <c r="G631" s="6"/>
      <c r="H631" s="6"/>
      <c r="I631" s="6"/>
      <c r="J631" s="6"/>
      <c r="M631" s="6"/>
      <c r="O631" s="6"/>
    </row>
    <row r="632" spans="7:15" x14ac:dyDescent="0.35">
      <c r="G632" s="6"/>
      <c r="H632" s="6"/>
      <c r="I632" s="6"/>
      <c r="J632" s="6"/>
      <c r="M632" s="6"/>
      <c r="O632" s="6"/>
    </row>
    <row r="633" spans="7:15" x14ac:dyDescent="0.35">
      <c r="G633" s="6"/>
      <c r="H633" s="6"/>
      <c r="I633" s="6"/>
      <c r="J633" s="6"/>
      <c r="M633" s="6"/>
      <c r="O633" s="6"/>
    </row>
    <row r="634" spans="7:15" x14ac:dyDescent="0.35">
      <c r="G634" s="6"/>
      <c r="H634" s="6"/>
      <c r="I634" s="6"/>
      <c r="J634" s="6"/>
      <c r="M634" s="6"/>
      <c r="O634" s="6"/>
    </row>
    <row r="635" spans="7:15" x14ac:dyDescent="0.35">
      <c r="G635" s="6"/>
      <c r="H635" s="6"/>
      <c r="I635" s="6"/>
      <c r="J635" s="6"/>
      <c r="M635" s="6"/>
      <c r="O635" s="6"/>
    </row>
    <row r="636" spans="7:15" x14ac:dyDescent="0.35">
      <c r="G636" s="6"/>
      <c r="H636" s="6"/>
      <c r="I636" s="6"/>
      <c r="J636" s="6"/>
      <c r="M636" s="6"/>
      <c r="O636" s="6"/>
    </row>
    <row r="637" spans="7:15" x14ac:dyDescent="0.35">
      <c r="G637" s="6"/>
      <c r="H637" s="6"/>
      <c r="I637" s="6"/>
      <c r="J637" s="6"/>
      <c r="M637" s="6"/>
      <c r="O637" s="6"/>
    </row>
    <row r="638" spans="7:15" x14ac:dyDescent="0.35">
      <c r="G638" s="6"/>
      <c r="H638" s="6"/>
      <c r="I638" s="6"/>
      <c r="J638" s="6"/>
      <c r="M638" s="6"/>
      <c r="O638" s="6"/>
    </row>
    <row r="639" spans="7:15" x14ac:dyDescent="0.35">
      <c r="G639" s="6"/>
      <c r="H639" s="6"/>
      <c r="I639" s="6"/>
      <c r="J639" s="6"/>
      <c r="M639" s="6"/>
      <c r="O639" s="6"/>
    </row>
    <row r="640" spans="7:15" x14ac:dyDescent="0.35">
      <c r="G640" s="6"/>
      <c r="H640" s="6"/>
      <c r="I640" s="6"/>
      <c r="J640" s="6"/>
      <c r="M640" s="6"/>
      <c r="O640" s="6"/>
    </row>
    <row r="641" spans="7:15" x14ac:dyDescent="0.35">
      <c r="G641" s="6"/>
      <c r="H641" s="6"/>
      <c r="I641" s="6"/>
      <c r="J641" s="6"/>
      <c r="M641" s="6"/>
      <c r="O641" s="6"/>
    </row>
    <row r="642" spans="7:15" x14ac:dyDescent="0.35">
      <c r="G642" s="6"/>
      <c r="H642" s="6"/>
      <c r="I642" s="6"/>
      <c r="J642" s="6"/>
      <c r="M642" s="6"/>
      <c r="O642" s="6"/>
    </row>
    <row r="643" spans="7:15" x14ac:dyDescent="0.35">
      <c r="G643" s="6"/>
      <c r="H643" s="6"/>
      <c r="I643" s="6"/>
      <c r="J643" s="6"/>
      <c r="M643" s="6"/>
      <c r="O643" s="6"/>
    </row>
    <row r="644" spans="7:15" x14ac:dyDescent="0.35">
      <c r="G644" s="6"/>
      <c r="H644" s="6"/>
      <c r="I644" s="6"/>
      <c r="J644" s="6"/>
      <c r="M644" s="6"/>
      <c r="O644" s="6"/>
    </row>
    <row r="645" spans="7:15" x14ac:dyDescent="0.35">
      <c r="G645" s="6"/>
      <c r="H645" s="6"/>
      <c r="I645" s="6"/>
      <c r="J645" s="6"/>
      <c r="M645" s="6"/>
      <c r="O645" s="6"/>
    </row>
    <row r="646" spans="7:15" x14ac:dyDescent="0.35">
      <c r="G646" s="6"/>
      <c r="H646" s="6"/>
      <c r="I646" s="6"/>
      <c r="J646" s="6"/>
      <c r="M646" s="6"/>
      <c r="O646" s="6"/>
    </row>
    <row r="647" spans="7:15" x14ac:dyDescent="0.35">
      <c r="G647" s="6"/>
      <c r="H647" s="6"/>
      <c r="I647" s="6"/>
      <c r="J647" s="6"/>
      <c r="M647" s="6"/>
      <c r="O647" s="6"/>
    </row>
    <row r="648" spans="7:15" x14ac:dyDescent="0.35">
      <c r="G648" s="6"/>
      <c r="H648" s="6"/>
      <c r="I648" s="6"/>
      <c r="J648" s="6"/>
      <c r="M648" s="6"/>
      <c r="O648" s="6"/>
    </row>
    <row r="649" spans="7:15" x14ac:dyDescent="0.35">
      <c r="G649" s="6"/>
      <c r="H649" s="6"/>
      <c r="I649" s="6"/>
      <c r="J649" s="6"/>
      <c r="M649" s="6"/>
      <c r="O649" s="6"/>
    </row>
    <row r="650" spans="7:15" x14ac:dyDescent="0.35">
      <c r="G650" s="6"/>
      <c r="H650" s="6"/>
      <c r="I650" s="6"/>
      <c r="J650" s="6"/>
      <c r="M650" s="6"/>
      <c r="O650" s="6"/>
    </row>
    <row r="651" spans="7:15" x14ac:dyDescent="0.35">
      <c r="G651" s="6"/>
      <c r="H651" s="6"/>
      <c r="I651" s="6"/>
      <c r="J651" s="6"/>
      <c r="M651" s="6"/>
      <c r="O651" s="6"/>
    </row>
    <row r="652" spans="7:15" x14ac:dyDescent="0.35">
      <c r="G652" s="6"/>
      <c r="H652" s="6"/>
      <c r="I652" s="6"/>
      <c r="J652" s="6"/>
      <c r="M652" s="6"/>
      <c r="O652" s="6"/>
    </row>
    <row r="653" spans="7:15" x14ac:dyDescent="0.35">
      <c r="G653" s="6"/>
      <c r="H653" s="6"/>
      <c r="I653" s="6"/>
      <c r="J653" s="6"/>
      <c r="M653" s="6"/>
      <c r="O653" s="6"/>
    </row>
    <row r="654" spans="7:15" x14ac:dyDescent="0.35">
      <c r="G654" s="6"/>
      <c r="H654" s="6"/>
      <c r="I654" s="6"/>
      <c r="J654" s="6"/>
      <c r="M654" s="6"/>
      <c r="O654" s="6"/>
    </row>
    <row r="655" spans="7:15" x14ac:dyDescent="0.35">
      <c r="G655" s="6"/>
      <c r="H655" s="6"/>
      <c r="I655" s="6"/>
      <c r="J655" s="6"/>
      <c r="M655" s="6"/>
      <c r="O655" s="6"/>
    </row>
    <row r="656" spans="7:15" x14ac:dyDescent="0.35">
      <c r="G656" s="6"/>
      <c r="H656" s="6"/>
      <c r="I656" s="6"/>
      <c r="J656" s="6"/>
      <c r="M656" s="6"/>
      <c r="O656" s="6"/>
    </row>
    <row r="657" spans="7:15" x14ac:dyDescent="0.35">
      <c r="G657" s="6"/>
      <c r="H657" s="6"/>
      <c r="I657" s="6"/>
      <c r="J657" s="6"/>
      <c r="M657" s="6"/>
      <c r="O657" s="6"/>
    </row>
    <row r="658" spans="7:15" x14ac:dyDescent="0.35">
      <c r="G658" s="6"/>
      <c r="H658" s="6"/>
      <c r="I658" s="6"/>
      <c r="J658" s="6"/>
      <c r="M658" s="6"/>
      <c r="O658" s="6"/>
    </row>
    <row r="659" spans="7:15" x14ac:dyDescent="0.35">
      <c r="G659" s="6"/>
      <c r="H659" s="6"/>
      <c r="I659" s="6"/>
      <c r="J659" s="6"/>
      <c r="M659" s="6"/>
      <c r="O659" s="6"/>
    </row>
    <row r="660" spans="7:15" x14ac:dyDescent="0.35">
      <c r="G660" s="6"/>
      <c r="H660" s="6"/>
      <c r="I660" s="6"/>
      <c r="J660" s="6"/>
      <c r="M660" s="6"/>
      <c r="O660" s="6"/>
    </row>
    <row r="661" spans="7:15" x14ac:dyDescent="0.35">
      <c r="G661" s="6"/>
      <c r="H661" s="6"/>
      <c r="I661" s="6"/>
      <c r="J661" s="6"/>
      <c r="M661" s="6"/>
      <c r="O661" s="6"/>
    </row>
    <row r="662" spans="7:15" x14ac:dyDescent="0.35">
      <c r="G662" s="6"/>
      <c r="H662" s="6"/>
      <c r="I662" s="6"/>
      <c r="J662" s="6"/>
      <c r="M662" s="6"/>
      <c r="O662" s="6"/>
    </row>
    <row r="663" spans="7:15" x14ac:dyDescent="0.35">
      <c r="G663" s="6"/>
      <c r="H663" s="6"/>
      <c r="I663" s="6"/>
      <c r="J663" s="6"/>
      <c r="M663" s="6"/>
      <c r="O663" s="6"/>
    </row>
    <row r="664" spans="7:15" x14ac:dyDescent="0.35">
      <c r="G664" s="6"/>
      <c r="H664" s="6"/>
      <c r="I664" s="6"/>
      <c r="J664" s="6"/>
      <c r="M664" s="6"/>
      <c r="O664" s="6"/>
    </row>
    <row r="665" spans="7:15" x14ac:dyDescent="0.35">
      <c r="G665" s="6"/>
      <c r="H665" s="6"/>
      <c r="I665" s="6"/>
      <c r="J665" s="6"/>
      <c r="M665" s="6"/>
      <c r="O665" s="6"/>
    </row>
    <row r="666" spans="7:15" x14ac:dyDescent="0.35">
      <c r="G666" s="6"/>
      <c r="H666" s="6"/>
      <c r="I666" s="6"/>
      <c r="J666" s="6"/>
      <c r="M666" s="6"/>
      <c r="O666" s="6"/>
    </row>
    <row r="667" spans="7:15" x14ac:dyDescent="0.35">
      <c r="G667" s="6"/>
      <c r="H667" s="6"/>
      <c r="I667" s="6"/>
      <c r="J667" s="6"/>
      <c r="M667" s="6"/>
      <c r="O667" s="6"/>
    </row>
    <row r="668" spans="7:15" x14ac:dyDescent="0.35">
      <c r="G668" s="6"/>
      <c r="H668" s="6"/>
      <c r="I668" s="6"/>
      <c r="J668" s="6"/>
      <c r="M668" s="6"/>
      <c r="O668" s="6"/>
    </row>
    <row r="669" spans="7:15" x14ac:dyDescent="0.35">
      <c r="G669" s="6"/>
      <c r="H669" s="6"/>
      <c r="I669" s="6"/>
      <c r="J669" s="6"/>
      <c r="M669" s="6"/>
      <c r="O669" s="6"/>
    </row>
    <row r="670" spans="7:15" x14ac:dyDescent="0.35">
      <c r="G670" s="6"/>
      <c r="H670" s="6"/>
      <c r="I670" s="6"/>
      <c r="J670" s="6"/>
      <c r="M670" s="6"/>
      <c r="O670" s="6"/>
    </row>
    <row r="671" spans="7:15" x14ac:dyDescent="0.35">
      <c r="G671" s="6"/>
      <c r="H671" s="6"/>
      <c r="I671" s="6"/>
      <c r="J671" s="6"/>
      <c r="M671" s="6"/>
      <c r="O671" s="6"/>
    </row>
    <row r="672" spans="7:15" x14ac:dyDescent="0.35">
      <c r="G672" s="6"/>
      <c r="H672" s="6"/>
      <c r="I672" s="6"/>
      <c r="J672" s="6"/>
      <c r="M672" s="6"/>
      <c r="O672" s="6"/>
    </row>
    <row r="673" spans="7:15" x14ac:dyDescent="0.35">
      <c r="G673" s="6"/>
      <c r="H673" s="6"/>
      <c r="I673" s="6"/>
      <c r="J673" s="6"/>
      <c r="M673" s="6"/>
      <c r="O673" s="6"/>
    </row>
    <row r="674" spans="7:15" x14ac:dyDescent="0.35">
      <c r="G674" s="6"/>
      <c r="H674" s="6"/>
      <c r="I674" s="6"/>
      <c r="J674" s="6"/>
      <c r="M674" s="6"/>
      <c r="O674" s="6"/>
    </row>
    <row r="675" spans="7:15" x14ac:dyDescent="0.35">
      <c r="G675" s="6"/>
      <c r="H675" s="6"/>
      <c r="I675" s="6"/>
      <c r="J675" s="6"/>
      <c r="M675" s="6"/>
      <c r="O675" s="6"/>
    </row>
    <row r="676" spans="7:15" x14ac:dyDescent="0.35">
      <c r="G676" s="6"/>
      <c r="H676" s="6"/>
      <c r="I676" s="6"/>
      <c r="J676" s="6"/>
      <c r="M676" s="6"/>
      <c r="O676" s="6"/>
    </row>
    <row r="677" spans="7:15" x14ac:dyDescent="0.35">
      <c r="G677" s="6"/>
      <c r="H677" s="6"/>
      <c r="I677" s="6"/>
      <c r="J677" s="6"/>
      <c r="M677" s="6"/>
      <c r="O677" s="6"/>
    </row>
    <row r="678" spans="7:15" x14ac:dyDescent="0.35">
      <c r="G678" s="6"/>
      <c r="H678" s="6"/>
      <c r="I678" s="6"/>
      <c r="J678" s="6"/>
      <c r="M678" s="6"/>
      <c r="O678" s="6"/>
    </row>
    <row r="679" spans="7:15" x14ac:dyDescent="0.35">
      <c r="G679" s="6"/>
      <c r="H679" s="6"/>
      <c r="I679" s="6"/>
      <c r="J679" s="6"/>
      <c r="M679" s="6"/>
      <c r="O679" s="6"/>
    </row>
    <row r="680" spans="7:15" x14ac:dyDescent="0.35">
      <c r="G680" s="6"/>
      <c r="H680" s="6"/>
      <c r="I680" s="6"/>
      <c r="J680" s="6"/>
      <c r="M680" s="6"/>
      <c r="O680" s="6"/>
    </row>
    <row r="681" spans="7:15" x14ac:dyDescent="0.35">
      <c r="G681" s="6"/>
      <c r="H681" s="6"/>
      <c r="I681" s="6"/>
      <c r="J681" s="6"/>
      <c r="M681" s="6"/>
      <c r="O681" s="6"/>
    </row>
    <row r="682" spans="7:15" x14ac:dyDescent="0.35">
      <c r="G682" s="6"/>
      <c r="H682" s="6"/>
      <c r="I682" s="6"/>
      <c r="J682" s="6"/>
      <c r="M682" s="6"/>
      <c r="O682" s="6"/>
    </row>
    <row r="683" spans="7:15" x14ac:dyDescent="0.35">
      <c r="G683" s="6"/>
      <c r="H683" s="6"/>
      <c r="I683" s="6"/>
      <c r="J683" s="6"/>
      <c r="M683" s="6"/>
      <c r="O683" s="6"/>
    </row>
    <row r="684" spans="7:15" x14ac:dyDescent="0.35">
      <c r="G684" s="6"/>
      <c r="H684" s="6"/>
      <c r="I684" s="6"/>
      <c r="J684" s="6"/>
      <c r="M684" s="6"/>
      <c r="O684" s="6"/>
    </row>
    <row r="685" spans="7:15" x14ac:dyDescent="0.35">
      <c r="G685" s="6"/>
      <c r="H685" s="6"/>
      <c r="I685" s="6"/>
      <c r="J685" s="6"/>
      <c r="M685" s="6"/>
      <c r="O685" s="6"/>
    </row>
    <row r="686" spans="7:15" x14ac:dyDescent="0.35">
      <c r="G686" s="6"/>
      <c r="H686" s="6"/>
      <c r="I686" s="6"/>
      <c r="J686" s="6"/>
      <c r="M686" s="6"/>
      <c r="O686" s="6"/>
    </row>
    <row r="687" spans="7:15" x14ac:dyDescent="0.35">
      <c r="G687" s="6"/>
      <c r="H687" s="6"/>
      <c r="I687" s="6"/>
      <c r="J687" s="6"/>
      <c r="M687" s="6"/>
      <c r="O687" s="6"/>
    </row>
    <row r="688" spans="7:15" x14ac:dyDescent="0.35">
      <c r="G688" s="6"/>
      <c r="H688" s="6"/>
      <c r="I688" s="6"/>
      <c r="J688" s="6"/>
      <c r="M688" s="6"/>
      <c r="O688" s="6"/>
    </row>
    <row r="689" spans="7:15" x14ac:dyDescent="0.35">
      <c r="G689" s="6"/>
      <c r="H689" s="6"/>
      <c r="I689" s="6"/>
      <c r="J689" s="6"/>
      <c r="M689" s="6"/>
      <c r="O689" s="6"/>
    </row>
    <row r="690" spans="7:15" x14ac:dyDescent="0.35">
      <c r="G690" s="6"/>
      <c r="H690" s="6"/>
      <c r="I690" s="6"/>
      <c r="J690" s="6"/>
      <c r="M690" s="6"/>
      <c r="O690" s="6"/>
    </row>
    <row r="691" spans="7:15" x14ac:dyDescent="0.35">
      <c r="G691" s="6"/>
      <c r="H691" s="6"/>
      <c r="I691" s="6"/>
      <c r="J691" s="6"/>
      <c r="M691" s="6"/>
      <c r="O691" s="6"/>
    </row>
    <row r="692" spans="7:15" x14ac:dyDescent="0.35">
      <c r="G692" s="6"/>
      <c r="H692" s="6"/>
      <c r="I692" s="6"/>
      <c r="J692" s="6"/>
      <c r="M692" s="6"/>
      <c r="O692" s="6"/>
    </row>
    <row r="693" spans="7:15" x14ac:dyDescent="0.35">
      <c r="G693" s="6"/>
      <c r="H693" s="6"/>
      <c r="I693" s="6"/>
      <c r="J693" s="6"/>
      <c r="M693" s="6"/>
      <c r="O693" s="6"/>
    </row>
    <row r="694" spans="7:15" x14ac:dyDescent="0.35">
      <c r="G694" s="6"/>
      <c r="H694" s="6"/>
      <c r="I694" s="6"/>
      <c r="J694" s="6"/>
      <c r="M694" s="6"/>
      <c r="O694" s="6"/>
    </row>
    <row r="695" spans="7:15" x14ac:dyDescent="0.35">
      <c r="G695" s="6"/>
      <c r="H695" s="6"/>
      <c r="I695" s="6"/>
      <c r="J695" s="6"/>
      <c r="M695" s="6"/>
      <c r="O695" s="6"/>
    </row>
    <row r="696" spans="7:15" x14ac:dyDescent="0.35">
      <c r="G696" s="6"/>
      <c r="H696" s="6"/>
      <c r="I696" s="6"/>
      <c r="J696" s="6"/>
      <c r="M696" s="6"/>
      <c r="O696" s="6"/>
    </row>
    <row r="697" spans="7:15" x14ac:dyDescent="0.35">
      <c r="G697" s="6"/>
      <c r="H697" s="6"/>
      <c r="I697" s="6"/>
      <c r="J697" s="6"/>
      <c r="M697" s="6"/>
      <c r="O697" s="6"/>
    </row>
    <row r="698" spans="7:15" x14ac:dyDescent="0.35">
      <c r="G698" s="6"/>
      <c r="H698" s="6"/>
      <c r="I698" s="6"/>
      <c r="J698" s="6"/>
      <c r="M698" s="6"/>
      <c r="O698" s="6"/>
    </row>
    <row r="699" spans="7:15" x14ac:dyDescent="0.35">
      <c r="G699" s="6"/>
      <c r="H699" s="6"/>
      <c r="I699" s="6"/>
      <c r="J699" s="6"/>
      <c r="M699" s="6"/>
      <c r="O699" s="6"/>
    </row>
    <row r="700" spans="7:15" x14ac:dyDescent="0.35">
      <c r="G700" s="6"/>
      <c r="H700" s="6"/>
      <c r="I700" s="6"/>
      <c r="J700" s="6"/>
      <c r="M700" s="6"/>
      <c r="O700" s="6"/>
    </row>
    <row r="701" spans="7:15" x14ac:dyDescent="0.35">
      <c r="G701" s="6"/>
      <c r="H701" s="6"/>
      <c r="I701" s="6"/>
      <c r="J701" s="6"/>
      <c r="M701" s="6"/>
      <c r="O701" s="6"/>
    </row>
    <row r="702" spans="7:15" x14ac:dyDescent="0.35">
      <c r="G702" s="6"/>
      <c r="H702" s="6"/>
      <c r="I702" s="6"/>
      <c r="J702" s="6"/>
      <c r="M702" s="6"/>
      <c r="O702" s="6"/>
    </row>
    <row r="703" spans="7:15" x14ac:dyDescent="0.35">
      <c r="G703" s="6"/>
      <c r="H703" s="6"/>
      <c r="I703" s="6"/>
      <c r="J703" s="6"/>
      <c r="M703" s="6"/>
      <c r="O703" s="6"/>
    </row>
    <row r="704" spans="7:15" x14ac:dyDescent="0.35">
      <c r="G704" s="6"/>
      <c r="H704" s="6"/>
      <c r="I704" s="6"/>
      <c r="J704" s="6"/>
      <c r="M704" s="6"/>
      <c r="O704" s="6"/>
    </row>
    <row r="705" spans="7:15" x14ac:dyDescent="0.35">
      <c r="G705" s="6"/>
      <c r="H705" s="6"/>
      <c r="I705" s="6"/>
      <c r="J705" s="6"/>
      <c r="M705" s="6"/>
      <c r="O705" s="6"/>
    </row>
    <row r="706" spans="7:15" x14ac:dyDescent="0.35">
      <c r="G706" s="6"/>
      <c r="H706" s="6"/>
      <c r="I706" s="6"/>
      <c r="J706" s="6"/>
      <c r="M706" s="6"/>
      <c r="O706" s="6"/>
    </row>
    <row r="707" spans="7:15" x14ac:dyDescent="0.35">
      <c r="G707" s="6"/>
      <c r="H707" s="6"/>
      <c r="I707" s="6"/>
      <c r="J707" s="6"/>
      <c r="M707" s="6"/>
      <c r="O707" s="6"/>
    </row>
    <row r="708" spans="7:15" x14ac:dyDescent="0.35">
      <c r="G708" s="6"/>
      <c r="H708" s="6"/>
      <c r="I708" s="6"/>
      <c r="J708" s="6"/>
      <c r="M708" s="6"/>
      <c r="O708" s="6"/>
    </row>
    <row r="709" spans="7:15" x14ac:dyDescent="0.35">
      <c r="G709" s="6"/>
      <c r="H709" s="6"/>
      <c r="I709" s="6"/>
      <c r="J709" s="6"/>
      <c r="M709" s="6"/>
      <c r="O709" s="6"/>
    </row>
    <row r="710" spans="7:15" x14ac:dyDescent="0.35">
      <c r="G710" s="6"/>
      <c r="H710" s="6"/>
      <c r="I710" s="6"/>
      <c r="J710" s="6"/>
      <c r="M710" s="6"/>
      <c r="O710" s="6"/>
    </row>
    <row r="711" spans="7:15" x14ac:dyDescent="0.35">
      <c r="G711" s="6"/>
      <c r="H711" s="6"/>
      <c r="I711" s="6"/>
      <c r="J711" s="6"/>
      <c r="M711" s="6"/>
      <c r="O711" s="6"/>
    </row>
    <row r="712" spans="7:15" x14ac:dyDescent="0.35">
      <c r="G712" s="6"/>
      <c r="H712" s="6"/>
      <c r="I712" s="6"/>
      <c r="J712" s="6"/>
      <c r="M712" s="6"/>
      <c r="O712" s="6"/>
    </row>
    <row r="713" spans="7:15" x14ac:dyDescent="0.35">
      <c r="G713" s="6"/>
      <c r="H713" s="6"/>
      <c r="I713" s="6"/>
      <c r="J713" s="6"/>
      <c r="M713" s="6"/>
      <c r="O713" s="6"/>
    </row>
    <row r="714" spans="7:15" x14ac:dyDescent="0.35">
      <c r="G714" s="6"/>
      <c r="H714" s="6"/>
      <c r="I714" s="6"/>
      <c r="J714" s="6"/>
      <c r="M714" s="6"/>
      <c r="O714" s="6"/>
    </row>
    <row r="715" spans="7:15" x14ac:dyDescent="0.35">
      <c r="G715" s="6"/>
      <c r="H715" s="6"/>
      <c r="I715" s="6"/>
      <c r="J715" s="6"/>
      <c r="M715" s="6"/>
      <c r="O715" s="6"/>
    </row>
    <row r="716" spans="7:15" x14ac:dyDescent="0.35">
      <c r="G716" s="6"/>
      <c r="H716" s="6"/>
      <c r="I716" s="6"/>
      <c r="J716" s="6"/>
      <c r="M716" s="6"/>
      <c r="O716" s="6"/>
    </row>
    <row r="717" spans="7:15" x14ac:dyDescent="0.35">
      <c r="G717" s="6"/>
      <c r="H717" s="6"/>
      <c r="I717" s="6"/>
      <c r="J717" s="6"/>
      <c r="M717" s="6"/>
      <c r="O717" s="6"/>
    </row>
    <row r="718" spans="7:15" x14ac:dyDescent="0.35">
      <c r="G718" s="6"/>
      <c r="H718" s="6"/>
      <c r="I718" s="6"/>
      <c r="J718" s="6"/>
      <c r="M718" s="6"/>
      <c r="O718" s="6"/>
    </row>
    <row r="719" spans="7:15" x14ac:dyDescent="0.35">
      <c r="G719" s="6"/>
      <c r="H719" s="6"/>
      <c r="I719" s="6"/>
      <c r="J719" s="6"/>
      <c r="M719" s="6"/>
      <c r="O719" s="6"/>
    </row>
    <row r="720" spans="7:15" x14ac:dyDescent="0.35">
      <c r="G720" s="6"/>
      <c r="H720" s="6"/>
      <c r="I720" s="6"/>
      <c r="J720" s="6"/>
      <c r="M720" s="6"/>
      <c r="O720" s="6"/>
    </row>
    <row r="721" spans="7:15" x14ac:dyDescent="0.35">
      <c r="G721" s="6"/>
      <c r="H721" s="6"/>
      <c r="I721" s="6"/>
      <c r="J721" s="6"/>
      <c r="M721" s="6"/>
      <c r="O721" s="6"/>
    </row>
    <row r="722" spans="7:15" x14ac:dyDescent="0.35">
      <c r="G722" s="6"/>
      <c r="H722" s="6"/>
      <c r="I722" s="6"/>
      <c r="J722" s="6"/>
      <c r="M722" s="6"/>
      <c r="O722" s="6"/>
    </row>
    <row r="723" spans="7:15" x14ac:dyDescent="0.35">
      <c r="G723" s="6"/>
      <c r="H723" s="6"/>
      <c r="I723" s="6"/>
      <c r="J723" s="6"/>
      <c r="M723" s="6"/>
      <c r="O723" s="6"/>
    </row>
    <row r="724" spans="7:15" x14ac:dyDescent="0.35">
      <c r="G724" s="6"/>
      <c r="H724" s="6"/>
      <c r="I724" s="6"/>
      <c r="J724" s="6"/>
      <c r="M724" s="6"/>
      <c r="O724" s="6"/>
    </row>
    <row r="725" spans="7:15" x14ac:dyDescent="0.35">
      <c r="G725" s="6"/>
      <c r="H725" s="6"/>
      <c r="I725" s="6"/>
      <c r="J725" s="6"/>
      <c r="M725" s="6"/>
      <c r="O725" s="6"/>
    </row>
    <row r="726" spans="7:15" x14ac:dyDescent="0.35">
      <c r="G726" s="6"/>
      <c r="H726" s="6"/>
      <c r="I726" s="6"/>
      <c r="J726" s="6"/>
      <c r="M726" s="6"/>
      <c r="O726" s="6"/>
    </row>
    <row r="727" spans="7:15" x14ac:dyDescent="0.35">
      <c r="G727" s="6"/>
      <c r="H727" s="6"/>
      <c r="I727" s="6"/>
      <c r="J727" s="6"/>
      <c r="M727" s="6"/>
      <c r="O727" s="6"/>
    </row>
    <row r="728" spans="7:15" x14ac:dyDescent="0.35">
      <c r="G728" s="6"/>
      <c r="H728" s="6"/>
      <c r="I728" s="6"/>
      <c r="J728" s="6"/>
      <c r="M728" s="6"/>
      <c r="O728" s="6"/>
    </row>
    <row r="729" spans="7:15" x14ac:dyDescent="0.35">
      <c r="G729" s="6"/>
      <c r="H729" s="6"/>
      <c r="I729" s="6"/>
      <c r="J729" s="6"/>
      <c r="M729" s="6"/>
      <c r="O729" s="6"/>
    </row>
    <row r="730" spans="7:15" x14ac:dyDescent="0.35">
      <c r="G730" s="6"/>
      <c r="H730" s="6"/>
      <c r="I730" s="6"/>
      <c r="J730" s="6"/>
      <c r="M730" s="6"/>
      <c r="O730" s="6"/>
    </row>
    <row r="731" spans="7:15" x14ac:dyDescent="0.35">
      <c r="G731" s="6"/>
      <c r="H731" s="6"/>
      <c r="I731" s="6"/>
      <c r="J731" s="6"/>
      <c r="M731" s="6"/>
      <c r="O731" s="6"/>
    </row>
    <row r="732" spans="7:15" x14ac:dyDescent="0.35">
      <c r="G732" s="6"/>
      <c r="H732" s="6"/>
      <c r="I732" s="6"/>
      <c r="J732" s="6"/>
      <c r="M732" s="6"/>
      <c r="O732" s="6"/>
    </row>
    <row r="733" spans="7:15" x14ac:dyDescent="0.35">
      <c r="G733" s="6"/>
      <c r="H733" s="6"/>
      <c r="I733" s="6"/>
      <c r="J733" s="6"/>
      <c r="M733" s="6"/>
      <c r="O733" s="6"/>
    </row>
    <row r="734" spans="7:15" x14ac:dyDescent="0.35">
      <c r="G734" s="6"/>
      <c r="H734" s="6"/>
      <c r="I734" s="6"/>
      <c r="J734" s="6"/>
      <c r="M734" s="6"/>
      <c r="O734" s="6"/>
    </row>
    <row r="735" spans="7:15" x14ac:dyDescent="0.35">
      <c r="G735" s="6"/>
      <c r="H735" s="6"/>
      <c r="I735" s="6"/>
      <c r="J735" s="6"/>
      <c r="M735" s="6"/>
      <c r="O735" s="6"/>
    </row>
    <row r="736" spans="7:15" x14ac:dyDescent="0.35">
      <c r="G736" s="6"/>
      <c r="H736" s="6"/>
      <c r="I736" s="6"/>
      <c r="J736" s="6"/>
      <c r="M736" s="6"/>
      <c r="O736" s="6"/>
    </row>
    <row r="737" spans="7:15" x14ac:dyDescent="0.35">
      <c r="G737" s="6"/>
      <c r="H737" s="6"/>
      <c r="I737" s="6"/>
      <c r="J737" s="6"/>
      <c r="M737" s="6"/>
      <c r="O737" s="6"/>
    </row>
    <row r="738" spans="7:15" x14ac:dyDescent="0.35">
      <c r="G738" s="6"/>
      <c r="H738" s="6"/>
      <c r="I738" s="6"/>
      <c r="J738" s="6"/>
      <c r="M738" s="6"/>
      <c r="O738" s="6"/>
    </row>
    <row r="739" spans="7:15" x14ac:dyDescent="0.35">
      <c r="G739" s="6"/>
      <c r="H739" s="6"/>
      <c r="I739" s="6"/>
      <c r="J739" s="6"/>
      <c r="M739" s="6"/>
      <c r="O739" s="6"/>
    </row>
    <row r="740" spans="7:15" x14ac:dyDescent="0.35">
      <c r="G740" s="6"/>
      <c r="H740" s="6"/>
      <c r="I740" s="6"/>
      <c r="J740" s="6"/>
      <c r="M740" s="6"/>
      <c r="O740" s="6"/>
    </row>
    <row r="741" spans="7:15" x14ac:dyDescent="0.35">
      <c r="G741" s="6"/>
      <c r="H741" s="6"/>
      <c r="I741" s="6"/>
      <c r="J741" s="6"/>
      <c r="M741" s="6"/>
      <c r="O741" s="6"/>
    </row>
    <row r="742" spans="7:15" x14ac:dyDescent="0.35">
      <c r="G742" s="6"/>
      <c r="H742" s="6"/>
      <c r="I742" s="6"/>
      <c r="J742" s="6"/>
      <c r="M742" s="6"/>
      <c r="O742" s="6"/>
    </row>
    <row r="743" spans="7:15" x14ac:dyDescent="0.35">
      <c r="G743" s="6"/>
      <c r="H743" s="6"/>
      <c r="I743" s="6"/>
      <c r="J743" s="6"/>
      <c r="M743" s="6"/>
      <c r="O743" s="6"/>
    </row>
    <row r="744" spans="7:15" x14ac:dyDescent="0.35">
      <c r="G744" s="6"/>
      <c r="H744" s="6"/>
      <c r="I744" s="6"/>
      <c r="J744" s="6"/>
      <c r="M744" s="6"/>
      <c r="O744" s="6"/>
    </row>
    <row r="745" spans="7:15" x14ac:dyDescent="0.35">
      <c r="G745" s="6"/>
      <c r="H745" s="6"/>
      <c r="I745" s="6"/>
      <c r="J745" s="6"/>
      <c r="M745" s="6"/>
      <c r="O745" s="6"/>
    </row>
    <row r="746" spans="7:15" x14ac:dyDescent="0.35">
      <c r="G746" s="6"/>
      <c r="H746" s="6"/>
      <c r="I746" s="6"/>
      <c r="J746" s="6"/>
      <c r="M746" s="6"/>
      <c r="O746" s="6"/>
    </row>
    <row r="747" spans="7:15" x14ac:dyDescent="0.35">
      <c r="G747" s="6"/>
      <c r="H747" s="6"/>
      <c r="I747" s="6"/>
      <c r="J747" s="6"/>
      <c r="M747" s="6"/>
      <c r="O747" s="6"/>
    </row>
    <row r="748" spans="7:15" x14ac:dyDescent="0.35">
      <c r="G748" s="6"/>
      <c r="H748" s="6"/>
      <c r="I748" s="6"/>
      <c r="J748" s="6"/>
      <c r="M748" s="6"/>
      <c r="O748" s="6"/>
    </row>
    <row r="749" spans="7:15" x14ac:dyDescent="0.35">
      <c r="G749" s="6"/>
      <c r="H749" s="6"/>
      <c r="I749" s="6"/>
      <c r="J749" s="6"/>
      <c r="M749" s="6"/>
      <c r="O749" s="6"/>
    </row>
    <row r="750" spans="7:15" x14ac:dyDescent="0.35">
      <c r="G750" s="6"/>
      <c r="H750" s="6"/>
      <c r="I750" s="6"/>
      <c r="J750" s="6"/>
      <c r="M750" s="6"/>
      <c r="O750" s="6"/>
    </row>
    <row r="751" spans="7:15" x14ac:dyDescent="0.35">
      <c r="G751" s="6"/>
      <c r="H751" s="6"/>
      <c r="I751" s="6"/>
      <c r="J751" s="6"/>
      <c r="M751" s="6"/>
      <c r="O751" s="6"/>
    </row>
    <row r="752" spans="7:15" x14ac:dyDescent="0.35">
      <c r="G752" s="6"/>
      <c r="H752" s="6"/>
      <c r="I752" s="6"/>
      <c r="J752" s="6"/>
      <c r="M752" s="6"/>
      <c r="O752" s="6"/>
    </row>
    <row r="753" spans="7:15" x14ac:dyDescent="0.35">
      <c r="G753" s="6"/>
      <c r="H753" s="6"/>
      <c r="I753" s="6"/>
      <c r="J753" s="6"/>
      <c r="M753" s="6"/>
      <c r="O753" s="6"/>
    </row>
    <row r="754" spans="7:15" x14ac:dyDescent="0.35">
      <c r="G754" s="6"/>
      <c r="H754" s="6"/>
      <c r="I754" s="6"/>
      <c r="J754" s="6"/>
      <c r="M754" s="6"/>
      <c r="O754" s="6"/>
    </row>
    <row r="755" spans="7:15" x14ac:dyDescent="0.35">
      <c r="G755" s="6"/>
      <c r="H755" s="6"/>
      <c r="I755" s="6"/>
      <c r="J755" s="6"/>
      <c r="M755" s="6"/>
      <c r="O755" s="6"/>
    </row>
    <row r="756" spans="7:15" x14ac:dyDescent="0.35">
      <c r="G756" s="6"/>
      <c r="H756" s="6"/>
      <c r="I756" s="6"/>
      <c r="J756" s="6"/>
      <c r="M756" s="6"/>
      <c r="O756" s="6"/>
    </row>
    <row r="757" spans="7:15" x14ac:dyDescent="0.35">
      <c r="G757" s="6"/>
      <c r="H757" s="6"/>
      <c r="I757" s="6"/>
      <c r="J757" s="6"/>
      <c r="M757" s="6"/>
      <c r="O757" s="6"/>
    </row>
    <row r="758" spans="7:15" x14ac:dyDescent="0.35">
      <c r="G758" s="6"/>
      <c r="H758" s="6"/>
      <c r="I758" s="6"/>
      <c r="J758" s="6"/>
      <c r="M758" s="6"/>
      <c r="O758" s="6"/>
    </row>
    <row r="759" spans="7:15" x14ac:dyDescent="0.35">
      <c r="G759" s="6"/>
      <c r="H759" s="6"/>
      <c r="I759" s="6"/>
      <c r="J759" s="6"/>
      <c r="M759" s="6"/>
      <c r="O759" s="6"/>
    </row>
    <row r="760" spans="7:15" x14ac:dyDescent="0.35">
      <c r="G760" s="6"/>
      <c r="H760" s="6"/>
      <c r="I760" s="6"/>
      <c r="J760" s="6"/>
      <c r="M760" s="6"/>
      <c r="O760" s="6"/>
    </row>
    <row r="761" spans="7:15" x14ac:dyDescent="0.35">
      <c r="G761" s="6"/>
      <c r="H761" s="6"/>
      <c r="I761" s="6"/>
      <c r="J761" s="6"/>
      <c r="M761" s="6"/>
      <c r="O761" s="6"/>
    </row>
    <row r="762" spans="7:15" x14ac:dyDescent="0.35">
      <c r="G762" s="6"/>
      <c r="H762" s="6"/>
      <c r="I762" s="6"/>
      <c r="J762" s="6"/>
      <c r="M762" s="6"/>
      <c r="O762" s="6"/>
    </row>
    <row r="763" spans="7:15" x14ac:dyDescent="0.35">
      <c r="G763" s="6"/>
      <c r="H763" s="6"/>
      <c r="I763" s="6"/>
      <c r="J763" s="6"/>
      <c r="M763" s="6"/>
      <c r="O763" s="6"/>
    </row>
    <row r="764" spans="7:15" x14ac:dyDescent="0.35">
      <c r="G764" s="6"/>
      <c r="H764" s="6"/>
      <c r="I764" s="6"/>
      <c r="J764" s="6"/>
      <c r="M764" s="6"/>
      <c r="O764" s="6"/>
    </row>
    <row r="765" spans="7:15" x14ac:dyDescent="0.35">
      <c r="G765" s="6"/>
      <c r="H765" s="6"/>
      <c r="I765" s="6"/>
      <c r="J765" s="6"/>
      <c r="M765" s="6"/>
      <c r="O765" s="6"/>
    </row>
    <row r="766" spans="7:15" x14ac:dyDescent="0.35">
      <c r="G766" s="6"/>
      <c r="H766" s="6"/>
      <c r="I766" s="6"/>
      <c r="J766" s="6"/>
      <c r="M766" s="6"/>
      <c r="O766" s="6"/>
    </row>
    <row r="767" spans="7:15" x14ac:dyDescent="0.35">
      <c r="G767" s="6"/>
      <c r="H767" s="6"/>
      <c r="I767" s="6"/>
      <c r="J767" s="6"/>
      <c r="M767" s="6"/>
      <c r="O767" s="6"/>
    </row>
    <row r="768" spans="7:15" x14ac:dyDescent="0.35">
      <c r="G768" s="6"/>
      <c r="H768" s="6"/>
      <c r="I768" s="6"/>
      <c r="J768" s="6"/>
      <c r="M768" s="6"/>
      <c r="O768" s="6"/>
    </row>
    <row r="769" spans="7:15" x14ac:dyDescent="0.35">
      <c r="G769" s="6"/>
      <c r="H769" s="6"/>
      <c r="I769" s="6"/>
      <c r="J769" s="6"/>
      <c r="M769" s="6"/>
      <c r="O769" s="6"/>
    </row>
    <row r="770" spans="7:15" x14ac:dyDescent="0.35">
      <c r="G770" s="6"/>
      <c r="H770" s="6"/>
      <c r="I770" s="6"/>
      <c r="J770" s="6"/>
      <c r="M770" s="6"/>
      <c r="O770" s="6"/>
    </row>
    <row r="771" spans="7:15" x14ac:dyDescent="0.35">
      <c r="G771" s="6"/>
      <c r="H771" s="6"/>
      <c r="I771" s="6"/>
      <c r="J771" s="6"/>
      <c r="M771" s="6"/>
      <c r="O771" s="6"/>
    </row>
    <row r="772" spans="7:15" x14ac:dyDescent="0.35">
      <c r="G772" s="6"/>
      <c r="H772" s="6"/>
      <c r="I772" s="6"/>
      <c r="J772" s="6"/>
      <c r="M772" s="6"/>
      <c r="O772" s="6"/>
    </row>
    <row r="773" spans="7:15" x14ac:dyDescent="0.35">
      <c r="G773" s="6"/>
      <c r="H773" s="6"/>
      <c r="I773" s="6"/>
      <c r="J773" s="6"/>
      <c r="M773" s="6"/>
      <c r="O773" s="6"/>
    </row>
    <row r="774" spans="7:15" x14ac:dyDescent="0.35">
      <c r="G774" s="6"/>
      <c r="H774" s="6"/>
      <c r="I774" s="6"/>
      <c r="J774" s="6"/>
      <c r="M774" s="6"/>
      <c r="O774" s="6"/>
    </row>
    <row r="775" spans="7:15" x14ac:dyDescent="0.35">
      <c r="G775" s="6"/>
      <c r="H775" s="6"/>
      <c r="I775" s="6"/>
      <c r="J775" s="6"/>
      <c r="M775" s="6"/>
      <c r="O775" s="6"/>
    </row>
    <row r="776" spans="7:15" x14ac:dyDescent="0.35">
      <c r="G776" s="6"/>
      <c r="H776" s="6"/>
      <c r="I776" s="6"/>
      <c r="J776" s="6"/>
      <c r="M776" s="6"/>
      <c r="O776" s="6"/>
    </row>
    <row r="777" spans="7:15" x14ac:dyDescent="0.35">
      <c r="G777" s="6"/>
      <c r="H777" s="6"/>
      <c r="I777" s="6"/>
      <c r="J777" s="6"/>
      <c r="M777" s="6"/>
      <c r="O777" s="6"/>
    </row>
    <row r="778" spans="7:15" x14ac:dyDescent="0.35">
      <c r="G778" s="6"/>
      <c r="H778" s="6"/>
      <c r="I778" s="6"/>
      <c r="J778" s="6"/>
      <c r="M778" s="6"/>
      <c r="O778" s="6"/>
    </row>
    <row r="779" spans="7:15" x14ac:dyDescent="0.35">
      <c r="G779" s="6"/>
      <c r="H779" s="6"/>
      <c r="I779" s="6"/>
      <c r="J779" s="6"/>
      <c r="M779" s="6"/>
      <c r="O779" s="6"/>
    </row>
    <row r="780" spans="7:15" x14ac:dyDescent="0.35">
      <c r="G780" s="6"/>
      <c r="H780" s="6"/>
      <c r="I780" s="6"/>
      <c r="J780" s="6"/>
      <c r="M780" s="6"/>
      <c r="O780" s="6"/>
    </row>
    <row r="781" spans="7:15" x14ac:dyDescent="0.35">
      <c r="G781" s="6"/>
      <c r="H781" s="6"/>
      <c r="I781" s="6"/>
      <c r="J781" s="6"/>
      <c r="M781" s="6"/>
      <c r="O781" s="6"/>
    </row>
    <row r="782" spans="7:15" x14ac:dyDescent="0.35">
      <c r="G782" s="6"/>
      <c r="H782" s="6"/>
      <c r="I782" s="6"/>
      <c r="J782" s="6"/>
      <c r="M782" s="6"/>
      <c r="O782" s="6"/>
    </row>
    <row r="783" spans="7:15" x14ac:dyDescent="0.35">
      <c r="G783" s="6"/>
      <c r="H783" s="6"/>
      <c r="I783" s="6"/>
      <c r="J783" s="6"/>
      <c r="M783" s="6"/>
      <c r="O783" s="6"/>
    </row>
    <row r="784" spans="7:15" x14ac:dyDescent="0.35">
      <c r="G784" s="6"/>
      <c r="H784" s="6"/>
      <c r="I784" s="6"/>
      <c r="J784" s="6"/>
      <c r="M784" s="6"/>
      <c r="O784" s="6"/>
    </row>
    <row r="785" spans="7:15" x14ac:dyDescent="0.35">
      <c r="G785" s="6"/>
      <c r="H785" s="6"/>
      <c r="I785" s="6"/>
      <c r="J785" s="6"/>
      <c r="M785" s="6"/>
      <c r="O785" s="6"/>
    </row>
    <row r="786" spans="7:15" x14ac:dyDescent="0.35">
      <c r="G786" s="6"/>
      <c r="H786" s="6"/>
      <c r="I786" s="6"/>
      <c r="J786" s="6"/>
      <c r="M786" s="6"/>
      <c r="O786" s="6"/>
    </row>
    <row r="787" spans="7:15" x14ac:dyDescent="0.35">
      <c r="G787" s="6"/>
      <c r="H787" s="6"/>
      <c r="I787" s="6"/>
      <c r="J787" s="6"/>
      <c r="M787" s="6"/>
      <c r="O787" s="6"/>
    </row>
    <row r="788" spans="7:15" x14ac:dyDescent="0.35">
      <c r="G788" s="6"/>
      <c r="H788" s="6"/>
      <c r="I788" s="6"/>
      <c r="J788" s="6"/>
      <c r="M788" s="6"/>
      <c r="O788" s="6"/>
    </row>
    <row r="789" spans="7:15" x14ac:dyDescent="0.35">
      <c r="G789" s="6"/>
      <c r="H789" s="6"/>
      <c r="I789" s="6"/>
      <c r="J789" s="6"/>
      <c r="M789" s="6"/>
      <c r="O789" s="6"/>
    </row>
    <row r="790" spans="7:15" x14ac:dyDescent="0.35">
      <c r="G790" s="6"/>
      <c r="H790" s="6"/>
      <c r="I790" s="6"/>
      <c r="J790" s="6"/>
      <c r="M790" s="6"/>
      <c r="O790" s="6"/>
    </row>
    <row r="791" spans="7:15" x14ac:dyDescent="0.35">
      <c r="G791" s="6"/>
      <c r="H791" s="6"/>
      <c r="I791" s="6"/>
      <c r="J791" s="6"/>
      <c r="M791" s="6"/>
      <c r="O791" s="6"/>
    </row>
    <row r="792" spans="7:15" x14ac:dyDescent="0.35">
      <c r="G792" s="6"/>
      <c r="H792" s="6"/>
      <c r="I792" s="6"/>
      <c r="J792" s="6"/>
      <c r="M792" s="6"/>
      <c r="O792" s="6"/>
    </row>
    <row r="793" spans="7:15" x14ac:dyDescent="0.35">
      <c r="G793" s="6"/>
      <c r="H793" s="6"/>
      <c r="I793" s="6"/>
      <c r="J793" s="6"/>
      <c r="M793" s="6"/>
      <c r="O793" s="6"/>
    </row>
    <row r="794" spans="7:15" x14ac:dyDescent="0.35">
      <c r="G794" s="6"/>
      <c r="H794" s="6"/>
      <c r="I794" s="6"/>
      <c r="J794" s="6"/>
      <c r="M794" s="6"/>
      <c r="O794" s="6"/>
    </row>
    <row r="795" spans="7:15" x14ac:dyDescent="0.35">
      <c r="G795" s="6"/>
      <c r="H795" s="6"/>
      <c r="I795" s="6"/>
      <c r="J795" s="6"/>
      <c r="M795" s="6"/>
      <c r="O795" s="6"/>
    </row>
    <row r="796" spans="7:15" x14ac:dyDescent="0.35">
      <c r="G796" s="6"/>
      <c r="H796" s="6"/>
      <c r="I796" s="6"/>
      <c r="J796" s="6"/>
      <c r="M796" s="6"/>
      <c r="O796" s="6"/>
    </row>
    <row r="797" spans="7:15" x14ac:dyDescent="0.35">
      <c r="G797" s="6"/>
      <c r="H797" s="6"/>
      <c r="I797" s="6"/>
      <c r="J797" s="6"/>
      <c r="M797" s="6"/>
      <c r="O797" s="6"/>
    </row>
    <row r="798" spans="7:15" x14ac:dyDescent="0.35">
      <c r="G798" s="6"/>
      <c r="H798" s="6"/>
      <c r="I798" s="6"/>
      <c r="J798" s="6"/>
      <c r="M798" s="6"/>
      <c r="O798" s="6"/>
    </row>
    <row r="799" spans="7:15" x14ac:dyDescent="0.35">
      <c r="G799" s="6"/>
      <c r="H799" s="6"/>
      <c r="I799" s="6"/>
      <c r="J799" s="6"/>
      <c r="M799" s="6"/>
      <c r="O799" s="6"/>
    </row>
    <row r="800" spans="7:15" x14ac:dyDescent="0.35">
      <c r="G800" s="6"/>
      <c r="H800" s="6"/>
      <c r="I800" s="6"/>
      <c r="J800" s="6"/>
      <c r="M800" s="6"/>
      <c r="O800" s="6"/>
    </row>
    <row r="801" spans="7:15" x14ac:dyDescent="0.35">
      <c r="G801" s="6"/>
      <c r="H801" s="6"/>
      <c r="I801" s="6"/>
      <c r="J801" s="6"/>
      <c r="M801" s="6"/>
      <c r="O801" s="6"/>
    </row>
    <row r="802" spans="7:15" x14ac:dyDescent="0.35">
      <c r="G802" s="6"/>
      <c r="H802" s="6"/>
      <c r="I802" s="6"/>
      <c r="J802" s="6"/>
      <c r="M802" s="6"/>
      <c r="O802" s="6"/>
    </row>
    <row r="803" spans="7:15" x14ac:dyDescent="0.35">
      <c r="G803" s="6"/>
      <c r="H803" s="6"/>
      <c r="I803" s="6"/>
      <c r="J803" s="6"/>
      <c r="M803" s="6"/>
      <c r="O803" s="6"/>
    </row>
    <row r="804" spans="7:15" x14ac:dyDescent="0.35">
      <c r="G804" s="6"/>
      <c r="H804" s="6"/>
      <c r="I804" s="6"/>
      <c r="J804" s="6"/>
      <c r="M804" s="6"/>
      <c r="O804" s="6"/>
    </row>
    <row r="805" spans="7:15" x14ac:dyDescent="0.35">
      <c r="G805" s="6"/>
      <c r="H805" s="6"/>
      <c r="I805" s="6"/>
      <c r="J805" s="6"/>
      <c r="M805" s="6"/>
      <c r="O805" s="6"/>
    </row>
    <row r="806" spans="7:15" x14ac:dyDescent="0.35">
      <c r="G806" s="6"/>
      <c r="H806" s="6"/>
      <c r="I806" s="6"/>
      <c r="J806" s="6"/>
      <c r="M806" s="6"/>
      <c r="O806" s="6"/>
    </row>
    <row r="807" spans="7:15" x14ac:dyDescent="0.35">
      <c r="G807" s="6"/>
      <c r="H807" s="6"/>
      <c r="I807" s="6"/>
      <c r="J807" s="6"/>
      <c r="M807" s="6"/>
      <c r="O807" s="6"/>
    </row>
    <row r="808" spans="7:15" x14ac:dyDescent="0.35">
      <c r="G808" s="6"/>
      <c r="H808" s="6"/>
      <c r="I808" s="6"/>
      <c r="J808" s="6"/>
      <c r="M808" s="6"/>
      <c r="O808" s="6"/>
    </row>
    <row r="809" spans="7:15" x14ac:dyDescent="0.35">
      <c r="G809" s="6"/>
      <c r="H809" s="6"/>
      <c r="I809" s="6"/>
      <c r="J809" s="6"/>
      <c r="M809" s="6"/>
      <c r="O809" s="6"/>
    </row>
    <row r="810" spans="7:15" x14ac:dyDescent="0.35">
      <c r="G810" s="6"/>
      <c r="H810" s="6"/>
      <c r="I810" s="6"/>
      <c r="J810" s="6"/>
      <c r="M810" s="6"/>
      <c r="O810" s="6"/>
    </row>
    <row r="811" spans="7:15" x14ac:dyDescent="0.35">
      <c r="G811" s="6"/>
      <c r="H811" s="6"/>
      <c r="I811" s="6"/>
      <c r="J811" s="6"/>
      <c r="M811" s="6"/>
      <c r="O811" s="6"/>
    </row>
    <row r="812" spans="7:15" x14ac:dyDescent="0.35">
      <c r="G812" s="6"/>
      <c r="H812" s="6"/>
      <c r="I812" s="6"/>
      <c r="J812" s="6"/>
      <c r="M812" s="6"/>
      <c r="O812" s="6"/>
    </row>
    <row r="813" spans="7:15" x14ac:dyDescent="0.35">
      <c r="G813" s="6"/>
      <c r="H813" s="6"/>
      <c r="I813" s="6"/>
      <c r="J813" s="6"/>
      <c r="M813" s="6"/>
      <c r="O813" s="6"/>
    </row>
    <row r="814" spans="7:15" x14ac:dyDescent="0.35">
      <c r="G814" s="6"/>
      <c r="H814" s="6"/>
      <c r="I814" s="6"/>
      <c r="J814" s="6"/>
      <c r="M814" s="6"/>
      <c r="O814" s="6"/>
    </row>
    <row r="815" spans="7:15" x14ac:dyDescent="0.35">
      <c r="G815" s="6"/>
      <c r="H815" s="6"/>
      <c r="I815" s="6"/>
      <c r="J815" s="6"/>
      <c r="M815" s="6"/>
      <c r="O815" s="6"/>
    </row>
    <row r="816" spans="7:15" x14ac:dyDescent="0.35">
      <c r="G816" s="6"/>
      <c r="H816" s="6"/>
      <c r="I816" s="6"/>
      <c r="J816" s="6"/>
      <c r="M816" s="6"/>
      <c r="O816" s="6"/>
    </row>
    <row r="817" spans="7:15" x14ac:dyDescent="0.35">
      <c r="G817" s="6"/>
      <c r="H817" s="6"/>
      <c r="I817" s="6"/>
      <c r="J817" s="6"/>
      <c r="M817" s="6"/>
      <c r="O817" s="6"/>
    </row>
    <row r="818" spans="7:15" x14ac:dyDescent="0.35">
      <c r="G818" s="6"/>
      <c r="H818" s="6"/>
      <c r="I818" s="6"/>
      <c r="J818" s="6"/>
      <c r="M818" s="6"/>
      <c r="O818" s="6"/>
    </row>
    <row r="819" spans="7:15" x14ac:dyDescent="0.35">
      <c r="G819" s="6"/>
      <c r="H819" s="6"/>
      <c r="I819" s="6"/>
      <c r="J819" s="6"/>
      <c r="M819" s="6"/>
      <c r="O819" s="6"/>
    </row>
    <row r="820" spans="7:15" x14ac:dyDescent="0.35">
      <c r="G820" s="6"/>
      <c r="H820" s="6"/>
      <c r="I820" s="6"/>
      <c r="J820" s="6"/>
      <c r="M820" s="6"/>
      <c r="O820" s="6"/>
    </row>
    <row r="821" spans="7:15" x14ac:dyDescent="0.35">
      <c r="G821" s="6"/>
      <c r="H821" s="6"/>
      <c r="I821" s="6"/>
      <c r="J821" s="6"/>
      <c r="M821" s="6"/>
      <c r="O821" s="6"/>
    </row>
    <row r="822" spans="7:15" x14ac:dyDescent="0.35">
      <c r="G822" s="6"/>
      <c r="H822" s="6"/>
      <c r="I822" s="6"/>
      <c r="J822" s="6"/>
      <c r="M822" s="6"/>
      <c r="O822" s="6"/>
    </row>
    <row r="823" spans="7:15" x14ac:dyDescent="0.35">
      <c r="G823" s="6"/>
      <c r="H823" s="6"/>
      <c r="I823" s="6"/>
      <c r="J823" s="6"/>
      <c r="M823" s="6"/>
      <c r="O823" s="6"/>
    </row>
    <row r="824" spans="7:15" x14ac:dyDescent="0.35">
      <c r="G824" s="6"/>
      <c r="H824" s="6"/>
      <c r="I824" s="6"/>
      <c r="J824" s="6"/>
      <c r="M824" s="6"/>
      <c r="O824" s="6"/>
    </row>
    <row r="825" spans="7:15" x14ac:dyDescent="0.35">
      <c r="G825" s="6"/>
      <c r="H825" s="6"/>
      <c r="I825" s="6"/>
      <c r="J825" s="6"/>
      <c r="M825" s="6"/>
      <c r="O825" s="6"/>
    </row>
    <row r="826" spans="7:15" x14ac:dyDescent="0.35">
      <c r="G826" s="6"/>
      <c r="H826" s="6"/>
      <c r="I826" s="6"/>
      <c r="J826" s="6"/>
      <c r="M826" s="6"/>
      <c r="O826" s="6"/>
    </row>
    <row r="827" spans="7:15" x14ac:dyDescent="0.35">
      <c r="G827" s="6"/>
      <c r="H827" s="6"/>
      <c r="I827" s="6"/>
      <c r="J827" s="6"/>
      <c r="M827" s="6"/>
      <c r="O827" s="6"/>
    </row>
    <row r="828" spans="7:15" x14ac:dyDescent="0.35">
      <c r="G828" s="6"/>
      <c r="H828" s="6"/>
      <c r="I828" s="6"/>
      <c r="J828" s="6"/>
      <c r="M828" s="6"/>
      <c r="O828" s="6"/>
    </row>
    <row r="829" spans="7:15" x14ac:dyDescent="0.35">
      <c r="G829" s="6"/>
      <c r="H829" s="6"/>
      <c r="I829" s="6"/>
      <c r="J829" s="6"/>
      <c r="M829" s="6"/>
      <c r="O829" s="6"/>
    </row>
    <row r="830" spans="7:15" x14ac:dyDescent="0.35">
      <c r="G830" s="6"/>
      <c r="H830" s="6"/>
      <c r="I830" s="6"/>
      <c r="J830" s="6"/>
      <c r="M830" s="6"/>
      <c r="O830" s="6"/>
    </row>
    <row r="831" spans="7:15" x14ac:dyDescent="0.35">
      <c r="G831" s="6"/>
      <c r="H831" s="6"/>
      <c r="I831" s="6"/>
      <c r="J831" s="6"/>
      <c r="M831" s="6"/>
      <c r="O831" s="6"/>
    </row>
    <row r="832" spans="7:15" x14ac:dyDescent="0.35">
      <c r="G832" s="6"/>
      <c r="H832" s="6"/>
      <c r="I832" s="6"/>
      <c r="J832" s="6"/>
      <c r="M832" s="6"/>
      <c r="O832" s="6"/>
    </row>
    <row r="833" spans="7:15" x14ac:dyDescent="0.35">
      <c r="G833" s="6"/>
      <c r="H833" s="6"/>
      <c r="I833" s="6"/>
      <c r="J833" s="6"/>
      <c r="M833" s="6"/>
      <c r="O833" s="6"/>
    </row>
    <row r="834" spans="7:15" x14ac:dyDescent="0.35">
      <c r="G834" s="6"/>
      <c r="H834" s="6"/>
      <c r="I834" s="6"/>
      <c r="J834" s="6"/>
      <c r="M834" s="6"/>
      <c r="O834" s="6"/>
    </row>
    <row r="835" spans="7:15" x14ac:dyDescent="0.35">
      <c r="G835" s="6"/>
      <c r="H835" s="6"/>
      <c r="I835" s="6"/>
      <c r="J835" s="6"/>
      <c r="M835" s="6"/>
      <c r="O835" s="6"/>
    </row>
    <row r="836" spans="7:15" x14ac:dyDescent="0.35">
      <c r="G836" s="6"/>
      <c r="H836" s="6"/>
      <c r="I836" s="6"/>
      <c r="J836" s="6"/>
      <c r="M836" s="6"/>
      <c r="O836" s="6"/>
    </row>
    <row r="837" spans="7:15" x14ac:dyDescent="0.35">
      <c r="G837" s="6"/>
      <c r="H837" s="6"/>
      <c r="I837" s="6"/>
      <c r="J837" s="6"/>
      <c r="M837" s="6"/>
      <c r="O837" s="6"/>
    </row>
    <row r="838" spans="7:15" x14ac:dyDescent="0.35">
      <c r="G838" s="6"/>
      <c r="H838" s="6"/>
      <c r="I838" s="6"/>
      <c r="J838" s="6"/>
      <c r="M838" s="6"/>
      <c r="O838" s="6"/>
    </row>
    <row r="839" spans="7:15" x14ac:dyDescent="0.35">
      <c r="G839" s="6"/>
      <c r="H839" s="6"/>
      <c r="I839" s="6"/>
      <c r="J839" s="6"/>
      <c r="M839" s="6"/>
      <c r="O839" s="6"/>
    </row>
    <row r="840" spans="7:15" x14ac:dyDescent="0.35">
      <c r="G840" s="6"/>
      <c r="H840" s="6"/>
      <c r="I840" s="6"/>
      <c r="J840" s="6"/>
      <c r="M840" s="6"/>
      <c r="O840" s="6"/>
    </row>
    <row r="841" spans="7:15" x14ac:dyDescent="0.35">
      <c r="G841" s="6"/>
      <c r="H841" s="6"/>
      <c r="I841" s="6"/>
      <c r="J841" s="6"/>
      <c r="M841" s="6"/>
      <c r="O841" s="6"/>
    </row>
    <row r="842" spans="7:15" x14ac:dyDescent="0.35">
      <c r="G842" s="6"/>
      <c r="H842" s="6"/>
      <c r="I842" s="6"/>
      <c r="J842" s="6"/>
      <c r="M842" s="6"/>
      <c r="O842" s="6"/>
    </row>
    <row r="843" spans="7:15" x14ac:dyDescent="0.35">
      <c r="G843" s="6"/>
      <c r="H843" s="6"/>
      <c r="I843" s="6"/>
      <c r="J843" s="6"/>
      <c r="M843" s="6"/>
      <c r="O843" s="6"/>
    </row>
    <row r="844" spans="7:15" x14ac:dyDescent="0.35">
      <c r="G844" s="6"/>
      <c r="H844" s="6"/>
      <c r="I844" s="6"/>
      <c r="J844" s="6"/>
      <c r="M844" s="6"/>
      <c r="O844" s="6"/>
    </row>
    <row r="845" spans="7:15" x14ac:dyDescent="0.35">
      <c r="G845" s="6"/>
      <c r="H845" s="6"/>
      <c r="I845" s="6"/>
      <c r="J845" s="6"/>
      <c r="M845" s="6"/>
      <c r="O845" s="6"/>
    </row>
    <row r="846" spans="7:15" x14ac:dyDescent="0.35">
      <c r="G846" s="6"/>
      <c r="H846" s="6"/>
      <c r="I846" s="6"/>
      <c r="J846" s="6"/>
      <c r="M846" s="6"/>
      <c r="O846" s="6"/>
    </row>
    <row r="847" spans="7:15" x14ac:dyDescent="0.35">
      <c r="G847" s="6"/>
      <c r="H847" s="6"/>
      <c r="I847" s="6"/>
      <c r="J847" s="6"/>
      <c r="M847" s="6"/>
      <c r="O847" s="6"/>
    </row>
    <row r="848" spans="7:15" x14ac:dyDescent="0.35">
      <c r="G848" s="6"/>
      <c r="H848" s="6"/>
      <c r="I848" s="6"/>
      <c r="J848" s="6"/>
      <c r="M848" s="6"/>
      <c r="O848" s="6"/>
    </row>
    <row r="849" spans="7:15" x14ac:dyDescent="0.35">
      <c r="G849" s="6"/>
      <c r="H849" s="6"/>
      <c r="I849" s="6"/>
      <c r="J849" s="6"/>
      <c r="M849" s="6"/>
      <c r="O849" s="6"/>
    </row>
    <row r="850" spans="7:15" x14ac:dyDescent="0.35">
      <c r="G850" s="6"/>
      <c r="H850" s="6"/>
      <c r="I850" s="6"/>
      <c r="J850" s="6"/>
      <c r="M850" s="6"/>
      <c r="O850" s="6"/>
    </row>
    <row r="851" spans="7:15" x14ac:dyDescent="0.35">
      <c r="G851" s="6"/>
      <c r="H851" s="6"/>
      <c r="I851" s="6"/>
      <c r="J851" s="6"/>
      <c r="M851" s="6"/>
      <c r="O851" s="6"/>
    </row>
    <row r="852" spans="7:15" x14ac:dyDescent="0.35">
      <c r="G852" s="6"/>
      <c r="H852" s="6"/>
      <c r="I852" s="6"/>
      <c r="J852" s="6"/>
      <c r="M852" s="6"/>
      <c r="O852" s="6"/>
    </row>
    <row r="853" spans="7:15" x14ac:dyDescent="0.35">
      <c r="G853" s="6"/>
      <c r="H853" s="6"/>
      <c r="I853" s="6"/>
      <c r="J853" s="6"/>
      <c r="M853" s="6"/>
      <c r="O853" s="6"/>
    </row>
    <row r="854" spans="7:15" x14ac:dyDescent="0.35">
      <c r="G854" s="6"/>
      <c r="H854" s="6"/>
      <c r="I854" s="6"/>
      <c r="J854" s="6"/>
      <c r="M854" s="6"/>
      <c r="O854" s="6"/>
    </row>
    <row r="855" spans="7:15" x14ac:dyDescent="0.35">
      <c r="G855" s="6"/>
      <c r="H855" s="6"/>
      <c r="I855" s="6"/>
      <c r="J855" s="6"/>
      <c r="M855" s="6"/>
      <c r="O855" s="6"/>
    </row>
    <row r="856" spans="7:15" x14ac:dyDescent="0.35">
      <c r="G856" s="6"/>
      <c r="H856" s="6"/>
      <c r="I856" s="6"/>
      <c r="J856" s="6"/>
      <c r="M856" s="6"/>
      <c r="O856" s="6"/>
    </row>
    <row r="857" spans="7:15" x14ac:dyDescent="0.35">
      <c r="G857" s="6"/>
      <c r="H857" s="6"/>
      <c r="I857" s="6"/>
      <c r="J857" s="6"/>
      <c r="M857" s="6"/>
      <c r="O857" s="6"/>
    </row>
    <row r="858" spans="7:15" x14ac:dyDescent="0.35">
      <c r="G858" s="6"/>
      <c r="H858" s="6"/>
      <c r="I858" s="6"/>
      <c r="J858" s="6"/>
      <c r="M858" s="6"/>
      <c r="O858" s="6"/>
    </row>
    <row r="859" spans="7:15" x14ac:dyDescent="0.35">
      <c r="G859" s="6"/>
      <c r="H859" s="6"/>
      <c r="I859" s="6"/>
      <c r="J859" s="6"/>
      <c r="M859" s="6"/>
      <c r="O859" s="6"/>
    </row>
    <row r="860" spans="7:15" x14ac:dyDescent="0.35">
      <c r="G860" s="6"/>
      <c r="H860" s="6"/>
      <c r="I860" s="6"/>
      <c r="J860" s="6"/>
      <c r="M860" s="6"/>
      <c r="O860" s="6"/>
    </row>
    <row r="861" spans="7:15" x14ac:dyDescent="0.35">
      <c r="G861" s="6"/>
      <c r="H861" s="6"/>
      <c r="I861" s="6"/>
      <c r="J861" s="6"/>
      <c r="M861" s="6"/>
      <c r="O861" s="6"/>
    </row>
    <row r="862" spans="7:15" x14ac:dyDescent="0.35">
      <c r="G862" s="6"/>
      <c r="H862" s="6"/>
      <c r="I862" s="6"/>
      <c r="J862" s="6"/>
      <c r="M862" s="6"/>
      <c r="O862" s="6"/>
    </row>
    <row r="863" spans="7:15" x14ac:dyDescent="0.35">
      <c r="G863" s="6"/>
      <c r="H863" s="6"/>
      <c r="I863" s="6"/>
      <c r="J863" s="6"/>
      <c r="M863" s="6"/>
      <c r="O863" s="6"/>
    </row>
    <row r="864" spans="7:15" x14ac:dyDescent="0.35">
      <c r="G864" s="6"/>
      <c r="H864" s="6"/>
      <c r="I864" s="6"/>
      <c r="J864" s="6"/>
      <c r="M864" s="6"/>
      <c r="O864" s="6"/>
    </row>
    <row r="865" spans="7:15" x14ac:dyDescent="0.35">
      <c r="G865" s="6"/>
      <c r="H865" s="6"/>
      <c r="I865" s="6"/>
      <c r="J865" s="6"/>
      <c r="M865" s="6"/>
      <c r="O865" s="6"/>
    </row>
    <row r="866" spans="7:15" x14ac:dyDescent="0.35">
      <c r="G866" s="6"/>
      <c r="H866" s="6"/>
      <c r="I866" s="6"/>
      <c r="J866" s="6"/>
      <c r="M866" s="6"/>
      <c r="O866" s="6"/>
    </row>
    <row r="867" spans="7:15" x14ac:dyDescent="0.35">
      <c r="G867" s="6"/>
      <c r="H867" s="6"/>
      <c r="I867" s="6"/>
      <c r="J867" s="6"/>
      <c r="M867" s="6"/>
      <c r="O867" s="6"/>
    </row>
    <row r="868" spans="7:15" x14ac:dyDescent="0.35">
      <c r="G868" s="6"/>
      <c r="H868" s="6"/>
      <c r="I868" s="6"/>
      <c r="J868" s="6"/>
      <c r="M868" s="6"/>
      <c r="O868" s="6"/>
    </row>
    <row r="869" spans="7:15" x14ac:dyDescent="0.35">
      <c r="G869" s="6"/>
      <c r="H869" s="6"/>
      <c r="I869" s="6"/>
      <c r="J869" s="6"/>
      <c r="M869" s="6"/>
      <c r="O869" s="6"/>
    </row>
    <row r="870" spans="7:15" x14ac:dyDescent="0.35">
      <c r="G870" s="6"/>
      <c r="H870" s="6"/>
      <c r="I870" s="6"/>
      <c r="J870" s="6"/>
      <c r="M870" s="6"/>
      <c r="O870" s="6"/>
    </row>
    <row r="871" spans="7:15" x14ac:dyDescent="0.35">
      <c r="G871" s="6"/>
      <c r="H871" s="6"/>
      <c r="I871" s="6"/>
      <c r="J871" s="6"/>
      <c r="M871" s="6"/>
      <c r="O871" s="6"/>
    </row>
    <row r="872" spans="7:15" x14ac:dyDescent="0.35">
      <c r="G872" s="6"/>
      <c r="H872" s="6"/>
      <c r="I872" s="6"/>
      <c r="J872" s="6"/>
      <c r="M872" s="6"/>
      <c r="O872" s="6"/>
    </row>
    <row r="873" spans="7:15" x14ac:dyDescent="0.35">
      <c r="G873" s="6"/>
      <c r="H873" s="6"/>
      <c r="I873" s="6"/>
      <c r="J873" s="6"/>
      <c r="M873" s="6"/>
      <c r="O873" s="6"/>
    </row>
    <row r="874" spans="7:15" x14ac:dyDescent="0.35">
      <c r="G874" s="6"/>
      <c r="H874" s="6"/>
      <c r="I874" s="6"/>
      <c r="J874" s="6"/>
      <c r="M874" s="6"/>
      <c r="O874" s="6"/>
    </row>
    <row r="875" spans="7:15" x14ac:dyDescent="0.35">
      <c r="G875" s="6"/>
      <c r="H875" s="6"/>
      <c r="I875" s="6"/>
      <c r="J875" s="6"/>
      <c r="M875" s="6"/>
      <c r="O875" s="6"/>
    </row>
    <row r="876" spans="7:15" x14ac:dyDescent="0.35">
      <c r="G876" s="6"/>
      <c r="H876" s="6"/>
      <c r="I876" s="6"/>
      <c r="J876" s="6"/>
      <c r="M876" s="6"/>
      <c r="O876" s="6"/>
    </row>
    <row r="877" spans="7:15" x14ac:dyDescent="0.35">
      <c r="G877" s="6"/>
      <c r="H877" s="6"/>
      <c r="I877" s="6"/>
      <c r="J877" s="6"/>
      <c r="M877" s="6"/>
      <c r="O877" s="6"/>
    </row>
    <row r="878" spans="7:15" x14ac:dyDescent="0.35">
      <c r="G878" s="6"/>
      <c r="H878" s="6"/>
      <c r="I878" s="6"/>
      <c r="J878" s="6"/>
      <c r="M878" s="6"/>
      <c r="O878" s="6"/>
    </row>
    <row r="879" spans="7:15" x14ac:dyDescent="0.35">
      <c r="G879" s="6"/>
      <c r="H879" s="6"/>
      <c r="I879" s="6"/>
      <c r="J879" s="6"/>
      <c r="M879" s="6"/>
      <c r="O879" s="6"/>
    </row>
    <row r="880" spans="7:15" x14ac:dyDescent="0.35">
      <c r="G880" s="6"/>
      <c r="H880" s="6"/>
      <c r="I880" s="6"/>
      <c r="J880" s="6"/>
      <c r="M880" s="6"/>
      <c r="O880" s="6"/>
    </row>
    <row r="881" spans="7:15" x14ac:dyDescent="0.35">
      <c r="G881" s="6"/>
      <c r="H881" s="6"/>
      <c r="I881" s="6"/>
      <c r="J881" s="6"/>
      <c r="M881" s="6"/>
      <c r="O881" s="6"/>
    </row>
    <row r="882" spans="7:15" x14ac:dyDescent="0.35">
      <c r="G882" s="6"/>
      <c r="H882" s="6"/>
      <c r="I882" s="6"/>
      <c r="J882" s="6"/>
      <c r="M882" s="6"/>
      <c r="O882" s="6"/>
    </row>
    <row r="883" spans="7:15" x14ac:dyDescent="0.35">
      <c r="G883" s="6"/>
      <c r="H883" s="6"/>
      <c r="I883" s="6"/>
      <c r="J883" s="6"/>
      <c r="M883" s="6"/>
      <c r="O883" s="6"/>
    </row>
    <row r="884" spans="7:15" x14ac:dyDescent="0.35">
      <c r="G884" s="6"/>
      <c r="H884" s="6"/>
      <c r="I884" s="6"/>
      <c r="J884" s="6"/>
      <c r="M884" s="6"/>
      <c r="O884" s="6"/>
    </row>
    <row r="885" spans="7:15" x14ac:dyDescent="0.35">
      <c r="G885" s="6"/>
      <c r="H885" s="6"/>
      <c r="I885" s="6"/>
      <c r="J885" s="6"/>
      <c r="M885" s="6"/>
      <c r="O885" s="6"/>
    </row>
    <row r="886" spans="7:15" x14ac:dyDescent="0.35">
      <c r="G886" s="6"/>
      <c r="H886" s="6"/>
      <c r="I886" s="6"/>
      <c r="J886" s="6"/>
      <c r="M886" s="6"/>
      <c r="O886" s="6"/>
    </row>
    <row r="887" spans="7:15" x14ac:dyDescent="0.35">
      <c r="G887" s="6"/>
      <c r="H887" s="6"/>
      <c r="I887" s="6"/>
      <c r="J887" s="6"/>
      <c r="M887" s="6"/>
      <c r="O887" s="6"/>
    </row>
    <row r="888" spans="7:15" x14ac:dyDescent="0.35">
      <c r="G888" s="6"/>
      <c r="H888" s="6"/>
      <c r="I888" s="6"/>
      <c r="J888" s="6"/>
      <c r="M888" s="6"/>
      <c r="O888" s="6"/>
    </row>
    <row r="889" spans="7:15" x14ac:dyDescent="0.35">
      <c r="G889" s="6"/>
      <c r="H889" s="6"/>
      <c r="I889" s="6"/>
      <c r="J889" s="6"/>
      <c r="M889" s="6"/>
      <c r="O889" s="6"/>
    </row>
    <row r="890" spans="7:15" x14ac:dyDescent="0.35">
      <c r="G890" s="6"/>
      <c r="H890" s="6"/>
      <c r="I890" s="6"/>
      <c r="J890" s="6"/>
      <c r="M890" s="6"/>
      <c r="O890" s="6"/>
    </row>
    <row r="891" spans="7:15" x14ac:dyDescent="0.35">
      <c r="G891" s="6"/>
      <c r="H891" s="6"/>
      <c r="I891" s="6"/>
      <c r="J891" s="6"/>
      <c r="M891" s="6"/>
      <c r="O891" s="6"/>
    </row>
    <row r="892" spans="7:15" x14ac:dyDescent="0.35">
      <c r="G892" s="6"/>
      <c r="H892" s="6"/>
      <c r="I892" s="6"/>
      <c r="J892" s="6"/>
      <c r="M892" s="6"/>
      <c r="O892" s="6"/>
    </row>
    <row r="893" spans="7:15" x14ac:dyDescent="0.35">
      <c r="G893" s="6"/>
      <c r="H893" s="6"/>
      <c r="I893" s="6"/>
      <c r="J893" s="6"/>
      <c r="M893" s="6"/>
      <c r="O893" s="6"/>
    </row>
    <row r="894" spans="7:15" x14ac:dyDescent="0.35">
      <c r="G894" s="6"/>
      <c r="H894" s="6"/>
      <c r="I894" s="6"/>
      <c r="J894" s="6"/>
      <c r="M894" s="6"/>
      <c r="O894" s="6"/>
    </row>
    <row r="895" spans="7:15" x14ac:dyDescent="0.35">
      <c r="G895" s="6"/>
      <c r="H895" s="6"/>
      <c r="I895" s="6"/>
      <c r="J895" s="6"/>
      <c r="M895" s="6"/>
      <c r="O895" s="6"/>
    </row>
    <row r="896" spans="7:15" x14ac:dyDescent="0.35">
      <c r="G896" s="6"/>
      <c r="H896" s="6"/>
      <c r="I896" s="6"/>
      <c r="J896" s="6"/>
      <c r="M896" s="6"/>
      <c r="O896" s="6"/>
    </row>
    <row r="897" spans="7:15" x14ac:dyDescent="0.35">
      <c r="G897" s="6"/>
      <c r="H897" s="6"/>
      <c r="I897" s="6"/>
      <c r="J897" s="6"/>
      <c r="M897" s="6"/>
      <c r="O897" s="6"/>
    </row>
    <row r="898" spans="7:15" x14ac:dyDescent="0.35">
      <c r="G898" s="6"/>
      <c r="H898" s="6"/>
      <c r="I898" s="6"/>
      <c r="J898" s="6"/>
      <c r="M898" s="6"/>
      <c r="O898" s="6"/>
    </row>
    <row r="899" spans="7:15" x14ac:dyDescent="0.35">
      <c r="G899" s="6"/>
      <c r="H899" s="6"/>
      <c r="I899" s="6"/>
      <c r="J899" s="6"/>
      <c r="M899" s="6"/>
      <c r="O899" s="6"/>
    </row>
    <row r="900" spans="7:15" x14ac:dyDescent="0.35">
      <c r="G900" s="6"/>
      <c r="H900" s="6"/>
      <c r="I900" s="6"/>
      <c r="J900" s="6"/>
      <c r="M900" s="6"/>
      <c r="O900" s="6"/>
    </row>
    <row r="901" spans="7:15" x14ac:dyDescent="0.35">
      <c r="G901" s="6"/>
      <c r="H901" s="6"/>
      <c r="I901" s="6"/>
      <c r="J901" s="6"/>
      <c r="M901" s="6"/>
      <c r="O901" s="6"/>
    </row>
    <row r="902" spans="7:15" x14ac:dyDescent="0.35">
      <c r="G902" s="6"/>
      <c r="H902" s="6"/>
      <c r="I902" s="6"/>
      <c r="J902" s="6"/>
      <c r="M902" s="6"/>
      <c r="O902" s="6"/>
    </row>
    <row r="903" spans="7:15" x14ac:dyDescent="0.35">
      <c r="G903" s="6"/>
      <c r="H903" s="6"/>
      <c r="I903" s="6"/>
      <c r="J903" s="6"/>
      <c r="M903" s="6"/>
      <c r="O903" s="6"/>
    </row>
    <row r="904" spans="7:15" x14ac:dyDescent="0.35">
      <c r="G904" s="6"/>
      <c r="H904" s="6"/>
      <c r="I904" s="6"/>
      <c r="J904" s="6"/>
      <c r="M904" s="6"/>
      <c r="O904" s="6"/>
    </row>
    <row r="905" spans="7:15" x14ac:dyDescent="0.35">
      <c r="G905" s="6"/>
      <c r="H905" s="6"/>
      <c r="I905" s="6"/>
      <c r="J905" s="6"/>
      <c r="M905" s="6"/>
      <c r="O905" s="6"/>
    </row>
    <row r="906" spans="7:15" x14ac:dyDescent="0.35">
      <c r="G906" s="6"/>
      <c r="H906" s="6"/>
      <c r="I906" s="6"/>
      <c r="J906" s="6"/>
      <c r="M906" s="6"/>
      <c r="O906" s="6"/>
    </row>
    <row r="907" spans="7:15" x14ac:dyDescent="0.35">
      <c r="G907" s="6"/>
      <c r="H907" s="6"/>
      <c r="I907" s="6"/>
      <c r="J907" s="6"/>
      <c r="M907" s="6"/>
      <c r="O907" s="6"/>
    </row>
    <row r="908" spans="7:15" x14ac:dyDescent="0.35">
      <c r="G908" s="6"/>
      <c r="H908" s="6"/>
      <c r="I908" s="6"/>
      <c r="J908" s="6"/>
      <c r="M908" s="6"/>
      <c r="O908" s="6"/>
    </row>
    <row r="909" spans="7:15" x14ac:dyDescent="0.35">
      <c r="G909" s="6"/>
      <c r="H909" s="6"/>
      <c r="I909" s="6"/>
      <c r="J909" s="6"/>
      <c r="M909" s="6"/>
      <c r="O909" s="6"/>
    </row>
    <row r="910" spans="7:15" x14ac:dyDescent="0.35">
      <c r="G910" s="6"/>
      <c r="H910" s="6"/>
      <c r="I910" s="6"/>
      <c r="J910" s="6"/>
      <c r="M910" s="6"/>
      <c r="O910" s="6"/>
    </row>
    <row r="911" spans="7:15" x14ac:dyDescent="0.35">
      <c r="G911" s="6"/>
      <c r="H911" s="6"/>
      <c r="I911" s="6"/>
      <c r="J911" s="6"/>
      <c r="M911" s="6"/>
      <c r="O911" s="6"/>
    </row>
    <row r="912" spans="7:15" x14ac:dyDescent="0.35">
      <c r="G912" s="6"/>
      <c r="H912" s="6"/>
      <c r="I912" s="6"/>
      <c r="J912" s="6"/>
      <c r="M912" s="6"/>
      <c r="O912" s="6"/>
    </row>
    <row r="913" spans="7:15" x14ac:dyDescent="0.35">
      <c r="G913" s="6"/>
      <c r="H913" s="6"/>
      <c r="I913" s="6"/>
      <c r="J913" s="6"/>
      <c r="M913" s="6"/>
      <c r="O913" s="6"/>
    </row>
    <row r="914" spans="7:15" x14ac:dyDescent="0.35">
      <c r="G914" s="6"/>
      <c r="H914" s="6"/>
      <c r="I914" s="6"/>
      <c r="J914" s="6"/>
      <c r="M914" s="6"/>
      <c r="O914" s="6"/>
    </row>
    <row r="915" spans="7:15" x14ac:dyDescent="0.35">
      <c r="G915" s="6"/>
      <c r="H915" s="6"/>
      <c r="I915" s="6"/>
      <c r="J915" s="6"/>
      <c r="M915" s="6"/>
      <c r="O915" s="6"/>
    </row>
    <row r="916" spans="7:15" x14ac:dyDescent="0.35">
      <c r="G916" s="6"/>
      <c r="H916" s="6"/>
      <c r="I916" s="6"/>
      <c r="J916" s="6"/>
      <c r="M916" s="6"/>
      <c r="O916" s="6"/>
    </row>
    <row r="917" spans="7:15" x14ac:dyDescent="0.35">
      <c r="G917" s="6"/>
      <c r="H917" s="6"/>
      <c r="I917" s="6"/>
      <c r="J917" s="6"/>
      <c r="M917" s="6"/>
      <c r="O917" s="6"/>
    </row>
    <row r="918" spans="7:15" x14ac:dyDescent="0.35">
      <c r="G918" s="6"/>
      <c r="H918" s="6"/>
      <c r="I918" s="6"/>
      <c r="J918" s="6"/>
      <c r="M918" s="6"/>
      <c r="O918" s="6"/>
    </row>
    <row r="919" spans="7:15" x14ac:dyDescent="0.35">
      <c r="G919" s="6"/>
      <c r="H919" s="6"/>
      <c r="I919" s="6"/>
      <c r="J919" s="6"/>
      <c r="M919" s="6"/>
      <c r="O919" s="6"/>
    </row>
    <row r="920" spans="7:15" x14ac:dyDescent="0.35">
      <c r="G920" s="6"/>
      <c r="H920" s="6"/>
      <c r="I920" s="6"/>
      <c r="J920" s="6"/>
      <c r="M920" s="6"/>
      <c r="O920" s="6"/>
    </row>
    <row r="921" spans="7:15" x14ac:dyDescent="0.35">
      <c r="G921" s="6"/>
      <c r="H921" s="6"/>
      <c r="I921" s="6"/>
      <c r="J921" s="6"/>
      <c r="M921" s="6"/>
      <c r="O921" s="6"/>
    </row>
    <row r="922" spans="7:15" x14ac:dyDescent="0.35">
      <c r="G922" s="6"/>
      <c r="H922" s="6"/>
      <c r="I922" s="6"/>
      <c r="J922" s="6"/>
      <c r="M922" s="6"/>
      <c r="O922" s="6"/>
    </row>
    <row r="923" spans="7:15" x14ac:dyDescent="0.35">
      <c r="G923" s="6"/>
      <c r="H923" s="6"/>
      <c r="I923" s="6"/>
      <c r="J923" s="6"/>
      <c r="M923" s="6"/>
      <c r="O923" s="6"/>
    </row>
    <row r="924" spans="7:15" x14ac:dyDescent="0.35">
      <c r="G924" s="6"/>
      <c r="H924" s="6"/>
      <c r="I924" s="6"/>
      <c r="J924" s="6"/>
      <c r="M924" s="6"/>
      <c r="O924" s="6"/>
    </row>
    <row r="925" spans="7:15" x14ac:dyDescent="0.35">
      <c r="G925" s="6"/>
      <c r="H925" s="6"/>
      <c r="I925" s="6"/>
      <c r="J925" s="6"/>
      <c r="M925" s="6"/>
      <c r="O925" s="6"/>
    </row>
    <row r="926" spans="7:15" x14ac:dyDescent="0.35">
      <c r="G926" s="6"/>
      <c r="H926" s="6"/>
      <c r="I926" s="6"/>
      <c r="J926" s="6"/>
      <c r="M926" s="6"/>
      <c r="O926" s="6"/>
    </row>
    <row r="927" spans="7:15" x14ac:dyDescent="0.35">
      <c r="G927" s="6"/>
      <c r="H927" s="6"/>
      <c r="I927" s="6"/>
      <c r="J927" s="6"/>
      <c r="M927" s="6"/>
      <c r="O927" s="6"/>
    </row>
    <row r="928" spans="7:15" x14ac:dyDescent="0.35">
      <c r="G928" s="6"/>
      <c r="H928" s="6"/>
      <c r="I928" s="6"/>
      <c r="J928" s="6"/>
      <c r="M928" s="6"/>
      <c r="O928" s="6"/>
    </row>
    <row r="929" spans="7:15" x14ac:dyDescent="0.35">
      <c r="G929" s="6"/>
      <c r="H929" s="6"/>
      <c r="I929" s="6"/>
      <c r="J929" s="6"/>
      <c r="M929" s="6"/>
      <c r="O929" s="6"/>
    </row>
    <row r="930" spans="7:15" x14ac:dyDescent="0.35">
      <c r="G930" s="6"/>
      <c r="H930" s="6"/>
      <c r="I930" s="6"/>
      <c r="J930" s="6"/>
      <c r="M930" s="6"/>
      <c r="O930" s="6"/>
    </row>
    <row r="931" spans="7:15" x14ac:dyDescent="0.35">
      <c r="G931" s="6"/>
      <c r="H931" s="6"/>
      <c r="I931" s="6"/>
      <c r="J931" s="6"/>
      <c r="M931" s="6"/>
      <c r="O931" s="6"/>
    </row>
    <row r="932" spans="7:15" x14ac:dyDescent="0.35">
      <c r="G932" s="6"/>
      <c r="H932" s="6"/>
      <c r="I932" s="6"/>
      <c r="J932" s="6"/>
      <c r="M932" s="6"/>
      <c r="O932" s="6"/>
    </row>
    <row r="933" spans="7:15" x14ac:dyDescent="0.35">
      <c r="G933" s="6"/>
      <c r="H933" s="6"/>
      <c r="I933" s="6"/>
      <c r="J933" s="6"/>
      <c r="M933" s="6"/>
      <c r="O933" s="6"/>
    </row>
    <row r="934" spans="7:15" x14ac:dyDescent="0.35">
      <c r="G934" s="6"/>
      <c r="H934" s="6"/>
      <c r="I934" s="6"/>
      <c r="J934" s="6"/>
      <c r="M934" s="6"/>
      <c r="O934" s="6"/>
    </row>
    <row r="935" spans="7:15" x14ac:dyDescent="0.35">
      <c r="G935" s="6"/>
      <c r="H935" s="6"/>
      <c r="I935" s="6"/>
      <c r="J935" s="6"/>
      <c r="M935" s="6"/>
      <c r="O935" s="6"/>
    </row>
    <row r="936" spans="7:15" x14ac:dyDescent="0.35">
      <c r="G936" s="6"/>
      <c r="H936" s="6"/>
      <c r="I936" s="6"/>
      <c r="J936" s="6"/>
      <c r="M936" s="6"/>
      <c r="O936" s="6"/>
    </row>
    <row r="937" spans="7:15" x14ac:dyDescent="0.35">
      <c r="G937" s="6"/>
      <c r="H937" s="6"/>
      <c r="I937" s="6"/>
      <c r="J937" s="6"/>
      <c r="M937" s="6"/>
      <c r="O937" s="6"/>
    </row>
    <row r="938" spans="7:15" x14ac:dyDescent="0.35">
      <c r="G938" s="6"/>
      <c r="H938" s="6"/>
      <c r="I938" s="6"/>
      <c r="J938" s="6"/>
      <c r="M938" s="6"/>
      <c r="O938" s="6"/>
    </row>
    <row r="939" spans="7:15" x14ac:dyDescent="0.35">
      <c r="G939" s="6"/>
      <c r="H939" s="6"/>
      <c r="I939" s="6"/>
      <c r="J939" s="6"/>
      <c r="M939" s="6"/>
      <c r="O939" s="6"/>
    </row>
    <row r="940" spans="7:15" x14ac:dyDescent="0.35">
      <c r="G940" s="6"/>
      <c r="H940" s="6"/>
      <c r="I940" s="6"/>
      <c r="J940" s="6"/>
      <c r="M940" s="6"/>
      <c r="O940" s="6"/>
    </row>
    <row r="941" spans="7:15" x14ac:dyDescent="0.35">
      <c r="G941" s="6"/>
      <c r="H941" s="6"/>
      <c r="I941" s="6"/>
      <c r="J941" s="6"/>
      <c r="M941" s="6"/>
      <c r="O941" s="6"/>
    </row>
    <row r="942" spans="7:15" x14ac:dyDescent="0.35">
      <c r="G942" s="6"/>
      <c r="H942" s="6"/>
      <c r="I942" s="6"/>
      <c r="J942" s="6"/>
      <c r="M942" s="6"/>
      <c r="O942" s="6"/>
    </row>
    <row r="943" spans="7:15" x14ac:dyDescent="0.35">
      <c r="G943" s="6"/>
      <c r="H943" s="6"/>
      <c r="I943" s="6"/>
      <c r="J943" s="6"/>
      <c r="M943" s="6"/>
      <c r="O943" s="6"/>
    </row>
    <row r="944" spans="7:15" x14ac:dyDescent="0.35">
      <c r="G944" s="6"/>
      <c r="H944" s="6"/>
      <c r="I944" s="6"/>
      <c r="J944" s="6"/>
      <c r="M944" s="6"/>
      <c r="O944" s="6"/>
    </row>
    <row r="945" spans="7:15" x14ac:dyDescent="0.35">
      <c r="G945" s="6"/>
      <c r="H945" s="6"/>
      <c r="I945" s="6"/>
      <c r="J945" s="6"/>
      <c r="M945" s="6"/>
      <c r="O945" s="6"/>
    </row>
    <row r="946" spans="7:15" x14ac:dyDescent="0.35">
      <c r="G946" s="6"/>
      <c r="H946" s="6"/>
      <c r="I946" s="6"/>
      <c r="J946" s="6"/>
      <c r="M946" s="6"/>
      <c r="O946" s="6"/>
    </row>
    <row r="947" spans="7:15" x14ac:dyDescent="0.35">
      <c r="G947" s="6"/>
      <c r="H947" s="6"/>
      <c r="I947" s="6"/>
      <c r="J947" s="6"/>
      <c r="M947" s="6"/>
      <c r="O947" s="6"/>
    </row>
  </sheetData>
  <mergeCells count="27">
    <mergeCell ref="AB1:AD1"/>
    <mergeCell ref="AB2:AD2"/>
    <mergeCell ref="AB3:AD3"/>
    <mergeCell ref="S1:U1"/>
    <mergeCell ref="S2:U2"/>
    <mergeCell ref="S3:U3"/>
    <mergeCell ref="V1:X1"/>
    <mergeCell ref="Y1:AA1"/>
    <mergeCell ref="V2:X2"/>
    <mergeCell ref="Y2:AA2"/>
    <mergeCell ref="V3:X3"/>
    <mergeCell ref="Y3:AA3"/>
    <mergeCell ref="D1:F1"/>
    <mergeCell ref="D2:F2"/>
    <mergeCell ref="D3:F3"/>
    <mergeCell ref="G1:I1"/>
    <mergeCell ref="G2:I2"/>
    <mergeCell ref="G3:I3"/>
    <mergeCell ref="P1:R1"/>
    <mergeCell ref="P2:R2"/>
    <mergeCell ref="P3:R3"/>
    <mergeCell ref="J1:L1"/>
    <mergeCell ref="J2:L2"/>
    <mergeCell ref="J3:L3"/>
    <mergeCell ref="M1:O1"/>
    <mergeCell ref="M2:O2"/>
    <mergeCell ref="M3:O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0634-4790-43D3-8241-4D60F35775B9}">
  <dimension ref="A1:AH513"/>
  <sheetViews>
    <sheetView workbookViewId="0">
      <pane xSplit="1" ySplit="2" topLeftCell="B463" activePane="bottomRight" state="frozen"/>
      <selection pane="topRight"/>
      <selection pane="bottomLeft"/>
      <selection pane="bottomRight" activeCell="M513" sqref="M463:M513"/>
    </sheetView>
  </sheetViews>
  <sheetFormatPr baseColWidth="10" defaultColWidth="8.7265625" defaultRowHeight="14.5" x14ac:dyDescent="0.35"/>
  <cols>
    <col min="1" max="1" width="12.81640625" style="58" bestFit="1" customWidth="1"/>
    <col min="2" max="4" width="12.81640625" style="59" customWidth="1"/>
    <col min="5" max="6" width="4.453125" style="60" customWidth="1"/>
    <col min="7" max="7" width="4.453125" style="61" customWidth="1"/>
    <col min="8" max="9" width="4.453125" style="60" customWidth="1"/>
    <col min="10" max="10" width="4.453125" style="61" customWidth="1"/>
    <col min="11" max="12" width="4.453125" style="60" customWidth="1"/>
    <col min="13" max="13" width="4.453125" style="61" customWidth="1"/>
    <col min="14" max="15" width="4.453125" style="60" customWidth="1"/>
    <col min="16" max="16" width="4.453125" style="61" customWidth="1"/>
    <col min="17" max="18" width="4.453125" style="60" customWidth="1"/>
    <col min="19" max="19" width="3.1796875" style="61" customWidth="1"/>
    <col min="20" max="21" width="4.453125" style="60" customWidth="1"/>
    <col min="22" max="22" width="4.453125" style="61" customWidth="1"/>
    <col min="23" max="24" width="4.453125" style="60" customWidth="1"/>
    <col min="25" max="25" width="4.453125" style="61" customWidth="1"/>
    <col min="26" max="27" width="4.453125" style="60" customWidth="1"/>
    <col min="28" max="28" width="4.453125" style="61" customWidth="1"/>
    <col min="29" max="30" width="4.453125" style="60" customWidth="1"/>
    <col min="31" max="31" width="4.453125" style="61" customWidth="1"/>
    <col min="32" max="33" width="4.453125" style="60" customWidth="1"/>
    <col min="34" max="34" width="4.453125" style="61" customWidth="1"/>
  </cols>
  <sheetData>
    <row r="1" spans="1:34" ht="48" customHeight="1" x14ac:dyDescent="0.35">
      <c r="A1" s="52" t="s">
        <v>44</v>
      </c>
      <c r="B1" s="53"/>
      <c r="C1" s="53"/>
      <c r="D1" s="53"/>
      <c r="E1" s="72" t="s">
        <v>45</v>
      </c>
      <c r="F1" s="72"/>
      <c r="G1" s="73"/>
      <c r="H1" s="72" t="s">
        <v>46</v>
      </c>
      <c r="I1" s="72"/>
      <c r="J1" s="73"/>
      <c r="K1" s="72" t="s">
        <v>47</v>
      </c>
      <c r="L1" s="72"/>
      <c r="M1" s="73"/>
      <c r="N1" s="72" t="s">
        <v>48</v>
      </c>
      <c r="O1" s="72"/>
      <c r="P1" s="73"/>
      <c r="Q1" s="72" t="s">
        <v>49</v>
      </c>
      <c r="R1" s="72"/>
      <c r="S1" s="73"/>
      <c r="T1" s="72" t="s">
        <v>50</v>
      </c>
      <c r="U1" s="72"/>
      <c r="V1" s="73"/>
      <c r="W1" s="72" t="s">
        <v>51</v>
      </c>
      <c r="X1" s="72"/>
      <c r="Y1" s="73"/>
      <c r="Z1" s="72" t="s">
        <v>52</v>
      </c>
      <c r="AA1" s="72"/>
      <c r="AB1" s="73"/>
      <c r="AC1" s="72" t="s">
        <v>53</v>
      </c>
      <c r="AD1" s="72"/>
      <c r="AE1" s="73"/>
      <c r="AF1" s="72" t="s">
        <v>54</v>
      </c>
      <c r="AG1" s="72"/>
      <c r="AH1" s="73"/>
    </row>
    <row r="2" spans="1:34" x14ac:dyDescent="0.35">
      <c r="A2" s="54"/>
      <c r="B2" s="55" t="s">
        <v>0</v>
      </c>
      <c r="C2" s="55" t="s">
        <v>55</v>
      </c>
      <c r="D2" s="55" t="s">
        <v>56</v>
      </c>
      <c r="E2" s="56" t="s">
        <v>57</v>
      </c>
      <c r="F2" s="56" t="s">
        <v>58</v>
      </c>
      <c r="G2" s="57" t="s">
        <v>59</v>
      </c>
      <c r="H2" s="56" t="s">
        <v>57</v>
      </c>
      <c r="I2" s="56" t="s">
        <v>58</v>
      </c>
      <c r="J2" s="57" t="s">
        <v>59</v>
      </c>
      <c r="K2" s="56" t="s">
        <v>57</v>
      </c>
      <c r="L2" s="56" t="s">
        <v>58</v>
      </c>
      <c r="M2" s="57" t="s">
        <v>59</v>
      </c>
      <c r="N2" s="56" t="s">
        <v>57</v>
      </c>
      <c r="O2" s="56" t="s">
        <v>58</v>
      </c>
      <c r="P2" s="57" t="s">
        <v>59</v>
      </c>
      <c r="Q2" s="56" t="s">
        <v>57</v>
      </c>
      <c r="R2" s="56" t="s">
        <v>58</v>
      </c>
      <c r="S2" s="57" t="s">
        <v>59</v>
      </c>
      <c r="T2" s="56" t="s">
        <v>57</v>
      </c>
      <c r="U2" s="56" t="s">
        <v>58</v>
      </c>
      <c r="V2" s="57" t="s">
        <v>59</v>
      </c>
      <c r="W2" s="56" t="s">
        <v>57</v>
      </c>
      <c r="X2" s="56" t="s">
        <v>58</v>
      </c>
      <c r="Y2" s="57" t="s">
        <v>59</v>
      </c>
      <c r="Z2" s="56" t="s">
        <v>57</v>
      </c>
      <c r="AA2" s="56" t="s">
        <v>58</v>
      </c>
      <c r="AB2" s="57" t="s">
        <v>59</v>
      </c>
      <c r="AC2" s="56" t="s">
        <v>57</v>
      </c>
      <c r="AD2" s="56" t="s">
        <v>58</v>
      </c>
      <c r="AE2" s="57" t="s">
        <v>59</v>
      </c>
      <c r="AF2" s="56" t="s">
        <v>57</v>
      </c>
      <c r="AG2" s="56" t="s">
        <v>58</v>
      </c>
      <c r="AH2" s="57" t="s">
        <v>59</v>
      </c>
    </row>
    <row r="3" spans="1:34" s="60" customFormat="1" ht="10" x14ac:dyDescent="0.2">
      <c r="A3" s="58">
        <v>42439</v>
      </c>
      <c r="B3" s="59">
        <f t="shared" ref="B3:B66" si="0">YEAR(A3)</f>
        <v>2016</v>
      </c>
      <c r="C3" s="59"/>
      <c r="D3" s="59">
        <f t="shared" ref="D3:D66" si="1">MONTH(A3)</f>
        <v>3</v>
      </c>
      <c r="E3" s="60">
        <v>30</v>
      </c>
      <c r="F3" s="60">
        <v>32</v>
      </c>
      <c r="G3" s="61">
        <v>31</v>
      </c>
      <c r="H3" s="60">
        <v>37</v>
      </c>
      <c r="I3" s="60">
        <v>39</v>
      </c>
      <c r="J3" s="61">
        <v>38</v>
      </c>
      <c r="K3" s="60">
        <v>22</v>
      </c>
      <c r="L3" s="60">
        <v>27</v>
      </c>
      <c r="M3" s="61">
        <v>24</v>
      </c>
      <c r="N3" s="60">
        <v>53</v>
      </c>
      <c r="O3" s="60">
        <v>55</v>
      </c>
      <c r="P3" s="61">
        <v>54</v>
      </c>
      <c r="Q3" s="60">
        <v>18</v>
      </c>
      <c r="R3" s="60">
        <v>20</v>
      </c>
      <c r="S3" s="61">
        <v>19</v>
      </c>
      <c r="T3" s="60">
        <v>28</v>
      </c>
      <c r="U3" s="60">
        <v>30</v>
      </c>
      <c r="V3" s="61">
        <v>29</v>
      </c>
      <c r="Y3" s="61"/>
      <c r="AB3" s="61"/>
      <c r="AE3" s="61"/>
      <c r="AH3" s="61"/>
    </row>
    <row r="4" spans="1:34" s="60" customFormat="1" ht="10" x14ac:dyDescent="0.2">
      <c r="A4" s="58">
        <v>42446</v>
      </c>
      <c r="B4" s="59">
        <f t="shared" si="0"/>
        <v>2016</v>
      </c>
      <c r="C4" s="59"/>
      <c r="D4" s="59">
        <f t="shared" si="1"/>
        <v>3</v>
      </c>
      <c r="E4" s="60">
        <v>30</v>
      </c>
      <c r="F4" s="60">
        <v>32</v>
      </c>
      <c r="G4" s="61">
        <v>31</v>
      </c>
      <c r="H4" s="60">
        <v>37</v>
      </c>
      <c r="I4" s="60">
        <v>39</v>
      </c>
      <c r="J4" s="61">
        <v>38</v>
      </c>
      <c r="K4" s="60">
        <v>22</v>
      </c>
      <c r="L4" s="60">
        <v>27</v>
      </c>
      <c r="M4" s="61">
        <v>24</v>
      </c>
      <c r="N4" s="60">
        <v>53</v>
      </c>
      <c r="O4" s="60">
        <v>55</v>
      </c>
      <c r="P4" s="61">
        <v>54</v>
      </c>
      <c r="Q4" s="60">
        <v>18</v>
      </c>
      <c r="R4" s="60">
        <v>20</v>
      </c>
      <c r="S4" s="61">
        <v>19</v>
      </c>
      <c r="T4" s="60">
        <v>28</v>
      </c>
      <c r="U4" s="60">
        <v>30</v>
      </c>
      <c r="V4" s="61">
        <v>29</v>
      </c>
      <c r="Y4" s="61"/>
      <c r="AB4" s="61"/>
      <c r="AE4" s="61"/>
      <c r="AH4" s="61"/>
    </row>
    <row r="5" spans="1:34" s="60" customFormat="1" ht="10" x14ac:dyDescent="0.2">
      <c r="A5" s="58">
        <v>42453</v>
      </c>
      <c r="B5" s="59">
        <f t="shared" si="0"/>
        <v>2016</v>
      </c>
      <c r="C5" s="59"/>
      <c r="D5" s="59">
        <f t="shared" si="1"/>
        <v>3</v>
      </c>
      <c r="E5" s="60">
        <v>30</v>
      </c>
      <c r="F5" s="60">
        <v>32</v>
      </c>
      <c r="G5" s="61">
        <v>31</v>
      </c>
      <c r="H5" s="60">
        <v>37</v>
      </c>
      <c r="I5" s="60">
        <v>39</v>
      </c>
      <c r="J5" s="61">
        <v>38</v>
      </c>
      <c r="K5" s="60">
        <v>22</v>
      </c>
      <c r="L5" s="60">
        <v>27</v>
      </c>
      <c r="M5" s="61">
        <v>24</v>
      </c>
      <c r="N5" s="60">
        <v>53</v>
      </c>
      <c r="O5" s="60">
        <v>55</v>
      </c>
      <c r="P5" s="61">
        <v>54</v>
      </c>
      <c r="Q5" s="60">
        <v>18</v>
      </c>
      <c r="R5" s="60">
        <v>20</v>
      </c>
      <c r="S5" s="61">
        <v>19</v>
      </c>
      <c r="T5" s="60">
        <v>28</v>
      </c>
      <c r="U5" s="60">
        <v>30</v>
      </c>
      <c r="V5" s="61">
        <v>29</v>
      </c>
      <c r="Y5" s="61"/>
      <c r="AB5" s="61"/>
      <c r="AE5" s="61"/>
      <c r="AH5" s="61"/>
    </row>
    <row r="6" spans="1:34" s="60" customFormat="1" ht="10" x14ac:dyDescent="0.2">
      <c r="A6" s="58">
        <v>42460</v>
      </c>
      <c r="B6" s="59">
        <f t="shared" si="0"/>
        <v>2016</v>
      </c>
      <c r="C6" s="59"/>
      <c r="D6" s="59">
        <f t="shared" si="1"/>
        <v>3</v>
      </c>
      <c r="E6" s="60">
        <v>30</v>
      </c>
      <c r="F6" s="60">
        <v>32</v>
      </c>
      <c r="G6" s="61">
        <v>31</v>
      </c>
      <c r="H6" s="60">
        <v>37</v>
      </c>
      <c r="I6" s="60">
        <v>39</v>
      </c>
      <c r="J6" s="61">
        <v>38</v>
      </c>
      <c r="K6" s="60">
        <v>22</v>
      </c>
      <c r="L6" s="60">
        <v>27</v>
      </c>
      <c r="M6" s="61">
        <v>24</v>
      </c>
      <c r="N6" s="60">
        <v>53</v>
      </c>
      <c r="O6" s="60">
        <v>55</v>
      </c>
      <c r="P6" s="61">
        <v>54</v>
      </c>
      <c r="Q6" s="60">
        <v>18</v>
      </c>
      <c r="R6" s="60">
        <v>20</v>
      </c>
      <c r="S6" s="61">
        <v>19</v>
      </c>
      <c r="T6" s="60">
        <v>28</v>
      </c>
      <c r="U6" s="60">
        <v>30</v>
      </c>
      <c r="V6" s="61">
        <v>29</v>
      </c>
      <c r="Y6" s="61"/>
      <c r="AB6" s="61"/>
      <c r="AE6" s="61"/>
      <c r="AH6" s="61"/>
    </row>
    <row r="7" spans="1:34" s="60" customFormat="1" ht="10" x14ac:dyDescent="0.2">
      <c r="A7" s="58">
        <v>42467</v>
      </c>
      <c r="B7" s="59">
        <f t="shared" si="0"/>
        <v>2016</v>
      </c>
      <c r="C7" s="59"/>
      <c r="D7" s="59">
        <f t="shared" si="1"/>
        <v>4</v>
      </c>
      <c r="E7" s="60">
        <v>30</v>
      </c>
      <c r="F7" s="60">
        <v>32</v>
      </c>
      <c r="G7" s="61">
        <v>31</v>
      </c>
      <c r="H7" s="60">
        <v>37</v>
      </c>
      <c r="I7" s="60">
        <v>39</v>
      </c>
      <c r="J7" s="61">
        <v>38</v>
      </c>
      <c r="K7" s="60">
        <v>22</v>
      </c>
      <c r="L7" s="60">
        <v>27</v>
      </c>
      <c r="M7" s="61">
        <v>24</v>
      </c>
      <c r="N7" s="60">
        <v>53</v>
      </c>
      <c r="O7" s="60">
        <v>55</v>
      </c>
      <c r="P7" s="61">
        <v>54</v>
      </c>
      <c r="Q7" s="60">
        <v>18</v>
      </c>
      <c r="R7" s="60">
        <v>20</v>
      </c>
      <c r="S7" s="61">
        <v>19</v>
      </c>
      <c r="T7" s="60">
        <v>28</v>
      </c>
      <c r="U7" s="60">
        <v>30</v>
      </c>
      <c r="V7" s="61">
        <v>29</v>
      </c>
      <c r="Y7" s="61"/>
      <c r="AB7" s="61"/>
      <c r="AE7" s="61"/>
      <c r="AH7" s="61"/>
    </row>
    <row r="8" spans="1:34" s="60" customFormat="1" ht="10" x14ac:dyDescent="0.2">
      <c r="A8" s="58">
        <v>42474</v>
      </c>
      <c r="B8" s="59">
        <f t="shared" si="0"/>
        <v>2016</v>
      </c>
      <c r="C8" s="59"/>
      <c r="D8" s="59">
        <f t="shared" si="1"/>
        <v>4</v>
      </c>
      <c r="E8" s="60">
        <v>30</v>
      </c>
      <c r="F8" s="60">
        <v>32</v>
      </c>
      <c r="G8" s="61">
        <v>31</v>
      </c>
      <c r="H8" s="60">
        <v>37</v>
      </c>
      <c r="I8" s="60">
        <v>39</v>
      </c>
      <c r="J8" s="61">
        <v>38</v>
      </c>
      <c r="K8" s="60">
        <v>22</v>
      </c>
      <c r="L8" s="60">
        <v>27</v>
      </c>
      <c r="M8" s="61">
        <v>24</v>
      </c>
      <c r="N8" s="60">
        <v>53</v>
      </c>
      <c r="O8" s="60">
        <v>55</v>
      </c>
      <c r="P8" s="61">
        <v>54</v>
      </c>
      <c r="Q8" s="60">
        <v>18</v>
      </c>
      <c r="R8" s="60">
        <v>20</v>
      </c>
      <c r="S8" s="61">
        <v>19</v>
      </c>
      <c r="T8" s="60">
        <v>28</v>
      </c>
      <c r="U8" s="60">
        <v>30</v>
      </c>
      <c r="V8" s="61">
        <v>29</v>
      </c>
      <c r="Y8" s="61"/>
      <c r="AB8" s="61"/>
      <c r="AE8" s="61"/>
      <c r="AH8" s="61"/>
    </row>
    <row r="9" spans="1:34" s="60" customFormat="1" ht="10" x14ac:dyDescent="0.2">
      <c r="A9" s="58">
        <v>42481</v>
      </c>
      <c r="B9" s="59">
        <f t="shared" si="0"/>
        <v>2016</v>
      </c>
      <c r="C9" s="59"/>
      <c r="D9" s="59">
        <f t="shared" si="1"/>
        <v>4</v>
      </c>
      <c r="E9" s="60">
        <v>30</v>
      </c>
      <c r="F9" s="60">
        <v>32</v>
      </c>
      <c r="G9" s="61">
        <v>31</v>
      </c>
      <c r="H9" s="60">
        <v>37</v>
      </c>
      <c r="I9" s="60">
        <v>39</v>
      </c>
      <c r="J9" s="61">
        <v>38</v>
      </c>
      <c r="K9" s="60">
        <v>22</v>
      </c>
      <c r="L9" s="60">
        <v>27</v>
      </c>
      <c r="M9" s="61">
        <v>24</v>
      </c>
      <c r="N9" s="60">
        <v>53</v>
      </c>
      <c r="O9" s="60">
        <v>55</v>
      </c>
      <c r="P9" s="61">
        <v>54</v>
      </c>
      <c r="Q9" s="60">
        <v>18</v>
      </c>
      <c r="R9" s="60">
        <v>20</v>
      </c>
      <c r="S9" s="61">
        <v>19</v>
      </c>
      <c r="T9" s="60">
        <v>28</v>
      </c>
      <c r="U9" s="60">
        <v>30</v>
      </c>
      <c r="V9" s="61">
        <v>29</v>
      </c>
      <c r="Y9" s="61"/>
      <c r="AB9" s="61"/>
      <c r="AE9" s="61"/>
      <c r="AH9" s="61"/>
    </row>
    <row r="10" spans="1:34" s="60" customFormat="1" ht="10" x14ac:dyDescent="0.2">
      <c r="A10" s="58">
        <v>42488</v>
      </c>
      <c r="B10" s="59">
        <f t="shared" si="0"/>
        <v>2016</v>
      </c>
      <c r="C10" s="59"/>
      <c r="D10" s="59">
        <f t="shared" si="1"/>
        <v>4</v>
      </c>
      <c r="E10" s="60">
        <v>30</v>
      </c>
      <c r="F10" s="60">
        <v>32</v>
      </c>
      <c r="G10" s="61">
        <v>31</v>
      </c>
      <c r="H10" s="60">
        <v>37</v>
      </c>
      <c r="I10" s="60">
        <v>39</v>
      </c>
      <c r="J10" s="61">
        <v>38</v>
      </c>
      <c r="K10" s="60">
        <v>22</v>
      </c>
      <c r="L10" s="60">
        <v>27</v>
      </c>
      <c r="M10" s="61">
        <v>24</v>
      </c>
      <c r="N10" s="60">
        <v>53</v>
      </c>
      <c r="O10" s="60">
        <v>55</v>
      </c>
      <c r="P10" s="61">
        <v>54</v>
      </c>
      <c r="Q10" s="60">
        <v>18</v>
      </c>
      <c r="R10" s="60">
        <v>20</v>
      </c>
      <c r="S10" s="61">
        <v>19</v>
      </c>
      <c r="T10" s="60">
        <v>28</v>
      </c>
      <c r="U10" s="60">
        <v>30</v>
      </c>
      <c r="V10" s="61">
        <v>29</v>
      </c>
      <c r="Y10" s="61"/>
      <c r="AB10" s="61"/>
      <c r="AE10" s="61"/>
      <c r="AH10" s="61"/>
    </row>
    <row r="11" spans="1:34" s="60" customFormat="1" ht="10" x14ac:dyDescent="0.2">
      <c r="A11" s="58">
        <v>42495</v>
      </c>
      <c r="B11" s="59">
        <f t="shared" si="0"/>
        <v>2016</v>
      </c>
      <c r="C11" s="59"/>
      <c r="D11" s="59">
        <f t="shared" si="1"/>
        <v>5</v>
      </c>
      <c r="E11" s="60">
        <v>30</v>
      </c>
      <c r="F11" s="60">
        <v>32</v>
      </c>
      <c r="G11" s="61">
        <v>31</v>
      </c>
      <c r="H11" s="60">
        <v>37</v>
      </c>
      <c r="I11" s="60">
        <v>39</v>
      </c>
      <c r="J11" s="61">
        <v>38</v>
      </c>
      <c r="K11" s="60">
        <v>22</v>
      </c>
      <c r="L11" s="60">
        <v>27</v>
      </c>
      <c r="M11" s="61">
        <v>24</v>
      </c>
      <c r="N11" s="60">
        <v>53</v>
      </c>
      <c r="O11" s="60">
        <v>55</v>
      </c>
      <c r="P11" s="61">
        <v>54</v>
      </c>
      <c r="Q11" s="60">
        <v>18</v>
      </c>
      <c r="R11" s="60">
        <v>20</v>
      </c>
      <c r="S11" s="61">
        <v>19</v>
      </c>
      <c r="T11" s="60">
        <v>28</v>
      </c>
      <c r="U11" s="60">
        <v>30</v>
      </c>
      <c r="V11" s="61">
        <v>29</v>
      </c>
      <c r="Y11" s="61"/>
      <c r="AB11" s="61"/>
      <c r="AE11" s="61"/>
      <c r="AH11" s="61"/>
    </row>
    <row r="12" spans="1:34" s="60" customFormat="1" ht="10" x14ac:dyDescent="0.2">
      <c r="A12" s="58">
        <v>42502</v>
      </c>
      <c r="B12" s="59">
        <f t="shared" si="0"/>
        <v>2016</v>
      </c>
      <c r="C12" s="59"/>
      <c r="D12" s="59">
        <f t="shared" si="1"/>
        <v>5</v>
      </c>
      <c r="E12" s="60">
        <v>30</v>
      </c>
      <c r="F12" s="60">
        <v>32</v>
      </c>
      <c r="G12" s="61">
        <v>31</v>
      </c>
      <c r="H12" s="60">
        <v>37</v>
      </c>
      <c r="I12" s="60">
        <v>39</v>
      </c>
      <c r="J12" s="61">
        <v>38</v>
      </c>
      <c r="K12" s="60">
        <v>22</v>
      </c>
      <c r="L12" s="60">
        <v>27</v>
      </c>
      <c r="M12" s="61">
        <v>24</v>
      </c>
      <c r="N12" s="60">
        <v>53</v>
      </c>
      <c r="O12" s="60">
        <v>55</v>
      </c>
      <c r="P12" s="61">
        <v>54</v>
      </c>
      <c r="Q12" s="60">
        <v>18</v>
      </c>
      <c r="R12" s="60">
        <v>20</v>
      </c>
      <c r="S12" s="61">
        <v>19</v>
      </c>
      <c r="T12" s="60">
        <v>28</v>
      </c>
      <c r="U12" s="60">
        <v>30</v>
      </c>
      <c r="V12" s="61">
        <v>29</v>
      </c>
      <c r="Y12" s="61"/>
      <c r="AB12" s="61"/>
      <c r="AE12" s="61"/>
      <c r="AH12" s="61"/>
    </row>
    <row r="13" spans="1:34" s="60" customFormat="1" ht="10" x14ac:dyDescent="0.2">
      <c r="A13" s="58">
        <v>42509</v>
      </c>
      <c r="B13" s="59">
        <f t="shared" si="0"/>
        <v>2016</v>
      </c>
      <c r="C13" s="59"/>
      <c r="D13" s="59">
        <f t="shared" si="1"/>
        <v>5</v>
      </c>
      <c r="E13" s="60">
        <v>30</v>
      </c>
      <c r="F13" s="60">
        <v>32</v>
      </c>
      <c r="G13" s="61">
        <v>31</v>
      </c>
      <c r="H13" s="60">
        <v>37</v>
      </c>
      <c r="I13" s="60">
        <v>39</v>
      </c>
      <c r="J13" s="61">
        <v>38</v>
      </c>
      <c r="K13" s="60">
        <v>22</v>
      </c>
      <c r="L13" s="60">
        <v>27</v>
      </c>
      <c r="M13" s="61">
        <v>24</v>
      </c>
      <c r="N13" s="60">
        <v>53</v>
      </c>
      <c r="O13" s="60">
        <v>55</v>
      </c>
      <c r="P13" s="61">
        <v>54</v>
      </c>
      <c r="Q13" s="60">
        <v>18</v>
      </c>
      <c r="R13" s="60">
        <v>20</v>
      </c>
      <c r="S13" s="61">
        <v>19</v>
      </c>
      <c r="T13" s="60">
        <v>28</v>
      </c>
      <c r="U13" s="60">
        <v>30</v>
      </c>
      <c r="V13" s="61">
        <v>29</v>
      </c>
      <c r="Y13" s="61"/>
      <c r="AB13" s="61"/>
      <c r="AE13" s="61"/>
      <c r="AH13" s="61"/>
    </row>
    <row r="14" spans="1:34" s="60" customFormat="1" ht="10" x14ac:dyDescent="0.2">
      <c r="A14" s="58">
        <v>42516</v>
      </c>
      <c r="B14" s="59">
        <f t="shared" si="0"/>
        <v>2016</v>
      </c>
      <c r="C14" s="59"/>
      <c r="D14" s="59">
        <f t="shared" si="1"/>
        <v>5</v>
      </c>
      <c r="E14" s="60">
        <v>30</v>
      </c>
      <c r="F14" s="60">
        <v>32</v>
      </c>
      <c r="G14" s="61">
        <v>31</v>
      </c>
      <c r="H14" s="60">
        <v>37</v>
      </c>
      <c r="I14" s="60">
        <v>39</v>
      </c>
      <c r="J14" s="61">
        <v>38</v>
      </c>
      <c r="K14" s="60">
        <v>22</v>
      </c>
      <c r="L14" s="60">
        <v>27</v>
      </c>
      <c r="M14" s="61">
        <v>24</v>
      </c>
      <c r="N14" s="60">
        <v>53</v>
      </c>
      <c r="O14" s="60">
        <v>55</v>
      </c>
      <c r="P14" s="61">
        <v>54</v>
      </c>
      <c r="Q14" s="60">
        <v>18</v>
      </c>
      <c r="R14" s="60">
        <v>20</v>
      </c>
      <c r="S14" s="61">
        <v>19</v>
      </c>
      <c r="T14" s="60">
        <v>28</v>
      </c>
      <c r="U14" s="60">
        <v>30</v>
      </c>
      <c r="V14" s="61">
        <v>29</v>
      </c>
      <c r="Y14" s="61"/>
      <c r="AB14" s="61"/>
      <c r="AE14" s="61"/>
      <c r="AH14" s="61"/>
    </row>
    <row r="15" spans="1:34" s="60" customFormat="1" ht="10" x14ac:dyDescent="0.2">
      <c r="A15" s="58">
        <v>42523</v>
      </c>
      <c r="B15" s="59">
        <f t="shared" si="0"/>
        <v>2016</v>
      </c>
      <c r="C15" s="59"/>
      <c r="D15" s="59">
        <f t="shared" si="1"/>
        <v>6</v>
      </c>
      <c r="E15" s="60">
        <v>30</v>
      </c>
      <c r="F15" s="60">
        <v>32</v>
      </c>
      <c r="G15" s="61">
        <v>31</v>
      </c>
      <c r="H15" s="60">
        <v>37</v>
      </c>
      <c r="I15" s="60">
        <v>39</v>
      </c>
      <c r="J15" s="61">
        <v>38</v>
      </c>
      <c r="K15" s="60">
        <v>22</v>
      </c>
      <c r="L15" s="60">
        <v>27</v>
      </c>
      <c r="M15" s="61">
        <v>24</v>
      </c>
      <c r="N15" s="60">
        <v>53</v>
      </c>
      <c r="O15" s="60">
        <v>55</v>
      </c>
      <c r="P15" s="61">
        <v>54</v>
      </c>
      <c r="Q15" s="60">
        <v>18</v>
      </c>
      <c r="R15" s="60">
        <v>20</v>
      </c>
      <c r="S15" s="61">
        <v>19</v>
      </c>
      <c r="T15" s="60">
        <v>28</v>
      </c>
      <c r="U15" s="60">
        <v>30</v>
      </c>
      <c r="V15" s="61">
        <v>29</v>
      </c>
      <c r="Y15" s="61"/>
      <c r="AB15" s="61"/>
      <c r="AE15" s="61"/>
      <c r="AH15" s="61"/>
    </row>
    <row r="16" spans="1:34" s="60" customFormat="1" ht="10" x14ac:dyDescent="0.2">
      <c r="A16" s="58">
        <v>42530</v>
      </c>
      <c r="B16" s="59">
        <f t="shared" si="0"/>
        <v>2016</v>
      </c>
      <c r="C16" s="59"/>
      <c r="D16" s="59">
        <f t="shared" si="1"/>
        <v>6</v>
      </c>
      <c r="E16" s="60">
        <v>30</v>
      </c>
      <c r="F16" s="60">
        <v>32</v>
      </c>
      <c r="G16" s="61">
        <v>31</v>
      </c>
      <c r="H16" s="60">
        <v>37</v>
      </c>
      <c r="I16" s="60">
        <v>39</v>
      </c>
      <c r="J16" s="61">
        <v>38</v>
      </c>
      <c r="K16" s="60">
        <v>22</v>
      </c>
      <c r="L16" s="60">
        <v>27</v>
      </c>
      <c r="M16" s="61">
        <v>24</v>
      </c>
      <c r="N16" s="60">
        <v>53</v>
      </c>
      <c r="O16" s="60">
        <v>55</v>
      </c>
      <c r="P16" s="61">
        <v>54</v>
      </c>
      <c r="Q16" s="60">
        <v>18</v>
      </c>
      <c r="R16" s="60">
        <v>20</v>
      </c>
      <c r="S16" s="61">
        <v>19</v>
      </c>
      <c r="T16" s="60">
        <v>28</v>
      </c>
      <c r="U16" s="60">
        <v>30</v>
      </c>
      <c r="V16" s="61">
        <v>29</v>
      </c>
      <c r="Y16" s="61"/>
      <c r="AB16" s="61"/>
      <c r="AE16" s="61"/>
      <c r="AH16" s="61"/>
    </row>
    <row r="17" spans="1:34" s="60" customFormat="1" ht="10" x14ac:dyDescent="0.2">
      <c r="A17" s="58">
        <v>42537</v>
      </c>
      <c r="B17" s="59">
        <f t="shared" si="0"/>
        <v>2016</v>
      </c>
      <c r="C17" s="59"/>
      <c r="D17" s="59">
        <f t="shared" si="1"/>
        <v>6</v>
      </c>
      <c r="E17" s="60">
        <v>30</v>
      </c>
      <c r="F17" s="60">
        <v>32</v>
      </c>
      <c r="G17" s="61">
        <v>31</v>
      </c>
      <c r="H17" s="60">
        <v>37</v>
      </c>
      <c r="I17" s="60">
        <v>39</v>
      </c>
      <c r="J17" s="61">
        <v>38</v>
      </c>
      <c r="K17" s="60">
        <v>22</v>
      </c>
      <c r="L17" s="60">
        <v>27</v>
      </c>
      <c r="M17" s="61">
        <v>24</v>
      </c>
      <c r="N17" s="60">
        <v>53</v>
      </c>
      <c r="O17" s="60">
        <v>55</v>
      </c>
      <c r="P17" s="61">
        <v>54</v>
      </c>
      <c r="Q17" s="60">
        <v>18</v>
      </c>
      <c r="R17" s="60">
        <v>20</v>
      </c>
      <c r="S17" s="61">
        <v>19</v>
      </c>
      <c r="T17" s="60">
        <v>28</v>
      </c>
      <c r="U17" s="60">
        <v>30</v>
      </c>
      <c r="V17" s="61">
        <v>29</v>
      </c>
      <c r="Y17" s="61"/>
      <c r="AB17" s="61"/>
      <c r="AE17" s="61"/>
      <c r="AH17" s="61"/>
    </row>
    <row r="18" spans="1:34" s="60" customFormat="1" ht="10" x14ac:dyDescent="0.2">
      <c r="A18" s="58">
        <v>42544</v>
      </c>
      <c r="B18" s="59">
        <f t="shared" si="0"/>
        <v>2016</v>
      </c>
      <c r="C18" s="59"/>
      <c r="D18" s="59">
        <f t="shared" si="1"/>
        <v>6</v>
      </c>
      <c r="E18" s="60">
        <v>30</v>
      </c>
      <c r="F18" s="60">
        <v>32</v>
      </c>
      <c r="G18" s="61">
        <v>31</v>
      </c>
      <c r="H18" s="60">
        <v>37</v>
      </c>
      <c r="I18" s="60">
        <v>39</v>
      </c>
      <c r="J18" s="61">
        <v>38</v>
      </c>
      <c r="K18" s="60">
        <v>22</v>
      </c>
      <c r="L18" s="60">
        <v>27</v>
      </c>
      <c r="M18" s="61">
        <v>24</v>
      </c>
      <c r="N18" s="60">
        <v>53</v>
      </c>
      <c r="O18" s="60">
        <v>55</v>
      </c>
      <c r="P18" s="61">
        <v>54</v>
      </c>
      <c r="Q18" s="60">
        <v>18</v>
      </c>
      <c r="R18" s="60">
        <v>20</v>
      </c>
      <c r="S18" s="61">
        <v>19</v>
      </c>
      <c r="T18" s="60">
        <v>28</v>
      </c>
      <c r="U18" s="60">
        <v>30</v>
      </c>
      <c r="V18" s="61">
        <v>29</v>
      </c>
      <c r="Y18" s="61"/>
      <c r="AB18" s="61"/>
      <c r="AE18" s="61"/>
      <c r="AH18" s="61"/>
    </row>
    <row r="19" spans="1:34" s="60" customFormat="1" ht="10" x14ac:dyDescent="0.2">
      <c r="A19" s="58">
        <v>42551</v>
      </c>
      <c r="B19" s="59">
        <f t="shared" si="0"/>
        <v>2016</v>
      </c>
      <c r="C19" s="59"/>
      <c r="D19" s="59">
        <f t="shared" si="1"/>
        <v>6</v>
      </c>
      <c r="E19" s="60">
        <v>30</v>
      </c>
      <c r="F19" s="60">
        <v>32</v>
      </c>
      <c r="G19" s="61">
        <v>31</v>
      </c>
      <c r="H19" s="60">
        <v>37</v>
      </c>
      <c r="I19" s="60">
        <v>39</v>
      </c>
      <c r="J19" s="61">
        <v>38</v>
      </c>
      <c r="K19" s="60">
        <v>22</v>
      </c>
      <c r="L19" s="60">
        <v>27</v>
      </c>
      <c r="M19" s="61">
        <v>24</v>
      </c>
      <c r="N19" s="60">
        <v>53</v>
      </c>
      <c r="O19" s="60">
        <v>55</v>
      </c>
      <c r="P19" s="61">
        <v>54</v>
      </c>
      <c r="Q19" s="60">
        <v>18</v>
      </c>
      <c r="R19" s="60">
        <v>20</v>
      </c>
      <c r="S19" s="61">
        <v>19</v>
      </c>
      <c r="T19" s="60">
        <v>28</v>
      </c>
      <c r="U19" s="60">
        <v>30</v>
      </c>
      <c r="V19" s="61">
        <v>29</v>
      </c>
      <c r="Y19" s="61"/>
      <c r="AB19" s="61"/>
      <c r="AE19" s="61"/>
      <c r="AH19" s="61"/>
    </row>
    <row r="20" spans="1:34" s="60" customFormat="1" ht="10" x14ac:dyDescent="0.2">
      <c r="A20" s="58">
        <v>42558</v>
      </c>
      <c r="B20" s="59">
        <f t="shared" si="0"/>
        <v>2016</v>
      </c>
      <c r="C20" s="59"/>
      <c r="D20" s="59">
        <f t="shared" si="1"/>
        <v>7</v>
      </c>
      <c r="E20" s="60">
        <v>30</v>
      </c>
      <c r="F20" s="60">
        <v>32</v>
      </c>
      <c r="G20" s="61">
        <v>31</v>
      </c>
      <c r="H20" s="60">
        <v>37</v>
      </c>
      <c r="I20" s="60">
        <v>39</v>
      </c>
      <c r="J20" s="61">
        <v>38</v>
      </c>
      <c r="K20" s="60">
        <v>22</v>
      </c>
      <c r="L20" s="60">
        <v>27</v>
      </c>
      <c r="M20" s="61">
        <v>24</v>
      </c>
      <c r="N20" s="60">
        <v>53</v>
      </c>
      <c r="O20" s="60">
        <v>55</v>
      </c>
      <c r="P20" s="61">
        <v>54</v>
      </c>
      <c r="Q20" s="60">
        <v>18</v>
      </c>
      <c r="R20" s="60">
        <v>20</v>
      </c>
      <c r="S20" s="61">
        <v>19</v>
      </c>
      <c r="T20" s="60">
        <v>28</v>
      </c>
      <c r="U20" s="60">
        <v>30</v>
      </c>
      <c r="V20" s="61">
        <v>29</v>
      </c>
      <c r="Y20" s="61"/>
      <c r="AB20" s="61"/>
      <c r="AE20" s="61"/>
      <c r="AH20" s="61"/>
    </row>
    <row r="21" spans="1:34" s="60" customFormat="1" ht="10" x14ac:dyDescent="0.2">
      <c r="A21" s="58">
        <v>42565</v>
      </c>
      <c r="B21" s="59">
        <f t="shared" si="0"/>
        <v>2016</v>
      </c>
      <c r="C21" s="59"/>
      <c r="D21" s="59">
        <f t="shared" si="1"/>
        <v>7</v>
      </c>
      <c r="E21" s="60">
        <v>30</v>
      </c>
      <c r="F21" s="60">
        <v>32</v>
      </c>
      <c r="G21" s="61">
        <v>31</v>
      </c>
      <c r="H21" s="60">
        <v>37</v>
      </c>
      <c r="I21" s="60">
        <v>39</v>
      </c>
      <c r="J21" s="61">
        <v>38</v>
      </c>
      <c r="K21" s="60">
        <v>22</v>
      </c>
      <c r="L21" s="60">
        <v>27</v>
      </c>
      <c r="M21" s="61">
        <v>24</v>
      </c>
      <c r="N21" s="60">
        <v>53</v>
      </c>
      <c r="O21" s="60">
        <v>55</v>
      </c>
      <c r="P21" s="61">
        <v>54</v>
      </c>
      <c r="Q21" s="60">
        <v>18</v>
      </c>
      <c r="R21" s="60">
        <v>20</v>
      </c>
      <c r="S21" s="61">
        <v>19</v>
      </c>
      <c r="T21" s="60">
        <v>28</v>
      </c>
      <c r="U21" s="60">
        <v>30</v>
      </c>
      <c r="V21" s="61">
        <v>29</v>
      </c>
      <c r="Y21" s="61"/>
      <c r="AB21" s="61"/>
      <c r="AE21" s="61"/>
      <c r="AH21" s="61"/>
    </row>
    <row r="22" spans="1:34" s="60" customFormat="1" ht="10" x14ac:dyDescent="0.2">
      <c r="A22" s="58">
        <v>42572</v>
      </c>
      <c r="B22" s="59">
        <f t="shared" si="0"/>
        <v>2016</v>
      </c>
      <c r="C22" s="59"/>
      <c r="D22" s="59">
        <f t="shared" si="1"/>
        <v>7</v>
      </c>
      <c r="E22" s="60">
        <v>30</v>
      </c>
      <c r="F22" s="60">
        <v>32</v>
      </c>
      <c r="G22" s="61">
        <v>31</v>
      </c>
      <c r="H22" s="60">
        <v>37</v>
      </c>
      <c r="I22" s="60">
        <v>39</v>
      </c>
      <c r="J22" s="61">
        <v>38</v>
      </c>
      <c r="K22" s="60">
        <v>22</v>
      </c>
      <c r="L22" s="60">
        <v>27</v>
      </c>
      <c r="M22" s="61">
        <v>24</v>
      </c>
      <c r="N22" s="60">
        <v>53</v>
      </c>
      <c r="O22" s="60">
        <v>55</v>
      </c>
      <c r="P22" s="61">
        <v>54</v>
      </c>
      <c r="Q22" s="60">
        <v>18</v>
      </c>
      <c r="R22" s="60">
        <v>20</v>
      </c>
      <c r="S22" s="61">
        <v>19</v>
      </c>
      <c r="T22" s="60">
        <v>28</v>
      </c>
      <c r="U22" s="60">
        <v>30</v>
      </c>
      <c r="V22" s="61">
        <v>29</v>
      </c>
      <c r="Y22" s="61"/>
      <c r="AB22" s="61"/>
      <c r="AE22" s="61"/>
      <c r="AH22" s="61"/>
    </row>
    <row r="23" spans="1:34" s="60" customFormat="1" ht="10" x14ac:dyDescent="0.2">
      <c r="A23" s="58">
        <v>42579</v>
      </c>
      <c r="B23" s="59">
        <f t="shared" si="0"/>
        <v>2016</v>
      </c>
      <c r="C23" s="59"/>
      <c r="D23" s="59">
        <f t="shared" si="1"/>
        <v>7</v>
      </c>
      <c r="E23" s="60">
        <v>30</v>
      </c>
      <c r="F23" s="60">
        <v>32</v>
      </c>
      <c r="G23" s="61">
        <v>31</v>
      </c>
      <c r="H23" s="60">
        <v>37</v>
      </c>
      <c r="I23" s="60">
        <v>39</v>
      </c>
      <c r="J23" s="61">
        <v>38</v>
      </c>
      <c r="K23" s="60">
        <v>22</v>
      </c>
      <c r="L23" s="60">
        <v>27</v>
      </c>
      <c r="M23" s="61">
        <v>24</v>
      </c>
      <c r="N23" s="60">
        <v>53</v>
      </c>
      <c r="O23" s="60">
        <v>55</v>
      </c>
      <c r="P23" s="61">
        <v>54</v>
      </c>
      <c r="Q23" s="60">
        <v>18</v>
      </c>
      <c r="R23" s="60">
        <v>20</v>
      </c>
      <c r="S23" s="61">
        <v>19</v>
      </c>
      <c r="T23" s="60">
        <v>28</v>
      </c>
      <c r="U23" s="60">
        <v>30</v>
      </c>
      <c r="V23" s="61">
        <v>29</v>
      </c>
      <c r="Y23" s="61"/>
      <c r="AB23" s="61"/>
      <c r="AE23" s="61"/>
      <c r="AH23" s="61"/>
    </row>
    <row r="24" spans="1:34" s="60" customFormat="1" ht="10" x14ac:dyDescent="0.2">
      <c r="A24" s="58">
        <v>42586</v>
      </c>
      <c r="B24" s="59">
        <f t="shared" si="0"/>
        <v>2016</v>
      </c>
      <c r="C24" s="59"/>
      <c r="D24" s="59">
        <f t="shared" si="1"/>
        <v>8</v>
      </c>
      <c r="E24" s="60">
        <v>28</v>
      </c>
      <c r="F24" s="60">
        <v>30</v>
      </c>
      <c r="G24" s="61">
        <v>29</v>
      </c>
      <c r="H24" s="60">
        <v>30</v>
      </c>
      <c r="I24" s="60">
        <v>34</v>
      </c>
      <c r="J24" s="61">
        <v>32</v>
      </c>
      <c r="K24" s="60">
        <v>18</v>
      </c>
      <c r="L24" s="60">
        <v>25</v>
      </c>
      <c r="M24" s="61">
        <v>22</v>
      </c>
      <c r="N24" s="60">
        <v>47</v>
      </c>
      <c r="O24" s="60">
        <v>50</v>
      </c>
      <c r="P24" s="61">
        <v>48</v>
      </c>
      <c r="Q24" s="60">
        <v>15</v>
      </c>
      <c r="R24" s="60">
        <v>18</v>
      </c>
      <c r="S24" s="61">
        <v>16</v>
      </c>
      <c r="T24" s="60">
        <v>25</v>
      </c>
      <c r="U24" s="60">
        <v>28</v>
      </c>
      <c r="V24" s="61">
        <v>26</v>
      </c>
      <c r="Y24" s="61"/>
      <c r="AB24" s="61"/>
      <c r="AE24" s="61"/>
      <c r="AH24" s="61"/>
    </row>
    <row r="25" spans="1:34" s="60" customFormat="1" ht="10" x14ac:dyDescent="0.2">
      <c r="A25" s="58">
        <v>42593</v>
      </c>
      <c r="B25" s="59">
        <f t="shared" si="0"/>
        <v>2016</v>
      </c>
      <c r="C25" s="59"/>
      <c r="D25" s="59">
        <f t="shared" si="1"/>
        <v>8</v>
      </c>
      <c r="E25" s="60">
        <v>28</v>
      </c>
      <c r="F25" s="60">
        <v>30</v>
      </c>
      <c r="G25" s="61">
        <v>29</v>
      </c>
      <c r="H25" s="60">
        <v>30</v>
      </c>
      <c r="I25" s="60">
        <v>34</v>
      </c>
      <c r="J25" s="61">
        <v>32</v>
      </c>
      <c r="K25" s="60">
        <v>18</v>
      </c>
      <c r="L25" s="60">
        <v>25</v>
      </c>
      <c r="M25" s="61">
        <v>22</v>
      </c>
      <c r="N25" s="60">
        <v>47</v>
      </c>
      <c r="O25" s="60">
        <v>50</v>
      </c>
      <c r="P25" s="61">
        <v>48</v>
      </c>
      <c r="Q25" s="60">
        <v>15</v>
      </c>
      <c r="R25" s="60">
        <v>18</v>
      </c>
      <c r="S25" s="61">
        <v>16</v>
      </c>
      <c r="T25" s="60">
        <v>25</v>
      </c>
      <c r="U25" s="60">
        <v>28</v>
      </c>
      <c r="V25" s="61">
        <v>26</v>
      </c>
      <c r="Y25" s="61"/>
      <c r="AB25" s="61"/>
      <c r="AE25" s="61"/>
      <c r="AH25" s="61"/>
    </row>
    <row r="26" spans="1:34" s="60" customFormat="1" ht="10" x14ac:dyDescent="0.2">
      <c r="A26" s="58">
        <v>42600</v>
      </c>
      <c r="B26" s="59">
        <f t="shared" si="0"/>
        <v>2016</v>
      </c>
      <c r="C26" s="59"/>
      <c r="D26" s="59">
        <f t="shared" si="1"/>
        <v>8</v>
      </c>
      <c r="E26" s="60">
        <v>28</v>
      </c>
      <c r="F26" s="60">
        <v>30</v>
      </c>
      <c r="G26" s="61">
        <v>29</v>
      </c>
      <c r="H26" s="60">
        <v>30</v>
      </c>
      <c r="I26" s="60">
        <v>34</v>
      </c>
      <c r="J26" s="61">
        <v>32</v>
      </c>
      <c r="K26" s="60">
        <v>18</v>
      </c>
      <c r="L26" s="60">
        <v>25</v>
      </c>
      <c r="M26" s="61">
        <v>22</v>
      </c>
      <c r="N26" s="60">
        <v>47</v>
      </c>
      <c r="O26" s="60">
        <v>50</v>
      </c>
      <c r="P26" s="61">
        <v>48</v>
      </c>
      <c r="Q26" s="60">
        <v>15</v>
      </c>
      <c r="R26" s="60">
        <v>18</v>
      </c>
      <c r="S26" s="61">
        <v>16</v>
      </c>
      <c r="T26" s="60">
        <v>25</v>
      </c>
      <c r="U26" s="60">
        <v>28</v>
      </c>
      <c r="V26" s="61">
        <v>26</v>
      </c>
      <c r="Y26" s="61"/>
      <c r="AB26" s="61"/>
      <c r="AE26" s="61"/>
      <c r="AH26" s="61"/>
    </row>
    <row r="27" spans="1:34" s="60" customFormat="1" ht="10" x14ac:dyDescent="0.2">
      <c r="A27" s="58">
        <v>42607</v>
      </c>
      <c r="B27" s="59">
        <f t="shared" si="0"/>
        <v>2016</v>
      </c>
      <c r="C27" s="59"/>
      <c r="D27" s="59">
        <f t="shared" si="1"/>
        <v>8</v>
      </c>
      <c r="E27" s="60">
        <v>28</v>
      </c>
      <c r="F27" s="60">
        <v>30</v>
      </c>
      <c r="G27" s="61">
        <v>29</v>
      </c>
      <c r="H27" s="60">
        <v>30</v>
      </c>
      <c r="I27" s="60">
        <v>34</v>
      </c>
      <c r="J27" s="61">
        <v>32</v>
      </c>
      <c r="K27" s="60">
        <v>18</v>
      </c>
      <c r="L27" s="60">
        <v>25</v>
      </c>
      <c r="M27" s="61">
        <v>22</v>
      </c>
      <c r="N27" s="60">
        <v>47</v>
      </c>
      <c r="O27" s="60">
        <v>50</v>
      </c>
      <c r="P27" s="61">
        <v>48</v>
      </c>
      <c r="Q27" s="60">
        <v>15</v>
      </c>
      <c r="R27" s="60">
        <v>18</v>
      </c>
      <c r="S27" s="61">
        <v>16</v>
      </c>
      <c r="T27" s="60">
        <v>25</v>
      </c>
      <c r="U27" s="60">
        <v>28</v>
      </c>
      <c r="V27" s="61">
        <v>26</v>
      </c>
      <c r="Y27" s="61"/>
      <c r="AB27" s="61"/>
      <c r="AE27" s="61"/>
      <c r="AH27" s="61"/>
    </row>
    <row r="28" spans="1:34" s="60" customFormat="1" ht="10" x14ac:dyDescent="0.2">
      <c r="A28" s="58">
        <v>42614</v>
      </c>
      <c r="B28" s="59">
        <f t="shared" si="0"/>
        <v>2016</v>
      </c>
      <c r="C28" s="59"/>
      <c r="D28" s="59">
        <f t="shared" si="1"/>
        <v>9</v>
      </c>
      <c r="E28" s="60">
        <v>28</v>
      </c>
      <c r="F28" s="60">
        <v>30</v>
      </c>
      <c r="G28" s="61">
        <v>29</v>
      </c>
      <c r="H28" s="60">
        <v>30</v>
      </c>
      <c r="I28" s="60">
        <v>34</v>
      </c>
      <c r="J28" s="61">
        <v>32</v>
      </c>
      <c r="K28" s="60">
        <v>18</v>
      </c>
      <c r="L28" s="60">
        <v>25</v>
      </c>
      <c r="M28" s="61">
        <v>22</v>
      </c>
      <c r="N28" s="60">
        <v>47</v>
      </c>
      <c r="O28" s="60">
        <v>50</v>
      </c>
      <c r="P28" s="61">
        <v>48</v>
      </c>
      <c r="Q28" s="60">
        <v>15</v>
      </c>
      <c r="R28" s="60">
        <v>18</v>
      </c>
      <c r="S28" s="61">
        <v>16</v>
      </c>
      <c r="T28" s="60">
        <v>25</v>
      </c>
      <c r="U28" s="60">
        <v>28</v>
      </c>
      <c r="V28" s="61">
        <v>26</v>
      </c>
      <c r="Y28" s="61"/>
      <c r="AB28" s="61"/>
      <c r="AE28" s="61"/>
      <c r="AH28" s="61"/>
    </row>
    <row r="29" spans="1:34" s="60" customFormat="1" ht="10" x14ac:dyDescent="0.2">
      <c r="A29" s="58">
        <v>42621</v>
      </c>
      <c r="B29" s="59">
        <f t="shared" si="0"/>
        <v>2016</v>
      </c>
      <c r="C29" s="59"/>
      <c r="D29" s="59">
        <f t="shared" si="1"/>
        <v>9</v>
      </c>
      <c r="E29" s="60">
        <v>28</v>
      </c>
      <c r="F29" s="60">
        <v>30</v>
      </c>
      <c r="G29" s="61">
        <v>29</v>
      </c>
      <c r="H29" s="60">
        <v>30</v>
      </c>
      <c r="I29" s="60">
        <v>34</v>
      </c>
      <c r="J29" s="61">
        <v>32</v>
      </c>
      <c r="K29" s="60">
        <v>18</v>
      </c>
      <c r="L29" s="60">
        <v>25</v>
      </c>
      <c r="M29" s="61">
        <v>22</v>
      </c>
      <c r="N29" s="60">
        <v>47</v>
      </c>
      <c r="O29" s="60">
        <v>50</v>
      </c>
      <c r="P29" s="61">
        <v>48</v>
      </c>
      <c r="Q29" s="60">
        <v>15</v>
      </c>
      <c r="R29" s="60">
        <v>18</v>
      </c>
      <c r="S29" s="61">
        <v>16</v>
      </c>
      <c r="T29" s="60">
        <v>25</v>
      </c>
      <c r="U29" s="60">
        <v>28</v>
      </c>
      <c r="V29" s="61">
        <v>26</v>
      </c>
      <c r="Y29" s="61"/>
      <c r="AB29" s="61"/>
      <c r="AE29" s="61"/>
      <c r="AH29" s="61"/>
    </row>
    <row r="30" spans="1:34" s="60" customFormat="1" ht="10" x14ac:dyDescent="0.2">
      <c r="A30" s="58">
        <v>42628</v>
      </c>
      <c r="B30" s="59">
        <f t="shared" si="0"/>
        <v>2016</v>
      </c>
      <c r="C30" s="59"/>
      <c r="D30" s="59">
        <f t="shared" si="1"/>
        <v>9</v>
      </c>
      <c r="E30" s="60">
        <v>28</v>
      </c>
      <c r="F30" s="60">
        <v>30</v>
      </c>
      <c r="G30" s="61">
        <v>29</v>
      </c>
      <c r="H30" s="60">
        <v>30</v>
      </c>
      <c r="I30" s="60">
        <v>34</v>
      </c>
      <c r="J30" s="61">
        <v>32</v>
      </c>
      <c r="K30" s="60">
        <v>18</v>
      </c>
      <c r="L30" s="60">
        <v>25</v>
      </c>
      <c r="M30" s="61">
        <v>22</v>
      </c>
      <c r="N30" s="60">
        <v>47</v>
      </c>
      <c r="O30" s="60">
        <v>50</v>
      </c>
      <c r="P30" s="61">
        <v>48</v>
      </c>
      <c r="Q30" s="60">
        <v>15</v>
      </c>
      <c r="R30" s="60">
        <v>18</v>
      </c>
      <c r="S30" s="61">
        <v>16</v>
      </c>
      <c r="T30" s="60">
        <v>25</v>
      </c>
      <c r="U30" s="60">
        <v>28</v>
      </c>
      <c r="V30" s="61">
        <v>26</v>
      </c>
      <c r="Y30" s="61"/>
      <c r="AB30" s="61"/>
      <c r="AE30" s="61"/>
      <c r="AH30" s="61"/>
    </row>
    <row r="31" spans="1:34" s="60" customFormat="1" ht="10" x14ac:dyDescent="0.2">
      <c r="A31" s="58">
        <v>42635</v>
      </c>
      <c r="B31" s="59">
        <f t="shared" si="0"/>
        <v>2016</v>
      </c>
      <c r="C31" s="59"/>
      <c r="D31" s="59">
        <f t="shared" si="1"/>
        <v>9</v>
      </c>
      <c r="E31" s="60">
        <v>28</v>
      </c>
      <c r="F31" s="60">
        <v>30</v>
      </c>
      <c r="G31" s="61">
        <v>29</v>
      </c>
      <c r="H31" s="60">
        <v>30</v>
      </c>
      <c r="I31" s="60">
        <v>34</v>
      </c>
      <c r="J31" s="61">
        <v>32</v>
      </c>
      <c r="K31" s="60">
        <v>18</v>
      </c>
      <c r="L31" s="60">
        <v>25</v>
      </c>
      <c r="M31" s="61">
        <v>22</v>
      </c>
      <c r="N31" s="60">
        <v>47</v>
      </c>
      <c r="O31" s="60">
        <v>50</v>
      </c>
      <c r="P31" s="61">
        <v>48</v>
      </c>
      <c r="Q31" s="60">
        <v>15</v>
      </c>
      <c r="R31" s="60">
        <v>18</v>
      </c>
      <c r="S31" s="61">
        <v>16</v>
      </c>
      <c r="T31" s="60">
        <v>25</v>
      </c>
      <c r="U31" s="60">
        <v>28</v>
      </c>
      <c r="V31" s="61">
        <v>26</v>
      </c>
      <c r="Y31" s="61"/>
      <c r="AB31" s="61"/>
      <c r="AE31" s="61"/>
      <c r="AH31" s="61"/>
    </row>
    <row r="32" spans="1:34" s="60" customFormat="1" ht="10" x14ac:dyDescent="0.2">
      <c r="A32" s="58">
        <v>42642</v>
      </c>
      <c r="B32" s="59">
        <f t="shared" si="0"/>
        <v>2016</v>
      </c>
      <c r="C32" s="59"/>
      <c r="D32" s="59">
        <f t="shared" si="1"/>
        <v>9</v>
      </c>
      <c r="E32" s="60">
        <v>28</v>
      </c>
      <c r="F32" s="60">
        <v>30</v>
      </c>
      <c r="G32" s="61">
        <v>29</v>
      </c>
      <c r="H32" s="60">
        <v>30</v>
      </c>
      <c r="I32" s="60">
        <v>34</v>
      </c>
      <c r="J32" s="61">
        <v>32</v>
      </c>
      <c r="K32" s="60">
        <v>18</v>
      </c>
      <c r="L32" s="60">
        <v>25</v>
      </c>
      <c r="M32" s="61">
        <v>22</v>
      </c>
      <c r="N32" s="60">
        <v>47</v>
      </c>
      <c r="O32" s="60">
        <v>50</v>
      </c>
      <c r="P32" s="61">
        <v>48</v>
      </c>
      <c r="Q32" s="60">
        <v>15</v>
      </c>
      <c r="R32" s="60">
        <v>18</v>
      </c>
      <c r="S32" s="61">
        <v>16</v>
      </c>
      <c r="T32" s="60">
        <v>25</v>
      </c>
      <c r="U32" s="60">
        <v>28</v>
      </c>
      <c r="V32" s="61">
        <v>26</v>
      </c>
      <c r="Y32" s="61"/>
      <c r="AB32" s="61"/>
      <c r="AE32" s="61"/>
      <c r="AH32" s="61"/>
    </row>
    <row r="33" spans="1:34" s="60" customFormat="1" ht="10" x14ac:dyDescent="0.2">
      <c r="A33" s="58">
        <v>42649</v>
      </c>
      <c r="B33" s="59">
        <f t="shared" si="0"/>
        <v>2016</v>
      </c>
      <c r="C33" s="59"/>
      <c r="D33" s="59">
        <f t="shared" si="1"/>
        <v>10</v>
      </c>
      <c r="E33" s="60">
        <v>24</v>
      </c>
      <c r="F33" s="60">
        <v>27</v>
      </c>
      <c r="G33" s="61">
        <v>26</v>
      </c>
      <c r="H33" s="60">
        <v>30</v>
      </c>
      <c r="I33" s="60">
        <v>32</v>
      </c>
      <c r="J33" s="61">
        <v>31</v>
      </c>
      <c r="K33" s="60">
        <v>16</v>
      </c>
      <c r="L33" s="60">
        <v>24</v>
      </c>
      <c r="M33" s="61">
        <v>20</v>
      </c>
      <c r="N33" s="60">
        <v>47</v>
      </c>
      <c r="O33" s="60">
        <v>50</v>
      </c>
      <c r="P33" s="61">
        <v>48</v>
      </c>
      <c r="Q33" s="60">
        <v>14</v>
      </c>
      <c r="R33" s="60">
        <v>16</v>
      </c>
      <c r="S33" s="61">
        <v>15</v>
      </c>
      <c r="T33" s="60">
        <v>25</v>
      </c>
      <c r="U33" s="60">
        <v>27</v>
      </c>
      <c r="V33" s="61">
        <v>26</v>
      </c>
      <c r="Y33" s="61"/>
      <c r="AB33" s="61"/>
      <c r="AE33" s="61"/>
      <c r="AH33" s="61"/>
    </row>
    <row r="34" spans="1:34" s="60" customFormat="1" ht="10" x14ac:dyDescent="0.2">
      <c r="A34" s="58">
        <v>42656</v>
      </c>
      <c r="B34" s="59">
        <f t="shared" si="0"/>
        <v>2016</v>
      </c>
      <c r="C34" s="59"/>
      <c r="D34" s="59">
        <f t="shared" si="1"/>
        <v>10</v>
      </c>
      <c r="E34" s="60">
        <v>24</v>
      </c>
      <c r="F34" s="60">
        <v>27</v>
      </c>
      <c r="G34" s="61">
        <v>26</v>
      </c>
      <c r="H34" s="60">
        <v>30</v>
      </c>
      <c r="I34" s="60">
        <v>32</v>
      </c>
      <c r="J34" s="61">
        <v>31</v>
      </c>
      <c r="K34" s="60">
        <v>16</v>
      </c>
      <c r="L34" s="60">
        <v>24</v>
      </c>
      <c r="M34" s="61">
        <v>20</v>
      </c>
      <c r="N34" s="60">
        <v>47</v>
      </c>
      <c r="O34" s="60">
        <v>50</v>
      </c>
      <c r="P34" s="61">
        <v>48</v>
      </c>
      <c r="Q34" s="60">
        <v>14</v>
      </c>
      <c r="R34" s="60">
        <v>16</v>
      </c>
      <c r="S34" s="61">
        <v>15</v>
      </c>
      <c r="T34" s="60">
        <v>25</v>
      </c>
      <c r="U34" s="60">
        <v>27</v>
      </c>
      <c r="V34" s="61">
        <v>26</v>
      </c>
      <c r="Y34" s="61"/>
      <c r="AB34" s="61"/>
      <c r="AE34" s="61"/>
      <c r="AH34" s="61"/>
    </row>
    <row r="35" spans="1:34" s="60" customFormat="1" ht="10" x14ac:dyDescent="0.2">
      <c r="A35" s="58">
        <v>42663</v>
      </c>
      <c r="B35" s="59">
        <f t="shared" si="0"/>
        <v>2016</v>
      </c>
      <c r="C35" s="59"/>
      <c r="D35" s="59">
        <f t="shared" si="1"/>
        <v>10</v>
      </c>
      <c r="E35" s="60">
        <v>24</v>
      </c>
      <c r="F35" s="60">
        <v>27</v>
      </c>
      <c r="G35" s="61">
        <v>26</v>
      </c>
      <c r="H35" s="60">
        <v>30</v>
      </c>
      <c r="I35" s="60">
        <v>32</v>
      </c>
      <c r="J35" s="61">
        <v>31</v>
      </c>
      <c r="K35" s="60">
        <v>16</v>
      </c>
      <c r="L35" s="60">
        <v>24</v>
      </c>
      <c r="M35" s="61">
        <v>20</v>
      </c>
      <c r="N35" s="60">
        <v>47</v>
      </c>
      <c r="O35" s="60">
        <v>50</v>
      </c>
      <c r="P35" s="61">
        <v>48</v>
      </c>
      <c r="Q35" s="60">
        <v>14</v>
      </c>
      <c r="R35" s="60">
        <v>16</v>
      </c>
      <c r="S35" s="61">
        <v>15</v>
      </c>
      <c r="T35" s="60">
        <v>25</v>
      </c>
      <c r="U35" s="60">
        <v>27</v>
      </c>
      <c r="V35" s="61">
        <v>26</v>
      </c>
      <c r="Y35" s="61"/>
      <c r="AB35" s="61"/>
      <c r="AE35" s="61"/>
      <c r="AH35" s="61"/>
    </row>
    <row r="36" spans="1:34" s="60" customFormat="1" ht="10" x14ac:dyDescent="0.2">
      <c r="A36" s="58">
        <v>42670</v>
      </c>
      <c r="B36" s="59">
        <f t="shared" si="0"/>
        <v>2016</v>
      </c>
      <c r="C36" s="59"/>
      <c r="D36" s="59">
        <f t="shared" si="1"/>
        <v>10</v>
      </c>
      <c r="E36" s="60">
        <v>24</v>
      </c>
      <c r="F36" s="60">
        <v>27</v>
      </c>
      <c r="G36" s="61">
        <v>26</v>
      </c>
      <c r="H36" s="60">
        <v>30</v>
      </c>
      <c r="I36" s="60">
        <v>32</v>
      </c>
      <c r="J36" s="61">
        <v>31</v>
      </c>
      <c r="K36" s="60">
        <v>16</v>
      </c>
      <c r="L36" s="60">
        <v>24</v>
      </c>
      <c r="M36" s="61">
        <v>20</v>
      </c>
      <c r="N36" s="60">
        <v>47</v>
      </c>
      <c r="O36" s="60">
        <v>50</v>
      </c>
      <c r="P36" s="61">
        <v>48</v>
      </c>
      <c r="Q36" s="60">
        <v>14</v>
      </c>
      <c r="R36" s="60">
        <v>16</v>
      </c>
      <c r="S36" s="61">
        <v>15</v>
      </c>
      <c r="T36" s="60">
        <v>25</v>
      </c>
      <c r="U36" s="60">
        <v>27</v>
      </c>
      <c r="V36" s="61">
        <v>26</v>
      </c>
      <c r="Y36" s="61"/>
      <c r="AB36" s="61"/>
      <c r="AE36" s="61"/>
      <c r="AH36" s="61"/>
    </row>
    <row r="37" spans="1:34" s="60" customFormat="1" ht="10" x14ac:dyDescent="0.2">
      <c r="A37" s="58">
        <v>42677</v>
      </c>
      <c r="B37" s="59">
        <f t="shared" si="0"/>
        <v>2016</v>
      </c>
      <c r="C37" s="59"/>
      <c r="D37" s="59">
        <f t="shared" si="1"/>
        <v>11</v>
      </c>
      <c r="E37" s="60">
        <v>24</v>
      </c>
      <c r="F37" s="60">
        <v>27</v>
      </c>
      <c r="G37" s="61">
        <v>26</v>
      </c>
      <c r="H37" s="60">
        <v>30</v>
      </c>
      <c r="I37" s="60">
        <v>32</v>
      </c>
      <c r="J37" s="61">
        <v>31</v>
      </c>
      <c r="K37" s="60">
        <v>16</v>
      </c>
      <c r="L37" s="60">
        <v>24</v>
      </c>
      <c r="M37" s="61">
        <v>20</v>
      </c>
      <c r="N37" s="60">
        <v>47</v>
      </c>
      <c r="O37" s="60">
        <v>50</v>
      </c>
      <c r="P37" s="61">
        <v>48</v>
      </c>
      <c r="Q37" s="60">
        <v>14</v>
      </c>
      <c r="R37" s="60">
        <v>16</v>
      </c>
      <c r="S37" s="61">
        <v>15</v>
      </c>
      <c r="T37" s="60">
        <v>25</v>
      </c>
      <c r="U37" s="60">
        <v>27</v>
      </c>
      <c r="V37" s="61">
        <v>26</v>
      </c>
      <c r="Y37" s="61"/>
      <c r="AB37" s="61"/>
      <c r="AE37" s="61"/>
      <c r="AH37" s="61"/>
    </row>
    <row r="38" spans="1:34" s="60" customFormat="1" ht="10" x14ac:dyDescent="0.2">
      <c r="A38" s="58">
        <v>42684</v>
      </c>
      <c r="B38" s="59">
        <f t="shared" si="0"/>
        <v>2016</v>
      </c>
      <c r="C38" s="59"/>
      <c r="D38" s="59">
        <f t="shared" si="1"/>
        <v>11</v>
      </c>
      <c r="E38" s="60">
        <v>24</v>
      </c>
      <c r="F38" s="60">
        <v>27</v>
      </c>
      <c r="G38" s="61">
        <v>26</v>
      </c>
      <c r="H38" s="60">
        <v>30</v>
      </c>
      <c r="I38" s="60">
        <v>32</v>
      </c>
      <c r="J38" s="61">
        <v>31</v>
      </c>
      <c r="K38" s="60">
        <v>16</v>
      </c>
      <c r="L38" s="60">
        <v>24</v>
      </c>
      <c r="M38" s="61">
        <v>20</v>
      </c>
      <c r="N38" s="60">
        <v>47</v>
      </c>
      <c r="O38" s="60">
        <v>50</v>
      </c>
      <c r="P38" s="61">
        <v>48</v>
      </c>
      <c r="Q38" s="60">
        <v>14</v>
      </c>
      <c r="R38" s="60">
        <v>16</v>
      </c>
      <c r="S38" s="61">
        <v>15</v>
      </c>
      <c r="T38" s="60">
        <v>25</v>
      </c>
      <c r="U38" s="60">
        <v>27</v>
      </c>
      <c r="V38" s="61">
        <v>26</v>
      </c>
      <c r="Y38" s="61"/>
      <c r="AB38" s="61"/>
      <c r="AE38" s="61"/>
      <c r="AH38" s="61"/>
    </row>
    <row r="39" spans="1:34" s="60" customFormat="1" ht="10" x14ac:dyDescent="0.2">
      <c r="A39" s="58">
        <v>42691</v>
      </c>
      <c r="B39" s="59">
        <f t="shared" si="0"/>
        <v>2016</v>
      </c>
      <c r="C39" s="59"/>
      <c r="D39" s="59">
        <f t="shared" si="1"/>
        <v>11</v>
      </c>
      <c r="E39" s="60">
        <v>24</v>
      </c>
      <c r="F39" s="60">
        <v>27</v>
      </c>
      <c r="G39" s="61">
        <v>26</v>
      </c>
      <c r="H39" s="60">
        <v>30</v>
      </c>
      <c r="I39" s="60">
        <v>32</v>
      </c>
      <c r="J39" s="61">
        <v>31</v>
      </c>
      <c r="K39" s="60">
        <v>16</v>
      </c>
      <c r="L39" s="60">
        <v>24</v>
      </c>
      <c r="M39" s="61">
        <v>20</v>
      </c>
      <c r="N39" s="60">
        <v>47</v>
      </c>
      <c r="O39" s="60">
        <v>50</v>
      </c>
      <c r="P39" s="61">
        <v>48</v>
      </c>
      <c r="Q39" s="60">
        <v>14</v>
      </c>
      <c r="R39" s="60">
        <v>16</v>
      </c>
      <c r="S39" s="61">
        <v>15</v>
      </c>
      <c r="T39" s="60">
        <v>25</v>
      </c>
      <c r="U39" s="60">
        <v>27</v>
      </c>
      <c r="V39" s="61">
        <v>26</v>
      </c>
      <c r="Y39" s="61"/>
      <c r="AB39" s="61"/>
      <c r="AE39" s="61"/>
      <c r="AH39" s="61"/>
    </row>
    <row r="40" spans="1:34" s="60" customFormat="1" ht="10" x14ac:dyDescent="0.2">
      <c r="A40" s="58">
        <v>42698</v>
      </c>
      <c r="B40" s="59">
        <f t="shared" si="0"/>
        <v>2016</v>
      </c>
      <c r="C40" s="59"/>
      <c r="D40" s="59">
        <f t="shared" si="1"/>
        <v>11</v>
      </c>
      <c r="E40" s="60">
        <v>24</v>
      </c>
      <c r="F40" s="60">
        <v>27</v>
      </c>
      <c r="G40" s="61">
        <v>26</v>
      </c>
      <c r="H40" s="60">
        <v>30</v>
      </c>
      <c r="I40" s="60">
        <v>32</v>
      </c>
      <c r="J40" s="61">
        <v>31</v>
      </c>
      <c r="K40" s="60">
        <v>16</v>
      </c>
      <c r="L40" s="60">
        <v>24</v>
      </c>
      <c r="M40" s="61">
        <v>20</v>
      </c>
      <c r="N40" s="60">
        <v>47</v>
      </c>
      <c r="O40" s="60">
        <v>50</v>
      </c>
      <c r="P40" s="61">
        <v>48</v>
      </c>
      <c r="Q40" s="60">
        <v>14</v>
      </c>
      <c r="R40" s="60">
        <v>16</v>
      </c>
      <c r="S40" s="61">
        <v>15</v>
      </c>
      <c r="T40" s="60">
        <v>25</v>
      </c>
      <c r="U40" s="60">
        <v>27</v>
      </c>
      <c r="V40" s="61">
        <v>26</v>
      </c>
      <c r="Y40" s="61"/>
      <c r="AB40" s="61"/>
      <c r="AE40" s="61"/>
      <c r="AH40" s="61"/>
    </row>
    <row r="41" spans="1:34" s="60" customFormat="1" ht="10" x14ac:dyDescent="0.2">
      <c r="A41" s="58">
        <v>42705</v>
      </c>
      <c r="B41" s="59">
        <f t="shared" si="0"/>
        <v>2016</v>
      </c>
      <c r="C41" s="59"/>
      <c r="D41" s="59">
        <f t="shared" si="1"/>
        <v>12</v>
      </c>
      <c r="E41" s="60">
        <v>24</v>
      </c>
      <c r="F41" s="60">
        <v>27</v>
      </c>
      <c r="G41" s="61">
        <v>26</v>
      </c>
      <c r="H41" s="60">
        <v>30</v>
      </c>
      <c r="I41" s="60">
        <v>32</v>
      </c>
      <c r="J41" s="61">
        <v>31</v>
      </c>
      <c r="K41" s="60">
        <v>16</v>
      </c>
      <c r="L41" s="60">
        <v>24</v>
      </c>
      <c r="M41" s="61">
        <v>20</v>
      </c>
      <c r="N41" s="60">
        <v>47</v>
      </c>
      <c r="O41" s="60">
        <v>50</v>
      </c>
      <c r="P41" s="61">
        <v>48</v>
      </c>
      <c r="Q41" s="60">
        <v>14</v>
      </c>
      <c r="R41" s="60">
        <v>16</v>
      </c>
      <c r="S41" s="61">
        <v>15</v>
      </c>
      <c r="T41" s="60">
        <v>25</v>
      </c>
      <c r="U41" s="60">
        <v>27</v>
      </c>
      <c r="V41" s="61">
        <v>26</v>
      </c>
      <c r="Y41" s="61"/>
      <c r="AB41" s="61"/>
      <c r="AE41" s="61"/>
      <c r="AH41" s="61"/>
    </row>
    <row r="42" spans="1:34" s="60" customFormat="1" ht="10" x14ac:dyDescent="0.2">
      <c r="A42" s="58">
        <v>42712</v>
      </c>
      <c r="B42" s="59">
        <f t="shared" si="0"/>
        <v>2016</v>
      </c>
      <c r="C42" s="59"/>
      <c r="D42" s="59">
        <f t="shared" si="1"/>
        <v>12</v>
      </c>
      <c r="E42" s="60">
        <v>24</v>
      </c>
      <c r="F42" s="60">
        <v>27</v>
      </c>
      <c r="G42" s="61">
        <v>26</v>
      </c>
      <c r="H42" s="60">
        <v>30</v>
      </c>
      <c r="I42" s="60">
        <v>32</v>
      </c>
      <c r="J42" s="61">
        <v>31</v>
      </c>
      <c r="K42" s="60">
        <v>16</v>
      </c>
      <c r="L42" s="60">
        <v>24</v>
      </c>
      <c r="M42" s="61">
        <v>20</v>
      </c>
      <c r="N42" s="60">
        <v>47</v>
      </c>
      <c r="O42" s="60">
        <v>50</v>
      </c>
      <c r="P42" s="61">
        <v>48</v>
      </c>
      <c r="Q42" s="60">
        <v>14</v>
      </c>
      <c r="R42" s="60">
        <v>16</v>
      </c>
      <c r="S42" s="61">
        <v>15</v>
      </c>
      <c r="T42" s="60">
        <v>25</v>
      </c>
      <c r="U42" s="60">
        <v>27</v>
      </c>
      <c r="V42" s="61">
        <v>26</v>
      </c>
      <c r="Y42" s="61"/>
      <c r="AB42" s="61"/>
      <c r="AE42" s="61"/>
      <c r="AH42" s="61"/>
    </row>
    <row r="43" spans="1:34" s="60" customFormat="1" ht="10" x14ac:dyDescent="0.2">
      <c r="A43" s="58">
        <v>42719</v>
      </c>
      <c r="B43" s="59">
        <f t="shared" si="0"/>
        <v>2016</v>
      </c>
      <c r="C43" s="59"/>
      <c r="D43" s="59">
        <f t="shared" si="1"/>
        <v>12</v>
      </c>
      <c r="E43" s="60">
        <v>24</v>
      </c>
      <c r="F43" s="60">
        <v>27</v>
      </c>
      <c r="G43" s="61">
        <v>26</v>
      </c>
      <c r="H43" s="60">
        <v>30</v>
      </c>
      <c r="I43" s="60">
        <v>32</v>
      </c>
      <c r="J43" s="61">
        <v>31</v>
      </c>
      <c r="K43" s="60">
        <v>16</v>
      </c>
      <c r="L43" s="60">
        <v>24</v>
      </c>
      <c r="M43" s="61">
        <v>20</v>
      </c>
      <c r="N43" s="60">
        <v>47</v>
      </c>
      <c r="O43" s="60">
        <v>50</v>
      </c>
      <c r="P43" s="61">
        <v>48</v>
      </c>
      <c r="Q43" s="60">
        <v>14</v>
      </c>
      <c r="R43" s="60">
        <v>16</v>
      </c>
      <c r="S43" s="61">
        <v>15</v>
      </c>
      <c r="T43" s="60">
        <v>25</v>
      </c>
      <c r="U43" s="60">
        <v>27</v>
      </c>
      <c r="V43" s="61">
        <v>26</v>
      </c>
      <c r="Y43" s="61"/>
      <c r="AB43" s="61"/>
      <c r="AE43" s="61"/>
      <c r="AH43" s="61"/>
    </row>
    <row r="44" spans="1:34" s="60" customFormat="1" ht="10" x14ac:dyDescent="0.2">
      <c r="A44" s="58">
        <v>42726</v>
      </c>
      <c r="B44" s="59">
        <f t="shared" si="0"/>
        <v>2016</v>
      </c>
      <c r="C44" s="59"/>
      <c r="D44" s="59">
        <f t="shared" si="1"/>
        <v>12</v>
      </c>
      <c r="E44" s="60">
        <v>24</v>
      </c>
      <c r="F44" s="60">
        <v>27</v>
      </c>
      <c r="G44" s="61">
        <v>26</v>
      </c>
      <c r="H44" s="60">
        <v>30</v>
      </c>
      <c r="I44" s="60">
        <v>32</v>
      </c>
      <c r="J44" s="61">
        <v>31</v>
      </c>
      <c r="K44" s="60">
        <v>16</v>
      </c>
      <c r="L44" s="60">
        <v>24</v>
      </c>
      <c r="M44" s="61">
        <v>20</v>
      </c>
      <c r="N44" s="60">
        <v>47</v>
      </c>
      <c r="O44" s="60">
        <v>50</v>
      </c>
      <c r="P44" s="61">
        <v>48</v>
      </c>
      <c r="Q44" s="60">
        <v>14</v>
      </c>
      <c r="R44" s="60">
        <v>16</v>
      </c>
      <c r="S44" s="61">
        <v>15</v>
      </c>
      <c r="T44" s="60">
        <v>25</v>
      </c>
      <c r="U44" s="60">
        <v>27</v>
      </c>
      <c r="V44" s="61">
        <v>26</v>
      </c>
      <c r="Y44" s="61"/>
      <c r="AB44" s="61"/>
      <c r="AE44" s="61"/>
      <c r="AH44" s="61"/>
    </row>
    <row r="45" spans="1:34" s="60" customFormat="1" ht="10" x14ac:dyDescent="0.2">
      <c r="A45" s="58">
        <v>42733</v>
      </c>
      <c r="B45" s="59">
        <f t="shared" si="0"/>
        <v>2016</v>
      </c>
      <c r="C45" s="59"/>
      <c r="D45" s="59">
        <f t="shared" si="1"/>
        <v>12</v>
      </c>
      <c r="E45" s="60">
        <v>24</v>
      </c>
      <c r="F45" s="60">
        <v>27</v>
      </c>
      <c r="G45" s="61">
        <v>26</v>
      </c>
      <c r="H45" s="60">
        <v>30</v>
      </c>
      <c r="I45" s="60">
        <v>32</v>
      </c>
      <c r="J45" s="61">
        <v>31</v>
      </c>
      <c r="K45" s="60">
        <v>16</v>
      </c>
      <c r="L45" s="60">
        <v>24</v>
      </c>
      <c r="M45" s="61">
        <v>20</v>
      </c>
      <c r="N45" s="60">
        <v>47</v>
      </c>
      <c r="O45" s="60">
        <v>50</v>
      </c>
      <c r="P45" s="61">
        <v>48</v>
      </c>
      <c r="Q45" s="60">
        <v>14</v>
      </c>
      <c r="R45" s="60">
        <v>16</v>
      </c>
      <c r="S45" s="61">
        <v>15</v>
      </c>
      <c r="T45" s="60">
        <v>25</v>
      </c>
      <c r="U45" s="60">
        <v>27</v>
      </c>
      <c r="V45" s="61">
        <v>26</v>
      </c>
      <c r="Y45" s="61"/>
      <c r="AB45" s="61"/>
      <c r="AE45" s="61"/>
      <c r="AH45" s="61"/>
    </row>
    <row r="46" spans="1:34" s="60" customFormat="1" ht="10" x14ac:dyDescent="0.2">
      <c r="A46" s="58">
        <v>42740</v>
      </c>
      <c r="B46" s="59">
        <f t="shared" si="0"/>
        <v>2017</v>
      </c>
      <c r="C46" s="59"/>
      <c r="D46" s="59">
        <f t="shared" si="1"/>
        <v>1</v>
      </c>
      <c r="E46" s="60">
        <v>24</v>
      </c>
      <c r="F46" s="60">
        <v>27</v>
      </c>
      <c r="G46" s="61">
        <v>26</v>
      </c>
      <c r="H46" s="60">
        <v>30</v>
      </c>
      <c r="I46" s="60">
        <v>32</v>
      </c>
      <c r="J46" s="61">
        <v>31</v>
      </c>
      <c r="K46" s="60">
        <v>16</v>
      </c>
      <c r="L46" s="60">
        <v>24</v>
      </c>
      <c r="M46" s="61">
        <v>20</v>
      </c>
      <c r="N46" s="60">
        <v>47</v>
      </c>
      <c r="O46" s="60">
        <v>50</v>
      </c>
      <c r="P46" s="61">
        <v>48</v>
      </c>
      <c r="Q46" s="60">
        <v>14</v>
      </c>
      <c r="R46" s="60">
        <v>16</v>
      </c>
      <c r="S46" s="61">
        <v>15</v>
      </c>
      <c r="T46" s="60">
        <v>25</v>
      </c>
      <c r="U46" s="60">
        <v>27</v>
      </c>
      <c r="V46" s="61">
        <v>26</v>
      </c>
      <c r="Y46" s="61"/>
      <c r="AB46" s="61"/>
      <c r="AE46" s="61"/>
      <c r="AH46" s="61"/>
    </row>
    <row r="47" spans="1:34" s="60" customFormat="1" ht="10" x14ac:dyDescent="0.2">
      <c r="A47" s="58">
        <v>42747</v>
      </c>
      <c r="B47" s="59">
        <f t="shared" si="0"/>
        <v>2017</v>
      </c>
      <c r="C47" s="59"/>
      <c r="D47" s="59">
        <f t="shared" si="1"/>
        <v>1</v>
      </c>
      <c r="E47" s="60">
        <v>24</v>
      </c>
      <c r="F47" s="60">
        <v>27</v>
      </c>
      <c r="G47" s="61">
        <v>26</v>
      </c>
      <c r="H47" s="60">
        <v>30</v>
      </c>
      <c r="I47" s="60">
        <v>32</v>
      </c>
      <c r="J47" s="61">
        <v>31</v>
      </c>
      <c r="K47" s="60">
        <v>16</v>
      </c>
      <c r="L47" s="60">
        <v>24</v>
      </c>
      <c r="M47" s="61">
        <v>20</v>
      </c>
      <c r="N47" s="60">
        <v>47</v>
      </c>
      <c r="O47" s="60">
        <v>50</v>
      </c>
      <c r="P47" s="61">
        <v>48</v>
      </c>
      <c r="Q47" s="60">
        <v>14</v>
      </c>
      <c r="R47" s="60">
        <v>16</v>
      </c>
      <c r="S47" s="61">
        <v>15</v>
      </c>
      <c r="T47" s="60">
        <v>25</v>
      </c>
      <c r="U47" s="60">
        <v>27</v>
      </c>
      <c r="V47" s="61">
        <v>26</v>
      </c>
      <c r="Y47" s="61"/>
      <c r="AB47" s="61"/>
      <c r="AE47" s="61"/>
      <c r="AH47" s="61"/>
    </row>
    <row r="48" spans="1:34" s="60" customFormat="1" ht="10" x14ac:dyDescent="0.2">
      <c r="A48" s="58">
        <v>42754</v>
      </c>
      <c r="B48" s="59">
        <f t="shared" si="0"/>
        <v>2017</v>
      </c>
      <c r="C48" s="59"/>
      <c r="D48" s="59">
        <f t="shared" si="1"/>
        <v>1</v>
      </c>
      <c r="E48" s="60">
        <v>24</v>
      </c>
      <c r="F48" s="60">
        <v>27</v>
      </c>
      <c r="G48" s="61">
        <v>26</v>
      </c>
      <c r="H48" s="60">
        <v>30</v>
      </c>
      <c r="I48" s="60">
        <v>32</v>
      </c>
      <c r="J48" s="61">
        <v>31</v>
      </c>
      <c r="K48" s="60">
        <v>16</v>
      </c>
      <c r="L48" s="60">
        <v>24</v>
      </c>
      <c r="M48" s="61">
        <v>20</v>
      </c>
      <c r="N48" s="60">
        <v>47</v>
      </c>
      <c r="O48" s="60">
        <v>50</v>
      </c>
      <c r="P48" s="61">
        <v>48</v>
      </c>
      <c r="Q48" s="60">
        <v>14</v>
      </c>
      <c r="R48" s="60">
        <v>16</v>
      </c>
      <c r="S48" s="61">
        <v>15</v>
      </c>
      <c r="T48" s="60">
        <v>25</v>
      </c>
      <c r="U48" s="60">
        <v>27</v>
      </c>
      <c r="V48" s="61">
        <v>26</v>
      </c>
      <c r="Y48" s="61"/>
      <c r="AB48" s="61"/>
      <c r="AE48" s="61"/>
      <c r="AH48" s="61"/>
    </row>
    <row r="49" spans="1:34" s="60" customFormat="1" ht="10" x14ac:dyDescent="0.2">
      <c r="A49" s="58">
        <v>42761</v>
      </c>
      <c r="B49" s="59">
        <f t="shared" si="0"/>
        <v>2017</v>
      </c>
      <c r="C49" s="59"/>
      <c r="D49" s="59">
        <f t="shared" si="1"/>
        <v>1</v>
      </c>
      <c r="E49" s="60">
        <v>24</v>
      </c>
      <c r="F49" s="60">
        <v>27</v>
      </c>
      <c r="G49" s="61">
        <v>26</v>
      </c>
      <c r="H49" s="60">
        <v>30</v>
      </c>
      <c r="I49" s="60">
        <v>32</v>
      </c>
      <c r="J49" s="61">
        <v>31</v>
      </c>
      <c r="K49" s="60">
        <v>16</v>
      </c>
      <c r="L49" s="60">
        <v>24</v>
      </c>
      <c r="M49" s="61">
        <v>20</v>
      </c>
      <c r="N49" s="60">
        <v>47</v>
      </c>
      <c r="O49" s="60">
        <v>50</v>
      </c>
      <c r="P49" s="61">
        <v>48</v>
      </c>
      <c r="Q49" s="60">
        <v>14</v>
      </c>
      <c r="R49" s="60">
        <v>16</v>
      </c>
      <c r="S49" s="61">
        <v>15</v>
      </c>
      <c r="T49" s="60">
        <v>25</v>
      </c>
      <c r="U49" s="60">
        <v>27</v>
      </c>
      <c r="V49" s="61">
        <v>26</v>
      </c>
      <c r="Y49" s="61"/>
      <c r="AB49" s="61"/>
      <c r="AE49" s="61"/>
      <c r="AH49" s="61"/>
    </row>
    <row r="50" spans="1:34" s="60" customFormat="1" ht="10" x14ac:dyDescent="0.2">
      <c r="A50" s="58">
        <v>42768</v>
      </c>
      <c r="B50" s="59">
        <f t="shared" si="0"/>
        <v>2017</v>
      </c>
      <c r="C50" s="59"/>
      <c r="D50" s="59">
        <f t="shared" si="1"/>
        <v>2</v>
      </c>
      <c r="E50" s="60">
        <v>24</v>
      </c>
      <c r="F50" s="60">
        <v>27</v>
      </c>
      <c r="G50" s="61">
        <v>26</v>
      </c>
      <c r="H50" s="60">
        <v>30</v>
      </c>
      <c r="I50" s="60">
        <v>32</v>
      </c>
      <c r="J50" s="61">
        <v>31</v>
      </c>
      <c r="K50" s="60">
        <v>16</v>
      </c>
      <c r="L50" s="60">
        <v>24</v>
      </c>
      <c r="M50" s="61">
        <v>20</v>
      </c>
      <c r="N50" s="60">
        <v>47</v>
      </c>
      <c r="O50" s="60">
        <v>50</v>
      </c>
      <c r="P50" s="61">
        <v>48</v>
      </c>
      <c r="Q50" s="60">
        <v>14</v>
      </c>
      <c r="R50" s="60">
        <v>16</v>
      </c>
      <c r="S50" s="61">
        <v>15</v>
      </c>
      <c r="T50" s="60">
        <v>25</v>
      </c>
      <c r="U50" s="60">
        <v>27</v>
      </c>
      <c r="V50" s="61">
        <v>26</v>
      </c>
      <c r="Y50" s="61"/>
      <c r="AB50" s="61"/>
      <c r="AE50" s="61"/>
      <c r="AH50" s="61"/>
    </row>
    <row r="51" spans="1:34" s="60" customFormat="1" ht="10" x14ac:dyDescent="0.2">
      <c r="A51" s="58">
        <v>42775</v>
      </c>
      <c r="B51" s="59">
        <f t="shared" si="0"/>
        <v>2017</v>
      </c>
      <c r="C51" s="59"/>
      <c r="D51" s="59">
        <f t="shared" si="1"/>
        <v>2</v>
      </c>
      <c r="E51" s="60">
        <v>24</v>
      </c>
      <c r="F51" s="60">
        <v>27</v>
      </c>
      <c r="G51" s="61">
        <v>26</v>
      </c>
      <c r="H51" s="60">
        <v>30</v>
      </c>
      <c r="I51" s="60">
        <v>32</v>
      </c>
      <c r="J51" s="61">
        <v>31</v>
      </c>
      <c r="K51" s="60">
        <v>16</v>
      </c>
      <c r="L51" s="60">
        <v>24</v>
      </c>
      <c r="M51" s="61">
        <v>20</v>
      </c>
      <c r="N51" s="60">
        <v>47</v>
      </c>
      <c r="O51" s="60">
        <v>50</v>
      </c>
      <c r="P51" s="61">
        <v>48</v>
      </c>
      <c r="Q51" s="60">
        <v>14</v>
      </c>
      <c r="R51" s="60">
        <v>16</v>
      </c>
      <c r="S51" s="61">
        <v>15</v>
      </c>
      <c r="T51" s="60">
        <v>25</v>
      </c>
      <c r="U51" s="60">
        <v>27</v>
      </c>
      <c r="V51" s="61">
        <v>26</v>
      </c>
      <c r="Y51" s="61"/>
      <c r="AB51" s="61"/>
      <c r="AE51" s="61"/>
      <c r="AH51" s="61"/>
    </row>
    <row r="52" spans="1:34" s="60" customFormat="1" ht="10" x14ac:dyDescent="0.2">
      <c r="A52" s="58">
        <v>42782</v>
      </c>
      <c r="B52" s="59">
        <f t="shared" si="0"/>
        <v>2017</v>
      </c>
      <c r="C52" s="59"/>
      <c r="D52" s="59">
        <f t="shared" si="1"/>
        <v>2</v>
      </c>
      <c r="E52" s="60">
        <v>24</v>
      </c>
      <c r="F52" s="60">
        <v>27</v>
      </c>
      <c r="G52" s="61">
        <v>26</v>
      </c>
      <c r="H52" s="60">
        <v>30</v>
      </c>
      <c r="I52" s="60">
        <v>32</v>
      </c>
      <c r="J52" s="61">
        <v>31</v>
      </c>
      <c r="K52" s="60">
        <v>16</v>
      </c>
      <c r="L52" s="60">
        <v>24</v>
      </c>
      <c r="M52" s="61">
        <v>20</v>
      </c>
      <c r="N52" s="60">
        <v>47</v>
      </c>
      <c r="O52" s="60">
        <v>50</v>
      </c>
      <c r="P52" s="61">
        <v>48</v>
      </c>
      <c r="Q52" s="60">
        <v>14</v>
      </c>
      <c r="R52" s="60">
        <v>16</v>
      </c>
      <c r="S52" s="61">
        <v>15</v>
      </c>
      <c r="T52" s="60">
        <v>25</v>
      </c>
      <c r="U52" s="60">
        <v>27</v>
      </c>
      <c r="V52" s="61">
        <v>26</v>
      </c>
      <c r="Y52" s="61"/>
      <c r="AB52" s="61"/>
      <c r="AE52" s="61"/>
      <c r="AH52" s="61"/>
    </row>
    <row r="53" spans="1:34" s="60" customFormat="1" ht="10" x14ac:dyDescent="0.2">
      <c r="A53" s="58">
        <v>42789</v>
      </c>
      <c r="B53" s="59">
        <f t="shared" si="0"/>
        <v>2017</v>
      </c>
      <c r="C53" s="59"/>
      <c r="D53" s="59">
        <f t="shared" si="1"/>
        <v>2</v>
      </c>
      <c r="E53" s="60">
        <v>24</v>
      </c>
      <c r="F53" s="60">
        <v>27</v>
      </c>
      <c r="G53" s="61">
        <v>26</v>
      </c>
      <c r="H53" s="60">
        <v>30</v>
      </c>
      <c r="I53" s="60">
        <v>32</v>
      </c>
      <c r="J53" s="61">
        <v>31</v>
      </c>
      <c r="K53" s="60">
        <v>16</v>
      </c>
      <c r="L53" s="60">
        <v>24</v>
      </c>
      <c r="M53" s="61">
        <v>20</v>
      </c>
      <c r="N53" s="60">
        <v>47</v>
      </c>
      <c r="O53" s="60">
        <v>50</v>
      </c>
      <c r="P53" s="61">
        <v>48</v>
      </c>
      <c r="Q53" s="60">
        <v>14</v>
      </c>
      <c r="R53" s="60">
        <v>16</v>
      </c>
      <c r="S53" s="61">
        <v>15</v>
      </c>
      <c r="T53" s="60">
        <v>25</v>
      </c>
      <c r="U53" s="60">
        <v>27</v>
      </c>
      <c r="V53" s="61">
        <v>26</v>
      </c>
      <c r="Y53" s="61"/>
      <c r="AB53" s="61"/>
      <c r="AE53" s="61"/>
      <c r="AH53" s="61"/>
    </row>
    <row r="54" spans="1:34" s="60" customFormat="1" ht="10" x14ac:dyDescent="0.2">
      <c r="A54" s="58">
        <v>42796</v>
      </c>
      <c r="B54" s="59">
        <f t="shared" si="0"/>
        <v>2017</v>
      </c>
      <c r="C54" s="59"/>
      <c r="D54" s="59">
        <f t="shared" si="1"/>
        <v>3</v>
      </c>
      <c r="E54" s="60">
        <v>24</v>
      </c>
      <c r="F54" s="60">
        <v>27</v>
      </c>
      <c r="G54" s="61">
        <v>26</v>
      </c>
      <c r="H54" s="60">
        <v>30</v>
      </c>
      <c r="I54" s="60">
        <v>32</v>
      </c>
      <c r="J54" s="61">
        <v>31</v>
      </c>
      <c r="K54" s="60">
        <v>16</v>
      </c>
      <c r="L54" s="60">
        <v>24</v>
      </c>
      <c r="M54" s="61">
        <v>20</v>
      </c>
      <c r="N54" s="60">
        <v>47</v>
      </c>
      <c r="O54" s="60">
        <v>50</v>
      </c>
      <c r="P54" s="61">
        <v>48</v>
      </c>
      <c r="Q54" s="60">
        <v>14</v>
      </c>
      <c r="R54" s="60">
        <v>16</v>
      </c>
      <c r="S54" s="61">
        <v>15</v>
      </c>
      <c r="T54" s="60">
        <v>25</v>
      </c>
      <c r="U54" s="60">
        <v>27</v>
      </c>
      <c r="V54" s="61">
        <v>26</v>
      </c>
      <c r="Y54" s="61"/>
      <c r="AB54" s="61"/>
      <c r="AE54" s="61"/>
      <c r="AH54" s="61"/>
    </row>
    <row r="55" spans="1:34" s="60" customFormat="1" ht="10" x14ac:dyDescent="0.2">
      <c r="A55" s="58">
        <v>42803</v>
      </c>
      <c r="B55" s="59">
        <f t="shared" si="0"/>
        <v>2017</v>
      </c>
      <c r="C55" s="59"/>
      <c r="D55" s="59">
        <f t="shared" si="1"/>
        <v>3</v>
      </c>
      <c r="E55" s="60">
        <v>24</v>
      </c>
      <c r="F55" s="60">
        <v>27</v>
      </c>
      <c r="G55" s="61">
        <v>26</v>
      </c>
      <c r="H55" s="60">
        <v>30</v>
      </c>
      <c r="I55" s="60">
        <v>32</v>
      </c>
      <c r="J55" s="61">
        <v>31</v>
      </c>
      <c r="K55" s="60">
        <v>16</v>
      </c>
      <c r="L55" s="60">
        <v>24</v>
      </c>
      <c r="M55" s="61">
        <v>20</v>
      </c>
      <c r="N55" s="60">
        <v>47</v>
      </c>
      <c r="O55" s="60">
        <v>50</v>
      </c>
      <c r="P55" s="61">
        <v>48</v>
      </c>
      <c r="Q55" s="60">
        <v>14</v>
      </c>
      <c r="R55" s="60">
        <v>16</v>
      </c>
      <c r="S55" s="61">
        <v>15</v>
      </c>
      <c r="T55" s="60">
        <v>25</v>
      </c>
      <c r="U55" s="60">
        <v>27</v>
      </c>
      <c r="V55" s="61">
        <v>26</v>
      </c>
      <c r="Y55" s="61"/>
      <c r="AB55" s="61"/>
      <c r="AE55" s="61"/>
      <c r="AH55" s="61"/>
    </row>
    <row r="56" spans="1:34" s="60" customFormat="1" ht="10" x14ac:dyDescent="0.2">
      <c r="A56" s="58">
        <v>42810</v>
      </c>
      <c r="B56" s="59">
        <f t="shared" si="0"/>
        <v>2017</v>
      </c>
      <c r="C56" s="59"/>
      <c r="D56" s="59">
        <f t="shared" si="1"/>
        <v>3</v>
      </c>
      <c r="E56" s="60">
        <v>24</v>
      </c>
      <c r="F56" s="60">
        <v>27</v>
      </c>
      <c r="G56" s="61">
        <v>26</v>
      </c>
      <c r="H56" s="60">
        <v>30</v>
      </c>
      <c r="I56" s="60">
        <v>32</v>
      </c>
      <c r="J56" s="61">
        <v>31</v>
      </c>
      <c r="K56" s="60">
        <v>16</v>
      </c>
      <c r="L56" s="60">
        <v>24</v>
      </c>
      <c r="M56" s="61">
        <v>20</v>
      </c>
      <c r="N56" s="60">
        <v>47</v>
      </c>
      <c r="O56" s="60">
        <v>50</v>
      </c>
      <c r="P56" s="61">
        <v>48</v>
      </c>
      <c r="Q56" s="60">
        <v>14</v>
      </c>
      <c r="R56" s="60">
        <v>16</v>
      </c>
      <c r="S56" s="61">
        <v>15</v>
      </c>
      <c r="T56" s="60">
        <v>25</v>
      </c>
      <c r="U56" s="60">
        <v>27</v>
      </c>
      <c r="V56" s="61">
        <v>26</v>
      </c>
      <c r="Y56" s="61"/>
      <c r="AB56" s="61"/>
      <c r="AE56" s="61"/>
      <c r="AH56" s="61"/>
    </row>
    <row r="57" spans="1:34" s="60" customFormat="1" ht="10" x14ac:dyDescent="0.2">
      <c r="A57" s="58">
        <v>42817</v>
      </c>
      <c r="B57" s="59">
        <f t="shared" si="0"/>
        <v>2017</v>
      </c>
      <c r="C57" s="59"/>
      <c r="D57" s="59">
        <f t="shared" si="1"/>
        <v>3</v>
      </c>
      <c r="E57" s="60">
        <v>24</v>
      </c>
      <c r="F57" s="60">
        <v>27</v>
      </c>
      <c r="G57" s="61">
        <v>26</v>
      </c>
      <c r="H57" s="60">
        <v>30</v>
      </c>
      <c r="I57" s="60">
        <v>32</v>
      </c>
      <c r="J57" s="61">
        <v>31</v>
      </c>
      <c r="K57" s="60">
        <v>16</v>
      </c>
      <c r="L57" s="60">
        <v>24</v>
      </c>
      <c r="M57" s="61">
        <v>20</v>
      </c>
      <c r="N57" s="60">
        <v>47</v>
      </c>
      <c r="O57" s="60">
        <v>50</v>
      </c>
      <c r="P57" s="61">
        <v>48</v>
      </c>
      <c r="Q57" s="60">
        <v>14</v>
      </c>
      <c r="R57" s="60">
        <v>16</v>
      </c>
      <c r="S57" s="61">
        <v>15</v>
      </c>
      <c r="T57" s="60">
        <v>25</v>
      </c>
      <c r="U57" s="60">
        <v>27</v>
      </c>
      <c r="V57" s="61">
        <v>26</v>
      </c>
      <c r="Y57" s="61"/>
      <c r="AB57" s="61"/>
      <c r="AE57" s="61"/>
      <c r="AH57" s="61"/>
    </row>
    <row r="58" spans="1:34" s="60" customFormat="1" ht="10" x14ac:dyDescent="0.2">
      <c r="A58" s="58">
        <v>42824</v>
      </c>
      <c r="B58" s="59">
        <f t="shared" si="0"/>
        <v>2017</v>
      </c>
      <c r="C58" s="59"/>
      <c r="D58" s="59">
        <f t="shared" si="1"/>
        <v>3</v>
      </c>
      <c r="E58" s="60">
        <v>24</v>
      </c>
      <c r="F58" s="60">
        <v>27</v>
      </c>
      <c r="G58" s="61">
        <v>26</v>
      </c>
      <c r="H58" s="60">
        <v>30</v>
      </c>
      <c r="I58" s="60">
        <v>32</v>
      </c>
      <c r="J58" s="61">
        <v>31</v>
      </c>
      <c r="K58" s="60">
        <v>16</v>
      </c>
      <c r="L58" s="60">
        <v>24</v>
      </c>
      <c r="M58" s="61">
        <v>20</v>
      </c>
      <c r="N58" s="60">
        <v>47</v>
      </c>
      <c r="O58" s="60">
        <v>50</v>
      </c>
      <c r="P58" s="61">
        <v>48</v>
      </c>
      <c r="Q58" s="60">
        <v>14</v>
      </c>
      <c r="R58" s="60">
        <v>16</v>
      </c>
      <c r="S58" s="61">
        <v>15</v>
      </c>
      <c r="T58" s="60">
        <v>25</v>
      </c>
      <c r="U58" s="60">
        <v>27</v>
      </c>
      <c r="V58" s="61">
        <v>26</v>
      </c>
      <c r="Y58" s="61"/>
      <c r="AB58" s="61"/>
      <c r="AE58" s="61"/>
      <c r="AH58" s="61"/>
    </row>
    <row r="59" spans="1:34" s="60" customFormat="1" ht="10" x14ac:dyDescent="0.2">
      <c r="A59" s="58">
        <v>42831</v>
      </c>
      <c r="B59" s="59">
        <f t="shared" si="0"/>
        <v>2017</v>
      </c>
      <c r="C59" s="59"/>
      <c r="D59" s="59">
        <f t="shared" si="1"/>
        <v>4</v>
      </c>
      <c r="E59" s="60">
        <v>24</v>
      </c>
      <c r="F59" s="60">
        <v>27</v>
      </c>
      <c r="G59" s="61">
        <v>26</v>
      </c>
      <c r="H59" s="60">
        <v>30</v>
      </c>
      <c r="I59" s="60">
        <v>32</v>
      </c>
      <c r="J59" s="61">
        <v>31</v>
      </c>
      <c r="K59" s="60">
        <v>16</v>
      </c>
      <c r="L59" s="60">
        <v>24</v>
      </c>
      <c r="M59" s="61">
        <v>20</v>
      </c>
      <c r="N59" s="60">
        <v>47</v>
      </c>
      <c r="O59" s="60">
        <v>50</v>
      </c>
      <c r="P59" s="61">
        <v>48</v>
      </c>
      <c r="Q59" s="60">
        <v>14</v>
      </c>
      <c r="R59" s="60">
        <v>16</v>
      </c>
      <c r="S59" s="61">
        <v>15</v>
      </c>
      <c r="T59" s="60">
        <v>25</v>
      </c>
      <c r="U59" s="60">
        <v>27</v>
      </c>
      <c r="V59" s="61">
        <v>26</v>
      </c>
      <c r="Y59" s="61"/>
      <c r="AB59" s="61"/>
      <c r="AE59" s="61"/>
      <c r="AH59" s="61"/>
    </row>
    <row r="60" spans="1:34" s="60" customFormat="1" ht="10" x14ac:dyDescent="0.2">
      <c r="A60" s="58">
        <v>42838</v>
      </c>
      <c r="B60" s="59">
        <f t="shared" si="0"/>
        <v>2017</v>
      </c>
      <c r="C60" s="59"/>
      <c r="D60" s="59">
        <f t="shared" si="1"/>
        <v>4</v>
      </c>
      <c r="E60" s="60">
        <v>24</v>
      </c>
      <c r="F60" s="60">
        <v>27</v>
      </c>
      <c r="G60" s="61">
        <v>26</v>
      </c>
      <c r="H60" s="60">
        <v>30</v>
      </c>
      <c r="I60" s="60">
        <v>32</v>
      </c>
      <c r="J60" s="61">
        <v>31</v>
      </c>
      <c r="K60" s="60">
        <v>16</v>
      </c>
      <c r="L60" s="60">
        <v>24</v>
      </c>
      <c r="M60" s="61">
        <v>20</v>
      </c>
      <c r="N60" s="60">
        <v>47</v>
      </c>
      <c r="O60" s="60">
        <v>50</v>
      </c>
      <c r="P60" s="61">
        <v>48</v>
      </c>
      <c r="Q60" s="60">
        <v>14</v>
      </c>
      <c r="R60" s="60">
        <v>16</v>
      </c>
      <c r="S60" s="61">
        <v>15</v>
      </c>
      <c r="T60" s="60">
        <v>25</v>
      </c>
      <c r="U60" s="60">
        <v>27</v>
      </c>
      <c r="V60" s="61">
        <v>26</v>
      </c>
      <c r="Y60" s="61"/>
      <c r="AB60" s="61"/>
      <c r="AE60" s="61"/>
      <c r="AH60" s="61"/>
    </row>
    <row r="61" spans="1:34" s="60" customFormat="1" ht="10" x14ac:dyDescent="0.2">
      <c r="A61" s="58">
        <v>42845</v>
      </c>
      <c r="B61" s="59">
        <f t="shared" si="0"/>
        <v>2017</v>
      </c>
      <c r="C61" s="59"/>
      <c r="D61" s="59">
        <f t="shared" si="1"/>
        <v>4</v>
      </c>
      <c r="E61" s="60">
        <v>24</v>
      </c>
      <c r="F61" s="60">
        <v>27</v>
      </c>
      <c r="G61" s="61">
        <v>26</v>
      </c>
      <c r="H61" s="60">
        <v>30</v>
      </c>
      <c r="I61" s="60">
        <v>32</v>
      </c>
      <c r="J61" s="61">
        <v>31</v>
      </c>
      <c r="K61" s="60">
        <v>16</v>
      </c>
      <c r="L61" s="60">
        <v>24</v>
      </c>
      <c r="M61" s="61">
        <v>20</v>
      </c>
      <c r="N61" s="60">
        <v>47</v>
      </c>
      <c r="O61" s="60">
        <v>50</v>
      </c>
      <c r="P61" s="61">
        <v>48</v>
      </c>
      <c r="Q61" s="60">
        <v>14</v>
      </c>
      <c r="R61" s="60">
        <v>16</v>
      </c>
      <c r="S61" s="61">
        <v>15</v>
      </c>
      <c r="T61" s="60">
        <v>25</v>
      </c>
      <c r="U61" s="60">
        <v>27</v>
      </c>
      <c r="V61" s="61">
        <v>26</v>
      </c>
      <c r="Y61" s="61"/>
      <c r="AB61" s="61"/>
      <c r="AE61" s="61"/>
      <c r="AH61" s="61"/>
    </row>
    <row r="62" spans="1:34" s="60" customFormat="1" ht="10" x14ac:dyDescent="0.2">
      <c r="A62" s="58">
        <v>42852</v>
      </c>
      <c r="B62" s="59">
        <f t="shared" si="0"/>
        <v>2017</v>
      </c>
      <c r="C62" s="59"/>
      <c r="D62" s="59">
        <f t="shared" si="1"/>
        <v>4</v>
      </c>
      <c r="E62" s="60">
        <v>24</v>
      </c>
      <c r="F62" s="60">
        <v>27</v>
      </c>
      <c r="G62" s="61">
        <v>26</v>
      </c>
      <c r="H62" s="60">
        <v>30</v>
      </c>
      <c r="I62" s="60">
        <v>32</v>
      </c>
      <c r="J62" s="61">
        <v>31</v>
      </c>
      <c r="K62" s="60">
        <v>16</v>
      </c>
      <c r="L62" s="60">
        <v>24</v>
      </c>
      <c r="M62" s="61">
        <v>20</v>
      </c>
      <c r="N62" s="60">
        <v>47</v>
      </c>
      <c r="O62" s="60">
        <v>50</v>
      </c>
      <c r="P62" s="61">
        <v>48</v>
      </c>
      <c r="Q62" s="60">
        <v>14</v>
      </c>
      <c r="R62" s="60">
        <v>16</v>
      </c>
      <c r="S62" s="61">
        <v>15</v>
      </c>
      <c r="T62" s="60">
        <v>25</v>
      </c>
      <c r="U62" s="60">
        <v>27</v>
      </c>
      <c r="V62" s="61">
        <v>26</v>
      </c>
      <c r="Y62" s="61"/>
      <c r="AB62" s="61"/>
      <c r="AE62" s="61"/>
      <c r="AH62" s="61"/>
    </row>
    <row r="63" spans="1:34" s="60" customFormat="1" ht="10" x14ac:dyDescent="0.2">
      <c r="A63" s="58">
        <v>42859</v>
      </c>
      <c r="B63" s="59">
        <f t="shared" si="0"/>
        <v>2017</v>
      </c>
      <c r="C63" s="59"/>
      <c r="D63" s="59">
        <f t="shared" si="1"/>
        <v>5</v>
      </c>
      <c r="E63" s="60">
        <v>24</v>
      </c>
      <c r="F63" s="60">
        <v>27</v>
      </c>
      <c r="G63" s="61">
        <v>26</v>
      </c>
      <c r="H63" s="60">
        <v>30</v>
      </c>
      <c r="I63" s="60">
        <v>32</v>
      </c>
      <c r="J63" s="61">
        <v>31</v>
      </c>
      <c r="K63" s="60">
        <v>16</v>
      </c>
      <c r="L63" s="60">
        <v>24</v>
      </c>
      <c r="M63" s="61">
        <v>20</v>
      </c>
      <c r="N63" s="60">
        <v>47</v>
      </c>
      <c r="O63" s="60">
        <v>50</v>
      </c>
      <c r="P63" s="61">
        <v>48</v>
      </c>
      <c r="Q63" s="60">
        <v>14</v>
      </c>
      <c r="R63" s="60">
        <v>16</v>
      </c>
      <c r="S63" s="61">
        <v>15</v>
      </c>
      <c r="T63" s="60">
        <v>25</v>
      </c>
      <c r="U63" s="60">
        <v>27</v>
      </c>
      <c r="V63" s="61">
        <v>26</v>
      </c>
      <c r="Y63" s="61"/>
      <c r="AB63" s="61"/>
      <c r="AE63" s="61"/>
      <c r="AH63" s="61"/>
    </row>
    <row r="64" spans="1:34" s="60" customFormat="1" ht="10" x14ac:dyDescent="0.2">
      <c r="A64" s="58">
        <v>42866</v>
      </c>
      <c r="B64" s="59">
        <f t="shared" si="0"/>
        <v>2017</v>
      </c>
      <c r="C64" s="59"/>
      <c r="D64" s="59">
        <f t="shared" si="1"/>
        <v>5</v>
      </c>
      <c r="E64" s="60">
        <v>24</v>
      </c>
      <c r="F64" s="60">
        <v>27</v>
      </c>
      <c r="G64" s="61">
        <v>26</v>
      </c>
      <c r="H64" s="60">
        <v>30</v>
      </c>
      <c r="I64" s="60">
        <v>32</v>
      </c>
      <c r="J64" s="61">
        <v>31</v>
      </c>
      <c r="K64" s="60">
        <v>16</v>
      </c>
      <c r="L64" s="60">
        <v>24</v>
      </c>
      <c r="M64" s="61">
        <v>20</v>
      </c>
      <c r="N64" s="60">
        <v>47</v>
      </c>
      <c r="O64" s="60">
        <v>50</v>
      </c>
      <c r="P64" s="61">
        <v>48</v>
      </c>
      <c r="Q64" s="60">
        <v>14</v>
      </c>
      <c r="R64" s="60">
        <v>16</v>
      </c>
      <c r="S64" s="61">
        <v>15</v>
      </c>
      <c r="T64" s="60">
        <v>25</v>
      </c>
      <c r="U64" s="60">
        <v>27</v>
      </c>
      <c r="V64" s="61">
        <v>26</v>
      </c>
      <c r="Y64" s="61"/>
      <c r="AB64" s="61"/>
      <c r="AE64" s="61"/>
      <c r="AH64" s="61"/>
    </row>
    <row r="65" spans="1:34" s="60" customFormat="1" ht="10" x14ac:dyDescent="0.2">
      <c r="A65" s="58">
        <v>42873</v>
      </c>
      <c r="B65" s="59">
        <f t="shared" si="0"/>
        <v>2017</v>
      </c>
      <c r="C65" s="59"/>
      <c r="D65" s="59">
        <f t="shared" si="1"/>
        <v>5</v>
      </c>
      <c r="E65" s="60">
        <v>24</v>
      </c>
      <c r="F65" s="60">
        <v>27</v>
      </c>
      <c r="G65" s="61">
        <v>26</v>
      </c>
      <c r="H65" s="60">
        <v>30</v>
      </c>
      <c r="I65" s="60">
        <v>32</v>
      </c>
      <c r="J65" s="61">
        <v>31</v>
      </c>
      <c r="K65" s="60">
        <v>16</v>
      </c>
      <c r="L65" s="60">
        <v>24</v>
      </c>
      <c r="M65" s="61">
        <v>20</v>
      </c>
      <c r="N65" s="60">
        <v>47</v>
      </c>
      <c r="O65" s="60">
        <v>50</v>
      </c>
      <c r="P65" s="61">
        <v>48</v>
      </c>
      <c r="Q65" s="60">
        <v>14</v>
      </c>
      <c r="R65" s="60">
        <v>16</v>
      </c>
      <c r="S65" s="61">
        <v>15</v>
      </c>
      <c r="T65" s="60">
        <v>25</v>
      </c>
      <c r="U65" s="60">
        <v>27</v>
      </c>
      <c r="V65" s="61">
        <v>26</v>
      </c>
      <c r="Y65" s="61"/>
      <c r="AB65" s="61"/>
      <c r="AE65" s="61"/>
      <c r="AH65" s="61"/>
    </row>
    <row r="66" spans="1:34" s="60" customFormat="1" ht="10" x14ac:dyDescent="0.2">
      <c r="A66" s="58">
        <v>42880</v>
      </c>
      <c r="B66" s="59">
        <f t="shared" si="0"/>
        <v>2017</v>
      </c>
      <c r="C66" s="59"/>
      <c r="D66" s="59">
        <f t="shared" si="1"/>
        <v>5</v>
      </c>
      <c r="E66" s="60">
        <v>24</v>
      </c>
      <c r="F66" s="60">
        <v>27</v>
      </c>
      <c r="G66" s="61">
        <v>26</v>
      </c>
      <c r="H66" s="60">
        <v>30</v>
      </c>
      <c r="I66" s="60">
        <v>32</v>
      </c>
      <c r="J66" s="61">
        <v>31</v>
      </c>
      <c r="K66" s="60">
        <v>16</v>
      </c>
      <c r="L66" s="60">
        <v>24</v>
      </c>
      <c r="M66" s="61">
        <v>20</v>
      </c>
      <c r="N66" s="60">
        <v>47</v>
      </c>
      <c r="O66" s="60">
        <v>50</v>
      </c>
      <c r="P66" s="61">
        <v>48</v>
      </c>
      <c r="Q66" s="60">
        <v>14</v>
      </c>
      <c r="R66" s="60">
        <v>16</v>
      </c>
      <c r="S66" s="61">
        <v>15</v>
      </c>
      <c r="T66" s="60">
        <v>25</v>
      </c>
      <c r="U66" s="60">
        <v>27</v>
      </c>
      <c r="V66" s="61">
        <v>26</v>
      </c>
      <c r="Y66" s="61"/>
      <c r="AB66" s="61"/>
      <c r="AE66" s="61"/>
      <c r="AH66" s="61"/>
    </row>
    <row r="67" spans="1:34" s="60" customFormat="1" ht="10" x14ac:dyDescent="0.2">
      <c r="A67" s="58">
        <v>42887</v>
      </c>
      <c r="B67" s="59">
        <f t="shared" ref="B67:B130" si="2">YEAR(A67)</f>
        <v>2017</v>
      </c>
      <c r="C67" s="59"/>
      <c r="D67" s="59">
        <f t="shared" ref="D67:D130" si="3">MONTH(A67)</f>
        <v>6</v>
      </c>
      <c r="E67" s="60">
        <v>24</v>
      </c>
      <c r="F67" s="60">
        <v>27</v>
      </c>
      <c r="G67" s="61">
        <v>26</v>
      </c>
      <c r="H67" s="60">
        <v>30</v>
      </c>
      <c r="I67" s="60">
        <v>32</v>
      </c>
      <c r="J67" s="61">
        <v>31</v>
      </c>
      <c r="K67" s="60">
        <v>16</v>
      </c>
      <c r="L67" s="60">
        <v>24</v>
      </c>
      <c r="M67" s="61">
        <v>20</v>
      </c>
      <c r="N67" s="60">
        <v>47</v>
      </c>
      <c r="O67" s="60">
        <v>50</v>
      </c>
      <c r="P67" s="61">
        <v>48</v>
      </c>
      <c r="Q67" s="60">
        <v>14</v>
      </c>
      <c r="R67" s="60">
        <v>16</v>
      </c>
      <c r="S67" s="61">
        <v>15</v>
      </c>
      <c r="T67" s="60">
        <v>25</v>
      </c>
      <c r="U67" s="60">
        <v>27</v>
      </c>
      <c r="V67" s="61">
        <v>26</v>
      </c>
      <c r="Y67" s="61"/>
      <c r="AB67" s="61"/>
      <c r="AE67" s="61"/>
      <c r="AH67" s="61"/>
    </row>
    <row r="68" spans="1:34" s="60" customFormat="1" ht="10" x14ac:dyDescent="0.2">
      <c r="A68" s="58">
        <v>42894</v>
      </c>
      <c r="B68" s="59">
        <f t="shared" si="2"/>
        <v>2017</v>
      </c>
      <c r="C68" s="59"/>
      <c r="D68" s="59">
        <f t="shared" si="3"/>
        <v>6</v>
      </c>
      <c r="E68" s="60">
        <v>24</v>
      </c>
      <c r="F68" s="60">
        <v>27</v>
      </c>
      <c r="G68" s="61">
        <v>26</v>
      </c>
      <c r="H68" s="60">
        <v>30</v>
      </c>
      <c r="I68" s="60">
        <v>32</v>
      </c>
      <c r="J68" s="61">
        <v>31</v>
      </c>
      <c r="K68" s="60">
        <v>16</v>
      </c>
      <c r="L68" s="60">
        <v>24</v>
      </c>
      <c r="M68" s="61">
        <v>20</v>
      </c>
      <c r="N68" s="60">
        <v>47</v>
      </c>
      <c r="O68" s="60">
        <v>50</v>
      </c>
      <c r="P68" s="61">
        <v>48</v>
      </c>
      <c r="Q68" s="60">
        <v>14</v>
      </c>
      <c r="R68" s="60">
        <v>16</v>
      </c>
      <c r="S68" s="61">
        <v>15</v>
      </c>
      <c r="T68" s="60">
        <v>25</v>
      </c>
      <c r="U68" s="60">
        <v>27</v>
      </c>
      <c r="V68" s="61">
        <v>26</v>
      </c>
      <c r="Y68" s="61"/>
      <c r="AB68" s="61"/>
      <c r="AE68" s="61"/>
      <c r="AH68" s="61"/>
    </row>
    <row r="69" spans="1:34" s="60" customFormat="1" ht="10" x14ac:dyDescent="0.2">
      <c r="A69" s="58">
        <v>42901</v>
      </c>
      <c r="B69" s="59">
        <f t="shared" si="2"/>
        <v>2017</v>
      </c>
      <c r="C69" s="59"/>
      <c r="D69" s="59">
        <f t="shared" si="3"/>
        <v>6</v>
      </c>
      <c r="E69" s="60">
        <v>24</v>
      </c>
      <c r="F69" s="60">
        <v>27</v>
      </c>
      <c r="G69" s="61">
        <v>26</v>
      </c>
      <c r="H69" s="60">
        <v>30</v>
      </c>
      <c r="I69" s="60">
        <v>32</v>
      </c>
      <c r="J69" s="61">
        <v>31</v>
      </c>
      <c r="K69" s="60">
        <v>16</v>
      </c>
      <c r="L69" s="60">
        <v>24</v>
      </c>
      <c r="M69" s="61">
        <v>20</v>
      </c>
      <c r="N69" s="60">
        <v>47</v>
      </c>
      <c r="O69" s="60">
        <v>50</v>
      </c>
      <c r="P69" s="61">
        <v>48</v>
      </c>
      <c r="Q69" s="60">
        <v>14</v>
      </c>
      <c r="R69" s="60">
        <v>16</v>
      </c>
      <c r="S69" s="61">
        <v>15</v>
      </c>
      <c r="T69" s="60">
        <v>25</v>
      </c>
      <c r="U69" s="60">
        <v>27</v>
      </c>
      <c r="V69" s="61">
        <v>26</v>
      </c>
      <c r="Y69" s="61"/>
      <c r="AB69" s="61"/>
      <c r="AE69" s="61"/>
      <c r="AH69" s="61"/>
    </row>
    <row r="70" spans="1:34" s="60" customFormat="1" ht="10" x14ac:dyDescent="0.2">
      <c r="A70" s="58">
        <v>42908</v>
      </c>
      <c r="B70" s="59">
        <f t="shared" si="2"/>
        <v>2017</v>
      </c>
      <c r="C70" s="59"/>
      <c r="D70" s="59">
        <f t="shared" si="3"/>
        <v>6</v>
      </c>
      <c r="E70" s="60">
        <v>24</v>
      </c>
      <c r="F70" s="60">
        <v>27</v>
      </c>
      <c r="G70" s="61">
        <v>26</v>
      </c>
      <c r="H70" s="60">
        <v>30</v>
      </c>
      <c r="I70" s="60">
        <v>32</v>
      </c>
      <c r="J70" s="61">
        <v>31</v>
      </c>
      <c r="K70" s="60">
        <v>16</v>
      </c>
      <c r="L70" s="60">
        <v>24</v>
      </c>
      <c r="M70" s="61">
        <v>20</v>
      </c>
      <c r="N70" s="60">
        <v>47</v>
      </c>
      <c r="O70" s="60">
        <v>50</v>
      </c>
      <c r="P70" s="61">
        <v>48</v>
      </c>
      <c r="Q70" s="60">
        <v>14</v>
      </c>
      <c r="R70" s="60">
        <v>16</v>
      </c>
      <c r="S70" s="61">
        <v>15</v>
      </c>
      <c r="T70" s="60">
        <v>25</v>
      </c>
      <c r="U70" s="60">
        <v>27</v>
      </c>
      <c r="V70" s="61">
        <v>26</v>
      </c>
      <c r="Y70" s="61"/>
      <c r="AB70" s="61"/>
      <c r="AE70" s="61"/>
      <c r="AH70" s="61"/>
    </row>
    <row r="71" spans="1:34" s="60" customFormat="1" ht="10" x14ac:dyDescent="0.2">
      <c r="A71" s="58">
        <v>42915</v>
      </c>
      <c r="B71" s="59">
        <f t="shared" si="2"/>
        <v>2017</v>
      </c>
      <c r="C71" s="59"/>
      <c r="D71" s="59">
        <f t="shared" si="3"/>
        <v>6</v>
      </c>
      <c r="E71" s="60">
        <v>24</v>
      </c>
      <c r="F71" s="60">
        <v>27</v>
      </c>
      <c r="G71" s="61">
        <v>26</v>
      </c>
      <c r="H71" s="60">
        <v>30</v>
      </c>
      <c r="I71" s="60">
        <v>32</v>
      </c>
      <c r="J71" s="61">
        <v>31</v>
      </c>
      <c r="K71" s="60">
        <v>16</v>
      </c>
      <c r="L71" s="60">
        <v>24</v>
      </c>
      <c r="M71" s="61">
        <v>20</v>
      </c>
      <c r="N71" s="60">
        <v>47</v>
      </c>
      <c r="O71" s="60">
        <v>50</v>
      </c>
      <c r="P71" s="61">
        <v>48</v>
      </c>
      <c r="Q71" s="60">
        <v>14</v>
      </c>
      <c r="R71" s="60">
        <v>16</v>
      </c>
      <c r="S71" s="61">
        <v>15</v>
      </c>
      <c r="T71" s="60">
        <v>25</v>
      </c>
      <c r="U71" s="60">
        <v>27</v>
      </c>
      <c r="V71" s="61">
        <v>26</v>
      </c>
      <c r="Y71" s="61"/>
      <c r="AB71" s="61"/>
      <c r="AE71" s="61"/>
      <c r="AH71" s="61"/>
    </row>
    <row r="72" spans="1:34" s="60" customFormat="1" ht="10" x14ac:dyDescent="0.2">
      <c r="A72" s="58">
        <v>42922</v>
      </c>
      <c r="B72" s="59">
        <f t="shared" si="2"/>
        <v>2017</v>
      </c>
      <c r="C72" s="59"/>
      <c r="D72" s="59">
        <f t="shared" si="3"/>
        <v>7</v>
      </c>
      <c r="E72" s="60">
        <v>24</v>
      </c>
      <c r="F72" s="60">
        <v>27</v>
      </c>
      <c r="G72" s="61">
        <v>26</v>
      </c>
      <c r="H72" s="60">
        <v>30</v>
      </c>
      <c r="I72" s="60">
        <v>32</v>
      </c>
      <c r="J72" s="61">
        <v>31</v>
      </c>
      <c r="K72" s="60">
        <v>16</v>
      </c>
      <c r="L72" s="60">
        <v>24</v>
      </c>
      <c r="M72" s="61">
        <v>20</v>
      </c>
      <c r="N72" s="60">
        <v>47</v>
      </c>
      <c r="O72" s="60">
        <v>50</v>
      </c>
      <c r="P72" s="61">
        <v>48</v>
      </c>
      <c r="Q72" s="60">
        <v>14</v>
      </c>
      <c r="R72" s="60">
        <v>16</v>
      </c>
      <c r="S72" s="61">
        <v>15</v>
      </c>
      <c r="T72" s="60">
        <v>25</v>
      </c>
      <c r="U72" s="60">
        <v>27</v>
      </c>
      <c r="V72" s="61">
        <v>26</v>
      </c>
      <c r="Y72" s="61"/>
      <c r="AB72" s="61"/>
      <c r="AE72" s="61"/>
      <c r="AH72" s="61"/>
    </row>
    <row r="73" spans="1:34" s="60" customFormat="1" ht="10" x14ac:dyDescent="0.2">
      <c r="A73" s="58">
        <v>42929</v>
      </c>
      <c r="B73" s="59">
        <f t="shared" si="2"/>
        <v>2017</v>
      </c>
      <c r="C73" s="59"/>
      <c r="D73" s="59">
        <f t="shared" si="3"/>
        <v>7</v>
      </c>
      <c r="E73" s="60">
        <v>24</v>
      </c>
      <c r="F73" s="60">
        <v>27</v>
      </c>
      <c r="G73" s="61">
        <v>26</v>
      </c>
      <c r="H73" s="60">
        <v>30</v>
      </c>
      <c r="I73" s="60">
        <v>32</v>
      </c>
      <c r="J73" s="61">
        <v>31</v>
      </c>
      <c r="K73" s="60">
        <v>16</v>
      </c>
      <c r="L73" s="60">
        <v>24</v>
      </c>
      <c r="M73" s="61">
        <v>20</v>
      </c>
      <c r="N73" s="60">
        <v>47</v>
      </c>
      <c r="O73" s="60">
        <v>50</v>
      </c>
      <c r="P73" s="61">
        <v>48</v>
      </c>
      <c r="Q73" s="60">
        <v>14</v>
      </c>
      <c r="R73" s="60">
        <v>16</v>
      </c>
      <c r="S73" s="61">
        <v>15</v>
      </c>
      <c r="T73" s="60">
        <v>25</v>
      </c>
      <c r="U73" s="60">
        <v>27</v>
      </c>
      <c r="V73" s="61">
        <v>26</v>
      </c>
      <c r="Y73" s="61"/>
      <c r="AB73" s="61"/>
      <c r="AE73" s="61"/>
      <c r="AH73" s="61"/>
    </row>
    <row r="74" spans="1:34" s="60" customFormat="1" ht="10" x14ac:dyDescent="0.2">
      <c r="A74" s="58">
        <v>42936</v>
      </c>
      <c r="B74" s="59">
        <f t="shared" si="2"/>
        <v>2017</v>
      </c>
      <c r="C74" s="59"/>
      <c r="D74" s="59">
        <f t="shared" si="3"/>
        <v>7</v>
      </c>
      <c r="E74" s="60">
        <v>24</v>
      </c>
      <c r="F74" s="60">
        <v>27</v>
      </c>
      <c r="G74" s="61">
        <v>26</v>
      </c>
      <c r="H74" s="60">
        <v>30</v>
      </c>
      <c r="I74" s="60">
        <v>32</v>
      </c>
      <c r="J74" s="61">
        <v>31</v>
      </c>
      <c r="K74" s="60">
        <v>16</v>
      </c>
      <c r="L74" s="60">
        <v>24</v>
      </c>
      <c r="M74" s="61">
        <v>20</v>
      </c>
      <c r="N74" s="60">
        <v>47</v>
      </c>
      <c r="O74" s="60">
        <v>50</v>
      </c>
      <c r="P74" s="61">
        <v>48</v>
      </c>
      <c r="Q74" s="60">
        <v>14</v>
      </c>
      <c r="R74" s="60">
        <v>16</v>
      </c>
      <c r="S74" s="61">
        <v>15</v>
      </c>
      <c r="T74" s="60">
        <v>25</v>
      </c>
      <c r="U74" s="60">
        <v>27</v>
      </c>
      <c r="V74" s="61">
        <v>26</v>
      </c>
      <c r="Y74" s="61"/>
      <c r="AB74" s="61"/>
      <c r="AE74" s="61"/>
      <c r="AH74" s="61"/>
    </row>
    <row r="75" spans="1:34" s="60" customFormat="1" ht="10" x14ac:dyDescent="0.2">
      <c r="A75" s="58">
        <v>42943</v>
      </c>
      <c r="B75" s="59">
        <f t="shared" si="2"/>
        <v>2017</v>
      </c>
      <c r="C75" s="59"/>
      <c r="D75" s="59">
        <f t="shared" si="3"/>
        <v>7</v>
      </c>
      <c r="E75" s="60">
        <v>24</v>
      </c>
      <c r="F75" s="60">
        <v>27</v>
      </c>
      <c r="G75" s="61">
        <v>26</v>
      </c>
      <c r="H75" s="60">
        <v>30</v>
      </c>
      <c r="I75" s="60">
        <v>32</v>
      </c>
      <c r="J75" s="61">
        <v>31</v>
      </c>
      <c r="K75" s="60">
        <v>16</v>
      </c>
      <c r="L75" s="60">
        <v>24</v>
      </c>
      <c r="M75" s="61">
        <v>20</v>
      </c>
      <c r="N75" s="60">
        <v>47</v>
      </c>
      <c r="O75" s="60">
        <v>50</v>
      </c>
      <c r="P75" s="61">
        <v>48</v>
      </c>
      <c r="Q75" s="60">
        <v>14</v>
      </c>
      <c r="R75" s="60">
        <v>16</v>
      </c>
      <c r="S75" s="61">
        <v>15</v>
      </c>
      <c r="T75" s="60">
        <v>25</v>
      </c>
      <c r="U75" s="60">
        <v>27</v>
      </c>
      <c r="V75" s="61">
        <v>26</v>
      </c>
      <c r="Y75" s="61"/>
      <c r="AB75" s="61"/>
      <c r="AE75" s="61"/>
      <c r="AH75" s="61"/>
    </row>
    <row r="76" spans="1:34" s="60" customFormat="1" ht="10" x14ac:dyDescent="0.2">
      <c r="A76" s="58">
        <v>42950</v>
      </c>
      <c r="B76" s="59">
        <f t="shared" si="2"/>
        <v>2017</v>
      </c>
      <c r="C76" s="59"/>
      <c r="D76" s="59">
        <f t="shared" si="3"/>
        <v>8</v>
      </c>
      <c r="E76" s="60">
        <v>24</v>
      </c>
      <c r="F76" s="60">
        <v>27</v>
      </c>
      <c r="G76" s="61">
        <v>26</v>
      </c>
      <c r="H76" s="60">
        <v>30</v>
      </c>
      <c r="I76" s="60">
        <v>32</v>
      </c>
      <c r="J76" s="61">
        <v>31</v>
      </c>
      <c r="K76" s="60">
        <v>16</v>
      </c>
      <c r="L76" s="60">
        <v>24</v>
      </c>
      <c r="M76" s="61">
        <v>20</v>
      </c>
      <c r="N76" s="60">
        <v>47</v>
      </c>
      <c r="O76" s="60">
        <v>50</v>
      </c>
      <c r="P76" s="61">
        <v>48</v>
      </c>
      <c r="Q76" s="60">
        <v>14</v>
      </c>
      <c r="R76" s="60">
        <v>16</v>
      </c>
      <c r="S76" s="61">
        <v>15</v>
      </c>
      <c r="T76" s="60">
        <v>25</v>
      </c>
      <c r="U76" s="60">
        <v>27</v>
      </c>
      <c r="V76" s="61">
        <v>26</v>
      </c>
      <c r="Y76" s="61"/>
      <c r="AB76" s="61"/>
      <c r="AE76" s="61"/>
      <c r="AH76" s="61"/>
    </row>
    <row r="77" spans="1:34" s="60" customFormat="1" ht="10" x14ac:dyDescent="0.2">
      <c r="A77" s="58">
        <v>42957</v>
      </c>
      <c r="B77" s="59">
        <f t="shared" si="2"/>
        <v>2017</v>
      </c>
      <c r="C77" s="59"/>
      <c r="D77" s="59">
        <f t="shared" si="3"/>
        <v>8</v>
      </c>
      <c r="E77" s="60">
        <v>24</v>
      </c>
      <c r="F77" s="60">
        <v>27</v>
      </c>
      <c r="G77" s="61">
        <v>26</v>
      </c>
      <c r="H77" s="60">
        <v>30</v>
      </c>
      <c r="I77" s="60">
        <v>32</v>
      </c>
      <c r="J77" s="61">
        <v>31</v>
      </c>
      <c r="K77" s="60">
        <v>16</v>
      </c>
      <c r="L77" s="60">
        <v>24</v>
      </c>
      <c r="M77" s="61">
        <v>20</v>
      </c>
      <c r="N77" s="60">
        <v>47</v>
      </c>
      <c r="O77" s="60">
        <v>50</v>
      </c>
      <c r="P77" s="61">
        <v>48</v>
      </c>
      <c r="Q77" s="60">
        <v>14</v>
      </c>
      <c r="R77" s="60">
        <v>16</v>
      </c>
      <c r="S77" s="61">
        <v>15</v>
      </c>
      <c r="T77" s="60">
        <v>25</v>
      </c>
      <c r="U77" s="60">
        <v>27</v>
      </c>
      <c r="V77" s="61">
        <v>26</v>
      </c>
      <c r="Y77" s="61"/>
      <c r="AB77" s="61"/>
      <c r="AE77" s="61"/>
      <c r="AH77" s="61"/>
    </row>
    <row r="78" spans="1:34" s="60" customFormat="1" ht="10" x14ac:dyDescent="0.2">
      <c r="A78" s="58">
        <v>42964</v>
      </c>
      <c r="B78" s="59">
        <f t="shared" si="2"/>
        <v>2017</v>
      </c>
      <c r="C78" s="59"/>
      <c r="D78" s="59">
        <f t="shared" si="3"/>
        <v>8</v>
      </c>
      <c r="E78" s="60">
        <v>24</v>
      </c>
      <c r="F78" s="60">
        <v>27</v>
      </c>
      <c r="G78" s="61">
        <v>26</v>
      </c>
      <c r="H78" s="60">
        <v>30</v>
      </c>
      <c r="I78" s="60">
        <v>32</v>
      </c>
      <c r="J78" s="61">
        <v>31</v>
      </c>
      <c r="K78" s="60">
        <v>16</v>
      </c>
      <c r="L78" s="60">
        <v>24</v>
      </c>
      <c r="M78" s="61">
        <v>20</v>
      </c>
      <c r="N78" s="60">
        <v>47</v>
      </c>
      <c r="O78" s="60">
        <v>50</v>
      </c>
      <c r="P78" s="61">
        <v>48</v>
      </c>
      <c r="Q78" s="60">
        <v>14</v>
      </c>
      <c r="R78" s="60">
        <v>16</v>
      </c>
      <c r="S78" s="61">
        <v>15</v>
      </c>
      <c r="T78" s="60">
        <v>25</v>
      </c>
      <c r="U78" s="60">
        <v>27</v>
      </c>
      <c r="V78" s="61">
        <v>26</v>
      </c>
      <c r="Y78" s="61"/>
      <c r="AB78" s="61"/>
      <c r="AE78" s="61"/>
      <c r="AH78" s="61"/>
    </row>
    <row r="79" spans="1:34" s="60" customFormat="1" ht="10" x14ac:dyDescent="0.2">
      <c r="A79" s="58">
        <v>42971</v>
      </c>
      <c r="B79" s="59">
        <f t="shared" si="2"/>
        <v>2017</v>
      </c>
      <c r="C79" s="59"/>
      <c r="D79" s="59">
        <f t="shared" si="3"/>
        <v>8</v>
      </c>
      <c r="E79" s="60">
        <v>24</v>
      </c>
      <c r="F79" s="60">
        <v>27</v>
      </c>
      <c r="G79" s="61">
        <v>26</v>
      </c>
      <c r="H79" s="60">
        <v>30</v>
      </c>
      <c r="I79" s="60">
        <v>32</v>
      </c>
      <c r="J79" s="61">
        <v>31</v>
      </c>
      <c r="K79" s="60">
        <v>16</v>
      </c>
      <c r="L79" s="60">
        <v>24</v>
      </c>
      <c r="M79" s="61">
        <v>20</v>
      </c>
      <c r="N79" s="60">
        <v>47</v>
      </c>
      <c r="O79" s="60">
        <v>50</v>
      </c>
      <c r="P79" s="61">
        <v>48</v>
      </c>
      <c r="Q79" s="60">
        <v>14</v>
      </c>
      <c r="R79" s="60">
        <v>16</v>
      </c>
      <c r="S79" s="61">
        <v>15</v>
      </c>
      <c r="T79" s="60">
        <v>25</v>
      </c>
      <c r="U79" s="60">
        <v>27</v>
      </c>
      <c r="V79" s="61">
        <v>26</v>
      </c>
      <c r="Y79" s="61"/>
      <c r="AB79" s="61"/>
      <c r="AE79" s="61"/>
      <c r="AH79" s="61"/>
    </row>
    <row r="80" spans="1:34" s="60" customFormat="1" ht="10" x14ac:dyDescent="0.2">
      <c r="A80" s="58">
        <v>42978</v>
      </c>
      <c r="B80" s="59">
        <f t="shared" si="2"/>
        <v>2017</v>
      </c>
      <c r="C80" s="59"/>
      <c r="D80" s="59">
        <f t="shared" si="3"/>
        <v>8</v>
      </c>
      <c r="E80" s="60">
        <v>24</v>
      </c>
      <c r="F80" s="60">
        <v>27</v>
      </c>
      <c r="G80" s="61">
        <v>26</v>
      </c>
      <c r="H80" s="60">
        <v>30</v>
      </c>
      <c r="I80" s="60">
        <v>32</v>
      </c>
      <c r="J80" s="61">
        <v>31</v>
      </c>
      <c r="K80" s="60">
        <v>16</v>
      </c>
      <c r="L80" s="60">
        <v>24</v>
      </c>
      <c r="M80" s="61">
        <v>20</v>
      </c>
      <c r="N80" s="60">
        <v>47</v>
      </c>
      <c r="O80" s="60">
        <v>50</v>
      </c>
      <c r="P80" s="61">
        <v>48</v>
      </c>
      <c r="Q80" s="60">
        <v>14</v>
      </c>
      <c r="R80" s="60">
        <v>16</v>
      </c>
      <c r="S80" s="61">
        <v>15</v>
      </c>
      <c r="T80" s="60">
        <v>25</v>
      </c>
      <c r="U80" s="60">
        <v>27</v>
      </c>
      <c r="V80" s="61">
        <v>26</v>
      </c>
      <c r="Y80" s="61"/>
      <c r="AB80" s="61"/>
      <c r="AE80" s="61"/>
      <c r="AH80" s="61"/>
    </row>
    <row r="81" spans="1:34" s="60" customFormat="1" ht="10" x14ac:dyDescent="0.2">
      <c r="A81" s="58">
        <v>42985</v>
      </c>
      <c r="B81" s="59">
        <f t="shared" si="2"/>
        <v>2017</v>
      </c>
      <c r="C81" s="59"/>
      <c r="D81" s="59">
        <f t="shared" si="3"/>
        <v>9</v>
      </c>
      <c r="E81" s="60">
        <v>24</v>
      </c>
      <c r="F81" s="60">
        <v>27</v>
      </c>
      <c r="G81" s="61">
        <v>26</v>
      </c>
      <c r="H81" s="60">
        <v>30</v>
      </c>
      <c r="I81" s="60">
        <v>32</v>
      </c>
      <c r="J81" s="61">
        <v>31</v>
      </c>
      <c r="K81" s="60">
        <v>16</v>
      </c>
      <c r="L81" s="60">
        <v>24</v>
      </c>
      <c r="M81" s="61">
        <v>20</v>
      </c>
      <c r="N81" s="60">
        <v>47</v>
      </c>
      <c r="O81" s="60">
        <v>50</v>
      </c>
      <c r="P81" s="61">
        <v>48</v>
      </c>
      <c r="Q81" s="60">
        <v>14</v>
      </c>
      <c r="R81" s="60">
        <v>16</v>
      </c>
      <c r="S81" s="61">
        <v>15</v>
      </c>
      <c r="T81" s="60">
        <v>25</v>
      </c>
      <c r="U81" s="60">
        <v>27</v>
      </c>
      <c r="V81" s="61">
        <v>26</v>
      </c>
      <c r="Y81" s="61"/>
      <c r="AB81" s="61"/>
      <c r="AE81" s="61"/>
      <c r="AH81" s="61"/>
    </row>
    <row r="82" spans="1:34" s="60" customFormat="1" ht="10" x14ac:dyDescent="0.2">
      <c r="A82" s="58">
        <v>42992</v>
      </c>
      <c r="B82" s="59">
        <f t="shared" si="2"/>
        <v>2017</v>
      </c>
      <c r="C82" s="59"/>
      <c r="D82" s="59">
        <f t="shared" si="3"/>
        <v>9</v>
      </c>
      <c r="E82" s="60">
        <v>24</v>
      </c>
      <c r="F82" s="60">
        <v>27</v>
      </c>
      <c r="G82" s="61">
        <v>26</v>
      </c>
      <c r="H82" s="60">
        <v>30</v>
      </c>
      <c r="I82" s="60">
        <v>32</v>
      </c>
      <c r="J82" s="61">
        <v>31</v>
      </c>
      <c r="K82" s="60">
        <v>16</v>
      </c>
      <c r="L82" s="60">
        <v>24</v>
      </c>
      <c r="M82" s="61">
        <v>20</v>
      </c>
      <c r="N82" s="60">
        <v>47</v>
      </c>
      <c r="O82" s="60">
        <v>50</v>
      </c>
      <c r="P82" s="61">
        <v>48</v>
      </c>
      <c r="Q82" s="60">
        <v>14</v>
      </c>
      <c r="R82" s="60">
        <v>16</v>
      </c>
      <c r="S82" s="61">
        <v>15</v>
      </c>
      <c r="T82" s="60">
        <v>25</v>
      </c>
      <c r="U82" s="60">
        <v>27</v>
      </c>
      <c r="V82" s="61">
        <v>26</v>
      </c>
      <c r="Y82" s="61"/>
      <c r="AB82" s="61"/>
      <c r="AE82" s="61"/>
      <c r="AH82" s="61"/>
    </row>
    <row r="83" spans="1:34" s="60" customFormat="1" ht="10" x14ac:dyDescent="0.2">
      <c r="A83" s="58">
        <v>42999</v>
      </c>
      <c r="B83" s="59">
        <f t="shared" si="2"/>
        <v>2017</v>
      </c>
      <c r="C83" s="59"/>
      <c r="D83" s="59">
        <f t="shared" si="3"/>
        <v>9</v>
      </c>
      <c r="E83" s="60">
        <v>24</v>
      </c>
      <c r="F83" s="60">
        <v>27</v>
      </c>
      <c r="G83" s="61">
        <v>26</v>
      </c>
      <c r="H83" s="60">
        <v>30</v>
      </c>
      <c r="I83" s="60">
        <v>32</v>
      </c>
      <c r="J83" s="61">
        <v>31</v>
      </c>
      <c r="K83" s="60">
        <v>16</v>
      </c>
      <c r="L83" s="60">
        <v>24</v>
      </c>
      <c r="M83" s="61">
        <v>20</v>
      </c>
      <c r="N83" s="60">
        <v>47</v>
      </c>
      <c r="O83" s="60">
        <v>50</v>
      </c>
      <c r="P83" s="61">
        <v>48</v>
      </c>
      <c r="Q83" s="60">
        <v>14</v>
      </c>
      <c r="R83" s="60">
        <v>16</v>
      </c>
      <c r="S83" s="61">
        <v>15</v>
      </c>
      <c r="T83" s="60">
        <v>25</v>
      </c>
      <c r="U83" s="60">
        <v>27</v>
      </c>
      <c r="V83" s="61">
        <v>26</v>
      </c>
      <c r="Y83" s="61"/>
      <c r="AB83" s="61"/>
      <c r="AE83" s="61"/>
      <c r="AH83" s="61"/>
    </row>
    <row r="84" spans="1:34" s="60" customFormat="1" ht="10" x14ac:dyDescent="0.2">
      <c r="A84" s="58">
        <v>43006</v>
      </c>
      <c r="B84" s="59">
        <f t="shared" si="2"/>
        <v>2017</v>
      </c>
      <c r="C84" s="59"/>
      <c r="D84" s="59">
        <f t="shared" si="3"/>
        <v>9</v>
      </c>
      <c r="E84" s="60">
        <v>24</v>
      </c>
      <c r="F84" s="60">
        <v>27</v>
      </c>
      <c r="G84" s="61">
        <v>26</v>
      </c>
      <c r="H84" s="60">
        <v>30</v>
      </c>
      <c r="I84" s="60">
        <v>32</v>
      </c>
      <c r="J84" s="61">
        <v>31</v>
      </c>
      <c r="K84" s="60">
        <v>16</v>
      </c>
      <c r="L84" s="60">
        <v>24</v>
      </c>
      <c r="M84" s="61">
        <v>20</v>
      </c>
      <c r="N84" s="60">
        <v>47</v>
      </c>
      <c r="O84" s="60">
        <v>50</v>
      </c>
      <c r="P84" s="61">
        <v>48</v>
      </c>
      <c r="Q84" s="60">
        <v>14</v>
      </c>
      <c r="R84" s="60">
        <v>16</v>
      </c>
      <c r="S84" s="61">
        <v>15</v>
      </c>
      <c r="T84" s="60">
        <v>25</v>
      </c>
      <c r="U84" s="60">
        <v>27</v>
      </c>
      <c r="V84" s="61">
        <v>26</v>
      </c>
      <c r="Y84" s="61"/>
      <c r="AB84" s="61"/>
      <c r="AE84" s="61"/>
      <c r="AH84" s="61"/>
    </row>
    <row r="85" spans="1:34" s="60" customFormat="1" ht="10" x14ac:dyDescent="0.2">
      <c r="A85" s="58">
        <v>43013</v>
      </c>
      <c r="B85" s="59">
        <f t="shared" si="2"/>
        <v>2017</v>
      </c>
      <c r="C85" s="59"/>
      <c r="D85" s="59">
        <f t="shared" si="3"/>
        <v>10</v>
      </c>
      <c r="E85" s="60">
        <v>24</v>
      </c>
      <c r="F85" s="60">
        <v>27</v>
      </c>
      <c r="G85" s="61">
        <v>26</v>
      </c>
      <c r="H85" s="60">
        <v>30</v>
      </c>
      <c r="I85" s="60">
        <v>32</v>
      </c>
      <c r="J85" s="61">
        <v>31</v>
      </c>
      <c r="K85" s="60">
        <v>16</v>
      </c>
      <c r="L85" s="60">
        <v>24</v>
      </c>
      <c r="M85" s="61">
        <v>20</v>
      </c>
      <c r="N85" s="60">
        <v>47</v>
      </c>
      <c r="O85" s="60">
        <v>50</v>
      </c>
      <c r="P85" s="61">
        <v>48</v>
      </c>
      <c r="Q85" s="60">
        <v>14</v>
      </c>
      <c r="R85" s="60">
        <v>16</v>
      </c>
      <c r="S85" s="61">
        <v>15</v>
      </c>
      <c r="T85" s="60">
        <v>25</v>
      </c>
      <c r="U85" s="60">
        <v>27</v>
      </c>
      <c r="V85" s="61">
        <v>26</v>
      </c>
      <c r="Y85" s="61"/>
      <c r="AB85" s="61"/>
      <c r="AE85" s="61"/>
      <c r="AH85" s="61"/>
    </row>
    <row r="86" spans="1:34" s="60" customFormat="1" ht="10" x14ac:dyDescent="0.2">
      <c r="A86" s="58">
        <v>43020</v>
      </c>
      <c r="B86" s="59">
        <f t="shared" si="2"/>
        <v>2017</v>
      </c>
      <c r="C86" s="59"/>
      <c r="D86" s="59">
        <f t="shared" si="3"/>
        <v>10</v>
      </c>
      <c r="E86" s="60">
        <v>24</v>
      </c>
      <c r="F86" s="60">
        <v>27</v>
      </c>
      <c r="G86" s="61">
        <v>26</v>
      </c>
      <c r="H86" s="60">
        <v>30</v>
      </c>
      <c r="I86" s="60">
        <v>32</v>
      </c>
      <c r="J86" s="61">
        <v>31</v>
      </c>
      <c r="K86" s="60">
        <v>16</v>
      </c>
      <c r="L86" s="60">
        <v>24</v>
      </c>
      <c r="M86" s="61">
        <v>20</v>
      </c>
      <c r="N86" s="60">
        <v>47</v>
      </c>
      <c r="O86" s="60">
        <v>50</v>
      </c>
      <c r="P86" s="61">
        <v>48</v>
      </c>
      <c r="Q86" s="60">
        <v>14</v>
      </c>
      <c r="R86" s="60">
        <v>16</v>
      </c>
      <c r="S86" s="61">
        <v>15</v>
      </c>
      <c r="T86" s="60">
        <v>25</v>
      </c>
      <c r="U86" s="60">
        <v>27</v>
      </c>
      <c r="V86" s="61">
        <v>26</v>
      </c>
      <c r="Y86" s="61"/>
      <c r="AB86" s="61"/>
      <c r="AE86" s="61"/>
      <c r="AH86" s="61"/>
    </row>
    <row r="87" spans="1:34" s="60" customFormat="1" ht="10" x14ac:dyDescent="0.2">
      <c r="A87" s="58">
        <v>43027</v>
      </c>
      <c r="B87" s="59">
        <f t="shared" si="2"/>
        <v>2017</v>
      </c>
      <c r="C87" s="59"/>
      <c r="D87" s="59">
        <f t="shared" si="3"/>
        <v>10</v>
      </c>
      <c r="E87" s="60">
        <v>24</v>
      </c>
      <c r="F87" s="60">
        <v>27</v>
      </c>
      <c r="G87" s="61">
        <v>26</v>
      </c>
      <c r="H87" s="60">
        <v>30</v>
      </c>
      <c r="I87" s="60">
        <v>32</v>
      </c>
      <c r="J87" s="61">
        <v>31</v>
      </c>
      <c r="K87" s="60">
        <v>16</v>
      </c>
      <c r="L87" s="60">
        <v>24</v>
      </c>
      <c r="M87" s="61">
        <v>20</v>
      </c>
      <c r="N87" s="60">
        <v>47</v>
      </c>
      <c r="O87" s="60">
        <v>50</v>
      </c>
      <c r="P87" s="61">
        <v>48</v>
      </c>
      <c r="Q87" s="60">
        <v>14</v>
      </c>
      <c r="R87" s="60">
        <v>16</v>
      </c>
      <c r="S87" s="61">
        <v>15</v>
      </c>
      <c r="T87" s="60">
        <v>25</v>
      </c>
      <c r="U87" s="60">
        <v>27</v>
      </c>
      <c r="V87" s="61">
        <v>26</v>
      </c>
      <c r="Y87" s="61"/>
      <c r="AB87" s="61"/>
      <c r="AE87" s="61"/>
      <c r="AH87" s="61"/>
    </row>
    <row r="88" spans="1:34" s="60" customFormat="1" ht="10" x14ac:dyDescent="0.2">
      <c r="A88" s="58">
        <v>43034</v>
      </c>
      <c r="B88" s="59">
        <f t="shared" si="2"/>
        <v>2017</v>
      </c>
      <c r="C88" s="59"/>
      <c r="D88" s="59">
        <f t="shared" si="3"/>
        <v>10</v>
      </c>
      <c r="E88" s="60">
        <v>24</v>
      </c>
      <c r="F88" s="60">
        <v>27</v>
      </c>
      <c r="G88" s="61">
        <v>26</v>
      </c>
      <c r="H88" s="60">
        <v>30</v>
      </c>
      <c r="I88" s="60">
        <v>32</v>
      </c>
      <c r="J88" s="61">
        <v>31</v>
      </c>
      <c r="K88" s="60">
        <v>16</v>
      </c>
      <c r="L88" s="60">
        <v>24</v>
      </c>
      <c r="M88" s="61">
        <v>20</v>
      </c>
      <c r="N88" s="60">
        <v>47</v>
      </c>
      <c r="O88" s="60">
        <v>50</v>
      </c>
      <c r="P88" s="61">
        <v>48</v>
      </c>
      <c r="Q88" s="60">
        <v>14</v>
      </c>
      <c r="R88" s="60">
        <v>16</v>
      </c>
      <c r="S88" s="61">
        <v>15</v>
      </c>
      <c r="T88" s="60">
        <v>25</v>
      </c>
      <c r="U88" s="60">
        <v>27</v>
      </c>
      <c r="V88" s="61">
        <v>26</v>
      </c>
      <c r="Y88" s="61"/>
      <c r="AB88" s="61"/>
      <c r="AE88" s="61"/>
      <c r="AH88" s="61"/>
    </row>
    <row r="89" spans="1:34" s="60" customFormat="1" ht="10" x14ac:dyDescent="0.2">
      <c r="A89" s="58">
        <v>43041</v>
      </c>
      <c r="B89" s="59">
        <f t="shared" si="2"/>
        <v>2017</v>
      </c>
      <c r="C89" s="59"/>
      <c r="D89" s="59">
        <f t="shared" si="3"/>
        <v>11</v>
      </c>
      <c r="E89" s="60">
        <v>24</v>
      </c>
      <c r="F89" s="60">
        <v>27</v>
      </c>
      <c r="G89" s="61">
        <v>26</v>
      </c>
      <c r="H89" s="60">
        <v>30</v>
      </c>
      <c r="I89" s="60">
        <v>32</v>
      </c>
      <c r="J89" s="61">
        <v>31</v>
      </c>
      <c r="K89" s="60">
        <v>16</v>
      </c>
      <c r="L89" s="60">
        <v>24</v>
      </c>
      <c r="M89" s="61">
        <v>20</v>
      </c>
      <c r="N89" s="60">
        <v>47</v>
      </c>
      <c r="O89" s="60">
        <v>50</v>
      </c>
      <c r="P89" s="61">
        <v>48</v>
      </c>
      <c r="Q89" s="60">
        <v>14</v>
      </c>
      <c r="R89" s="60">
        <v>16</v>
      </c>
      <c r="S89" s="61">
        <v>15</v>
      </c>
      <c r="T89" s="60">
        <v>25</v>
      </c>
      <c r="U89" s="60">
        <v>27</v>
      </c>
      <c r="V89" s="61">
        <v>26</v>
      </c>
      <c r="Y89" s="61"/>
      <c r="AB89" s="61"/>
      <c r="AE89" s="61"/>
      <c r="AH89" s="61"/>
    </row>
    <row r="90" spans="1:34" s="60" customFormat="1" ht="10" x14ac:dyDescent="0.2">
      <c r="A90" s="58">
        <v>43048</v>
      </c>
      <c r="B90" s="59">
        <f t="shared" si="2"/>
        <v>2017</v>
      </c>
      <c r="C90" s="59"/>
      <c r="D90" s="59">
        <f t="shared" si="3"/>
        <v>11</v>
      </c>
      <c r="E90" s="60">
        <v>24</v>
      </c>
      <c r="F90" s="60">
        <v>27</v>
      </c>
      <c r="G90" s="61">
        <v>26</v>
      </c>
      <c r="H90" s="60">
        <v>30</v>
      </c>
      <c r="I90" s="60">
        <v>32</v>
      </c>
      <c r="J90" s="61">
        <v>31</v>
      </c>
      <c r="K90" s="60">
        <v>16</v>
      </c>
      <c r="L90" s="60">
        <v>24</v>
      </c>
      <c r="M90" s="61">
        <v>20</v>
      </c>
      <c r="N90" s="60">
        <v>47</v>
      </c>
      <c r="O90" s="60">
        <v>50</v>
      </c>
      <c r="P90" s="61">
        <v>48</v>
      </c>
      <c r="Q90" s="60">
        <v>14</v>
      </c>
      <c r="R90" s="60">
        <v>16</v>
      </c>
      <c r="S90" s="61">
        <v>15</v>
      </c>
      <c r="T90" s="60">
        <v>25</v>
      </c>
      <c r="U90" s="60">
        <v>27</v>
      </c>
      <c r="V90" s="61">
        <v>26</v>
      </c>
      <c r="Y90" s="61"/>
      <c r="AB90" s="61"/>
      <c r="AE90" s="61"/>
      <c r="AH90" s="61"/>
    </row>
    <row r="91" spans="1:34" s="60" customFormat="1" ht="10" x14ac:dyDescent="0.2">
      <c r="A91" s="58">
        <v>43055</v>
      </c>
      <c r="B91" s="59">
        <f t="shared" si="2"/>
        <v>2017</v>
      </c>
      <c r="C91" s="59"/>
      <c r="D91" s="59">
        <f t="shared" si="3"/>
        <v>11</v>
      </c>
      <c r="E91" s="60">
        <v>24</v>
      </c>
      <c r="F91" s="60">
        <v>27</v>
      </c>
      <c r="G91" s="61">
        <v>26</v>
      </c>
      <c r="H91" s="60">
        <v>30</v>
      </c>
      <c r="I91" s="60">
        <v>32</v>
      </c>
      <c r="J91" s="61">
        <v>31</v>
      </c>
      <c r="K91" s="60">
        <v>16</v>
      </c>
      <c r="L91" s="60">
        <v>24</v>
      </c>
      <c r="M91" s="61">
        <v>20</v>
      </c>
      <c r="N91" s="60">
        <v>47</v>
      </c>
      <c r="O91" s="60">
        <v>50</v>
      </c>
      <c r="P91" s="61">
        <v>48</v>
      </c>
      <c r="Q91" s="60">
        <v>14</v>
      </c>
      <c r="R91" s="60">
        <v>16</v>
      </c>
      <c r="S91" s="61">
        <v>15</v>
      </c>
      <c r="T91" s="60">
        <v>25</v>
      </c>
      <c r="U91" s="60">
        <v>27</v>
      </c>
      <c r="V91" s="61">
        <v>26</v>
      </c>
      <c r="Y91" s="61"/>
      <c r="AB91" s="61"/>
      <c r="AE91" s="61"/>
      <c r="AH91" s="61"/>
    </row>
    <row r="92" spans="1:34" s="60" customFormat="1" ht="10" x14ac:dyDescent="0.2">
      <c r="A92" s="58">
        <v>43062</v>
      </c>
      <c r="B92" s="59">
        <f t="shared" si="2"/>
        <v>2017</v>
      </c>
      <c r="C92" s="59"/>
      <c r="D92" s="59">
        <f t="shared" si="3"/>
        <v>11</v>
      </c>
      <c r="E92" s="60">
        <v>24</v>
      </c>
      <c r="F92" s="60">
        <v>27</v>
      </c>
      <c r="G92" s="61">
        <v>26</v>
      </c>
      <c r="H92" s="60">
        <v>30</v>
      </c>
      <c r="I92" s="60">
        <v>32</v>
      </c>
      <c r="J92" s="61">
        <v>31</v>
      </c>
      <c r="K92" s="60">
        <v>16</v>
      </c>
      <c r="L92" s="60">
        <v>24</v>
      </c>
      <c r="M92" s="61">
        <v>20</v>
      </c>
      <c r="N92" s="60">
        <v>47</v>
      </c>
      <c r="O92" s="60">
        <v>50</v>
      </c>
      <c r="P92" s="61">
        <v>48</v>
      </c>
      <c r="Q92" s="60">
        <v>14</v>
      </c>
      <c r="R92" s="60">
        <v>16</v>
      </c>
      <c r="S92" s="61">
        <v>15</v>
      </c>
      <c r="T92" s="60">
        <v>25</v>
      </c>
      <c r="U92" s="60">
        <v>27</v>
      </c>
      <c r="V92" s="61">
        <v>26</v>
      </c>
      <c r="Y92" s="61"/>
      <c r="AB92" s="61"/>
      <c r="AE92" s="61"/>
      <c r="AH92" s="61"/>
    </row>
    <row r="93" spans="1:34" s="60" customFormat="1" ht="10" x14ac:dyDescent="0.2">
      <c r="A93" s="58">
        <v>43069</v>
      </c>
      <c r="B93" s="59">
        <f t="shared" si="2"/>
        <v>2017</v>
      </c>
      <c r="C93" s="59"/>
      <c r="D93" s="59">
        <f t="shared" si="3"/>
        <v>11</v>
      </c>
      <c r="E93" s="60">
        <v>24</v>
      </c>
      <c r="F93" s="60">
        <v>27</v>
      </c>
      <c r="G93" s="61">
        <v>26</v>
      </c>
      <c r="H93" s="60">
        <v>30</v>
      </c>
      <c r="I93" s="60">
        <v>32</v>
      </c>
      <c r="J93" s="61">
        <v>31</v>
      </c>
      <c r="K93" s="60">
        <v>16</v>
      </c>
      <c r="L93" s="60">
        <v>24</v>
      </c>
      <c r="M93" s="61">
        <v>20</v>
      </c>
      <c r="N93" s="60">
        <v>47</v>
      </c>
      <c r="O93" s="60">
        <v>50</v>
      </c>
      <c r="P93" s="61">
        <v>48</v>
      </c>
      <c r="Q93" s="60">
        <v>14</v>
      </c>
      <c r="R93" s="60">
        <v>16</v>
      </c>
      <c r="S93" s="61">
        <v>15</v>
      </c>
      <c r="T93" s="60">
        <v>25</v>
      </c>
      <c r="U93" s="60">
        <v>27</v>
      </c>
      <c r="V93" s="61">
        <v>26</v>
      </c>
      <c r="Y93" s="61"/>
      <c r="AB93" s="61"/>
      <c r="AE93" s="61"/>
      <c r="AH93" s="61"/>
    </row>
    <row r="94" spans="1:34" s="60" customFormat="1" ht="10" x14ac:dyDescent="0.2">
      <c r="A94" s="58">
        <v>43076</v>
      </c>
      <c r="B94" s="59">
        <f t="shared" si="2"/>
        <v>2017</v>
      </c>
      <c r="C94" s="59"/>
      <c r="D94" s="59">
        <f t="shared" si="3"/>
        <v>12</v>
      </c>
      <c r="E94" s="60">
        <v>24</v>
      </c>
      <c r="F94" s="60">
        <v>27</v>
      </c>
      <c r="G94" s="61">
        <v>26</v>
      </c>
      <c r="H94" s="60">
        <v>30</v>
      </c>
      <c r="I94" s="60">
        <v>32</v>
      </c>
      <c r="J94" s="61">
        <v>31</v>
      </c>
      <c r="K94" s="60">
        <v>16</v>
      </c>
      <c r="L94" s="60">
        <v>24</v>
      </c>
      <c r="M94" s="61">
        <v>20</v>
      </c>
      <c r="N94" s="60">
        <v>47</v>
      </c>
      <c r="O94" s="60">
        <v>50</v>
      </c>
      <c r="P94" s="61">
        <v>48</v>
      </c>
      <c r="Q94" s="60">
        <v>14</v>
      </c>
      <c r="R94" s="60">
        <v>16</v>
      </c>
      <c r="S94" s="61">
        <v>15</v>
      </c>
      <c r="T94" s="60">
        <v>25</v>
      </c>
      <c r="U94" s="60">
        <v>27</v>
      </c>
      <c r="V94" s="61">
        <v>26</v>
      </c>
      <c r="Y94" s="61"/>
      <c r="AB94" s="61"/>
      <c r="AE94" s="61"/>
      <c r="AH94" s="61"/>
    </row>
    <row r="95" spans="1:34" s="60" customFormat="1" ht="10" x14ac:dyDescent="0.2">
      <c r="A95" s="58">
        <v>43083</v>
      </c>
      <c r="B95" s="59">
        <f t="shared" si="2"/>
        <v>2017</v>
      </c>
      <c r="C95" s="59"/>
      <c r="D95" s="59">
        <f t="shared" si="3"/>
        <v>12</v>
      </c>
      <c r="E95" s="60">
        <v>24</v>
      </c>
      <c r="F95" s="60">
        <v>27</v>
      </c>
      <c r="G95" s="61">
        <v>26</v>
      </c>
      <c r="H95" s="60">
        <v>30</v>
      </c>
      <c r="I95" s="60">
        <v>32</v>
      </c>
      <c r="J95" s="61">
        <v>31</v>
      </c>
      <c r="K95" s="60">
        <v>16</v>
      </c>
      <c r="L95" s="60">
        <v>24</v>
      </c>
      <c r="M95" s="61">
        <v>20</v>
      </c>
      <c r="N95" s="60">
        <v>47</v>
      </c>
      <c r="O95" s="60">
        <v>50</v>
      </c>
      <c r="P95" s="61">
        <v>48</v>
      </c>
      <c r="Q95" s="60">
        <v>14</v>
      </c>
      <c r="R95" s="60">
        <v>16</v>
      </c>
      <c r="S95" s="61">
        <v>15</v>
      </c>
      <c r="T95" s="60">
        <v>25</v>
      </c>
      <c r="U95" s="60">
        <v>27</v>
      </c>
      <c r="V95" s="61">
        <v>26</v>
      </c>
      <c r="Y95" s="61"/>
      <c r="AB95" s="61"/>
      <c r="AE95" s="61"/>
      <c r="AH95" s="61"/>
    </row>
    <row r="96" spans="1:34" s="60" customFormat="1" ht="10" x14ac:dyDescent="0.2">
      <c r="A96" s="58">
        <v>43090</v>
      </c>
      <c r="B96" s="59">
        <f t="shared" si="2"/>
        <v>2017</v>
      </c>
      <c r="C96" s="59"/>
      <c r="D96" s="59">
        <f t="shared" si="3"/>
        <v>12</v>
      </c>
      <c r="E96" s="60">
        <v>24</v>
      </c>
      <c r="F96" s="60">
        <v>27</v>
      </c>
      <c r="G96" s="61">
        <v>26</v>
      </c>
      <c r="H96" s="60">
        <v>30</v>
      </c>
      <c r="I96" s="60">
        <v>32</v>
      </c>
      <c r="J96" s="61">
        <v>31</v>
      </c>
      <c r="K96" s="60">
        <v>16</v>
      </c>
      <c r="L96" s="60">
        <v>24</v>
      </c>
      <c r="M96" s="61">
        <v>20</v>
      </c>
      <c r="N96" s="60">
        <v>47</v>
      </c>
      <c r="O96" s="60">
        <v>50</v>
      </c>
      <c r="P96" s="61">
        <v>48</v>
      </c>
      <c r="Q96" s="60">
        <v>14</v>
      </c>
      <c r="R96" s="60">
        <v>16</v>
      </c>
      <c r="S96" s="61">
        <v>15</v>
      </c>
      <c r="T96" s="60">
        <v>25</v>
      </c>
      <c r="U96" s="60">
        <v>27</v>
      </c>
      <c r="V96" s="61">
        <v>26</v>
      </c>
      <c r="Y96" s="61"/>
      <c r="AB96" s="61"/>
      <c r="AE96" s="61"/>
      <c r="AH96" s="61"/>
    </row>
    <row r="97" spans="1:34" s="60" customFormat="1" ht="10" x14ac:dyDescent="0.2">
      <c r="A97" s="58">
        <v>43097</v>
      </c>
      <c r="B97" s="59">
        <f t="shared" si="2"/>
        <v>2017</v>
      </c>
      <c r="C97" s="59"/>
      <c r="D97" s="59">
        <f t="shared" si="3"/>
        <v>12</v>
      </c>
      <c r="E97" s="60">
        <v>24</v>
      </c>
      <c r="F97" s="60">
        <v>27</v>
      </c>
      <c r="G97" s="61">
        <v>26</v>
      </c>
      <c r="H97" s="60">
        <v>30</v>
      </c>
      <c r="I97" s="60">
        <v>32</v>
      </c>
      <c r="J97" s="61">
        <v>31</v>
      </c>
      <c r="K97" s="60">
        <v>16</v>
      </c>
      <c r="L97" s="60">
        <v>24</v>
      </c>
      <c r="M97" s="61">
        <v>20</v>
      </c>
      <c r="N97" s="60">
        <v>47</v>
      </c>
      <c r="O97" s="60">
        <v>50</v>
      </c>
      <c r="P97" s="61">
        <v>48</v>
      </c>
      <c r="Q97" s="60">
        <v>14</v>
      </c>
      <c r="R97" s="60">
        <v>16</v>
      </c>
      <c r="S97" s="61">
        <v>15</v>
      </c>
      <c r="T97" s="60">
        <v>25</v>
      </c>
      <c r="U97" s="60">
        <v>27</v>
      </c>
      <c r="V97" s="61">
        <v>26</v>
      </c>
      <c r="Y97" s="61"/>
      <c r="AB97" s="61"/>
      <c r="AE97" s="61"/>
      <c r="AH97" s="61"/>
    </row>
    <row r="98" spans="1:34" s="60" customFormat="1" ht="10" x14ac:dyDescent="0.2">
      <c r="A98" s="58">
        <v>43104</v>
      </c>
      <c r="B98" s="59">
        <f t="shared" si="2"/>
        <v>2018</v>
      </c>
      <c r="C98" s="59"/>
      <c r="D98" s="59">
        <f t="shared" si="3"/>
        <v>1</v>
      </c>
      <c r="E98" s="60">
        <v>24</v>
      </c>
      <c r="F98" s="60">
        <v>27</v>
      </c>
      <c r="G98" s="61">
        <v>26</v>
      </c>
      <c r="H98" s="60">
        <v>30</v>
      </c>
      <c r="I98" s="60">
        <v>32</v>
      </c>
      <c r="J98" s="61">
        <v>31</v>
      </c>
      <c r="K98" s="60">
        <v>16</v>
      </c>
      <c r="L98" s="60">
        <v>24</v>
      </c>
      <c r="M98" s="61">
        <v>20</v>
      </c>
      <c r="N98" s="60">
        <v>47</v>
      </c>
      <c r="O98" s="60">
        <v>50</v>
      </c>
      <c r="P98" s="61">
        <v>48</v>
      </c>
      <c r="Q98" s="60">
        <v>14</v>
      </c>
      <c r="R98" s="60">
        <v>16</v>
      </c>
      <c r="S98" s="61">
        <v>15</v>
      </c>
      <c r="T98" s="60">
        <v>25</v>
      </c>
      <c r="U98" s="60">
        <v>27</v>
      </c>
      <c r="V98" s="61">
        <v>26</v>
      </c>
      <c r="Y98" s="61"/>
      <c r="AB98" s="61"/>
      <c r="AE98" s="61"/>
      <c r="AH98" s="61"/>
    </row>
    <row r="99" spans="1:34" s="60" customFormat="1" ht="10" x14ac:dyDescent="0.2">
      <c r="A99" s="58">
        <v>43111</v>
      </c>
      <c r="B99" s="59">
        <f t="shared" si="2"/>
        <v>2018</v>
      </c>
      <c r="C99" s="59"/>
      <c r="D99" s="59">
        <f t="shared" si="3"/>
        <v>1</v>
      </c>
      <c r="E99" s="60">
        <v>24</v>
      </c>
      <c r="F99" s="60">
        <v>27</v>
      </c>
      <c r="G99" s="61">
        <v>26</v>
      </c>
      <c r="H99" s="60">
        <v>30</v>
      </c>
      <c r="I99" s="60">
        <v>32</v>
      </c>
      <c r="J99" s="61">
        <v>31</v>
      </c>
      <c r="K99" s="60">
        <v>16</v>
      </c>
      <c r="L99" s="60">
        <v>24</v>
      </c>
      <c r="M99" s="61">
        <v>20</v>
      </c>
      <c r="N99" s="60">
        <v>47</v>
      </c>
      <c r="O99" s="60">
        <v>50</v>
      </c>
      <c r="P99" s="61">
        <v>48</v>
      </c>
      <c r="Q99" s="60">
        <v>14</v>
      </c>
      <c r="R99" s="60">
        <v>16</v>
      </c>
      <c r="S99" s="61">
        <v>15</v>
      </c>
      <c r="T99" s="60">
        <v>25</v>
      </c>
      <c r="U99" s="60">
        <v>27</v>
      </c>
      <c r="V99" s="61">
        <v>26</v>
      </c>
      <c r="Y99" s="61"/>
      <c r="AB99" s="61"/>
      <c r="AE99" s="61"/>
      <c r="AH99" s="61"/>
    </row>
    <row r="100" spans="1:34" s="60" customFormat="1" ht="10" x14ac:dyDescent="0.2">
      <c r="A100" s="58">
        <v>43118</v>
      </c>
      <c r="B100" s="59">
        <f t="shared" si="2"/>
        <v>2018</v>
      </c>
      <c r="C100" s="59"/>
      <c r="D100" s="59">
        <f t="shared" si="3"/>
        <v>1</v>
      </c>
      <c r="E100" s="60">
        <v>24</v>
      </c>
      <c r="F100" s="60">
        <v>27</v>
      </c>
      <c r="G100" s="61">
        <v>26</v>
      </c>
      <c r="H100" s="60">
        <v>30</v>
      </c>
      <c r="I100" s="60">
        <v>32</v>
      </c>
      <c r="J100" s="61">
        <v>31</v>
      </c>
      <c r="K100" s="60">
        <v>16</v>
      </c>
      <c r="L100" s="60">
        <v>24</v>
      </c>
      <c r="M100" s="61">
        <v>20</v>
      </c>
      <c r="N100" s="60">
        <v>47</v>
      </c>
      <c r="O100" s="60">
        <v>50</v>
      </c>
      <c r="P100" s="61">
        <v>48</v>
      </c>
      <c r="Q100" s="60">
        <v>14</v>
      </c>
      <c r="R100" s="60">
        <v>16</v>
      </c>
      <c r="S100" s="61">
        <v>15</v>
      </c>
      <c r="T100" s="60">
        <v>25</v>
      </c>
      <c r="U100" s="60">
        <v>27</v>
      </c>
      <c r="V100" s="61">
        <v>26</v>
      </c>
      <c r="Y100" s="61"/>
      <c r="AB100" s="61"/>
      <c r="AE100" s="61"/>
      <c r="AH100" s="61"/>
    </row>
    <row r="101" spans="1:34" s="60" customFormat="1" ht="10" x14ac:dyDescent="0.2">
      <c r="A101" s="58">
        <v>43125</v>
      </c>
      <c r="B101" s="59">
        <f t="shared" si="2"/>
        <v>2018</v>
      </c>
      <c r="C101" s="59"/>
      <c r="D101" s="59">
        <f t="shared" si="3"/>
        <v>1</v>
      </c>
      <c r="E101" s="60">
        <v>24</v>
      </c>
      <c r="F101" s="60">
        <v>27</v>
      </c>
      <c r="G101" s="61">
        <v>26</v>
      </c>
      <c r="H101" s="60">
        <v>30</v>
      </c>
      <c r="I101" s="60">
        <v>32</v>
      </c>
      <c r="J101" s="61">
        <v>31</v>
      </c>
      <c r="K101" s="60">
        <v>16</v>
      </c>
      <c r="L101" s="60">
        <v>24</v>
      </c>
      <c r="M101" s="61">
        <v>20</v>
      </c>
      <c r="N101" s="60">
        <v>47</v>
      </c>
      <c r="O101" s="60">
        <v>50</v>
      </c>
      <c r="P101" s="61">
        <v>48</v>
      </c>
      <c r="Q101" s="60">
        <v>14</v>
      </c>
      <c r="R101" s="60">
        <v>16</v>
      </c>
      <c r="S101" s="61">
        <v>15</v>
      </c>
      <c r="T101" s="60">
        <v>25</v>
      </c>
      <c r="U101" s="60">
        <v>27</v>
      </c>
      <c r="V101" s="61">
        <v>26</v>
      </c>
      <c r="Y101" s="61"/>
      <c r="AB101" s="61"/>
      <c r="AE101" s="61"/>
      <c r="AH101" s="61"/>
    </row>
    <row r="102" spans="1:34" s="60" customFormat="1" ht="10" x14ac:dyDescent="0.2">
      <c r="A102" s="58">
        <v>43132</v>
      </c>
      <c r="B102" s="59">
        <f t="shared" si="2"/>
        <v>2018</v>
      </c>
      <c r="C102" s="59"/>
      <c r="D102" s="59">
        <f t="shared" si="3"/>
        <v>2</v>
      </c>
      <c r="E102" s="60">
        <v>24</v>
      </c>
      <c r="F102" s="60">
        <v>27</v>
      </c>
      <c r="G102" s="61">
        <v>26</v>
      </c>
      <c r="H102" s="60">
        <v>30</v>
      </c>
      <c r="I102" s="60">
        <v>32</v>
      </c>
      <c r="J102" s="61">
        <v>31</v>
      </c>
      <c r="K102" s="60">
        <v>16</v>
      </c>
      <c r="L102" s="60">
        <v>24</v>
      </c>
      <c r="M102" s="61">
        <v>20</v>
      </c>
      <c r="N102" s="60">
        <v>47</v>
      </c>
      <c r="O102" s="60">
        <v>50</v>
      </c>
      <c r="P102" s="61">
        <v>48</v>
      </c>
      <c r="Q102" s="60">
        <v>14</v>
      </c>
      <c r="R102" s="60">
        <v>16</v>
      </c>
      <c r="S102" s="61">
        <v>15</v>
      </c>
      <c r="T102" s="60">
        <v>25</v>
      </c>
      <c r="U102" s="60">
        <v>27</v>
      </c>
      <c r="V102" s="61">
        <v>26</v>
      </c>
      <c r="Y102" s="61"/>
      <c r="AB102" s="61"/>
      <c r="AE102" s="61"/>
      <c r="AH102" s="61"/>
    </row>
    <row r="103" spans="1:34" s="60" customFormat="1" ht="10" x14ac:dyDescent="0.2">
      <c r="A103" s="58">
        <v>43139</v>
      </c>
      <c r="B103" s="59">
        <f t="shared" si="2"/>
        <v>2018</v>
      </c>
      <c r="C103" s="59"/>
      <c r="D103" s="59">
        <f t="shared" si="3"/>
        <v>2</v>
      </c>
      <c r="E103" s="60">
        <v>24</v>
      </c>
      <c r="F103" s="60">
        <v>27</v>
      </c>
      <c r="G103" s="61">
        <v>26</v>
      </c>
      <c r="H103" s="60">
        <v>30</v>
      </c>
      <c r="I103" s="60">
        <v>32</v>
      </c>
      <c r="J103" s="61">
        <v>31</v>
      </c>
      <c r="K103" s="60">
        <v>16</v>
      </c>
      <c r="L103" s="60">
        <v>24</v>
      </c>
      <c r="M103" s="61">
        <v>20</v>
      </c>
      <c r="N103" s="60">
        <v>47</v>
      </c>
      <c r="O103" s="60">
        <v>50</v>
      </c>
      <c r="P103" s="61">
        <v>48</v>
      </c>
      <c r="Q103" s="60">
        <v>14</v>
      </c>
      <c r="R103" s="60">
        <v>16</v>
      </c>
      <c r="S103" s="61">
        <v>15</v>
      </c>
      <c r="T103" s="60">
        <v>25</v>
      </c>
      <c r="U103" s="60">
        <v>27</v>
      </c>
      <c r="V103" s="61">
        <v>26</v>
      </c>
      <c r="Y103" s="61"/>
      <c r="AB103" s="61"/>
      <c r="AE103" s="61"/>
      <c r="AH103" s="61"/>
    </row>
    <row r="104" spans="1:34" s="60" customFormat="1" ht="10" x14ac:dyDescent="0.2">
      <c r="A104" s="58">
        <v>43146</v>
      </c>
      <c r="B104" s="59">
        <f t="shared" si="2"/>
        <v>2018</v>
      </c>
      <c r="C104" s="59"/>
      <c r="D104" s="59">
        <f t="shared" si="3"/>
        <v>2</v>
      </c>
      <c r="E104" s="60">
        <v>24</v>
      </c>
      <c r="F104" s="60">
        <v>27</v>
      </c>
      <c r="G104" s="61">
        <v>26</v>
      </c>
      <c r="H104" s="60">
        <v>30</v>
      </c>
      <c r="I104" s="60">
        <v>32</v>
      </c>
      <c r="J104" s="61">
        <v>31</v>
      </c>
      <c r="K104" s="60">
        <v>16</v>
      </c>
      <c r="L104" s="60">
        <v>24</v>
      </c>
      <c r="M104" s="61">
        <v>20</v>
      </c>
      <c r="N104" s="60">
        <v>47</v>
      </c>
      <c r="O104" s="60">
        <v>50</v>
      </c>
      <c r="P104" s="61">
        <v>48</v>
      </c>
      <c r="Q104" s="60">
        <v>14</v>
      </c>
      <c r="R104" s="60">
        <v>16</v>
      </c>
      <c r="S104" s="61">
        <v>15</v>
      </c>
      <c r="T104" s="60">
        <v>25</v>
      </c>
      <c r="U104" s="60">
        <v>27</v>
      </c>
      <c r="V104" s="61">
        <v>26</v>
      </c>
      <c r="Y104" s="61"/>
      <c r="AB104" s="61"/>
      <c r="AE104" s="61"/>
      <c r="AH104" s="61"/>
    </row>
    <row r="105" spans="1:34" s="60" customFormat="1" ht="10" x14ac:dyDescent="0.2">
      <c r="A105" s="58">
        <v>43153</v>
      </c>
      <c r="B105" s="59">
        <f t="shared" si="2"/>
        <v>2018</v>
      </c>
      <c r="C105" s="59"/>
      <c r="D105" s="59">
        <f t="shared" si="3"/>
        <v>2</v>
      </c>
      <c r="E105" s="60">
        <v>24</v>
      </c>
      <c r="F105" s="60">
        <v>27</v>
      </c>
      <c r="G105" s="61">
        <v>26</v>
      </c>
      <c r="H105" s="60">
        <v>30</v>
      </c>
      <c r="I105" s="60">
        <v>32</v>
      </c>
      <c r="J105" s="61">
        <v>31</v>
      </c>
      <c r="K105" s="60">
        <v>16</v>
      </c>
      <c r="L105" s="60">
        <v>24</v>
      </c>
      <c r="M105" s="61">
        <v>20</v>
      </c>
      <c r="N105" s="60">
        <v>47</v>
      </c>
      <c r="O105" s="60">
        <v>50</v>
      </c>
      <c r="P105" s="61">
        <v>48</v>
      </c>
      <c r="Q105" s="60">
        <v>14</v>
      </c>
      <c r="R105" s="60">
        <v>16</v>
      </c>
      <c r="S105" s="61">
        <v>15</v>
      </c>
      <c r="T105" s="60">
        <v>25</v>
      </c>
      <c r="U105" s="60">
        <v>27</v>
      </c>
      <c r="V105" s="61">
        <v>26</v>
      </c>
      <c r="Y105" s="61"/>
      <c r="AB105" s="61"/>
      <c r="AE105" s="61"/>
      <c r="AH105" s="61"/>
    </row>
    <row r="106" spans="1:34" s="60" customFormat="1" ht="10" x14ac:dyDescent="0.2">
      <c r="A106" s="58">
        <v>43160</v>
      </c>
      <c r="B106" s="59">
        <f t="shared" si="2"/>
        <v>2018</v>
      </c>
      <c r="C106" s="59"/>
      <c r="D106" s="59">
        <f t="shared" si="3"/>
        <v>3</v>
      </c>
      <c r="E106" s="60">
        <v>24</v>
      </c>
      <c r="F106" s="60">
        <v>27</v>
      </c>
      <c r="G106" s="61">
        <v>26</v>
      </c>
      <c r="H106" s="60">
        <v>30</v>
      </c>
      <c r="I106" s="60">
        <v>32</v>
      </c>
      <c r="J106" s="61">
        <v>31</v>
      </c>
      <c r="K106" s="60">
        <v>16</v>
      </c>
      <c r="L106" s="60">
        <v>24</v>
      </c>
      <c r="M106" s="61">
        <v>20</v>
      </c>
      <c r="N106" s="60">
        <v>47</v>
      </c>
      <c r="O106" s="60">
        <v>50</v>
      </c>
      <c r="P106" s="61">
        <v>48</v>
      </c>
      <c r="Q106" s="60">
        <v>14</v>
      </c>
      <c r="R106" s="60">
        <v>16</v>
      </c>
      <c r="S106" s="61">
        <v>15</v>
      </c>
      <c r="T106" s="60">
        <v>25</v>
      </c>
      <c r="U106" s="60">
        <v>27</v>
      </c>
      <c r="V106" s="61">
        <v>26</v>
      </c>
      <c r="Y106" s="61"/>
      <c r="AB106" s="61"/>
      <c r="AE106" s="61"/>
      <c r="AH106" s="61"/>
    </row>
    <row r="107" spans="1:34" s="60" customFormat="1" ht="10" x14ac:dyDescent="0.2">
      <c r="A107" s="58">
        <v>43167</v>
      </c>
      <c r="B107" s="59">
        <f t="shared" si="2"/>
        <v>2018</v>
      </c>
      <c r="C107" s="59"/>
      <c r="D107" s="59">
        <f t="shared" si="3"/>
        <v>3</v>
      </c>
      <c r="E107" s="60">
        <v>24</v>
      </c>
      <c r="F107" s="60">
        <v>27</v>
      </c>
      <c r="G107" s="61">
        <v>26</v>
      </c>
      <c r="H107" s="60">
        <v>30</v>
      </c>
      <c r="I107" s="60">
        <v>32</v>
      </c>
      <c r="J107" s="61">
        <v>31</v>
      </c>
      <c r="K107" s="60">
        <v>16</v>
      </c>
      <c r="L107" s="60">
        <v>24</v>
      </c>
      <c r="M107" s="61">
        <v>20</v>
      </c>
      <c r="N107" s="60">
        <v>47</v>
      </c>
      <c r="O107" s="60">
        <v>50</v>
      </c>
      <c r="P107" s="61">
        <v>48</v>
      </c>
      <c r="Q107" s="60">
        <v>14</v>
      </c>
      <c r="R107" s="60">
        <v>16</v>
      </c>
      <c r="S107" s="61">
        <v>15</v>
      </c>
      <c r="T107" s="60">
        <v>25</v>
      </c>
      <c r="U107" s="60">
        <v>27</v>
      </c>
      <c r="V107" s="61">
        <v>26</v>
      </c>
      <c r="Y107" s="61"/>
      <c r="AB107" s="61"/>
      <c r="AE107" s="61"/>
      <c r="AH107" s="61"/>
    </row>
    <row r="108" spans="1:34" s="60" customFormat="1" ht="10" x14ac:dyDescent="0.2">
      <c r="A108" s="58">
        <v>43174</v>
      </c>
      <c r="B108" s="59">
        <f t="shared" si="2"/>
        <v>2018</v>
      </c>
      <c r="C108" s="59"/>
      <c r="D108" s="59">
        <f t="shared" si="3"/>
        <v>3</v>
      </c>
      <c r="E108" s="60">
        <v>24</v>
      </c>
      <c r="F108" s="60">
        <v>27</v>
      </c>
      <c r="G108" s="61">
        <v>26</v>
      </c>
      <c r="H108" s="60">
        <v>30</v>
      </c>
      <c r="I108" s="60">
        <v>32</v>
      </c>
      <c r="J108" s="61">
        <v>31</v>
      </c>
      <c r="K108" s="60">
        <v>16</v>
      </c>
      <c r="L108" s="60">
        <v>24</v>
      </c>
      <c r="M108" s="61">
        <v>20</v>
      </c>
      <c r="N108" s="60">
        <v>47</v>
      </c>
      <c r="O108" s="60">
        <v>50</v>
      </c>
      <c r="P108" s="61">
        <v>48</v>
      </c>
      <c r="Q108" s="60">
        <v>14</v>
      </c>
      <c r="R108" s="60">
        <v>16</v>
      </c>
      <c r="S108" s="61">
        <v>15</v>
      </c>
      <c r="T108" s="60">
        <v>25</v>
      </c>
      <c r="U108" s="60">
        <v>27</v>
      </c>
      <c r="V108" s="61">
        <v>26</v>
      </c>
      <c r="Y108" s="61"/>
      <c r="AB108" s="61"/>
      <c r="AE108" s="61"/>
      <c r="AH108" s="61"/>
    </row>
    <row r="109" spans="1:34" s="60" customFormat="1" ht="10" x14ac:dyDescent="0.2">
      <c r="A109" s="58">
        <v>43181</v>
      </c>
      <c r="B109" s="59">
        <f t="shared" si="2"/>
        <v>2018</v>
      </c>
      <c r="C109" s="59"/>
      <c r="D109" s="59">
        <f t="shared" si="3"/>
        <v>3</v>
      </c>
      <c r="E109" s="60">
        <v>24</v>
      </c>
      <c r="F109" s="60">
        <v>27</v>
      </c>
      <c r="G109" s="61">
        <v>26</v>
      </c>
      <c r="H109" s="60">
        <v>30</v>
      </c>
      <c r="I109" s="60">
        <v>32</v>
      </c>
      <c r="J109" s="61">
        <v>31</v>
      </c>
      <c r="K109" s="60">
        <v>16</v>
      </c>
      <c r="L109" s="60">
        <v>24</v>
      </c>
      <c r="M109" s="61">
        <v>20</v>
      </c>
      <c r="N109" s="60">
        <v>47</v>
      </c>
      <c r="O109" s="60">
        <v>50</v>
      </c>
      <c r="P109" s="61">
        <v>48</v>
      </c>
      <c r="Q109" s="60">
        <v>14</v>
      </c>
      <c r="R109" s="60">
        <v>16</v>
      </c>
      <c r="S109" s="61">
        <v>15</v>
      </c>
      <c r="T109" s="60">
        <v>25</v>
      </c>
      <c r="U109" s="60">
        <v>27</v>
      </c>
      <c r="V109" s="61">
        <v>26</v>
      </c>
      <c r="Y109" s="61"/>
      <c r="AB109" s="61"/>
      <c r="AE109" s="61"/>
      <c r="AH109" s="61"/>
    </row>
    <row r="110" spans="1:34" s="60" customFormat="1" ht="10" x14ac:dyDescent="0.2">
      <c r="A110" s="58">
        <v>43188</v>
      </c>
      <c r="B110" s="59">
        <f t="shared" si="2"/>
        <v>2018</v>
      </c>
      <c r="C110" s="59"/>
      <c r="D110" s="59">
        <f t="shared" si="3"/>
        <v>3</v>
      </c>
      <c r="E110" s="60">
        <v>24</v>
      </c>
      <c r="F110" s="60">
        <v>27</v>
      </c>
      <c r="G110" s="61">
        <v>26</v>
      </c>
      <c r="H110" s="60">
        <v>30</v>
      </c>
      <c r="I110" s="60">
        <v>32</v>
      </c>
      <c r="J110" s="61">
        <v>31</v>
      </c>
      <c r="K110" s="60">
        <v>16</v>
      </c>
      <c r="L110" s="60">
        <v>24</v>
      </c>
      <c r="M110" s="61">
        <v>20</v>
      </c>
      <c r="N110" s="60">
        <v>47</v>
      </c>
      <c r="O110" s="60">
        <v>50</v>
      </c>
      <c r="P110" s="61">
        <v>48</v>
      </c>
      <c r="Q110" s="60">
        <v>14</v>
      </c>
      <c r="R110" s="60">
        <v>16</v>
      </c>
      <c r="S110" s="61">
        <v>15</v>
      </c>
      <c r="T110" s="60">
        <v>25</v>
      </c>
      <c r="U110" s="60">
        <v>27</v>
      </c>
      <c r="V110" s="61">
        <v>26</v>
      </c>
      <c r="Y110" s="61"/>
      <c r="AB110" s="61"/>
      <c r="AE110" s="61"/>
      <c r="AH110" s="61"/>
    </row>
    <row r="111" spans="1:34" s="60" customFormat="1" ht="10" x14ac:dyDescent="0.2">
      <c r="A111" s="58">
        <v>43195</v>
      </c>
      <c r="B111" s="59">
        <f t="shared" si="2"/>
        <v>2018</v>
      </c>
      <c r="C111" s="59"/>
      <c r="D111" s="59">
        <f t="shared" si="3"/>
        <v>4</v>
      </c>
      <c r="E111" s="60">
        <v>24</v>
      </c>
      <c r="F111" s="60">
        <v>27</v>
      </c>
      <c r="G111" s="61">
        <v>26</v>
      </c>
      <c r="H111" s="60">
        <v>30</v>
      </c>
      <c r="I111" s="60">
        <v>32</v>
      </c>
      <c r="J111" s="61">
        <v>31</v>
      </c>
      <c r="K111" s="60">
        <v>16</v>
      </c>
      <c r="L111" s="60">
        <v>24</v>
      </c>
      <c r="M111" s="61">
        <v>20</v>
      </c>
      <c r="N111" s="60">
        <v>47</v>
      </c>
      <c r="O111" s="60">
        <v>50</v>
      </c>
      <c r="P111" s="61">
        <v>48</v>
      </c>
      <c r="Q111" s="60">
        <v>14</v>
      </c>
      <c r="R111" s="60">
        <v>16</v>
      </c>
      <c r="S111" s="61">
        <v>15</v>
      </c>
      <c r="T111" s="60">
        <v>25</v>
      </c>
      <c r="U111" s="60">
        <v>27</v>
      </c>
      <c r="V111" s="61">
        <v>26</v>
      </c>
      <c r="Y111" s="61"/>
      <c r="AB111" s="61"/>
      <c r="AE111" s="61"/>
      <c r="AH111" s="61"/>
    </row>
    <row r="112" spans="1:34" s="60" customFormat="1" ht="10" x14ac:dyDescent="0.2">
      <c r="A112" s="58">
        <v>43202</v>
      </c>
      <c r="B112" s="59">
        <f t="shared" si="2"/>
        <v>2018</v>
      </c>
      <c r="C112" s="59"/>
      <c r="D112" s="59">
        <f t="shared" si="3"/>
        <v>4</v>
      </c>
      <c r="E112" s="60">
        <v>24</v>
      </c>
      <c r="F112" s="60">
        <v>27</v>
      </c>
      <c r="G112" s="61">
        <v>26</v>
      </c>
      <c r="H112" s="60">
        <v>30</v>
      </c>
      <c r="I112" s="60">
        <v>32</v>
      </c>
      <c r="J112" s="61">
        <v>31</v>
      </c>
      <c r="K112" s="60">
        <v>16</v>
      </c>
      <c r="L112" s="60">
        <v>24</v>
      </c>
      <c r="M112" s="61">
        <v>20</v>
      </c>
      <c r="N112" s="60">
        <v>47</v>
      </c>
      <c r="O112" s="60">
        <v>50</v>
      </c>
      <c r="P112" s="61">
        <v>48</v>
      </c>
      <c r="Q112" s="60">
        <v>14</v>
      </c>
      <c r="R112" s="60">
        <v>16</v>
      </c>
      <c r="S112" s="61">
        <v>15</v>
      </c>
      <c r="T112" s="60">
        <v>25</v>
      </c>
      <c r="U112" s="60">
        <v>27</v>
      </c>
      <c r="V112" s="61">
        <v>26</v>
      </c>
      <c r="Y112" s="61"/>
      <c r="AB112" s="61"/>
      <c r="AE112" s="61"/>
      <c r="AH112" s="61"/>
    </row>
    <row r="113" spans="1:34" s="60" customFormat="1" ht="10" x14ac:dyDescent="0.2">
      <c r="A113" s="58">
        <v>43209</v>
      </c>
      <c r="B113" s="59">
        <f t="shared" si="2"/>
        <v>2018</v>
      </c>
      <c r="C113" s="59"/>
      <c r="D113" s="59">
        <f t="shared" si="3"/>
        <v>4</v>
      </c>
      <c r="E113" s="60">
        <v>24</v>
      </c>
      <c r="F113" s="60">
        <v>27</v>
      </c>
      <c r="G113" s="61">
        <v>26</v>
      </c>
      <c r="H113" s="60">
        <v>30</v>
      </c>
      <c r="I113" s="60">
        <v>32</v>
      </c>
      <c r="J113" s="61">
        <v>31</v>
      </c>
      <c r="K113" s="60">
        <v>16</v>
      </c>
      <c r="L113" s="60">
        <v>24</v>
      </c>
      <c r="M113" s="61">
        <v>20</v>
      </c>
      <c r="N113" s="60">
        <v>47</v>
      </c>
      <c r="O113" s="60">
        <v>50</v>
      </c>
      <c r="P113" s="61">
        <v>48</v>
      </c>
      <c r="Q113" s="60">
        <v>14</v>
      </c>
      <c r="R113" s="60">
        <v>16</v>
      </c>
      <c r="S113" s="61">
        <v>15</v>
      </c>
      <c r="T113" s="60">
        <v>25</v>
      </c>
      <c r="U113" s="60">
        <v>27</v>
      </c>
      <c r="V113" s="61">
        <v>26</v>
      </c>
      <c r="Y113" s="61"/>
      <c r="AB113" s="61"/>
      <c r="AE113" s="61"/>
      <c r="AH113" s="61"/>
    </row>
    <row r="114" spans="1:34" s="60" customFormat="1" ht="10" x14ac:dyDescent="0.2">
      <c r="A114" s="58">
        <v>43216</v>
      </c>
      <c r="B114" s="59">
        <f t="shared" si="2"/>
        <v>2018</v>
      </c>
      <c r="C114" s="59"/>
      <c r="D114" s="59">
        <f t="shared" si="3"/>
        <v>4</v>
      </c>
      <c r="E114" s="60">
        <v>24</v>
      </c>
      <c r="F114" s="60">
        <v>27</v>
      </c>
      <c r="G114" s="61">
        <v>26</v>
      </c>
      <c r="H114" s="60">
        <v>30</v>
      </c>
      <c r="I114" s="60">
        <v>32</v>
      </c>
      <c r="J114" s="61">
        <v>31</v>
      </c>
      <c r="K114" s="60">
        <v>16</v>
      </c>
      <c r="L114" s="60">
        <v>24</v>
      </c>
      <c r="M114" s="61">
        <v>20</v>
      </c>
      <c r="N114" s="60">
        <v>47</v>
      </c>
      <c r="O114" s="60">
        <v>50</v>
      </c>
      <c r="P114" s="61">
        <v>48</v>
      </c>
      <c r="Q114" s="60">
        <v>14</v>
      </c>
      <c r="R114" s="60">
        <v>16</v>
      </c>
      <c r="S114" s="61">
        <v>15</v>
      </c>
      <c r="T114" s="60">
        <v>25</v>
      </c>
      <c r="U114" s="60">
        <v>27</v>
      </c>
      <c r="V114" s="61">
        <v>26</v>
      </c>
      <c r="Y114" s="61"/>
      <c r="AB114" s="61"/>
      <c r="AE114" s="61"/>
      <c r="AH114" s="61"/>
    </row>
    <row r="115" spans="1:34" s="60" customFormat="1" ht="10" x14ac:dyDescent="0.2">
      <c r="A115" s="58">
        <v>43223</v>
      </c>
      <c r="B115" s="59">
        <f t="shared" si="2"/>
        <v>2018</v>
      </c>
      <c r="C115" s="59"/>
      <c r="D115" s="59">
        <f t="shared" si="3"/>
        <v>5</v>
      </c>
      <c r="E115" s="60">
        <v>24</v>
      </c>
      <c r="F115" s="60">
        <v>27</v>
      </c>
      <c r="G115" s="61">
        <v>26</v>
      </c>
      <c r="H115" s="60">
        <v>30</v>
      </c>
      <c r="I115" s="60">
        <v>32</v>
      </c>
      <c r="J115" s="61">
        <v>31</v>
      </c>
      <c r="K115" s="60">
        <v>16</v>
      </c>
      <c r="L115" s="60">
        <v>24</v>
      </c>
      <c r="M115" s="61">
        <v>20</v>
      </c>
      <c r="N115" s="60">
        <v>47</v>
      </c>
      <c r="O115" s="60">
        <v>50</v>
      </c>
      <c r="P115" s="61">
        <v>48</v>
      </c>
      <c r="Q115" s="60">
        <v>14</v>
      </c>
      <c r="R115" s="60">
        <v>16</v>
      </c>
      <c r="S115" s="61">
        <v>15</v>
      </c>
      <c r="T115" s="60">
        <v>25</v>
      </c>
      <c r="U115" s="60">
        <v>27</v>
      </c>
      <c r="V115" s="61">
        <v>26</v>
      </c>
      <c r="Y115" s="61"/>
      <c r="AB115" s="61"/>
      <c r="AE115" s="61"/>
      <c r="AH115" s="61"/>
    </row>
    <row r="116" spans="1:34" s="60" customFormat="1" ht="10" x14ac:dyDescent="0.2">
      <c r="A116" s="58">
        <v>43230</v>
      </c>
      <c r="B116" s="59">
        <f t="shared" si="2"/>
        <v>2018</v>
      </c>
      <c r="C116" s="59"/>
      <c r="D116" s="59">
        <f t="shared" si="3"/>
        <v>5</v>
      </c>
      <c r="E116" s="60">
        <v>24</v>
      </c>
      <c r="F116" s="60">
        <v>27</v>
      </c>
      <c r="G116" s="61">
        <v>26</v>
      </c>
      <c r="H116" s="60">
        <v>30</v>
      </c>
      <c r="I116" s="60">
        <v>32</v>
      </c>
      <c r="J116" s="61">
        <v>31</v>
      </c>
      <c r="K116" s="60">
        <v>16</v>
      </c>
      <c r="L116" s="60">
        <v>24</v>
      </c>
      <c r="M116" s="61">
        <v>20</v>
      </c>
      <c r="N116" s="60">
        <v>47</v>
      </c>
      <c r="O116" s="60">
        <v>50</v>
      </c>
      <c r="P116" s="61">
        <v>48</v>
      </c>
      <c r="Q116" s="60">
        <v>14</v>
      </c>
      <c r="R116" s="60">
        <v>16</v>
      </c>
      <c r="S116" s="61">
        <v>15</v>
      </c>
      <c r="T116" s="60">
        <v>25</v>
      </c>
      <c r="U116" s="60">
        <v>27</v>
      </c>
      <c r="V116" s="61">
        <v>26</v>
      </c>
      <c r="Y116" s="61"/>
      <c r="AB116" s="61"/>
      <c r="AE116" s="61"/>
      <c r="AH116" s="61"/>
    </row>
    <row r="117" spans="1:34" s="60" customFormat="1" ht="10" x14ac:dyDescent="0.2">
      <c r="A117" s="58">
        <v>43237</v>
      </c>
      <c r="B117" s="59">
        <f t="shared" si="2"/>
        <v>2018</v>
      </c>
      <c r="C117" s="59"/>
      <c r="D117" s="59">
        <f t="shared" si="3"/>
        <v>5</v>
      </c>
      <c r="E117" s="60">
        <v>24</v>
      </c>
      <c r="F117" s="60">
        <v>27</v>
      </c>
      <c r="G117" s="61">
        <v>26</v>
      </c>
      <c r="H117" s="60">
        <v>30</v>
      </c>
      <c r="I117" s="60">
        <v>32</v>
      </c>
      <c r="J117" s="61">
        <v>31</v>
      </c>
      <c r="K117" s="60">
        <v>16</v>
      </c>
      <c r="L117" s="60">
        <v>24</v>
      </c>
      <c r="M117" s="61">
        <v>20</v>
      </c>
      <c r="N117" s="60">
        <v>47</v>
      </c>
      <c r="O117" s="60">
        <v>50</v>
      </c>
      <c r="P117" s="61">
        <v>48</v>
      </c>
      <c r="Q117" s="60">
        <v>14</v>
      </c>
      <c r="R117" s="60">
        <v>16</v>
      </c>
      <c r="S117" s="61">
        <v>15</v>
      </c>
      <c r="T117" s="60">
        <v>25</v>
      </c>
      <c r="U117" s="60">
        <v>27</v>
      </c>
      <c r="V117" s="61">
        <v>26</v>
      </c>
      <c r="Y117" s="61"/>
      <c r="AB117" s="61"/>
      <c r="AE117" s="61"/>
      <c r="AH117" s="61"/>
    </row>
    <row r="118" spans="1:34" s="60" customFormat="1" ht="10" x14ac:dyDescent="0.2">
      <c r="A118" s="58">
        <v>43244</v>
      </c>
      <c r="B118" s="59">
        <f t="shared" si="2"/>
        <v>2018</v>
      </c>
      <c r="C118" s="59"/>
      <c r="D118" s="59">
        <f t="shared" si="3"/>
        <v>5</v>
      </c>
      <c r="E118" s="60">
        <v>24</v>
      </c>
      <c r="F118" s="60">
        <v>27</v>
      </c>
      <c r="G118" s="61">
        <v>26</v>
      </c>
      <c r="H118" s="60">
        <v>30</v>
      </c>
      <c r="I118" s="60">
        <v>32</v>
      </c>
      <c r="J118" s="61">
        <v>31</v>
      </c>
      <c r="K118" s="60">
        <v>16</v>
      </c>
      <c r="L118" s="60">
        <v>24</v>
      </c>
      <c r="M118" s="61">
        <v>20</v>
      </c>
      <c r="N118" s="60">
        <v>47</v>
      </c>
      <c r="O118" s="60">
        <v>50</v>
      </c>
      <c r="P118" s="61">
        <v>48</v>
      </c>
      <c r="Q118" s="60">
        <v>14</v>
      </c>
      <c r="R118" s="60">
        <v>16</v>
      </c>
      <c r="S118" s="61">
        <v>15</v>
      </c>
      <c r="T118" s="60">
        <v>25</v>
      </c>
      <c r="U118" s="60">
        <v>27</v>
      </c>
      <c r="V118" s="61">
        <v>26</v>
      </c>
      <c r="Y118" s="61"/>
      <c r="AB118" s="61"/>
      <c r="AE118" s="61"/>
      <c r="AH118" s="61"/>
    </row>
    <row r="119" spans="1:34" s="60" customFormat="1" ht="10" x14ac:dyDescent="0.2">
      <c r="A119" s="58">
        <v>43251</v>
      </c>
      <c r="B119" s="59">
        <f t="shared" si="2"/>
        <v>2018</v>
      </c>
      <c r="C119" s="59"/>
      <c r="D119" s="59">
        <f t="shared" si="3"/>
        <v>5</v>
      </c>
      <c r="E119" s="60">
        <v>24</v>
      </c>
      <c r="F119" s="60">
        <v>27</v>
      </c>
      <c r="G119" s="61">
        <v>26</v>
      </c>
      <c r="H119" s="60">
        <v>30</v>
      </c>
      <c r="I119" s="60">
        <v>32</v>
      </c>
      <c r="J119" s="61">
        <v>31</v>
      </c>
      <c r="K119" s="60">
        <v>16</v>
      </c>
      <c r="L119" s="60">
        <v>24</v>
      </c>
      <c r="M119" s="61">
        <v>20</v>
      </c>
      <c r="N119" s="60">
        <v>47</v>
      </c>
      <c r="O119" s="60">
        <v>50</v>
      </c>
      <c r="P119" s="61">
        <v>48</v>
      </c>
      <c r="Q119" s="60">
        <v>14</v>
      </c>
      <c r="R119" s="60">
        <v>16</v>
      </c>
      <c r="S119" s="61">
        <v>15</v>
      </c>
      <c r="T119" s="60">
        <v>25</v>
      </c>
      <c r="U119" s="60">
        <v>27</v>
      </c>
      <c r="V119" s="61">
        <v>26</v>
      </c>
      <c r="Y119" s="61"/>
      <c r="AB119" s="61"/>
      <c r="AE119" s="61"/>
      <c r="AH119" s="61"/>
    </row>
    <row r="120" spans="1:34" s="60" customFormat="1" ht="10" x14ac:dyDescent="0.2">
      <c r="A120" s="58">
        <v>43258</v>
      </c>
      <c r="B120" s="59">
        <f t="shared" si="2"/>
        <v>2018</v>
      </c>
      <c r="C120" s="59"/>
      <c r="D120" s="59">
        <f t="shared" si="3"/>
        <v>6</v>
      </c>
      <c r="E120" s="60">
        <v>24</v>
      </c>
      <c r="F120" s="60">
        <v>27</v>
      </c>
      <c r="G120" s="61">
        <v>26</v>
      </c>
      <c r="H120" s="60">
        <v>30</v>
      </c>
      <c r="I120" s="60">
        <v>32</v>
      </c>
      <c r="J120" s="61">
        <v>31</v>
      </c>
      <c r="K120" s="60">
        <v>16</v>
      </c>
      <c r="L120" s="60">
        <v>24</v>
      </c>
      <c r="M120" s="61">
        <v>20</v>
      </c>
      <c r="N120" s="60">
        <v>47</v>
      </c>
      <c r="O120" s="60">
        <v>50</v>
      </c>
      <c r="P120" s="61">
        <v>48</v>
      </c>
      <c r="Q120" s="60">
        <v>14</v>
      </c>
      <c r="R120" s="60">
        <v>16</v>
      </c>
      <c r="S120" s="61">
        <v>15</v>
      </c>
      <c r="T120" s="60">
        <v>25</v>
      </c>
      <c r="U120" s="60">
        <v>27</v>
      </c>
      <c r="V120" s="61">
        <v>26</v>
      </c>
      <c r="Y120" s="61"/>
      <c r="AB120" s="61"/>
      <c r="AE120" s="61"/>
      <c r="AH120" s="61"/>
    </row>
    <row r="121" spans="1:34" s="60" customFormat="1" ht="10" x14ac:dyDescent="0.2">
      <c r="A121" s="58">
        <v>43265</v>
      </c>
      <c r="B121" s="59">
        <f t="shared" si="2"/>
        <v>2018</v>
      </c>
      <c r="C121" s="59"/>
      <c r="D121" s="59">
        <f t="shared" si="3"/>
        <v>6</v>
      </c>
      <c r="E121" s="60">
        <v>24</v>
      </c>
      <c r="F121" s="60">
        <v>27</v>
      </c>
      <c r="G121" s="61">
        <v>26</v>
      </c>
      <c r="H121" s="60">
        <v>30</v>
      </c>
      <c r="I121" s="60">
        <v>32</v>
      </c>
      <c r="J121" s="61">
        <v>31</v>
      </c>
      <c r="K121" s="60">
        <v>16</v>
      </c>
      <c r="L121" s="60">
        <v>24</v>
      </c>
      <c r="M121" s="61">
        <v>20</v>
      </c>
      <c r="N121" s="60">
        <v>47</v>
      </c>
      <c r="O121" s="60">
        <v>50</v>
      </c>
      <c r="P121" s="61">
        <v>48</v>
      </c>
      <c r="Q121" s="60">
        <v>14</v>
      </c>
      <c r="R121" s="60">
        <v>16</v>
      </c>
      <c r="S121" s="61">
        <v>15</v>
      </c>
      <c r="T121" s="60">
        <v>25</v>
      </c>
      <c r="U121" s="60">
        <v>27</v>
      </c>
      <c r="V121" s="61">
        <v>26</v>
      </c>
      <c r="Y121" s="61"/>
      <c r="AB121" s="61"/>
      <c r="AE121" s="61"/>
      <c r="AH121" s="61"/>
    </row>
    <row r="122" spans="1:34" s="60" customFormat="1" ht="10" x14ac:dyDescent="0.2">
      <c r="A122" s="58">
        <v>43272</v>
      </c>
      <c r="B122" s="59">
        <f t="shared" si="2"/>
        <v>2018</v>
      </c>
      <c r="C122" s="59"/>
      <c r="D122" s="59">
        <f t="shared" si="3"/>
        <v>6</v>
      </c>
      <c r="E122" s="60">
        <v>24</v>
      </c>
      <c r="F122" s="60">
        <v>27</v>
      </c>
      <c r="G122" s="61">
        <v>26</v>
      </c>
      <c r="H122" s="60">
        <v>30</v>
      </c>
      <c r="I122" s="60">
        <v>32</v>
      </c>
      <c r="J122" s="61">
        <v>31</v>
      </c>
      <c r="K122" s="60">
        <v>16</v>
      </c>
      <c r="L122" s="60">
        <v>24</v>
      </c>
      <c r="M122" s="61">
        <v>20</v>
      </c>
      <c r="N122" s="60">
        <v>47</v>
      </c>
      <c r="O122" s="60">
        <v>50</v>
      </c>
      <c r="P122" s="61">
        <v>48</v>
      </c>
      <c r="Q122" s="60">
        <v>14</v>
      </c>
      <c r="R122" s="60">
        <v>16</v>
      </c>
      <c r="S122" s="61">
        <v>15</v>
      </c>
      <c r="T122" s="60">
        <v>25</v>
      </c>
      <c r="U122" s="60">
        <v>27</v>
      </c>
      <c r="V122" s="61">
        <v>26</v>
      </c>
      <c r="Y122" s="61"/>
      <c r="AB122" s="61"/>
      <c r="AE122" s="61"/>
      <c r="AH122" s="61"/>
    </row>
    <row r="123" spans="1:34" s="60" customFormat="1" ht="10" x14ac:dyDescent="0.2">
      <c r="A123" s="58">
        <v>43279</v>
      </c>
      <c r="B123" s="59">
        <f t="shared" si="2"/>
        <v>2018</v>
      </c>
      <c r="C123" s="59"/>
      <c r="D123" s="59">
        <f t="shared" si="3"/>
        <v>6</v>
      </c>
      <c r="E123" s="60">
        <v>24</v>
      </c>
      <c r="F123" s="60">
        <v>27</v>
      </c>
      <c r="G123" s="61">
        <v>26</v>
      </c>
      <c r="H123" s="60">
        <v>30</v>
      </c>
      <c r="I123" s="60">
        <v>32</v>
      </c>
      <c r="J123" s="61">
        <v>31</v>
      </c>
      <c r="K123" s="60">
        <v>16</v>
      </c>
      <c r="L123" s="60">
        <v>24</v>
      </c>
      <c r="M123" s="61">
        <v>20</v>
      </c>
      <c r="N123" s="60">
        <v>47</v>
      </c>
      <c r="O123" s="60">
        <v>50</v>
      </c>
      <c r="P123" s="61">
        <v>48</v>
      </c>
      <c r="Q123" s="60">
        <v>14</v>
      </c>
      <c r="R123" s="60">
        <v>16</v>
      </c>
      <c r="S123" s="61">
        <v>15</v>
      </c>
      <c r="T123" s="60">
        <v>25</v>
      </c>
      <c r="U123" s="60">
        <v>27</v>
      </c>
      <c r="V123" s="61">
        <v>26</v>
      </c>
      <c r="Y123" s="61"/>
      <c r="AB123" s="61"/>
      <c r="AE123" s="61"/>
      <c r="AH123" s="61"/>
    </row>
    <row r="124" spans="1:34" s="60" customFormat="1" ht="10" x14ac:dyDescent="0.2">
      <c r="A124" s="58">
        <v>43286</v>
      </c>
      <c r="B124" s="59">
        <f t="shared" si="2"/>
        <v>2018</v>
      </c>
      <c r="C124" s="59"/>
      <c r="D124" s="59">
        <f t="shared" si="3"/>
        <v>7</v>
      </c>
      <c r="E124" s="60">
        <v>24</v>
      </c>
      <c r="F124" s="60">
        <v>27</v>
      </c>
      <c r="G124" s="61">
        <v>26</v>
      </c>
      <c r="H124" s="60">
        <v>30</v>
      </c>
      <c r="I124" s="60">
        <v>32</v>
      </c>
      <c r="J124" s="61">
        <v>31</v>
      </c>
      <c r="K124" s="60">
        <v>16</v>
      </c>
      <c r="L124" s="60">
        <v>24</v>
      </c>
      <c r="M124" s="61">
        <v>20</v>
      </c>
      <c r="N124" s="60">
        <v>47</v>
      </c>
      <c r="O124" s="60">
        <v>50</v>
      </c>
      <c r="P124" s="61">
        <v>48</v>
      </c>
      <c r="Q124" s="60">
        <v>14</v>
      </c>
      <c r="R124" s="60">
        <v>16</v>
      </c>
      <c r="S124" s="61">
        <v>15</v>
      </c>
      <c r="T124" s="60">
        <v>25</v>
      </c>
      <c r="U124" s="60">
        <v>27</v>
      </c>
      <c r="V124" s="61">
        <v>26</v>
      </c>
      <c r="Y124" s="61"/>
      <c r="AB124" s="61"/>
      <c r="AE124" s="61"/>
      <c r="AH124" s="61"/>
    </row>
    <row r="125" spans="1:34" s="60" customFormat="1" ht="10" x14ac:dyDescent="0.2">
      <c r="A125" s="58">
        <v>43293</v>
      </c>
      <c r="B125" s="59">
        <f t="shared" si="2"/>
        <v>2018</v>
      </c>
      <c r="C125" s="59"/>
      <c r="D125" s="59">
        <f t="shared" si="3"/>
        <v>7</v>
      </c>
      <c r="E125" s="60">
        <v>24</v>
      </c>
      <c r="F125" s="60">
        <v>27</v>
      </c>
      <c r="G125" s="61">
        <v>26</v>
      </c>
      <c r="H125" s="60">
        <v>30</v>
      </c>
      <c r="I125" s="60">
        <v>32</v>
      </c>
      <c r="J125" s="61">
        <v>31</v>
      </c>
      <c r="K125" s="60">
        <v>16</v>
      </c>
      <c r="L125" s="60">
        <v>24</v>
      </c>
      <c r="M125" s="61">
        <v>20</v>
      </c>
      <c r="N125" s="60">
        <v>47</v>
      </c>
      <c r="O125" s="60">
        <v>50</v>
      </c>
      <c r="P125" s="61">
        <v>48</v>
      </c>
      <c r="Q125" s="60">
        <v>14</v>
      </c>
      <c r="R125" s="60">
        <v>16</v>
      </c>
      <c r="S125" s="61">
        <v>15</v>
      </c>
      <c r="T125" s="60">
        <v>25</v>
      </c>
      <c r="U125" s="60">
        <v>27</v>
      </c>
      <c r="V125" s="61">
        <v>26</v>
      </c>
      <c r="Y125" s="61"/>
      <c r="AB125" s="61"/>
      <c r="AE125" s="61"/>
      <c r="AH125" s="61"/>
    </row>
    <row r="126" spans="1:34" s="60" customFormat="1" ht="10" x14ac:dyDescent="0.2">
      <c r="A126" s="58">
        <v>43300</v>
      </c>
      <c r="B126" s="59">
        <f t="shared" si="2"/>
        <v>2018</v>
      </c>
      <c r="C126" s="59"/>
      <c r="D126" s="59">
        <f t="shared" si="3"/>
        <v>7</v>
      </c>
      <c r="E126" s="60">
        <v>24</v>
      </c>
      <c r="F126" s="60">
        <v>27</v>
      </c>
      <c r="G126" s="61">
        <v>26</v>
      </c>
      <c r="H126" s="60">
        <v>30</v>
      </c>
      <c r="I126" s="60">
        <v>32</v>
      </c>
      <c r="J126" s="61">
        <v>31</v>
      </c>
      <c r="K126" s="60">
        <v>16</v>
      </c>
      <c r="L126" s="60">
        <v>24</v>
      </c>
      <c r="M126" s="61">
        <v>20</v>
      </c>
      <c r="N126" s="60">
        <v>47</v>
      </c>
      <c r="O126" s="60">
        <v>50</v>
      </c>
      <c r="P126" s="61">
        <v>48</v>
      </c>
      <c r="Q126" s="60">
        <v>14</v>
      </c>
      <c r="R126" s="60">
        <v>16</v>
      </c>
      <c r="S126" s="61">
        <v>15</v>
      </c>
      <c r="T126" s="60">
        <v>25</v>
      </c>
      <c r="U126" s="60">
        <v>27</v>
      </c>
      <c r="V126" s="61">
        <v>26</v>
      </c>
      <c r="Y126" s="61"/>
      <c r="AB126" s="61"/>
      <c r="AE126" s="61"/>
      <c r="AH126" s="61"/>
    </row>
    <row r="127" spans="1:34" s="60" customFormat="1" ht="10" x14ac:dyDescent="0.2">
      <c r="A127" s="58">
        <v>43307</v>
      </c>
      <c r="B127" s="59">
        <f t="shared" si="2"/>
        <v>2018</v>
      </c>
      <c r="C127" s="59"/>
      <c r="D127" s="59">
        <f t="shared" si="3"/>
        <v>7</v>
      </c>
      <c r="E127" s="60">
        <v>24</v>
      </c>
      <c r="F127" s="60">
        <v>27</v>
      </c>
      <c r="G127" s="61">
        <v>26</v>
      </c>
      <c r="H127" s="60">
        <v>30</v>
      </c>
      <c r="I127" s="60">
        <v>32</v>
      </c>
      <c r="J127" s="61">
        <v>31</v>
      </c>
      <c r="K127" s="60">
        <v>16</v>
      </c>
      <c r="L127" s="60">
        <v>24</v>
      </c>
      <c r="M127" s="61">
        <v>20</v>
      </c>
      <c r="N127" s="60">
        <v>47</v>
      </c>
      <c r="O127" s="60">
        <v>50</v>
      </c>
      <c r="P127" s="61">
        <v>48</v>
      </c>
      <c r="Q127" s="60">
        <v>14</v>
      </c>
      <c r="R127" s="60">
        <v>16</v>
      </c>
      <c r="S127" s="61">
        <v>15</v>
      </c>
      <c r="T127" s="60">
        <v>25</v>
      </c>
      <c r="U127" s="60">
        <v>27</v>
      </c>
      <c r="V127" s="61">
        <v>26</v>
      </c>
      <c r="Y127" s="61"/>
      <c r="AB127" s="61"/>
      <c r="AE127" s="61"/>
      <c r="AH127" s="61"/>
    </row>
    <row r="128" spans="1:34" s="60" customFormat="1" ht="10" x14ac:dyDescent="0.2">
      <c r="A128" s="58">
        <v>43314</v>
      </c>
      <c r="B128" s="59">
        <f t="shared" si="2"/>
        <v>2018</v>
      </c>
      <c r="C128" s="59"/>
      <c r="D128" s="59">
        <f t="shared" si="3"/>
        <v>8</v>
      </c>
      <c r="E128" s="60">
        <v>24</v>
      </c>
      <c r="F128" s="60">
        <v>27</v>
      </c>
      <c r="G128" s="61">
        <v>26</v>
      </c>
      <c r="H128" s="60">
        <v>30</v>
      </c>
      <c r="I128" s="60">
        <v>32</v>
      </c>
      <c r="J128" s="61">
        <v>31</v>
      </c>
      <c r="K128" s="60">
        <v>16</v>
      </c>
      <c r="L128" s="60">
        <v>24</v>
      </c>
      <c r="M128" s="61">
        <v>20</v>
      </c>
      <c r="N128" s="60">
        <v>47</v>
      </c>
      <c r="O128" s="60">
        <v>50</v>
      </c>
      <c r="P128" s="61">
        <v>48</v>
      </c>
      <c r="Q128" s="60">
        <v>14</v>
      </c>
      <c r="R128" s="60">
        <v>16</v>
      </c>
      <c r="S128" s="61">
        <v>15</v>
      </c>
      <c r="T128" s="60">
        <v>25</v>
      </c>
      <c r="U128" s="60">
        <v>27</v>
      </c>
      <c r="V128" s="61">
        <v>26</v>
      </c>
      <c r="Y128" s="61"/>
      <c r="AB128" s="61"/>
      <c r="AE128" s="61"/>
      <c r="AH128" s="61"/>
    </row>
    <row r="129" spans="1:34" s="60" customFormat="1" ht="10" x14ac:dyDescent="0.2">
      <c r="A129" s="58">
        <v>43321</v>
      </c>
      <c r="B129" s="59">
        <f t="shared" si="2"/>
        <v>2018</v>
      </c>
      <c r="C129" s="59"/>
      <c r="D129" s="59">
        <f t="shared" si="3"/>
        <v>8</v>
      </c>
      <c r="E129" s="60">
        <v>24</v>
      </c>
      <c r="F129" s="60">
        <v>27</v>
      </c>
      <c r="G129" s="61">
        <v>26</v>
      </c>
      <c r="H129" s="60">
        <v>30</v>
      </c>
      <c r="I129" s="60">
        <v>32</v>
      </c>
      <c r="J129" s="61">
        <v>31</v>
      </c>
      <c r="K129" s="60">
        <v>16</v>
      </c>
      <c r="L129" s="60">
        <v>24</v>
      </c>
      <c r="M129" s="61">
        <v>20</v>
      </c>
      <c r="N129" s="60">
        <v>47</v>
      </c>
      <c r="O129" s="60">
        <v>50</v>
      </c>
      <c r="P129" s="61">
        <v>48</v>
      </c>
      <c r="Q129" s="60">
        <v>14</v>
      </c>
      <c r="R129" s="60">
        <v>16</v>
      </c>
      <c r="S129" s="61">
        <v>15</v>
      </c>
      <c r="T129" s="60">
        <v>25</v>
      </c>
      <c r="U129" s="60">
        <v>27</v>
      </c>
      <c r="V129" s="61">
        <v>26</v>
      </c>
      <c r="Y129" s="61"/>
      <c r="AB129" s="61"/>
      <c r="AE129" s="61"/>
      <c r="AH129" s="61"/>
    </row>
    <row r="130" spans="1:34" s="60" customFormat="1" ht="10" x14ac:dyDescent="0.2">
      <c r="A130" s="58">
        <v>43328</v>
      </c>
      <c r="B130" s="59">
        <f t="shared" si="2"/>
        <v>2018</v>
      </c>
      <c r="C130" s="59"/>
      <c r="D130" s="59">
        <f t="shared" si="3"/>
        <v>8</v>
      </c>
      <c r="E130" s="60">
        <v>24</v>
      </c>
      <c r="F130" s="60">
        <v>27</v>
      </c>
      <c r="G130" s="61">
        <v>26</v>
      </c>
      <c r="H130" s="60">
        <v>30</v>
      </c>
      <c r="I130" s="60">
        <v>32</v>
      </c>
      <c r="J130" s="61">
        <v>31</v>
      </c>
      <c r="K130" s="60">
        <v>16</v>
      </c>
      <c r="L130" s="60">
        <v>24</v>
      </c>
      <c r="M130" s="61">
        <v>20</v>
      </c>
      <c r="N130" s="60">
        <v>47</v>
      </c>
      <c r="O130" s="60">
        <v>50</v>
      </c>
      <c r="P130" s="61">
        <v>48</v>
      </c>
      <c r="Q130" s="60">
        <v>14</v>
      </c>
      <c r="R130" s="60">
        <v>16</v>
      </c>
      <c r="S130" s="61">
        <v>15</v>
      </c>
      <c r="T130" s="60">
        <v>25</v>
      </c>
      <c r="U130" s="60">
        <v>27</v>
      </c>
      <c r="V130" s="61">
        <v>26</v>
      </c>
      <c r="Y130" s="61"/>
      <c r="AB130" s="61"/>
      <c r="AE130" s="61"/>
      <c r="AH130" s="61"/>
    </row>
    <row r="131" spans="1:34" s="60" customFormat="1" ht="10" x14ac:dyDescent="0.2">
      <c r="A131" s="58">
        <v>43335</v>
      </c>
      <c r="B131" s="59">
        <f t="shared" ref="B131:B194" si="4">YEAR(A131)</f>
        <v>2018</v>
      </c>
      <c r="C131" s="59"/>
      <c r="D131" s="59">
        <f t="shared" ref="D131:D194" si="5">MONTH(A131)</f>
        <v>8</v>
      </c>
      <c r="E131" s="60">
        <v>24</v>
      </c>
      <c r="F131" s="60">
        <v>27</v>
      </c>
      <c r="G131" s="61">
        <v>26</v>
      </c>
      <c r="H131" s="60">
        <v>30</v>
      </c>
      <c r="I131" s="60">
        <v>32</v>
      </c>
      <c r="J131" s="61">
        <v>31</v>
      </c>
      <c r="K131" s="60">
        <v>16</v>
      </c>
      <c r="L131" s="60">
        <v>24</v>
      </c>
      <c r="M131" s="61">
        <v>20</v>
      </c>
      <c r="N131" s="60">
        <v>47</v>
      </c>
      <c r="O131" s="60">
        <v>50</v>
      </c>
      <c r="P131" s="61">
        <v>48</v>
      </c>
      <c r="Q131" s="60">
        <v>14</v>
      </c>
      <c r="R131" s="60">
        <v>16</v>
      </c>
      <c r="S131" s="61">
        <v>15</v>
      </c>
      <c r="T131" s="60">
        <v>25</v>
      </c>
      <c r="U131" s="60">
        <v>27</v>
      </c>
      <c r="V131" s="61">
        <v>26</v>
      </c>
      <c r="Y131" s="61"/>
      <c r="AB131" s="61"/>
      <c r="AE131" s="61"/>
      <c r="AH131" s="61"/>
    </row>
    <row r="132" spans="1:34" s="60" customFormat="1" ht="10" x14ac:dyDescent="0.2">
      <c r="A132" s="58">
        <v>43342</v>
      </c>
      <c r="B132" s="59">
        <f t="shared" si="4"/>
        <v>2018</v>
      </c>
      <c r="C132" s="59"/>
      <c r="D132" s="59">
        <f t="shared" si="5"/>
        <v>8</v>
      </c>
      <c r="E132" s="60">
        <v>24</v>
      </c>
      <c r="F132" s="60">
        <v>27</v>
      </c>
      <c r="G132" s="61">
        <v>26</v>
      </c>
      <c r="H132" s="60">
        <v>30</v>
      </c>
      <c r="I132" s="60">
        <v>32</v>
      </c>
      <c r="J132" s="61">
        <v>31</v>
      </c>
      <c r="K132" s="60">
        <v>16</v>
      </c>
      <c r="L132" s="60">
        <v>24</v>
      </c>
      <c r="M132" s="61">
        <v>20</v>
      </c>
      <c r="N132" s="60">
        <v>47</v>
      </c>
      <c r="O132" s="60">
        <v>50</v>
      </c>
      <c r="P132" s="61">
        <v>48</v>
      </c>
      <c r="Q132" s="60">
        <v>14</v>
      </c>
      <c r="R132" s="60">
        <v>16</v>
      </c>
      <c r="S132" s="61">
        <v>15</v>
      </c>
      <c r="T132" s="60">
        <v>25</v>
      </c>
      <c r="U132" s="60">
        <v>27</v>
      </c>
      <c r="V132" s="61">
        <v>26</v>
      </c>
      <c r="Y132" s="61"/>
      <c r="AB132" s="61"/>
      <c r="AE132" s="61"/>
      <c r="AH132" s="61"/>
    </row>
    <row r="133" spans="1:34" s="60" customFormat="1" ht="10" x14ac:dyDescent="0.2">
      <c r="A133" s="58">
        <v>43349</v>
      </c>
      <c r="B133" s="59">
        <f t="shared" si="4"/>
        <v>2018</v>
      </c>
      <c r="C133" s="59"/>
      <c r="D133" s="59">
        <f t="shared" si="5"/>
        <v>9</v>
      </c>
      <c r="E133" s="60">
        <v>24</v>
      </c>
      <c r="F133" s="60">
        <v>27</v>
      </c>
      <c r="G133" s="61">
        <v>26</v>
      </c>
      <c r="H133" s="60">
        <v>30</v>
      </c>
      <c r="I133" s="60">
        <v>32</v>
      </c>
      <c r="J133" s="61">
        <v>31</v>
      </c>
      <c r="K133" s="60">
        <v>16</v>
      </c>
      <c r="L133" s="60">
        <v>24</v>
      </c>
      <c r="M133" s="61">
        <v>20</v>
      </c>
      <c r="N133" s="60">
        <v>47</v>
      </c>
      <c r="O133" s="60">
        <v>50</v>
      </c>
      <c r="P133" s="61">
        <v>48</v>
      </c>
      <c r="Q133" s="60">
        <v>14</v>
      </c>
      <c r="R133" s="60">
        <v>16</v>
      </c>
      <c r="S133" s="61">
        <v>15</v>
      </c>
      <c r="T133" s="60">
        <v>25</v>
      </c>
      <c r="U133" s="60">
        <v>27</v>
      </c>
      <c r="V133" s="61">
        <v>26</v>
      </c>
      <c r="Y133" s="61"/>
      <c r="AB133" s="61"/>
      <c r="AE133" s="61"/>
      <c r="AH133" s="61"/>
    </row>
    <row r="134" spans="1:34" s="60" customFormat="1" ht="10" x14ac:dyDescent="0.2">
      <c r="A134" s="58">
        <v>43356</v>
      </c>
      <c r="B134" s="59">
        <f t="shared" si="4"/>
        <v>2018</v>
      </c>
      <c r="C134" s="59"/>
      <c r="D134" s="59">
        <f t="shared" si="5"/>
        <v>9</v>
      </c>
      <c r="E134" s="60">
        <v>24</v>
      </c>
      <c r="F134" s="60">
        <v>27</v>
      </c>
      <c r="G134" s="61">
        <v>26</v>
      </c>
      <c r="H134" s="60">
        <v>30</v>
      </c>
      <c r="I134" s="60">
        <v>32</v>
      </c>
      <c r="J134" s="61">
        <v>31</v>
      </c>
      <c r="K134" s="60">
        <v>16</v>
      </c>
      <c r="L134" s="60">
        <v>24</v>
      </c>
      <c r="M134" s="61">
        <v>20</v>
      </c>
      <c r="N134" s="60">
        <v>47</v>
      </c>
      <c r="O134" s="60">
        <v>50</v>
      </c>
      <c r="P134" s="61">
        <v>48</v>
      </c>
      <c r="Q134" s="60">
        <v>14</v>
      </c>
      <c r="R134" s="60">
        <v>16</v>
      </c>
      <c r="S134" s="61">
        <v>15</v>
      </c>
      <c r="T134" s="60">
        <v>25</v>
      </c>
      <c r="U134" s="60">
        <v>27</v>
      </c>
      <c r="V134" s="61">
        <v>26</v>
      </c>
      <c r="Y134" s="61"/>
      <c r="AB134" s="61"/>
      <c r="AE134" s="61"/>
      <c r="AH134" s="61"/>
    </row>
    <row r="135" spans="1:34" s="60" customFormat="1" ht="10" x14ac:dyDescent="0.2">
      <c r="A135" s="58">
        <v>43363</v>
      </c>
      <c r="B135" s="59">
        <f t="shared" si="4"/>
        <v>2018</v>
      </c>
      <c r="C135" s="59"/>
      <c r="D135" s="59">
        <f t="shared" si="5"/>
        <v>9</v>
      </c>
      <c r="E135" s="60">
        <v>24</v>
      </c>
      <c r="F135" s="60">
        <v>27</v>
      </c>
      <c r="G135" s="61">
        <v>26</v>
      </c>
      <c r="H135" s="60">
        <v>30</v>
      </c>
      <c r="I135" s="60">
        <v>32</v>
      </c>
      <c r="J135" s="61">
        <v>31</v>
      </c>
      <c r="K135" s="60">
        <v>16</v>
      </c>
      <c r="L135" s="60">
        <v>24</v>
      </c>
      <c r="M135" s="61">
        <v>20</v>
      </c>
      <c r="N135" s="60">
        <v>47</v>
      </c>
      <c r="O135" s="60">
        <v>50</v>
      </c>
      <c r="P135" s="61">
        <v>48</v>
      </c>
      <c r="Q135" s="60">
        <v>14</v>
      </c>
      <c r="R135" s="60">
        <v>16</v>
      </c>
      <c r="S135" s="61">
        <v>15</v>
      </c>
      <c r="T135" s="60">
        <v>25</v>
      </c>
      <c r="U135" s="60">
        <v>27</v>
      </c>
      <c r="V135" s="61">
        <v>26</v>
      </c>
      <c r="Y135" s="61"/>
      <c r="AB135" s="61"/>
      <c r="AE135" s="61"/>
      <c r="AH135" s="61"/>
    </row>
    <row r="136" spans="1:34" s="60" customFormat="1" ht="10" x14ac:dyDescent="0.2">
      <c r="A136" s="58">
        <v>43370</v>
      </c>
      <c r="B136" s="59">
        <f t="shared" si="4"/>
        <v>2018</v>
      </c>
      <c r="C136" s="59"/>
      <c r="D136" s="59">
        <f t="shared" si="5"/>
        <v>9</v>
      </c>
      <c r="E136" s="60">
        <v>24</v>
      </c>
      <c r="F136" s="60">
        <v>27</v>
      </c>
      <c r="G136" s="61">
        <v>26</v>
      </c>
      <c r="H136" s="60">
        <v>30</v>
      </c>
      <c r="I136" s="60">
        <v>32</v>
      </c>
      <c r="J136" s="61">
        <v>31</v>
      </c>
      <c r="K136" s="60">
        <v>16</v>
      </c>
      <c r="L136" s="60">
        <v>24</v>
      </c>
      <c r="M136" s="61">
        <v>20</v>
      </c>
      <c r="N136" s="60">
        <v>47</v>
      </c>
      <c r="O136" s="60">
        <v>50</v>
      </c>
      <c r="P136" s="61">
        <v>48</v>
      </c>
      <c r="Q136" s="60">
        <v>14</v>
      </c>
      <c r="R136" s="60">
        <v>16</v>
      </c>
      <c r="S136" s="61">
        <v>15</v>
      </c>
      <c r="T136" s="60">
        <v>25</v>
      </c>
      <c r="U136" s="60">
        <v>27</v>
      </c>
      <c r="V136" s="61">
        <v>26</v>
      </c>
      <c r="Y136" s="61"/>
      <c r="AB136" s="61"/>
      <c r="AE136" s="61"/>
      <c r="AH136" s="61"/>
    </row>
    <row r="137" spans="1:34" s="60" customFormat="1" ht="10" x14ac:dyDescent="0.2">
      <c r="A137" s="58">
        <v>43377</v>
      </c>
      <c r="B137" s="59">
        <f t="shared" si="4"/>
        <v>2018</v>
      </c>
      <c r="C137" s="59"/>
      <c r="D137" s="59">
        <f t="shared" si="5"/>
        <v>10</v>
      </c>
      <c r="E137" s="60">
        <v>24</v>
      </c>
      <c r="F137" s="60">
        <v>27</v>
      </c>
      <c r="G137" s="61">
        <v>26</v>
      </c>
      <c r="H137" s="60">
        <v>30</v>
      </c>
      <c r="I137" s="60">
        <v>32</v>
      </c>
      <c r="J137" s="61">
        <v>31</v>
      </c>
      <c r="K137" s="60">
        <v>16</v>
      </c>
      <c r="L137" s="60">
        <v>24</v>
      </c>
      <c r="M137" s="61">
        <v>20</v>
      </c>
      <c r="N137" s="60">
        <v>47</v>
      </c>
      <c r="O137" s="60">
        <v>50</v>
      </c>
      <c r="P137" s="61">
        <v>48</v>
      </c>
      <c r="Q137" s="60">
        <v>14</v>
      </c>
      <c r="R137" s="60">
        <v>16</v>
      </c>
      <c r="S137" s="61">
        <v>15</v>
      </c>
      <c r="T137" s="60">
        <v>25</v>
      </c>
      <c r="U137" s="60">
        <v>27</v>
      </c>
      <c r="V137" s="61">
        <v>26</v>
      </c>
      <c r="Y137" s="61"/>
      <c r="AB137" s="61"/>
      <c r="AE137" s="61"/>
      <c r="AH137" s="61"/>
    </row>
    <row r="138" spans="1:34" s="60" customFormat="1" ht="10" x14ac:dyDescent="0.2">
      <c r="A138" s="58">
        <v>43384</v>
      </c>
      <c r="B138" s="59">
        <f t="shared" si="4"/>
        <v>2018</v>
      </c>
      <c r="C138" s="59"/>
      <c r="D138" s="59">
        <f t="shared" si="5"/>
        <v>10</v>
      </c>
      <c r="E138" s="60">
        <v>24</v>
      </c>
      <c r="F138" s="60">
        <v>27</v>
      </c>
      <c r="G138" s="61">
        <v>26</v>
      </c>
      <c r="H138" s="60">
        <v>30</v>
      </c>
      <c r="I138" s="60">
        <v>32</v>
      </c>
      <c r="J138" s="61">
        <v>31</v>
      </c>
      <c r="K138" s="60">
        <v>16</v>
      </c>
      <c r="L138" s="60">
        <v>24</v>
      </c>
      <c r="M138" s="61">
        <v>20</v>
      </c>
      <c r="N138" s="60">
        <v>47</v>
      </c>
      <c r="O138" s="60">
        <v>50</v>
      </c>
      <c r="P138" s="61">
        <v>48</v>
      </c>
      <c r="Q138" s="60">
        <v>14</v>
      </c>
      <c r="R138" s="60">
        <v>16</v>
      </c>
      <c r="S138" s="61">
        <v>15</v>
      </c>
      <c r="T138" s="60">
        <v>25</v>
      </c>
      <c r="U138" s="60">
        <v>27</v>
      </c>
      <c r="V138" s="61">
        <v>26</v>
      </c>
      <c r="Y138" s="61"/>
      <c r="AB138" s="61"/>
      <c r="AE138" s="61"/>
      <c r="AH138" s="61"/>
    </row>
    <row r="139" spans="1:34" s="60" customFormat="1" ht="10" x14ac:dyDescent="0.2">
      <c r="A139" s="58">
        <v>43391</v>
      </c>
      <c r="B139" s="59">
        <f t="shared" si="4"/>
        <v>2018</v>
      </c>
      <c r="C139" s="59"/>
      <c r="D139" s="59">
        <f t="shared" si="5"/>
        <v>10</v>
      </c>
      <c r="E139" s="60">
        <v>24</v>
      </c>
      <c r="F139" s="60">
        <v>27</v>
      </c>
      <c r="G139" s="61">
        <v>26</v>
      </c>
      <c r="H139" s="60">
        <v>30</v>
      </c>
      <c r="I139" s="60">
        <v>32</v>
      </c>
      <c r="J139" s="61">
        <v>31</v>
      </c>
      <c r="K139" s="60">
        <v>16</v>
      </c>
      <c r="L139" s="60">
        <v>24</v>
      </c>
      <c r="M139" s="61">
        <v>20</v>
      </c>
      <c r="N139" s="60">
        <v>47</v>
      </c>
      <c r="O139" s="60">
        <v>50</v>
      </c>
      <c r="P139" s="61">
        <v>48</v>
      </c>
      <c r="Q139" s="60">
        <v>14</v>
      </c>
      <c r="R139" s="60">
        <v>16</v>
      </c>
      <c r="S139" s="61">
        <v>15</v>
      </c>
      <c r="T139" s="60">
        <v>25</v>
      </c>
      <c r="U139" s="60">
        <v>27</v>
      </c>
      <c r="V139" s="61">
        <v>26</v>
      </c>
      <c r="Y139" s="61"/>
      <c r="AB139" s="61"/>
      <c r="AE139" s="61"/>
      <c r="AH139" s="61"/>
    </row>
    <row r="140" spans="1:34" s="60" customFormat="1" ht="10" x14ac:dyDescent="0.2">
      <c r="A140" s="58">
        <v>43398</v>
      </c>
      <c r="B140" s="59">
        <f t="shared" si="4"/>
        <v>2018</v>
      </c>
      <c r="C140" s="59"/>
      <c r="D140" s="59">
        <f t="shared" si="5"/>
        <v>10</v>
      </c>
      <c r="E140" s="60">
        <v>24</v>
      </c>
      <c r="F140" s="60">
        <v>27</v>
      </c>
      <c r="G140" s="61">
        <v>26</v>
      </c>
      <c r="H140" s="60">
        <v>30</v>
      </c>
      <c r="I140" s="60">
        <v>32</v>
      </c>
      <c r="J140" s="61">
        <v>31</v>
      </c>
      <c r="K140" s="60">
        <v>16</v>
      </c>
      <c r="L140" s="60">
        <v>24</v>
      </c>
      <c r="M140" s="61">
        <v>20</v>
      </c>
      <c r="N140" s="60">
        <v>47</v>
      </c>
      <c r="O140" s="60">
        <v>50</v>
      </c>
      <c r="P140" s="61">
        <v>48</v>
      </c>
      <c r="Q140" s="60">
        <v>14</v>
      </c>
      <c r="R140" s="60">
        <v>16</v>
      </c>
      <c r="S140" s="61">
        <v>15</v>
      </c>
      <c r="T140" s="60">
        <v>25</v>
      </c>
      <c r="U140" s="60">
        <v>27</v>
      </c>
      <c r="V140" s="61">
        <v>26</v>
      </c>
      <c r="Y140" s="61"/>
      <c r="AB140" s="61"/>
      <c r="AE140" s="61"/>
      <c r="AH140" s="61"/>
    </row>
    <row r="141" spans="1:34" s="60" customFormat="1" ht="10" x14ac:dyDescent="0.2">
      <c r="A141" s="58">
        <v>43405</v>
      </c>
      <c r="B141" s="59">
        <f t="shared" si="4"/>
        <v>2018</v>
      </c>
      <c r="C141" s="59"/>
      <c r="D141" s="59">
        <f t="shared" si="5"/>
        <v>11</v>
      </c>
      <c r="E141" s="60">
        <v>24</v>
      </c>
      <c r="F141" s="60">
        <v>27</v>
      </c>
      <c r="G141" s="61">
        <v>26</v>
      </c>
      <c r="H141" s="60">
        <v>30</v>
      </c>
      <c r="I141" s="60">
        <v>32</v>
      </c>
      <c r="J141" s="61">
        <v>31</v>
      </c>
      <c r="K141" s="60">
        <v>16</v>
      </c>
      <c r="L141" s="60">
        <v>24</v>
      </c>
      <c r="M141" s="61">
        <v>20</v>
      </c>
      <c r="N141" s="60">
        <v>47</v>
      </c>
      <c r="O141" s="60">
        <v>50</v>
      </c>
      <c r="P141" s="61">
        <v>48</v>
      </c>
      <c r="Q141" s="60">
        <v>14</v>
      </c>
      <c r="R141" s="60">
        <v>16</v>
      </c>
      <c r="S141" s="61">
        <v>15</v>
      </c>
      <c r="T141" s="60">
        <v>25</v>
      </c>
      <c r="U141" s="60">
        <v>27</v>
      </c>
      <c r="V141" s="61">
        <v>26</v>
      </c>
      <c r="Y141" s="61"/>
      <c r="AB141" s="61"/>
      <c r="AE141" s="61"/>
      <c r="AH141" s="61"/>
    </row>
    <row r="142" spans="1:34" s="60" customFormat="1" ht="10" x14ac:dyDescent="0.2">
      <c r="A142" s="58">
        <v>43412</v>
      </c>
      <c r="B142" s="59">
        <f t="shared" si="4"/>
        <v>2018</v>
      </c>
      <c r="C142" s="59"/>
      <c r="D142" s="59">
        <f t="shared" si="5"/>
        <v>11</v>
      </c>
      <c r="E142" s="60">
        <v>24</v>
      </c>
      <c r="F142" s="60">
        <v>27</v>
      </c>
      <c r="G142" s="61">
        <v>26</v>
      </c>
      <c r="H142" s="60">
        <v>30</v>
      </c>
      <c r="I142" s="60">
        <v>32</v>
      </c>
      <c r="J142" s="61">
        <v>31</v>
      </c>
      <c r="K142" s="60">
        <v>16</v>
      </c>
      <c r="L142" s="60">
        <v>24</v>
      </c>
      <c r="M142" s="61">
        <v>20</v>
      </c>
      <c r="N142" s="60">
        <v>47</v>
      </c>
      <c r="O142" s="60">
        <v>50</v>
      </c>
      <c r="P142" s="61">
        <v>48</v>
      </c>
      <c r="Q142" s="60">
        <v>14</v>
      </c>
      <c r="R142" s="60">
        <v>16</v>
      </c>
      <c r="S142" s="61">
        <v>15</v>
      </c>
      <c r="T142" s="60">
        <v>25</v>
      </c>
      <c r="U142" s="60">
        <v>27</v>
      </c>
      <c r="V142" s="61">
        <v>26</v>
      </c>
      <c r="Y142" s="61"/>
      <c r="AB142" s="61"/>
      <c r="AE142" s="61"/>
      <c r="AH142" s="61"/>
    </row>
    <row r="143" spans="1:34" s="60" customFormat="1" ht="10" x14ac:dyDescent="0.2">
      <c r="A143" s="58">
        <v>43419</v>
      </c>
      <c r="B143" s="59">
        <f t="shared" si="4"/>
        <v>2018</v>
      </c>
      <c r="C143" s="59"/>
      <c r="D143" s="59">
        <f t="shared" si="5"/>
        <v>11</v>
      </c>
      <c r="E143" s="60">
        <v>24</v>
      </c>
      <c r="F143" s="60">
        <v>27</v>
      </c>
      <c r="G143" s="61">
        <v>26</v>
      </c>
      <c r="H143" s="60">
        <v>30</v>
      </c>
      <c r="I143" s="60">
        <v>32</v>
      </c>
      <c r="J143" s="61">
        <v>31</v>
      </c>
      <c r="K143" s="60">
        <v>16</v>
      </c>
      <c r="L143" s="60">
        <v>24</v>
      </c>
      <c r="M143" s="61">
        <v>20</v>
      </c>
      <c r="N143" s="60">
        <v>47</v>
      </c>
      <c r="O143" s="60">
        <v>50</v>
      </c>
      <c r="P143" s="61">
        <v>48</v>
      </c>
      <c r="Q143" s="60">
        <v>14</v>
      </c>
      <c r="R143" s="60">
        <v>16</v>
      </c>
      <c r="S143" s="61">
        <v>15</v>
      </c>
      <c r="T143" s="60">
        <v>25</v>
      </c>
      <c r="U143" s="60">
        <v>27</v>
      </c>
      <c r="V143" s="61">
        <v>26</v>
      </c>
      <c r="Y143" s="61"/>
      <c r="AB143" s="61"/>
      <c r="AE143" s="61"/>
      <c r="AH143" s="61"/>
    </row>
    <row r="144" spans="1:34" s="60" customFormat="1" ht="10" x14ac:dyDescent="0.2">
      <c r="A144" s="58">
        <v>43426</v>
      </c>
      <c r="B144" s="59">
        <f t="shared" si="4"/>
        <v>2018</v>
      </c>
      <c r="C144" s="59"/>
      <c r="D144" s="59">
        <f t="shared" si="5"/>
        <v>11</v>
      </c>
      <c r="E144" s="60">
        <v>24</v>
      </c>
      <c r="F144" s="60">
        <v>27</v>
      </c>
      <c r="G144" s="61">
        <v>26</v>
      </c>
      <c r="H144" s="60">
        <v>30</v>
      </c>
      <c r="I144" s="60">
        <v>32</v>
      </c>
      <c r="J144" s="61">
        <v>31</v>
      </c>
      <c r="K144" s="60">
        <v>16</v>
      </c>
      <c r="L144" s="60">
        <v>24</v>
      </c>
      <c r="M144" s="61">
        <v>20</v>
      </c>
      <c r="N144" s="60">
        <v>47</v>
      </c>
      <c r="O144" s="60">
        <v>50</v>
      </c>
      <c r="P144" s="61">
        <v>48</v>
      </c>
      <c r="Q144" s="60">
        <v>14</v>
      </c>
      <c r="R144" s="60">
        <v>16</v>
      </c>
      <c r="S144" s="61">
        <v>15</v>
      </c>
      <c r="T144" s="60">
        <v>25</v>
      </c>
      <c r="U144" s="60">
        <v>27</v>
      </c>
      <c r="V144" s="61">
        <v>26</v>
      </c>
      <c r="Y144" s="61"/>
      <c r="AB144" s="61"/>
      <c r="AE144" s="61"/>
      <c r="AH144" s="61"/>
    </row>
    <row r="145" spans="1:34" s="60" customFormat="1" ht="10" x14ac:dyDescent="0.2">
      <c r="A145" s="58">
        <v>43433</v>
      </c>
      <c r="B145" s="59">
        <f t="shared" si="4"/>
        <v>2018</v>
      </c>
      <c r="C145" s="59"/>
      <c r="D145" s="59">
        <f t="shared" si="5"/>
        <v>11</v>
      </c>
      <c r="E145" s="60">
        <v>24</v>
      </c>
      <c r="F145" s="60">
        <v>27</v>
      </c>
      <c r="G145" s="61">
        <v>26</v>
      </c>
      <c r="H145" s="60">
        <v>30</v>
      </c>
      <c r="I145" s="60">
        <v>32</v>
      </c>
      <c r="J145" s="61">
        <v>31</v>
      </c>
      <c r="K145" s="60">
        <v>16</v>
      </c>
      <c r="L145" s="60">
        <v>24</v>
      </c>
      <c r="M145" s="61">
        <v>20</v>
      </c>
      <c r="N145" s="60">
        <v>47</v>
      </c>
      <c r="O145" s="60">
        <v>50</v>
      </c>
      <c r="P145" s="61">
        <v>48</v>
      </c>
      <c r="Q145" s="60">
        <v>14</v>
      </c>
      <c r="R145" s="60">
        <v>16</v>
      </c>
      <c r="S145" s="61">
        <v>15</v>
      </c>
      <c r="T145" s="60">
        <v>25</v>
      </c>
      <c r="U145" s="60">
        <v>27</v>
      </c>
      <c r="V145" s="61">
        <v>26</v>
      </c>
      <c r="Y145" s="61"/>
      <c r="AB145" s="61"/>
      <c r="AE145" s="61"/>
      <c r="AH145" s="61"/>
    </row>
    <row r="146" spans="1:34" s="60" customFormat="1" ht="10" x14ac:dyDescent="0.2">
      <c r="A146" s="58">
        <v>43440</v>
      </c>
      <c r="B146" s="59">
        <f t="shared" si="4"/>
        <v>2018</v>
      </c>
      <c r="C146" s="59"/>
      <c r="D146" s="59">
        <f t="shared" si="5"/>
        <v>12</v>
      </c>
      <c r="E146" s="60">
        <v>24</v>
      </c>
      <c r="F146" s="60">
        <v>27</v>
      </c>
      <c r="G146" s="61">
        <v>26</v>
      </c>
      <c r="H146" s="60">
        <v>30</v>
      </c>
      <c r="I146" s="60">
        <v>32</v>
      </c>
      <c r="J146" s="61">
        <v>31</v>
      </c>
      <c r="K146" s="60">
        <v>16</v>
      </c>
      <c r="L146" s="60">
        <v>24</v>
      </c>
      <c r="M146" s="61">
        <v>20</v>
      </c>
      <c r="N146" s="60">
        <v>47</v>
      </c>
      <c r="O146" s="60">
        <v>50</v>
      </c>
      <c r="P146" s="61">
        <v>48</v>
      </c>
      <c r="Q146" s="60">
        <v>14</v>
      </c>
      <c r="R146" s="60">
        <v>16</v>
      </c>
      <c r="S146" s="61">
        <v>15</v>
      </c>
      <c r="T146" s="60">
        <v>25</v>
      </c>
      <c r="U146" s="60">
        <v>27</v>
      </c>
      <c r="V146" s="61">
        <v>26</v>
      </c>
      <c r="Y146" s="61"/>
      <c r="AB146" s="61"/>
      <c r="AE146" s="61"/>
      <c r="AH146" s="61"/>
    </row>
    <row r="147" spans="1:34" s="60" customFormat="1" ht="10" x14ac:dyDescent="0.2">
      <c r="A147" s="58">
        <v>43447</v>
      </c>
      <c r="B147" s="59">
        <f t="shared" si="4"/>
        <v>2018</v>
      </c>
      <c r="C147" s="59"/>
      <c r="D147" s="59">
        <f t="shared" si="5"/>
        <v>12</v>
      </c>
      <c r="E147" s="60">
        <v>25</v>
      </c>
      <c r="F147" s="60">
        <v>28</v>
      </c>
      <c r="G147" s="61">
        <v>26</v>
      </c>
      <c r="H147" s="60">
        <v>32</v>
      </c>
      <c r="I147" s="60">
        <v>34</v>
      </c>
      <c r="J147" s="61">
        <v>33</v>
      </c>
      <c r="K147" s="60">
        <v>16</v>
      </c>
      <c r="L147" s="60">
        <v>24</v>
      </c>
      <c r="M147" s="61">
        <v>20</v>
      </c>
      <c r="N147" s="60">
        <v>55</v>
      </c>
      <c r="O147" s="60">
        <v>58</v>
      </c>
      <c r="P147" s="61">
        <v>56</v>
      </c>
      <c r="Q147" s="60">
        <v>18</v>
      </c>
      <c r="R147" s="60">
        <v>20</v>
      </c>
      <c r="S147" s="61">
        <v>19</v>
      </c>
      <c r="T147" s="60">
        <v>26</v>
      </c>
      <c r="U147" s="60">
        <v>28</v>
      </c>
      <c r="V147" s="61">
        <v>27</v>
      </c>
      <c r="Y147" s="61"/>
      <c r="AB147" s="61"/>
      <c r="AE147" s="61"/>
      <c r="AH147" s="61"/>
    </row>
    <row r="148" spans="1:34" s="60" customFormat="1" ht="10" x14ac:dyDescent="0.2">
      <c r="A148" s="58">
        <v>43454</v>
      </c>
      <c r="B148" s="59">
        <f t="shared" si="4"/>
        <v>2018</v>
      </c>
      <c r="C148" s="59"/>
      <c r="D148" s="59">
        <f t="shared" si="5"/>
        <v>12</v>
      </c>
      <c r="E148" s="60">
        <v>25</v>
      </c>
      <c r="F148" s="60">
        <v>28</v>
      </c>
      <c r="G148" s="61">
        <v>26</v>
      </c>
      <c r="H148" s="60">
        <v>32</v>
      </c>
      <c r="I148" s="60">
        <v>34</v>
      </c>
      <c r="J148" s="61">
        <v>33</v>
      </c>
      <c r="K148" s="60">
        <v>16</v>
      </c>
      <c r="L148" s="60">
        <v>24</v>
      </c>
      <c r="M148" s="61">
        <v>20</v>
      </c>
      <c r="N148" s="60">
        <v>55</v>
      </c>
      <c r="O148" s="60">
        <v>58</v>
      </c>
      <c r="P148" s="61">
        <v>56</v>
      </c>
      <c r="Q148" s="60">
        <v>18</v>
      </c>
      <c r="R148" s="60">
        <v>20</v>
      </c>
      <c r="S148" s="61">
        <v>19</v>
      </c>
      <c r="T148" s="60">
        <v>26</v>
      </c>
      <c r="U148" s="60">
        <v>28</v>
      </c>
      <c r="V148" s="61">
        <v>27</v>
      </c>
      <c r="Y148" s="61"/>
      <c r="AB148" s="61"/>
      <c r="AE148" s="61"/>
      <c r="AH148" s="61"/>
    </row>
    <row r="149" spans="1:34" s="60" customFormat="1" ht="10" x14ac:dyDescent="0.2">
      <c r="A149" s="58">
        <v>43461</v>
      </c>
      <c r="B149" s="59">
        <f t="shared" si="4"/>
        <v>2018</v>
      </c>
      <c r="C149" s="59"/>
      <c r="D149" s="59">
        <f t="shared" si="5"/>
        <v>12</v>
      </c>
      <c r="E149" s="60">
        <v>25</v>
      </c>
      <c r="F149" s="60">
        <v>28</v>
      </c>
      <c r="G149" s="61">
        <v>26</v>
      </c>
      <c r="H149" s="60">
        <v>32</v>
      </c>
      <c r="I149" s="60">
        <v>34</v>
      </c>
      <c r="J149" s="61">
        <v>33</v>
      </c>
      <c r="K149" s="60">
        <v>16</v>
      </c>
      <c r="L149" s="60">
        <v>24</v>
      </c>
      <c r="M149" s="61">
        <v>20</v>
      </c>
      <c r="N149" s="60">
        <v>55</v>
      </c>
      <c r="O149" s="60">
        <v>58</v>
      </c>
      <c r="P149" s="61">
        <v>56</v>
      </c>
      <c r="Q149" s="60">
        <v>18</v>
      </c>
      <c r="R149" s="60">
        <v>20</v>
      </c>
      <c r="S149" s="61">
        <v>19</v>
      </c>
      <c r="T149" s="60">
        <v>26</v>
      </c>
      <c r="U149" s="60">
        <v>28</v>
      </c>
      <c r="V149" s="61">
        <v>27</v>
      </c>
      <c r="Y149" s="61"/>
      <c r="AB149" s="61"/>
      <c r="AE149" s="61"/>
      <c r="AH149" s="61"/>
    </row>
    <row r="150" spans="1:34" s="60" customFormat="1" ht="10" x14ac:dyDescent="0.2">
      <c r="A150" s="58">
        <v>43468</v>
      </c>
      <c r="B150" s="59">
        <f t="shared" si="4"/>
        <v>2019</v>
      </c>
      <c r="C150" s="59"/>
      <c r="D150" s="59">
        <f t="shared" si="5"/>
        <v>1</v>
      </c>
      <c r="E150" s="60">
        <v>25</v>
      </c>
      <c r="F150" s="60">
        <v>28</v>
      </c>
      <c r="G150" s="61">
        <v>26</v>
      </c>
      <c r="H150" s="60">
        <v>32</v>
      </c>
      <c r="I150" s="60">
        <v>34</v>
      </c>
      <c r="J150" s="61">
        <v>33</v>
      </c>
      <c r="K150" s="60">
        <v>16</v>
      </c>
      <c r="L150" s="60">
        <v>24</v>
      </c>
      <c r="M150" s="61">
        <v>20</v>
      </c>
      <c r="N150" s="60">
        <v>55</v>
      </c>
      <c r="O150" s="60">
        <v>58</v>
      </c>
      <c r="P150" s="61">
        <v>56</v>
      </c>
      <c r="Q150" s="60">
        <v>18</v>
      </c>
      <c r="R150" s="60">
        <v>20</v>
      </c>
      <c r="S150" s="61">
        <v>19</v>
      </c>
      <c r="T150" s="60">
        <v>26</v>
      </c>
      <c r="U150" s="60">
        <v>28</v>
      </c>
      <c r="V150" s="61">
        <v>27</v>
      </c>
      <c r="Y150" s="61"/>
      <c r="AB150" s="61"/>
      <c r="AE150" s="61"/>
      <c r="AH150" s="61"/>
    </row>
    <row r="151" spans="1:34" s="60" customFormat="1" ht="10" x14ac:dyDescent="0.2">
      <c r="A151" s="58">
        <v>43475</v>
      </c>
      <c r="B151" s="59">
        <f t="shared" si="4"/>
        <v>2019</v>
      </c>
      <c r="C151" s="59"/>
      <c r="D151" s="59">
        <f t="shared" si="5"/>
        <v>1</v>
      </c>
      <c r="E151" s="60">
        <v>25</v>
      </c>
      <c r="F151" s="60">
        <v>28</v>
      </c>
      <c r="G151" s="61">
        <v>26</v>
      </c>
      <c r="H151" s="60">
        <v>32</v>
      </c>
      <c r="I151" s="60">
        <v>34</v>
      </c>
      <c r="J151" s="61">
        <v>33</v>
      </c>
      <c r="K151" s="60">
        <v>16</v>
      </c>
      <c r="L151" s="60">
        <v>24</v>
      </c>
      <c r="M151" s="61">
        <v>20</v>
      </c>
      <c r="N151" s="60">
        <v>55</v>
      </c>
      <c r="O151" s="60">
        <v>58</v>
      </c>
      <c r="P151" s="61">
        <v>56</v>
      </c>
      <c r="Q151" s="60">
        <v>18</v>
      </c>
      <c r="R151" s="60">
        <v>20</v>
      </c>
      <c r="S151" s="61">
        <v>19</v>
      </c>
      <c r="T151" s="60">
        <v>26</v>
      </c>
      <c r="U151" s="60">
        <v>28</v>
      </c>
      <c r="V151" s="61">
        <v>27</v>
      </c>
      <c r="Y151" s="61"/>
      <c r="AB151" s="61"/>
      <c r="AE151" s="61"/>
      <c r="AH151" s="61"/>
    </row>
    <row r="152" spans="1:34" s="60" customFormat="1" ht="10" x14ac:dyDescent="0.2">
      <c r="A152" s="58">
        <v>43482</v>
      </c>
      <c r="B152" s="59">
        <f t="shared" si="4"/>
        <v>2019</v>
      </c>
      <c r="C152" s="59"/>
      <c r="D152" s="59">
        <f t="shared" si="5"/>
        <v>1</v>
      </c>
      <c r="E152" s="60">
        <v>25</v>
      </c>
      <c r="F152" s="60">
        <v>28</v>
      </c>
      <c r="G152" s="61">
        <v>26</v>
      </c>
      <c r="H152" s="60">
        <v>32</v>
      </c>
      <c r="I152" s="60">
        <v>34</v>
      </c>
      <c r="J152" s="61">
        <v>33</v>
      </c>
      <c r="K152" s="60">
        <v>16</v>
      </c>
      <c r="L152" s="60">
        <v>24</v>
      </c>
      <c r="M152" s="61">
        <v>20</v>
      </c>
      <c r="N152" s="60">
        <v>55</v>
      </c>
      <c r="O152" s="60">
        <v>58</v>
      </c>
      <c r="P152" s="61">
        <v>56</v>
      </c>
      <c r="Q152" s="60">
        <v>18</v>
      </c>
      <c r="R152" s="60">
        <v>20</v>
      </c>
      <c r="S152" s="61">
        <v>19</v>
      </c>
      <c r="T152" s="60">
        <v>26</v>
      </c>
      <c r="U152" s="60">
        <v>28</v>
      </c>
      <c r="V152" s="61">
        <v>27</v>
      </c>
      <c r="Y152" s="61"/>
      <c r="AB152" s="61"/>
      <c r="AE152" s="61"/>
      <c r="AH152" s="61"/>
    </row>
    <row r="153" spans="1:34" s="60" customFormat="1" ht="10" x14ac:dyDescent="0.2">
      <c r="A153" s="58">
        <v>43489</v>
      </c>
      <c r="B153" s="59">
        <f t="shared" si="4"/>
        <v>2019</v>
      </c>
      <c r="C153" s="59"/>
      <c r="D153" s="59">
        <f t="shared" si="5"/>
        <v>1</v>
      </c>
      <c r="E153" s="60">
        <v>25</v>
      </c>
      <c r="F153" s="60">
        <v>28</v>
      </c>
      <c r="G153" s="61">
        <v>26</v>
      </c>
      <c r="H153" s="60">
        <v>32</v>
      </c>
      <c r="I153" s="60">
        <v>34</v>
      </c>
      <c r="J153" s="61">
        <v>33</v>
      </c>
      <c r="K153" s="60">
        <v>16</v>
      </c>
      <c r="L153" s="60">
        <v>24</v>
      </c>
      <c r="M153" s="61">
        <v>20</v>
      </c>
      <c r="N153" s="60">
        <v>55</v>
      </c>
      <c r="O153" s="60">
        <v>58</v>
      </c>
      <c r="P153" s="61">
        <v>56</v>
      </c>
      <c r="Q153" s="60">
        <v>18</v>
      </c>
      <c r="R153" s="60">
        <v>20</v>
      </c>
      <c r="S153" s="61">
        <v>19</v>
      </c>
      <c r="T153" s="60">
        <v>26</v>
      </c>
      <c r="U153" s="60">
        <v>28</v>
      </c>
      <c r="V153" s="61">
        <v>27</v>
      </c>
      <c r="Y153" s="61"/>
      <c r="AB153" s="61"/>
      <c r="AE153" s="61"/>
      <c r="AH153" s="61"/>
    </row>
    <row r="154" spans="1:34" s="60" customFormat="1" ht="10" x14ac:dyDescent="0.2">
      <c r="A154" s="58">
        <v>43496</v>
      </c>
      <c r="B154" s="59">
        <f t="shared" si="4"/>
        <v>2019</v>
      </c>
      <c r="C154" s="59"/>
      <c r="D154" s="59">
        <f t="shared" si="5"/>
        <v>1</v>
      </c>
      <c r="E154" s="60">
        <v>25</v>
      </c>
      <c r="F154" s="60">
        <v>28</v>
      </c>
      <c r="G154" s="61">
        <v>26</v>
      </c>
      <c r="H154" s="60">
        <v>32</v>
      </c>
      <c r="I154" s="60">
        <v>34</v>
      </c>
      <c r="J154" s="61">
        <v>33</v>
      </c>
      <c r="K154" s="60">
        <v>16</v>
      </c>
      <c r="L154" s="60">
        <v>24</v>
      </c>
      <c r="M154" s="61">
        <v>20</v>
      </c>
      <c r="N154" s="60">
        <v>55</v>
      </c>
      <c r="O154" s="60">
        <v>58</v>
      </c>
      <c r="P154" s="61">
        <v>56</v>
      </c>
      <c r="Q154" s="60">
        <v>18</v>
      </c>
      <c r="R154" s="60">
        <v>20</v>
      </c>
      <c r="S154" s="61">
        <v>19</v>
      </c>
      <c r="T154" s="60">
        <v>26</v>
      </c>
      <c r="U154" s="60">
        <v>28</v>
      </c>
      <c r="V154" s="61">
        <v>27</v>
      </c>
      <c r="Y154" s="61"/>
      <c r="AB154" s="61"/>
      <c r="AE154" s="61"/>
      <c r="AH154" s="61"/>
    </row>
    <row r="155" spans="1:34" s="60" customFormat="1" ht="10" x14ac:dyDescent="0.2">
      <c r="A155" s="58">
        <v>43503</v>
      </c>
      <c r="B155" s="59">
        <f t="shared" si="4"/>
        <v>2019</v>
      </c>
      <c r="C155" s="59"/>
      <c r="D155" s="59">
        <f t="shared" si="5"/>
        <v>2</v>
      </c>
      <c r="E155" s="60">
        <v>25</v>
      </c>
      <c r="F155" s="60">
        <v>28</v>
      </c>
      <c r="G155" s="61">
        <v>26</v>
      </c>
      <c r="H155" s="60">
        <v>32</v>
      </c>
      <c r="I155" s="60">
        <v>34</v>
      </c>
      <c r="J155" s="61">
        <v>33</v>
      </c>
      <c r="K155" s="60">
        <v>16</v>
      </c>
      <c r="L155" s="60">
        <v>24</v>
      </c>
      <c r="M155" s="61">
        <v>20</v>
      </c>
      <c r="N155" s="60">
        <v>55</v>
      </c>
      <c r="O155" s="60">
        <v>58</v>
      </c>
      <c r="P155" s="61">
        <v>56</v>
      </c>
      <c r="Q155" s="60">
        <v>18</v>
      </c>
      <c r="R155" s="60">
        <v>20</v>
      </c>
      <c r="S155" s="61">
        <v>19</v>
      </c>
      <c r="T155" s="60">
        <v>26</v>
      </c>
      <c r="U155" s="60">
        <v>28</v>
      </c>
      <c r="V155" s="61">
        <v>27</v>
      </c>
      <c r="Y155" s="61"/>
      <c r="AB155" s="61"/>
      <c r="AE155" s="61"/>
      <c r="AH155" s="61"/>
    </row>
    <row r="156" spans="1:34" s="60" customFormat="1" ht="10" x14ac:dyDescent="0.2">
      <c r="A156" s="58">
        <v>43510</v>
      </c>
      <c r="B156" s="59">
        <f t="shared" si="4"/>
        <v>2019</v>
      </c>
      <c r="C156" s="59"/>
      <c r="D156" s="59">
        <f t="shared" si="5"/>
        <v>2</v>
      </c>
      <c r="E156" s="60">
        <v>25</v>
      </c>
      <c r="F156" s="60">
        <v>28</v>
      </c>
      <c r="G156" s="61">
        <v>26</v>
      </c>
      <c r="H156" s="60">
        <v>32</v>
      </c>
      <c r="I156" s="60">
        <v>34</v>
      </c>
      <c r="J156" s="61">
        <v>33</v>
      </c>
      <c r="K156" s="60">
        <v>16</v>
      </c>
      <c r="L156" s="60">
        <v>24</v>
      </c>
      <c r="M156" s="61">
        <v>20</v>
      </c>
      <c r="N156" s="60">
        <v>55</v>
      </c>
      <c r="O156" s="60">
        <v>58</v>
      </c>
      <c r="P156" s="61">
        <v>56</v>
      </c>
      <c r="Q156" s="60">
        <v>18</v>
      </c>
      <c r="R156" s="60">
        <v>20</v>
      </c>
      <c r="S156" s="61">
        <v>19</v>
      </c>
      <c r="T156" s="60">
        <v>26</v>
      </c>
      <c r="U156" s="60">
        <v>28</v>
      </c>
      <c r="V156" s="61">
        <v>27</v>
      </c>
      <c r="Y156" s="61"/>
      <c r="AB156" s="61"/>
      <c r="AE156" s="61"/>
      <c r="AH156" s="61"/>
    </row>
    <row r="157" spans="1:34" s="60" customFormat="1" ht="10" x14ac:dyDescent="0.2">
      <c r="A157" s="58">
        <v>43517</v>
      </c>
      <c r="B157" s="59">
        <f t="shared" si="4"/>
        <v>2019</v>
      </c>
      <c r="C157" s="59"/>
      <c r="D157" s="59">
        <f t="shared" si="5"/>
        <v>2</v>
      </c>
      <c r="E157" s="60">
        <v>25</v>
      </c>
      <c r="F157" s="60">
        <v>28</v>
      </c>
      <c r="G157" s="61">
        <v>26</v>
      </c>
      <c r="H157" s="60">
        <v>32</v>
      </c>
      <c r="I157" s="60">
        <v>34</v>
      </c>
      <c r="J157" s="61">
        <v>33</v>
      </c>
      <c r="K157" s="60">
        <v>16</v>
      </c>
      <c r="L157" s="60">
        <v>24</v>
      </c>
      <c r="M157" s="61">
        <v>20</v>
      </c>
      <c r="N157" s="60">
        <v>55</v>
      </c>
      <c r="O157" s="60">
        <v>58</v>
      </c>
      <c r="P157" s="61">
        <v>56</v>
      </c>
      <c r="Q157" s="60">
        <v>18</v>
      </c>
      <c r="R157" s="60">
        <v>20</v>
      </c>
      <c r="S157" s="61">
        <v>19</v>
      </c>
      <c r="T157" s="60">
        <v>26</v>
      </c>
      <c r="U157" s="60">
        <v>28</v>
      </c>
      <c r="V157" s="61">
        <v>27</v>
      </c>
      <c r="Y157" s="61"/>
      <c r="AB157" s="61"/>
      <c r="AE157" s="61"/>
      <c r="AH157" s="61"/>
    </row>
    <row r="158" spans="1:34" s="60" customFormat="1" ht="10" x14ac:dyDescent="0.2">
      <c r="A158" s="58">
        <v>43524</v>
      </c>
      <c r="B158" s="59">
        <f t="shared" si="4"/>
        <v>2019</v>
      </c>
      <c r="C158" s="59"/>
      <c r="D158" s="59">
        <f t="shared" si="5"/>
        <v>2</v>
      </c>
      <c r="E158" s="60">
        <v>25</v>
      </c>
      <c r="F158" s="60">
        <v>28</v>
      </c>
      <c r="G158" s="61">
        <v>26</v>
      </c>
      <c r="H158" s="60">
        <v>32</v>
      </c>
      <c r="I158" s="60">
        <v>34</v>
      </c>
      <c r="J158" s="61">
        <v>33</v>
      </c>
      <c r="K158" s="60">
        <v>16</v>
      </c>
      <c r="L158" s="60">
        <v>24</v>
      </c>
      <c r="M158" s="61">
        <v>20</v>
      </c>
      <c r="N158" s="60">
        <v>55</v>
      </c>
      <c r="O158" s="60">
        <v>58</v>
      </c>
      <c r="P158" s="61">
        <v>56</v>
      </c>
      <c r="Q158" s="60">
        <v>18</v>
      </c>
      <c r="R158" s="60">
        <v>20</v>
      </c>
      <c r="S158" s="61">
        <v>19</v>
      </c>
      <c r="T158" s="60">
        <v>26</v>
      </c>
      <c r="U158" s="60">
        <v>28</v>
      </c>
      <c r="V158" s="61">
        <v>27</v>
      </c>
      <c r="Y158" s="61"/>
      <c r="AB158" s="61"/>
      <c r="AE158" s="61"/>
      <c r="AH158" s="61"/>
    </row>
    <row r="159" spans="1:34" s="60" customFormat="1" ht="10" x14ac:dyDescent="0.2">
      <c r="A159" s="58">
        <v>43531</v>
      </c>
      <c r="B159" s="59">
        <f t="shared" si="4"/>
        <v>2019</v>
      </c>
      <c r="C159" s="59"/>
      <c r="D159" s="59">
        <f t="shared" si="5"/>
        <v>3</v>
      </c>
      <c r="E159" s="60">
        <v>25</v>
      </c>
      <c r="F159" s="60">
        <v>28</v>
      </c>
      <c r="G159" s="61">
        <v>26</v>
      </c>
      <c r="H159" s="60">
        <v>32</v>
      </c>
      <c r="I159" s="60">
        <v>34</v>
      </c>
      <c r="J159" s="61">
        <v>33</v>
      </c>
      <c r="K159" s="60">
        <v>16</v>
      </c>
      <c r="L159" s="60">
        <v>24</v>
      </c>
      <c r="M159" s="61">
        <v>20</v>
      </c>
      <c r="N159" s="60">
        <v>55</v>
      </c>
      <c r="O159" s="60">
        <v>58</v>
      </c>
      <c r="P159" s="61">
        <v>56</v>
      </c>
      <c r="Q159" s="60">
        <v>18</v>
      </c>
      <c r="R159" s="60">
        <v>20</v>
      </c>
      <c r="S159" s="61">
        <v>19</v>
      </c>
      <c r="T159" s="60">
        <v>26</v>
      </c>
      <c r="U159" s="60">
        <v>28</v>
      </c>
      <c r="V159" s="61">
        <v>27</v>
      </c>
      <c r="Y159" s="61"/>
      <c r="AB159" s="61"/>
      <c r="AE159" s="61"/>
      <c r="AH159" s="61"/>
    </row>
    <row r="160" spans="1:34" s="60" customFormat="1" ht="10" x14ac:dyDescent="0.2">
      <c r="A160" s="58">
        <v>43538</v>
      </c>
      <c r="B160" s="59">
        <f t="shared" si="4"/>
        <v>2019</v>
      </c>
      <c r="C160" s="59"/>
      <c r="D160" s="59">
        <f t="shared" si="5"/>
        <v>3</v>
      </c>
      <c r="E160" s="60">
        <v>25</v>
      </c>
      <c r="F160" s="60">
        <v>28</v>
      </c>
      <c r="G160" s="61">
        <v>26</v>
      </c>
      <c r="H160" s="60">
        <v>32</v>
      </c>
      <c r="I160" s="60">
        <v>34</v>
      </c>
      <c r="J160" s="61">
        <v>33</v>
      </c>
      <c r="K160" s="60">
        <v>16</v>
      </c>
      <c r="L160" s="60">
        <v>24</v>
      </c>
      <c r="M160" s="61">
        <v>20</v>
      </c>
      <c r="N160" s="60">
        <v>55</v>
      </c>
      <c r="O160" s="60">
        <v>58</v>
      </c>
      <c r="P160" s="61">
        <v>56</v>
      </c>
      <c r="Q160" s="60">
        <v>18</v>
      </c>
      <c r="R160" s="60">
        <v>20</v>
      </c>
      <c r="S160" s="61">
        <v>19</v>
      </c>
      <c r="T160" s="60">
        <v>26</v>
      </c>
      <c r="U160" s="60">
        <v>28</v>
      </c>
      <c r="V160" s="61">
        <v>27</v>
      </c>
      <c r="Y160" s="61"/>
      <c r="AB160" s="61"/>
      <c r="AE160" s="61"/>
      <c r="AH160" s="61"/>
    </row>
    <row r="161" spans="1:34" s="60" customFormat="1" ht="10" x14ac:dyDescent="0.2">
      <c r="A161" s="58">
        <v>43545</v>
      </c>
      <c r="B161" s="59">
        <f t="shared" si="4"/>
        <v>2019</v>
      </c>
      <c r="C161" s="59"/>
      <c r="D161" s="59">
        <f t="shared" si="5"/>
        <v>3</v>
      </c>
      <c r="E161" s="60">
        <v>25</v>
      </c>
      <c r="F161" s="60">
        <v>28</v>
      </c>
      <c r="G161" s="61">
        <v>26</v>
      </c>
      <c r="H161" s="60">
        <v>32</v>
      </c>
      <c r="I161" s="60">
        <v>34</v>
      </c>
      <c r="J161" s="61">
        <v>33</v>
      </c>
      <c r="K161" s="60">
        <v>16</v>
      </c>
      <c r="L161" s="60">
        <v>24</v>
      </c>
      <c r="M161" s="61">
        <v>20</v>
      </c>
      <c r="N161" s="60">
        <v>55</v>
      </c>
      <c r="O161" s="60">
        <v>58</v>
      </c>
      <c r="P161" s="61">
        <v>56</v>
      </c>
      <c r="Q161" s="60">
        <v>18</v>
      </c>
      <c r="R161" s="60">
        <v>20</v>
      </c>
      <c r="S161" s="61">
        <v>19</v>
      </c>
      <c r="T161" s="60">
        <v>26</v>
      </c>
      <c r="U161" s="60">
        <v>28</v>
      </c>
      <c r="V161" s="61">
        <v>27</v>
      </c>
      <c r="Y161" s="61"/>
      <c r="AB161" s="61"/>
      <c r="AE161" s="61"/>
      <c r="AH161" s="61"/>
    </row>
    <row r="162" spans="1:34" s="60" customFormat="1" ht="10" x14ac:dyDescent="0.2">
      <c r="A162" s="58">
        <v>43552</v>
      </c>
      <c r="B162" s="59">
        <f t="shared" si="4"/>
        <v>2019</v>
      </c>
      <c r="C162" s="59"/>
      <c r="D162" s="59">
        <f t="shared" si="5"/>
        <v>3</v>
      </c>
      <c r="E162" s="60">
        <v>25</v>
      </c>
      <c r="F162" s="60">
        <v>28</v>
      </c>
      <c r="G162" s="61">
        <v>26</v>
      </c>
      <c r="H162" s="60">
        <v>32</v>
      </c>
      <c r="I162" s="60">
        <v>34</v>
      </c>
      <c r="J162" s="61">
        <v>33</v>
      </c>
      <c r="K162" s="60">
        <v>16</v>
      </c>
      <c r="L162" s="60">
        <v>24</v>
      </c>
      <c r="M162" s="61">
        <v>20</v>
      </c>
      <c r="N162" s="60">
        <v>55</v>
      </c>
      <c r="O162" s="60">
        <v>58</v>
      </c>
      <c r="P162" s="61">
        <v>56</v>
      </c>
      <c r="Q162" s="60">
        <v>18</v>
      </c>
      <c r="R162" s="60">
        <v>20</v>
      </c>
      <c r="S162" s="61">
        <v>19</v>
      </c>
      <c r="T162" s="60">
        <v>26</v>
      </c>
      <c r="U162" s="60">
        <v>28</v>
      </c>
      <c r="V162" s="61">
        <v>27</v>
      </c>
      <c r="Y162" s="61"/>
      <c r="AB162" s="61"/>
      <c r="AE162" s="61"/>
      <c r="AH162" s="61"/>
    </row>
    <row r="163" spans="1:34" s="60" customFormat="1" ht="10" x14ac:dyDescent="0.2">
      <c r="A163" s="58">
        <v>43559</v>
      </c>
      <c r="B163" s="59">
        <f t="shared" si="4"/>
        <v>2019</v>
      </c>
      <c r="C163" s="59"/>
      <c r="D163" s="59">
        <f t="shared" si="5"/>
        <v>4</v>
      </c>
      <c r="E163" s="60">
        <v>25</v>
      </c>
      <c r="F163" s="60">
        <v>28</v>
      </c>
      <c r="G163" s="61">
        <v>26</v>
      </c>
      <c r="H163" s="60">
        <v>32</v>
      </c>
      <c r="I163" s="60">
        <v>34</v>
      </c>
      <c r="J163" s="61">
        <v>33</v>
      </c>
      <c r="K163" s="60">
        <v>16</v>
      </c>
      <c r="L163" s="60">
        <v>24</v>
      </c>
      <c r="M163" s="61">
        <v>20</v>
      </c>
      <c r="N163" s="60">
        <v>55</v>
      </c>
      <c r="O163" s="60">
        <v>58</v>
      </c>
      <c r="P163" s="61">
        <v>56</v>
      </c>
      <c r="Q163" s="60">
        <v>18</v>
      </c>
      <c r="R163" s="60">
        <v>20</v>
      </c>
      <c r="S163" s="61">
        <v>19</v>
      </c>
      <c r="T163" s="60">
        <v>26</v>
      </c>
      <c r="U163" s="60">
        <v>28</v>
      </c>
      <c r="V163" s="61">
        <v>27</v>
      </c>
      <c r="Y163" s="61"/>
      <c r="AB163" s="61"/>
      <c r="AE163" s="61"/>
      <c r="AH163" s="61"/>
    </row>
    <row r="164" spans="1:34" s="60" customFormat="1" ht="10" x14ac:dyDescent="0.2">
      <c r="A164" s="58">
        <v>43566</v>
      </c>
      <c r="B164" s="59">
        <f t="shared" si="4"/>
        <v>2019</v>
      </c>
      <c r="C164" s="59"/>
      <c r="D164" s="59">
        <f t="shared" si="5"/>
        <v>4</v>
      </c>
      <c r="E164" s="60">
        <v>25</v>
      </c>
      <c r="F164" s="60">
        <v>28</v>
      </c>
      <c r="G164" s="61">
        <v>26</v>
      </c>
      <c r="H164" s="60">
        <v>32</v>
      </c>
      <c r="I164" s="60">
        <v>34</v>
      </c>
      <c r="J164" s="61">
        <v>33</v>
      </c>
      <c r="K164" s="60">
        <v>16</v>
      </c>
      <c r="L164" s="60">
        <v>24</v>
      </c>
      <c r="M164" s="61">
        <v>20</v>
      </c>
      <c r="N164" s="60">
        <v>55</v>
      </c>
      <c r="O164" s="60">
        <v>58</v>
      </c>
      <c r="P164" s="61">
        <v>56</v>
      </c>
      <c r="Q164" s="60">
        <v>18</v>
      </c>
      <c r="R164" s="60">
        <v>20</v>
      </c>
      <c r="S164" s="61">
        <v>19</v>
      </c>
      <c r="T164" s="60">
        <v>26</v>
      </c>
      <c r="U164" s="60">
        <v>28</v>
      </c>
      <c r="V164" s="61">
        <v>27</v>
      </c>
      <c r="Y164" s="61"/>
      <c r="AB164" s="61"/>
      <c r="AE164" s="61"/>
      <c r="AH164" s="61"/>
    </row>
    <row r="165" spans="1:34" s="60" customFormat="1" ht="10" x14ac:dyDescent="0.2">
      <c r="A165" s="58">
        <v>43573</v>
      </c>
      <c r="B165" s="59">
        <f t="shared" si="4"/>
        <v>2019</v>
      </c>
      <c r="C165" s="59"/>
      <c r="D165" s="59">
        <f t="shared" si="5"/>
        <v>4</v>
      </c>
      <c r="E165" s="60">
        <v>25</v>
      </c>
      <c r="F165" s="60">
        <v>28</v>
      </c>
      <c r="G165" s="61">
        <v>26</v>
      </c>
      <c r="H165" s="60">
        <v>32</v>
      </c>
      <c r="I165" s="60">
        <v>34</v>
      </c>
      <c r="J165" s="61">
        <v>33</v>
      </c>
      <c r="K165" s="60">
        <v>16</v>
      </c>
      <c r="L165" s="60">
        <v>24</v>
      </c>
      <c r="M165" s="61">
        <v>20</v>
      </c>
      <c r="N165" s="60">
        <v>55</v>
      </c>
      <c r="O165" s="60">
        <v>58</v>
      </c>
      <c r="P165" s="61">
        <v>56</v>
      </c>
      <c r="Q165" s="60">
        <v>18</v>
      </c>
      <c r="R165" s="60">
        <v>20</v>
      </c>
      <c r="S165" s="61">
        <v>19</v>
      </c>
      <c r="T165" s="60">
        <v>26</v>
      </c>
      <c r="U165" s="60">
        <v>28</v>
      </c>
      <c r="V165" s="61">
        <v>27</v>
      </c>
      <c r="Y165" s="61"/>
      <c r="AB165" s="61"/>
      <c r="AE165" s="61"/>
      <c r="AH165" s="61"/>
    </row>
    <row r="166" spans="1:34" s="60" customFormat="1" ht="10" x14ac:dyDescent="0.2">
      <c r="A166" s="58">
        <v>43580</v>
      </c>
      <c r="B166" s="59">
        <f t="shared" si="4"/>
        <v>2019</v>
      </c>
      <c r="C166" s="59"/>
      <c r="D166" s="59">
        <f t="shared" si="5"/>
        <v>4</v>
      </c>
      <c r="E166" s="60">
        <v>25</v>
      </c>
      <c r="F166" s="60">
        <v>28</v>
      </c>
      <c r="G166" s="61">
        <v>26</v>
      </c>
      <c r="H166" s="60">
        <v>32</v>
      </c>
      <c r="I166" s="60">
        <v>34</v>
      </c>
      <c r="J166" s="61">
        <v>33</v>
      </c>
      <c r="K166" s="60">
        <v>16</v>
      </c>
      <c r="L166" s="60">
        <v>24</v>
      </c>
      <c r="M166" s="61">
        <v>20</v>
      </c>
      <c r="N166" s="60">
        <v>55</v>
      </c>
      <c r="O166" s="60">
        <v>58</v>
      </c>
      <c r="P166" s="61">
        <v>56</v>
      </c>
      <c r="Q166" s="60">
        <v>18</v>
      </c>
      <c r="R166" s="60">
        <v>20</v>
      </c>
      <c r="S166" s="61">
        <v>19</v>
      </c>
      <c r="T166" s="60">
        <v>26</v>
      </c>
      <c r="U166" s="60">
        <v>28</v>
      </c>
      <c r="V166" s="61">
        <v>27</v>
      </c>
      <c r="Y166" s="61"/>
      <c r="AB166" s="61"/>
      <c r="AE166" s="61"/>
      <c r="AH166" s="61"/>
    </row>
    <row r="167" spans="1:34" s="60" customFormat="1" ht="10" x14ac:dyDescent="0.2">
      <c r="A167" s="58">
        <v>43587</v>
      </c>
      <c r="B167" s="59">
        <f t="shared" si="4"/>
        <v>2019</v>
      </c>
      <c r="C167" s="59"/>
      <c r="D167" s="59">
        <f t="shared" si="5"/>
        <v>5</v>
      </c>
      <c r="E167" s="60">
        <v>25</v>
      </c>
      <c r="F167" s="60">
        <v>28</v>
      </c>
      <c r="G167" s="61">
        <v>26</v>
      </c>
      <c r="H167" s="60">
        <v>32</v>
      </c>
      <c r="I167" s="60">
        <v>34</v>
      </c>
      <c r="J167" s="61">
        <v>33</v>
      </c>
      <c r="K167" s="60">
        <v>16</v>
      </c>
      <c r="L167" s="60">
        <v>24</v>
      </c>
      <c r="M167" s="61">
        <v>20</v>
      </c>
      <c r="N167" s="60">
        <v>55</v>
      </c>
      <c r="O167" s="60">
        <v>58</v>
      </c>
      <c r="P167" s="61">
        <v>56</v>
      </c>
      <c r="Q167" s="60">
        <v>18</v>
      </c>
      <c r="R167" s="60">
        <v>20</v>
      </c>
      <c r="S167" s="61">
        <v>19</v>
      </c>
      <c r="T167" s="60">
        <v>26</v>
      </c>
      <c r="U167" s="60">
        <v>28</v>
      </c>
      <c r="V167" s="61">
        <v>27</v>
      </c>
      <c r="Y167" s="61"/>
      <c r="AB167" s="61"/>
      <c r="AE167" s="61"/>
      <c r="AH167" s="61"/>
    </row>
    <row r="168" spans="1:34" s="60" customFormat="1" ht="10" x14ac:dyDescent="0.2">
      <c r="A168" s="58">
        <v>43594</v>
      </c>
      <c r="B168" s="59">
        <f t="shared" si="4"/>
        <v>2019</v>
      </c>
      <c r="C168" s="59"/>
      <c r="D168" s="59">
        <f t="shared" si="5"/>
        <v>5</v>
      </c>
      <c r="E168" s="60">
        <v>25</v>
      </c>
      <c r="F168" s="60">
        <v>28</v>
      </c>
      <c r="G168" s="61">
        <v>26</v>
      </c>
      <c r="H168" s="60">
        <v>32</v>
      </c>
      <c r="I168" s="60">
        <v>34</v>
      </c>
      <c r="J168" s="61">
        <v>33</v>
      </c>
      <c r="K168" s="60">
        <v>16</v>
      </c>
      <c r="L168" s="60">
        <v>24</v>
      </c>
      <c r="M168" s="61">
        <v>20</v>
      </c>
      <c r="N168" s="60">
        <v>55</v>
      </c>
      <c r="O168" s="60">
        <v>58</v>
      </c>
      <c r="P168" s="61">
        <v>56</v>
      </c>
      <c r="Q168" s="60">
        <v>18</v>
      </c>
      <c r="R168" s="60">
        <v>20</v>
      </c>
      <c r="S168" s="61">
        <v>19</v>
      </c>
      <c r="T168" s="60">
        <v>26</v>
      </c>
      <c r="U168" s="60">
        <v>28</v>
      </c>
      <c r="V168" s="61">
        <v>27</v>
      </c>
      <c r="Y168" s="61"/>
      <c r="AB168" s="61"/>
      <c r="AE168" s="61"/>
      <c r="AH168" s="61"/>
    </row>
    <row r="169" spans="1:34" s="60" customFormat="1" ht="10" x14ac:dyDescent="0.2">
      <c r="A169" s="58">
        <v>43601</v>
      </c>
      <c r="B169" s="59">
        <f t="shared" si="4"/>
        <v>2019</v>
      </c>
      <c r="C169" s="59"/>
      <c r="D169" s="59">
        <f t="shared" si="5"/>
        <v>5</v>
      </c>
      <c r="E169" s="60">
        <v>25</v>
      </c>
      <c r="F169" s="60">
        <v>28</v>
      </c>
      <c r="G169" s="61">
        <v>26</v>
      </c>
      <c r="H169" s="60">
        <v>32</v>
      </c>
      <c r="I169" s="60">
        <v>34</v>
      </c>
      <c r="J169" s="61">
        <v>33</v>
      </c>
      <c r="K169" s="60">
        <v>16</v>
      </c>
      <c r="L169" s="60">
        <v>24</v>
      </c>
      <c r="M169" s="61">
        <v>20</v>
      </c>
      <c r="N169" s="60">
        <v>55</v>
      </c>
      <c r="O169" s="60">
        <v>58</v>
      </c>
      <c r="P169" s="61">
        <v>56</v>
      </c>
      <c r="Q169" s="60">
        <v>18</v>
      </c>
      <c r="R169" s="60">
        <v>20</v>
      </c>
      <c r="S169" s="61">
        <v>19</v>
      </c>
      <c r="T169" s="60">
        <v>26</v>
      </c>
      <c r="U169" s="60">
        <v>28</v>
      </c>
      <c r="V169" s="61">
        <v>27</v>
      </c>
      <c r="Y169" s="61"/>
      <c r="AB169" s="61"/>
      <c r="AE169" s="61"/>
      <c r="AH169" s="61"/>
    </row>
    <row r="170" spans="1:34" s="60" customFormat="1" ht="10" x14ac:dyDescent="0.2">
      <c r="A170" s="58">
        <v>43608</v>
      </c>
      <c r="B170" s="59">
        <f t="shared" si="4"/>
        <v>2019</v>
      </c>
      <c r="C170" s="59"/>
      <c r="D170" s="59">
        <f t="shared" si="5"/>
        <v>5</v>
      </c>
      <c r="E170" s="60">
        <v>25</v>
      </c>
      <c r="F170" s="60">
        <v>28</v>
      </c>
      <c r="G170" s="61">
        <v>26</v>
      </c>
      <c r="H170" s="60">
        <v>32</v>
      </c>
      <c r="I170" s="60">
        <v>34</v>
      </c>
      <c r="J170" s="61">
        <v>33</v>
      </c>
      <c r="K170" s="60">
        <v>16</v>
      </c>
      <c r="L170" s="60">
        <v>24</v>
      </c>
      <c r="M170" s="61">
        <v>20</v>
      </c>
      <c r="N170" s="60">
        <v>55</v>
      </c>
      <c r="O170" s="60">
        <v>58</v>
      </c>
      <c r="P170" s="61">
        <v>56</v>
      </c>
      <c r="Q170" s="60">
        <v>18</v>
      </c>
      <c r="R170" s="60">
        <v>20</v>
      </c>
      <c r="S170" s="61">
        <v>19</v>
      </c>
      <c r="T170" s="60">
        <v>26</v>
      </c>
      <c r="U170" s="60">
        <v>28</v>
      </c>
      <c r="V170" s="61">
        <v>27</v>
      </c>
      <c r="Y170" s="61"/>
      <c r="AB170" s="61"/>
      <c r="AE170" s="61"/>
      <c r="AH170" s="61"/>
    </row>
    <row r="171" spans="1:34" s="60" customFormat="1" ht="10" x14ac:dyDescent="0.2">
      <c r="A171" s="58">
        <v>43615</v>
      </c>
      <c r="B171" s="59">
        <f t="shared" si="4"/>
        <v>2019</v>
      </c>
      <c r="C171" s="59"/>
      <c r="D171" s="59">
        <f t="shared" si="5"/>
        <v>5</v>
      </c>
      <c r="E171" s="60">
        <v>25</v>
      </c>
      <c r="F171" s="60">
        <v>28</v>
      </c>
      <c r="G171" s="61">
        <v>26</v>
      </c>
      <c r="H171" s="60">
        <v>32</v>
      </c>
      <c r="I171" s="60">
        <v>34</v>
      </c>
      <c r="J171" s="61">
        <v>33</v>
      </c>
      <c r="K171" s="60">
        <v>16</v>
      </c>
      <c r="L171" s="60">
        <v>24</v>
      </c>
      <c r="M171" s="61">
        <v>20</v>
      </c>
      <c r="N171" s="60">
        <v>55</v>
      </c>
      <c r="O171" s="60">
        <v>58</v>
      </c>
      <c r="P171" s="61">
        <v>56</v>
      </c>
      <c r="Q171" s="60">
        <v>18</v>
      </c>
      <c r="R171" s="60">
        <v>20</v>
      </c>
      <c r="S171" s="61">
        <v>19</v>
      </c>
      <c r="T171" s="60">
        <v>26</v>
      </c>
      <c r="U171" s="60">
        <v>28</v>
      </c>
      <c r="V171" s="61">
        <v>27</v>
      </c>
      <c r="Y171" s="61"/>
      <c r="AB171" s="61"/>
      <c r="AE171" s="61"/>
      <c r="AH171" s="61"/>
    </row>
    <row r="172" spans="1:34" s="60" customFormat="1" ht="10" x14ac:dyDescent="0.2">
      <c r="A172" s="58">
        <v>43622</v>
      </c>
      <c r="B172" s="59">
        <f t="shared" si="4"/>
        <v>2019</v>
      </c>
      <c r="C172" s="59"/>
      <c r="D172" s="59">
        <f t="shared" si="5"/>
        <v>6</v>
      </c>
      <c r="E172" s="60">
        <v>25</v>
      </c>
      <c r="F172" s="60">
        <v>28</v>
      </c>
      <c r="G172" s="61">
        <v>26</v>
      </c>
      <c r="H172" s="60">
        <v>32</v>
      </c>
      <c r="I172" s="60">
        <v>34</v>
      </c>
      <c r="J172" s="61">
        <v>33</v>
      </c>
      <c r="K172" s="60">
        <v>16</v>
      </c>
      <c r="L172" s="60">
        <v>24</v>
      </c>
      <c r="M172" s="61">
        <v>20</v>
      </c>
      <c r="N172" s="60">
        <v>55</v>
      </c>
      <c r="O172" s="60">
        <v>58</v>
      </c>
      <c r="P172" s="61">
        <v>56</v>
      </c>
      <c r="Q172" s="60">
        <v>18</v>
      </c>
      <c r="R172" s="60">
        <v>20</v>
      </c>
      <c r="S172" s="61">
        <v>19</v>
      </c>
      <c r="T172" s="60">
        <v>26</v>
      </c>
      <c r="U172" s="60">
        <v>28</v>
      </c>
      <c r="V172" s="61">
        <v>27</v>
      </c>
      <c r="Y172" s="61"/>
      <c r="AB172" s="61"/>
      <c r="AE172" s="61"/>
      <c r="AH172" s="61"/>
    </row>
    <row r="173" spans="1:34" s="60" customFormat="1" ht="10" x14ac:dyDescent="0.2">
      <c r="A173" s="58">
        <v>43629</v>
      </c>
      <c r="B173" s="59">
        <f t="shared" si="4"/>
        <v>2019</v>
      </c>
      <c r="C173" s="59"/>
      <c r="D173" s="59">
        <f t="shared" si="5"/>
        <v>6</v>
      </c>
      <c r="E173" s="60">
        <v>25</v>
      </c>
      <c r="F173" s="60">
        <v>28</v>
      </c>
      <c r="G173" s="61">
        <v>26</v>
      </c>
      <c r="H173" s="60">
        <v>32</v>
      </c>
      <c r="I173" s="60">
        <v>34</v>
      </c>
      <c r="J173" s="61">
        <v>33</v>
      </c>
      <c r="K173" s="60">
        <v>16</v>
      </c>
      <c r="L173" s="60">
        <v>24</v>
      </c>
      <c r="M173" s="61">
        <v>20</v>
      </c>
      <c r="N173" s="60">
        <v>55</v>
      </c>
      <c r="O173" s="60">
        <v>58</v>
      </c>
      <c r="P173" s="61">
        <v>56</v>
      </c>
      <c r="Q173" s="60">
        <v>18</v>
      </c>
      <c r="R173" s="60">
        <v>20</v>
      </c>
      <c r="S173" s="61">
        <v>19</v>
      </c>
      <c r="T173" s="60">
        <v>26</v>
      </c>
      <c r="U173" s="60">
        <v>28</v>
      </c>
      <c r="V173" s="61">
        <v>27</v>
      </c>
      <c r="Y173" s="61"/>
      <c r="AB173" s="61"/>
      <c r="AE173" s="61"/>
      <c r="AH173" s="61"/>
    </row>
    <row r="174" spans="1:34" s="60" customFormat="1" ht="10" x14ac:dyDescent="0.2">
      <c r="A174" s="58">
        <v>43636</v>
      </c>
      <c r="B174" s="59">
        <f t="shared" si="4"/>
        <v>2019</v>
      </c>
      <c r="C174" s="59"/>
      <c r="D174" s="59">
        <f t="shared" si="5"/>
        <v>6</v>
      </c>
      <c r="E174" s="60">
        <v>25</v>
      </c>
      <c r="F174" s="60">
        <v>28</v>
      </c>
      <c r="G174" s="61">
        <v>26</v>
      </c>
      <c r="H174" s="60">
        <v>32</v>
      </c>
      <c r="I174" s="60">
        <v>34</v>
      </c>
      <c r="J174" s="61">
        <v>33</v>
      </c>
      <c r="K174" s="60">
        <v>16</v>
      </c>
      <c r="L174" s="60">
        <v>24</v>
      </c>
      <c r="M174" s="61">
        <v>20</v>
      </c>
      <c r="N174" s="60">
        <v>55</v>
      </c>
      <c r="O174" s="60">
        <v>58</v>
      </c>
      <c r="P174" s="61">
        <v>56</v>
      </c>
      <c r="Q174" s="60">
        <v>18</v>
      </c>
      <c r="R174" s="60">
        <v>20</v>
      </c>
      <c r="S174" s="61">
        <v>19</v>
      </c>
      <c r="T174" s="60">
        <v>26</v>
      </c>
      <c r="U174" s="60">
        <v>28</v>
      </c>
      <c r="V174" s="61">
        <v>27</v>
      </c>
      <c r="Y174" s="61"/>
      <c r="AB174" s="61"/>
      <c r="AE174" s="61"/>
      <c r="AH174" s="61"/>
    </row>
    <row r="175" spans="1:34" s="60" customFormat="1" ht="10" x14ac:dyDescent="0.2">
      <c r="A175" s="58">
        <v>43643</v>
      </c>
      <c r="B175" s="59">
        <f t="shared" si="4"/>
        <v>2019</v>
      </c>
      <c r="C175" s="59"/>
      <c r="D175" s="59">
        <f t="shared" si="5"/>
        <v>6</v>
      </c>
      <c r="E175" s="60">
        <v>25</v>
      </c>
      <c r="F175" s="60">
        <v>28</v>
      </c>
      <c r="G175" s="61">
        <v>26</v>
      </c>
      <c r="H175" s="60">
        <v>32</v>
      </c>
      <c r="I175" s="60">
        <v>34</v>
      </c>
      <c r="J175" s="61">
        <v>33</v>
      </c>
      <c r="K175" s="60">
        <v>16</v>
      </c>
      <c r="L175" s="60">
        <v>24</v>
      </c>
      <c r="M175" s="61">
        <v>20</v>
      </c>
      <c r="N175" s="60">
        <v>55</v>
      </c>
      <c r="O175" s="60">
        <v>58</v>
      </c>
      <c r="P175" s="61">
        <v>56</v>
      </c>
      <c r="Q175" s="60">
        <v>18</v>
      </c>
      <c r="R175" s="60">
        <v>20</v>
      </c>
      <c r="S175" s="61">
        <v>19</v>
      </c>
      <c r="T175" s="60">
        <v>26</v>
      </c>
      <c r="U175" s="60">
        <v>28</v>
      </c>
      <c r="V175" s="61">
        <v>27</v>
      </c>
      <c r="Y175" s="61"/>
      <c r="AB175" s="61"/>
      <c r="AE175" s="61"/>
      <c r="AH175" s="61"/>
    </row>
    <row r="176" spans="1:34" s="60" customFormat="1" ht="10" x14ac:dyDescent="0.2">
      <c r="A176" s="58">
        <v>43650</v>
      </c>
      <c r="B176" s="59">
        <f t="shared" si="4"/>
        <v>2019</v>
      </c>
      <c r="C176" s="59"/>
      <c r="D176" s="59">
        <f t="shared" si="5"/>
        <v>7</v>
      </c>
      <c r="E176" s="60">
        <v>25</v>
      </c>
      <c r="F176" s="60">
        <v>28</v>
      </c>
      <c r="G176" s="61">
        <v>26</v>
      </c>
      <c r="H176" s="60">
        <v>32</v>
      </c>
      <c r="I176" s="60">
        <v>34</v>
      </c>
      <c r="J176" s="61">
        <v>33</v>
      </c>
      <c r="K176" s="60">
        <v>16</v>
      </c>
      <c r="L176" s="60">
        <v>24</v>
      </c>
      <c r="M176" s="61">
        <v>20</v>
      </c>
      <c r="N176" s="60">
        <v>55</v>
      </c>
      <c r="O176" s="60">
        <v>58</v>
      </c>
      <c r="P176" s="61">
        <v>56</v>
      </c>
      <c r="Q176" s="60">
        <v>18</v>
      </c>
      <c r="R176" s="60">
        <v>20</v>
      </c>
      <c r="S176" s="61">
        <v>19</v>
      </c>
      <c r="T176" s="60">
        <v>26</v>
      </c>
      <c r="U176" s="60">
        <v>28</v>
      </c>
      <c r="V176" s="61">
        <v>27</v>
      </c>
      <c r="Y176" s="61"/>
      <c r="AB176" s="61"/>
      <c r="AE176" s="61"/>
      <c r="AH176" s="61"/>
    </row>
    <row r="177" spans="1:34" s="60" customFormat="1" ht="10" x14ac:dyDescent="0.2">
      <c r="A177" s="58">
        <v>43657</v>
      </c>
      <c r="B177" s="59">
        <f t="shared" si="4"/>
        <v>2019</v>
      </c>
      <c r="C177" s="59"/>
      <c r="D177" s="59">
        <f t="shared" si="5"/>
        <v>7</v>
      </c>
      <c r="E177" s="60">
        <v>25</v>
      </c>
      <c r="F177" s="60">
        <v>28</v>
      </c>
      <c r="G177" s="61">
        <v>26</v>
      </c>
      <c r="H177" s="60">
        <v>32</v>
      </c>
      <c r="I177" s="60">
        <v>34</v>
      </c>
      <c r="J177" s="61">
        <v>33</v>
      </c>
      <c r="K177" s="60">
        <v>16</v>
      </c>
      <c r="L177" s="60">
        <v>24</v>
      </c>
      <c r="M177" s="61">
        <v>20</v>
      </c>
      <c r="N177" s="60">
        <v>55</v>
      </c>
      <c r="O177" s="60">
        <v>58</v>
      </c>
      <c r="P177" s="61">
        <v>56</v>
      </c>
      <c r="Q177" s="60">
        <v>18</v>
      </c>
      <c r="R177" s="60">
        <v>20</v>
      </c>
      <c r="S177" s="61">
        <v>19</v>
      </c>
      <c r="T177" s="60">
        <v>26</v>
      </c>
      <c r="U177" s="60">
        <v>28</v>
      </c>
      <c r="V177" s="61">
        <v>27</v>
      </c>
      <c r="Y177" s="61"/>
      <c r="AB177" s="61"/>
      <c r="AE177" s="61"/>
      <c r="AH177" s="61"/>
    </row>
    <row r="178" spans="1:34" s="60" customFormat="1" ht="10" x14ac:dyDescent="0.2">
      <c r="A178" s="58">
        <v>43664</v>
      </c>
      <c r="B178" s="59">
        <f t="shared" si="4"/>
        <v>2019</v>
      </c>
      <c r="C178" s="59"/>
      <c r="D178" s="59">
        <f t="shared" si="5"/>
        <v>7</v>
      </c>
      <c r="E178" s="60">
        <v>25</v>
      </c>
      <c r="F178" s="60">
        <v>28</v>
      </c>
      <c r="G178" s="61">
        <v>26</v>
      </c>
      <c r="H178" s="60">
        <v>32</v>
      </c>
      <c r="I178" s="60">
        <v>34</v>
      </c>
      <c r="J178" s="61">
        <v>33</v>
      </c>
      <c r="K178" s="60">
        <v>16</v>
      </c>
      <c r="L178" s="60">
        <v>24</v>
      </c>
      <c r="M178" s="61">
        <v>20</v>
      </c>
      <c r="N178" s="60">
        <v>55</v>
      </c>
      <c r="O178" s="60">
        <v>58</v>
      </c>
      <c r="P178" s="61">
        <v>56</v>
      </c>
      <c r="Q178" s="60">
        <v>18</v>
      </c>
      <c r="R178" s="60">
        <v>20</v>
      </c>
      <c r="S178" s="61">
        <v>19</v>
      </c>
      <c r="T178" s="60">
        <v>26</v>
      </c>
      <c r="U178" s="60">
        <v>28</v>
      </c>
      <c r="V178" s="61">
        <v>27</v>
      </c>
      <c r="Y178" s="61"/>
      <c r="AB178" s="61"/>
      <c r="AE178" s="61"/>
      <c r="AH178" s="61"/>
    </row>
    <row r="179" spans="1:34" s="60" customFormat="1" ht="10" x14ac:dyDescent="0.2">
      <c r="A179" s="58">
        <v>43671</v>
      </c>
      <c r="B179" s="59">
        <f t="shared" si="4"/>
        <v>2019</v>
      </c>
      <c r="C179" s="59"/>
      <c r="D179" s="59">
        <f t="shared" si="5"/>
        <v>7</v>
      </c>
      <c r="E179" s="60">
        <v>25</v>
      </c>
      <c r="F179" s="60">
        <v>28</v>
      </c>
      <c r="G179" s="61">
        <v>26</v>
      </c>
      <c r="H179" s="60">
        <v>32</v>
      </c>
      <c r="I179" s="60">
        <v>34</v>
      </c>
      <c r="J179" s="61">
        <v>33</v>
      </c>
      <c r="K179" s="60">
        <v>16</v>
      </c>
      <c r="L179" s="60">
        <v>24</v>
      </c>
      <c r="M179" s="61">
        <v>20</v>
      </c>
      <c r="N179" s="60">
        <v>55</v>
      </c>
      <c r="O179" s="60">
        <v>58</v>
      </c>
      <c r="P179" s="61">
        <v>56</v>
      </c>
      <c r="Q179" s="60">
        <v>18</v>
      </c>
      <c r="R179" s="60">
        <v>20</v>
      </c>
      <c r="S179" s="61">
        <v>19</v>
      </c>
      <c r="T179" s="60">
        <v>26</v>
      </c>
      <c r="U179" s="60">
        <v>28</v>
      </c>
      <c r="V179" s="61">
        <v>27</v>
      </c>
      <c r="Y179" s="61"/>
      <c r="AB179" s="61"/>
      <c r="AE179" s="61"/>
      <c r="AH179" s="61"/>
    </row>
    <row r="180" spans="1:34" s="60" customFormat="1" ht="10" x14ac:dyDescent="0.2">
      <c r="A180" s="58">
        <v>43678</v>
      </c>
      <c r="B180" s="59">
        <f t="shared" si="4"/>
        <v>2019</v>
      </c>
      <c r="C180" s="59"/>
      <c r="D180" s="59">
        <f t="shared" si="5"/>
        <v>8</v>
      </c>
      <c r="E180" s="60">
        <v>25</v>
      </c>
      <c r="F180" s="60">
        <v>28</v>
      </c>
      <c r="G180" s="61">
        <v>26</v>
      </c>
      <c r="H180" s="60">
        <v>32</v>
      </c>
      <c r="I180" s="60">
        <v>34</v>
      </c>
      <c r="J180" s="61">
        <v>33</v>
      </c>
      <c r="K180" s="60">
        <v>16</v>
      </c>
      <c r="L180" s="60">
        <v>24</v>
      </c>
      <c r="M180" s="61">
        <v>20</v>
      </c>
      <c r="N180" s="60">
        <v>55</v>
      </c>
      <c r="O180" s="60">
        <v>58</v>
      </c>
      <c r="P180" s="61">
        <v>56</v>
      </c>
      <c r="Q180" s="60">
        <v>18</v>
      </c>
      <c r="R180" s="60">
        <v>20</v>
      </c>
      <c r="S180" s="61">
        <v>19</v>
      </c>
      <c r="T180" s="60">
        <v>26</v>
      </c>
      <c r="U180" s="60">
        <v>28</v>
      </c>
      <c r="V180" s="61">
        <v>27</v>
      </c>
      <c r="Y180" s="61"/>
      <c r="AB180" s="61"/>
      <c r="AE180" s="61"/>
      <c r="AH180" s="61"/>
    </row>
    <row r="181" spans="1:34" s="60" customFormat="1" ht="10" x14ac:dyDescent="0.2">
      <c r="A181" s="58">
        <v>43685</v>
      </c>
      <c r="B181" s="59">
        <f t="shared" si="4"/>
        <v>2019</v>
      </c>
      <c r="C181" s="59"/>
      <c r="D181" s="59">
        <f t="shared" si="5"/>
        <v>8</v>
      </c>
      <c r="E181" s="60">
        <v>25</v>
      </c>
      <c r="F181" s="60">
        <v>28</v>
      </c>
      <c r="G181" s="61">
        <v>26</v>
      </c>
      <c r="H181" s="60">
        <v>32</v>
      </c>
      <c r="I181" s="60">
        <v>34</v>
      </c>
      <c r="J181" s="61">
        <v>33</v>
      </c>
      <c r="K181" s="60">
        <v>16</v>
      </c>
      <c r="L181" s="60">
        <v>24</v>
      </c>
      <c r="M181" s="61">
        <v>20</v>
      </c>
      <c r="N181" s="60">
        <v>55</v>
      </c>
      <c r="O181" s="60">
        <v>58</v>
      </c>
      <c r="P181" s="61">
        <v>56</v>
      </c>
      <c r="Q181" s="60">
        <v>18</v>
      </c>
      <c r="R181" s="60">
        <v>20</v>
      </c>
      <c r="S181" s="61">
        <v>19</v>
      </c>
      <c r="T181" s="60">
        <v>26</v>
      </c>
      <c r="U181" s="60">
        <v>28</v>
      </c>
      <c r="V181" s="61">
        <v>27</v>
      </c>
      <c r="Y181" s="61"/>
      <c r="AB181" s="61"/>
      <c r="AE181" s="61"/>
      <c r="AH181" s="61"/>
    </row>
    <row r="182" spans="1:34" s="60" customFormat="1" ht="10" x14ac:dyDescent="0.2">
      <c r="A182" s="58">
        <v>43692</v>
      </c>
      <c r="B182" s="59">
        <f t="shared" si="4"/>
        <v>2019</v>
      </c>
      <c r="C182" s="59"/>
      <c r="D182" s="59">
        <f t="shared" si="5"/>
        <v>8</v>
      </c>
      <c r="E182" s="60">
        <v>25</v>
      </c>
      <c r="F182" s="60">
        <v>28</v>
      </c>
      <c r="G182" s="61">
        <v>26</v>
      </c>
      <c r="H182" s="60">
        <v>32</v>
      </c>
      <c r="I182" s="60">
        <v>34</v>
      </c>
      <c r="J182" s="61">
        <v>33</v>
      </c>
      <c r="K182" s="60">
        <v>16</v>
      </c>
      <c r="L182" s="60">
        <v>24</v>
      </c>
      <c r="M182" s="61">
        <v>20</v>
      </c>
      <c r="N182" s="60">
        <v>55</v>
      </c>
      <c r="O182" s="60">
        <v>58</v>
      </c>
      <c r="P182" s="61">
        <v>56</v>
      </c>
      <c r="Q182" s="60">
        <v>18</v>
      </c>
      <c r="R182" s="60">
        <v>20</v>
      </c>
      <c r="S182" s="61">
        <v>19</v>
      </c>
      <c r="T182" s="60">
        <v>26</v>
      </c>
      <c r="U182" s="60">
        <v>28</v>
      </c>
      <c r="V182" s="61">
        <v>27</v>
      </c>
      <c r="Y182" s="61"/>
      <c r="AB182" s="61"/>
      <c r="AE182" s="61"/>
      <c r="AH182" s="61"/>
    </row>
    <row r="183" spans="1:34" s="60" customFormat="1" ht="10" x14ac:dyDescent="0.2">
      <c r="A183" s="58">
        <v>43699</v>
      </c>
      <c r="B183" s="59">
        <f t="shared" si="4"/>
        <v>2019</v>
      </c>
      <c r="C183" s="59"/>
      <c r="D183" s="59">
        <f t="shared" si="5"/>
        <v>8</v>
      </c>
      <c r="E183" s="60">
        <v>25</v>
      </c>
      <c r="F183" s="60">
        <v>28</v>
      </c>
      <c r="G183" s="61">
        <v>26</v>
      </c>
      <c r="H183" s="60">
        <v>32</v>
      </c>
      <c r="I183" s="60">
        <v>34</v>
      </c>
      <c r="J183" s="61">
        <v>33</v>
      </c>
      <c r="K183" s="60">
        <v>16</v>
      </c>
      <c r="L183" s="60">
        <v>24</v>
      </c>
      <c r="M183" s="61">
        <v>20</v>
      </c>
      <c r="N183" s="60">
        <v>55</v>
      </c>
      <c r="O183" s="60">
        <v>58</v>
      </c>
      <c r="P183" s="61">
        <v>56</v>
      </c>
      <c r="Q183" s="60">
        <v>18</v>
      </c>
      <c r="R183" s="60">
        <v>20</v>
      </c>
      <c r="S183" s="61">
        <v>19</v>
      </c>
      <c r="T183" s="60">
        <v>26</v>
      </c>
      <c r="U183" s="60">
        <v>28</v>
      </c>
      <c r="V183" s="61">
        <v>27</v>
      </c>
      <c r="Y183" s="61"/>
      <c r="AB183" s="61"/>
      <c r="AE183" s="61"/>
      <c r="AH183" s="61"/>
    </row>
    <row r="184" spans="1:34" s="60" customFormat="1" ht="10" x14ac:dyDescent="0.2">
      <c r="A184" s="58">
        <v>43706</v>
      </c>
      <c r="B184" s="59">
        <f t="shared" si="4"/>
        <v>2019</v>
      </c>
      <c r="C184" s="59"/>
      <c r="D184" s="59">
        <f t="shared" si="5"/>
        <v>8</v>
      </c>
      <c r="E184" s="60">
        <v>25</v>
      </c>
      <c r="F184" s="60">
        <v>28</v>
      </c>
      <c r="G184" s="61">
        <v>26</v>
      </c>
      <c r="H184" s="60">
        <v>32</v>
      </c>
      <c r="I184" s="60">
        <v>34</v>
      </c>
      <c r="J184" s="61">
        <v>33</v>
      </c>
      <c r="K184" s="60">
        <v>16</v>
      </c>
      <c r="L184" s="60">
        <v>24</v>
      </c>
      <c r="M184" s="61">
        <v>20</v>
      </c>
      <c r="N184" s="60">
        <v>55</v>
      </c>
      <c r="O184" s="60">
        <v>58</v>
      </c>
      <c r="P184" s="61">
        <v>56</v>
      </c>
      <c r="Q184" s="60">
        <v>18</v>
      </c>
      <c r="R184" s="60">
        <v>20</v>
      </c>
      <c r="S184" s="61">
        <v>19</v>
      </c>
      <c r="T184" s="60">
        <v>26</v>
      </c>
      <c r="U184" s="60">
        <v>28</v>
      </c>
      <c r="V184" s="61">
        <v>27</v>
      </c>
      <c r="Y184" s="61"/>
      <c r="AB184" s="61"/>
      <c r="AE184" s="61"/>
      <c r="AH184" s="61"/>
    </row>
    <row r="185" spans="1:34" s="60" customFormat="1" ht="10" x14ac:dyDescent="0.2">
      <c r="A185" s="58">
        <v>43713</v>
      </c>
      <c r="B185" s="59">
        <f t="shared" si="4"/>
        <v>2019</v>
      </c>
      <c r="C185" s="59"/>
      <c r="D185" s="59">
        <f t="shared" si="5"/>
        <v>9</v>
      </c>
      <c r="E185" s="60">
        <v>25</v>
      </c>
      <c r="F185" s="60">
        <v>28</v>
      </c>
      <c r="G185" s="61">
        <v>26</v>
      </c>
      <c r="H185" s="60">
        <v>32</v>
      </c>
      <c r="I185" s="60">
        <v>34</v>
      </c>
      <c r="J185" s="61">
        <v>33</v>
      </c>
      <c r="K185" s="60">
        <v>16</v>
      </c>
      <c r="L185" s="60">
        <v>24</v>
      </c>
      <c r="M185" s="61">
        <v>20</v>
      </c>
      <c r="N185" s="60">
        <v>55</v>
      </c>
      <c r="O185" s="60">
        <v>58</v>
      </c>
      <c r="P185" s="61">
        <v>56</v>
      </c>
      <c r="Q185" s="60">
        <v>18</v>
      </c>
      <c r="R185" s="60">
        <v>20</v>
      </c>
      <c r="S185" s="61">
        <v>19</v>
      </c>
      <c r="T185" s="60">
        <v>26</v>
      </c>
      <c r="U185" s="60">
        <v>28</v>
      </c>
      <c r="V185" s="61">
        <v>27</v>
      </c>
      <c r="Y185" s="61"/>
      <c r="AB185" s="61"/>
      <c r="AE185" s="61"/>
      <c r="AH185" s="61"/>
    </row>
    <row r="186" spans="1:34" s="60" customFormat="1" ht="10" x14ac:dyDescent="0.2">
      <c r="A186" s="58">
        <v>43720</v>
      </c>
      <c r="B186" s="59">
        <f t="shared" si="4"/>
        <v>2019</v>
      </c>
      <c r="C186" s="59"/>
      <c r="D186" s="59">
        <f t="shared" si="5"/>
        <v>9</v>
      </c>
      <c r="E186" s="60">
        <v>25</v>
      </c>
      <c r="F186" s="60">
        <v>28</v>
      </c>
      <c r="G186" s="61">
        <v>26</v>
      </c>
      <c r="H186" s="60">
        <v>32</v>
      </c>
      <c r="I186" s="60">
        <v>34</v>
      </c>
      <c r="J186" s="61">
        <v>33</v>
      </c>
      <c r="K186" s="60">
        <v>16</v>
      </c>
      <c r="L186" s="60">
        <v>24</v>
      </c>
      <c r="M186" s="61">
        <v>20</v>
      </c>
      <c r="N186" s="60">
        <v>55</v>
      </c>
      <c r="O186" s="60">
        <v>58</v>
      </c>
      <c r="P186" s="61">
        <v>56</v>
      </c>
      <c r="Q186" s="60">
        <v>18</v>
      </c>
      <c r="R186" s="60">
        <v>20</v>
      </c>
      <c r="S186" s="61">
        <v>19</v>
      </c>
      <c r="T186" s="60">
        <v>26</v>
      </c>
      <c r="U186" s="60">
        <v>28</v>
      </c>
      <c r="V186" s="61">
        <v>27</v>
      </c>
      <c r="Y186" s="61"/>
      <c r="AB186" s="61"/>
      <c r="AE186" s="61"/>
      <c r="AH186" s="61"/>
    </row>
    <row r="187" spans="1:34" s="60" customFormat="1" ht="10" x14ac:dyDescent="0.2">
      <c r="A187" s="58">
        <v>43727</v>
      </c>
      <c r="B187" s="59">
        <f t="shared" si="4"/>
        <v>2019</v>
      </c>
      <c r="C187" s="59"/>
      <c r="D187" s="59">
        <f t="shared" si="5"/>
        <v>9</v>
      </c>
      <c r="E187" s="60">
        <v>25</v>
      </c>
      <c r="F187" s="60">
        <v>28</v>
      </c>
      <c r="G187" s="61">
        <v>26</v>
      </c>
      <c r="H187" s="60">
        <v>32</v>
      </c>
      <c r="I187" s="60">
        <v>34</v>
      </c>
      <c r="J187" s="61">
        <v>33</v>
      </c>
      <c r="K187" s="60">
        <v>16</v>
      </c>
      <c r="L187" s="60">
        <v>24</v>
      </c>
      <c r="M187" s="61">
        <v>20</v>
      </c>
      <c r="N187" s="60">
        <v>55</v>
      </c>
      <c r="O187" s="60">
        <v>58</v>
      </c>
      <c r="P187" s="61">
        <v>56</v>
      </c>
      <c r="Q187" s="60">
        <v>18</v>
      </c>
      <c r="R187" s="60">
        <v>20</v>
      </c>
      <c r="S187" s="61">
        <v>19</v>
      </c>
      <c r="T187" s="60">
        <v>26</v>
      </c>
      <c r="U187" s="60">
        <v>28</v>
      </c>
      <c r="V187" s="61">
        <v>27</v>
      </c>
      <c r="Y187" s="61"/>
      <c r="AB187" s="61"/>
      <c r="AE187" s="61"/>
      <c r="AH187" s="61"/>
    </row>
    <row r="188" spans="1:34" s="60" customFormat="1" ht="10" x14ac:dyDescent="0.2">
      <c r="A188" s="58">
        <v>43734</v>
      </c>
      <c r="B188" s="59">
        <f t="shared" si="4"/>
        <v>2019</v>
      </c>
      <c r="C188" s="59"/>
      <c r="D188" s="59">
        <f t="shared" si="5"/>
        <v>9</v>
      </c>
      <c r="E188" s="60">
        <v>25</v>
      </c>
      <c r="F188" s="60">
        <v>28</v>
      </c>
      <c r="G188" s="61">
        <v>26</v>
      </c>
      <c r="H188" s="60">
        <v>32</v>
      </c>
      <c r="I188" s="60">
        <v>34</v>
      </c>
      <c r="J188" s="61">
        <v>33</v>
      </c>
      <c r="K188" s="60">
        <v>16</v>
      </c>
      <c r="L188" s="60">
        <v>24</v>
      </c>
      <c r="M188" s="61">
        <v>20</v>
      </c>
      <c r="N188" s="60">
        <v>55</v>
      </c>
      <c r="O188" s="60">
        <v>58</v>
      </c>
      <c r="P188" s="61">
        <v>56</v>
      </c>
      <c r="Q188" s="60">
        <v>18</v>
      </c>
      <c r="R188" s="60">
        <v>20</v>
      </c>
      <c r="S188" s="61">
        <v>19</v>
      </c>
      <c r="T188" s="60">
        <v>26</v>
      </c>
      <c r="U188" s="60">
        <v>28</v>
      </c>
      <c r="V188" s="61">
        <v>27</v>
      </c>
      <c r="Y188" s="61"/>
      <c r="AB188" s="61"/>
      <c r="AE188" s="61"/>
      <c r="AH188" s="61"/>
    </row>
    <row r="189" spans="1:34" s="60" customFormat="1" ht="10" x14ac:dyDescent="0.2">
      <c r="A189" s="58">
        <v>43741</v>
      </c>
      <c r="B189" s="59">
        <f t="shared" si="4"/>
        <v>2019</v>
      </c>
      <c r="C189" s="59"/>
      <c r="D189" s="59">
        <f t="shared" si="5"/>
        <v>10</v>
      </c>
      <c r="E189" s="60">
        <v>25</v>
      </c>
      <c r="F189" s="60">
        <v>27</v>
      </c>
      <c r="G189" s="61">
        <v>26</v>
      </c>
      <c r="H189" s="60">
        <v>32</v>
      </c>
      <c r="I189" s="60">
        <v>34</v>
      </c>
      <c r="J189" s="61">
        <v>33</v>
      </c>
      <c r="K189" s="60">
        <v>16</v>
      </c>
      <c r="L189" s="60">
        <v>24</v>
      </c>
      <c r="M189" s="61">
        <v>20</v>
      </c>
      <c r="N189" s="60">
        <v>64</v>
      </c>
      <c r="O189" s="60">
        <v>70</v>
      </c>
      <c r="P189" s="61">
        <v>67</v>
      </c>
      <c r="Q189" s="60">
        <v>18</v>
      </c>
      <c r="R189" s="60">
        <v>23</v>
      </c>
      <c r="S189" s="61">
        <v>20</v>
      </c>
      <c r="T189" s="60">
        <v>28</v>
      </c>
      <c r="U189" s="60">
        <v>30</v>
      </c>
      <c r="V189" s="61">
        <v>29</v>
      </c>
      <c r="Y189" s="61"/>
      <c r="AB189" s="61"/>
      <c r="AE189" s="61"/>
      <c r="AH189" s="61"/>
    </row>
    <row r="190" spans="1:34" s="60" customFormat="1" ht="10" x14ac:dyDescent="0.2">
      <c r="A190" s="58">
        <v>43748</v>
      </c>
      <c r="B190" s="59">
        <f t="shared" si="4"/>
        <v>2019</v>
      </c>
      <c r="C190" s="59"/>
      <c r="D190" s="59">
        <f t="shared" si="5"/>
        <v>10</v>
      </c>
      <c r="E190" s="60">
        <v>25</v>
      </c>
      <c r="F190" s="60">
        <v>27</v>
      </c>
      <c r="G190" s="61">
        <v>26</v>
      </c>
      <c r="H190" s="60">
        <v>31</v>
      </c>
      <c r="I190" s="60">
        <v>33</v>
      </c>
      <c r="J190" s="61">
        <v>32</v>
      </c>
      <c r="K190" s="60">
        <v>15</v>
      </c>
      <c r="L190" s="60">
        <v>23</v>
      </c>
      <c r="M190" s="61">
        <v>19</v>
      </c>
      <c r="N190" s="60">
        <v>64</v>
      </c>
      <c r="O190" s="60">
        <v>70</v>
      </c>
      <c r="P190" s="61">
        <v>67</v>
      </c>
      <c r="Q190" s="60">
        <v>18</v>
      </c>
      <c r="R190" s="60">
        <v>23</v>
      </c>
      <c r="S190" s="61">
        <v>20</v>
      </c>
      <c r="T190" s="60">
        <v>28</v>
      </c>
      <c r="U190" s="60">
        <v>30</v>
      </c>
      <c r="V190" s="61">
        <v>29</v>
      </c>
      <c r="Y190" s="61"/>
      <c r="AB190" s="61"/>
      <c r="AE190" s="61"/>
      <c r="AH190" s="61"/>
    </row>
    <row r="191" spans="1:34" s="60" customFormat="1" ht="10" x14ac:dyDescent="0.2">
      <c r="A191" s="58">
        <v>43755</v>
      </c>
      <c r="B191" s="59">
        <f t="shared" si="4"/>
        <v>2019</v>
      </c>
      <c r="C191" s="59"/>
      <c r="D191" s="59">
        <f t="shared" si="5"/>
        <v>10</v>
      </c>
      <c r="E191" s="60">
        <v>26</v>
      </c>
      <c r="F191" s="60">
        <v>28</v>
      </c>
      <c r="G191" s="61">
        <v>27</v>
      </c>
      <c r="H191" s="60">
        <v>32</v>
      </c>
      <c r="I191" s="60">
        <v>34</v>
      </c>
      <c r="J191" s="61">
        <v>33</v>
      </c>
      <c r="K191" s="60">
        <v>16</v>
      </c>
      <c r="L191" s="60">
        <v>24</v>
      </c>
      <c r="M191" s="61">
        <v>20</v>
      </c>
      <c r="N191" s="60">
        <v>64</v>
      </c>
      <c r="O191" s="60">
        <v>70</v>
      </c>
      <c r="P191" s="61">
        <v>67</v>
      </c>
      <c r="Q191" s="60">
        <v>18</v>
      </c>
      <c r="R191" s="60">
        <v>23</v>
      </c>
      <c r="S191" s="61">
        <v>20</v>
      </c>
      <c r="T191" s="60">
        <v>28</v>
      </c>
      <c r="U191" s="60">
        <v>30</v>
      </c>
      <c r="V191" s="61">
        <v>29</v>
      </c>
      <c r="Y191" s="61"/>
      <c r="AB191" s="61"/>
      <c r="AE191" s="61"/>
      <c r="AH191" s="61"/>
    </row>
    <row r="192" spans="1:34" s="60" customFormat="1" ht="10" x14ac:dyDescent="0.2">
      <c r="A192" s="58">
        <v>43762</v>
      </c>
      <c r="B192" s="59">
        <f t="shared" si="4"/>
        <v>2019</v>
      </c>
      <c r="C192" s="59"/>
      <c r="D192" s="59">
        <f t="shared" si="5"/>
        <v>10</v>
      </c>
      <c r="E192" s="60">
        <v>26</v>
      </c>
      <c r="F192" s="60">
        <v>28</v>
      </c>
      <c r="G192" s="61">
        <v>27</v>
      </c>
      <c r="H192" s="60">
        <v>32</v>
      </c>
      <c r="I192" s="60">
        <v>34</v>
      </c>
      <c r="J192" s="61">
        <v>33</v>
      </c>
      <c r="K192" s="60">
        <v>16</v>
      </c>
      <c r="L192" s="60">
        <v>24</v>
      </c>
      <c r="M192" s="61">
        <v>20</v>
      </c>
      <c r="N192" s="60">
        <v>64</v>
      </c>
      <c r="O192" s="60">
        <v>70</v>
      </c>
      <c r="P192" s="61">
        <v>67</v>
      </c>
      <c r="Q192" s="60">
        <v>18</v>
      </c>
      <c r="R192" s="60">
        <v>23</v>
      </c>
      <c r="S192" s="61">
        <v>20</v>
      </c>
      <c r="T192" s="60">
        <v>28</v>
      </c>
      <c r="U192" s="60">
        <v>30</v>
      </c>
      <c r="V192" s="61">
        <v>29</v>
      </c>
      <c r="Y192" s="61"/>
      <c r="AB192" s="61"/>
      <c r="AE192" s="61"/>
      <c r="AH192" s="61"/>
    </row>
    <row r="193" spans="1:34" s="60" customFormat="1" ht="10" x14ac:dyDescent="0.2">
      <c r="A193" s="58">
        <v>43769</v>
      </c>
      <c r="B193" s="59">
        <f t="shared" si="4"/>
        <v>2019</v>
      </c>
      <c r="C193" s="59"/>
      <c r="D193" s="59">
        <f t="shared" si="5"/>
        <v>10</v>
      </c>
      <c r="E193" s="60">
        <v>27</v>
      </c>
      <c r="F193" s="60">
        <v>29</v>
      </c>
      <c r="G193" s="61">
        <v>28</v>
      </c>
      <c r="H193" s="60">
        <v>33</v>
      </c>
      <c r="I193" s="60">
        <v>34</v>
      </c>
      <c r="J193" s="61">
        <v>34</v>
      </c>
      <c r="K193" s="60">
        <v>17</v>
      </c>
      <c r="L193" s="60">
        <v>25</v>
      </c>
      <c r="M193" s="61">
        <v>21</v>
      </c>
      <c r="N193" s="60">
        <v>63</v>
      </c>
      <c r="O193" s="60">
        <v>69</v>
      </c>
      <c r="P193" s="61">
        <v>66</v>
      </c>
      <c r="Q193" s="60">
        <v>17</v>
      </c>
      <c r="R193" s="60">
        <v>22</v>
      </c>
      <c r="S193" s="61">
        <v>20</v>
      </c>
      <c r="T193" s="60">
        <v>27</v>
      </c>
      <c r="U193" s="60">
        <v>29</v>
      </c>
      <c r="V193" s="61">
        <v>28</v>
      </c>
      <c r="Y193" s="61"/>
      <c r="AB193" s="61"/>
      <c r="AE193" s="61"/>
      <c r="AH193" s="61"/>
    </row>
    <row r="194" spans="1:34" s="60" customFormat="1" ht="10" x14ac:dyDescent="0.2">
      <c r="A194" s="58">
        <v>43776</v>
      </c>
      <c r="B194" s="59">
        <f t="shared" si="4"/>
        <v>2019</v>
      </c>
      <c r="C194" s="59"/>
      <c r="D194" s="59">
        <f t="shared" si="5"/>
        <v>11</v>
      </c>
      <c r="E194" s="60">
        <v>28</v>
      </c>
      <c r="F194" s="60">
        <v>30</v>
      </c>
      <c r="G194" s="61">
        <v>29</v>
      </c>
      <c r="H194" s="60">
        <v>33</v>
      </c>
      <c r="I194" s="60">
        <v>34</v>
      </c>
      <c r="J194" s="61">
        <v>34</v>
      </c>
      <c r="K194" s="60">
        <v>17</v>
      </c>
      <c r="L194" s="60">
        <v>25</v>
      </c>
      <c r="M194" s="61">
        <v>21</v>
      </c>
      <c r="N194" s="60">
        <v>64</v>
      </c>
      <c r="O194" s="60">
        <v>70</v>
      </c>
      <c r="P194" s="61">
        <v>67</v>
      </c>
      <c r="Q194" s="60">
        <v>17</v>
      </c>
      <c r="R194" s="60">
        <v>22</v>
      </c>
      <c r="S194" s="61">
        <v>20</v>
      </c>
      <c r="T194" s="60">
        <v>27</v>
      </c>
      <c r="U194" s="60">
        <v>29</v>
      </c>
      <c r="V194" s="61">
        <v>28</v>
      </c>
      <c r="Y194" s="61"/>
      <c r="AB194" s="61"/>
      <c r="AE194" s="61"/>
      <c r="AH194" s="61"/>
    </row>
    <row r="195" spans="1:34" s="60" customFormat="1" ht="10" x14ac:dyDescent="0.2">
      <c r="A195" s="58">
        <v>43783</v>
      </c>
      <c r="B195" s="59">
        <f t="shared" ref="B195:B258" si="6">YEAR(A195)</f>
        <v>2019</v>
      </c>
      <c r="C195" s="59"/>
      <c r="D195" s="59">
        <f t="shared" ref="D195:D258" si="7">MONTH(A195)</f>
        <v>11</v>
      </c>
      <c r="E195" s="60">
        <v>29</v>
      </c>
      <c r="F195" s="60">
        <v>31</v>
      </c>
      <c r="G195" s="61">
        <v>30</v>
      </c>
      <c r="H195" s="60">
        <v>34</v>
      </c>
      <c r="I195" s="60">
        <v>35</v>
      </c>
      <c r="J195" s="61">
        <v>34</v>
      </c>
      <c r="K195" s="60">
        <v>18</v>
      </c>
      <c r="L195" s="60">
        <v>26</v>
      </c>
      <c r="M195" s="61">
        <v>22</v>
      </c>
      <c r="N195" s="60">
        <v>65</v>
      </c>
      <c r="O195" s="60">
        <v>71</v>
      </c>
      <c r="P195" s="61">
        <v>68</v>
      </c>
      <c r="Q195" s="60">
        <v>17</v>
      </c>
      <c r="R195" s="60">
        <v>22</v>
      </c>
      <c r="S195" s="61">
        <v>20</v>
      </c>
      <c r="T195" s="60">
        <v>27</v>
      </c>
      <c r="U195" s="60">
        <v>29</v>
      </c>
      <c r="V195" s="61">
        <v>28</v>
      </c>
      <c r="Y195" s="61"/>
      <c r="AB195" s="61"/>
      <c r="AE195" s="61"/>
      <c r="AH195" s="61"/>
    </row>
    <row r="196" spans="1:34" s="60" customFormat="1" ht="10" x14ac:dyDescent="0.2">
      <c r="A196" s="58">
        <v>43790</v>
      </c>
      <c r="B196" s="59">
        <f t="shared" si="6"/>
        <v>2019</v>
      </c>
      <c r="C196" s="59"/>
      <c r="D196" s="59">
        <f t="shared" si="7"/>
        <v>11</v>
      </c>
      <c r="E196" s="60">
        <v>31</v>
      </c>
      <c r="F196" s="60">
        <v>33</v>
      </c>
      <c r="G196" s="61">
        <v>32</v>
      </c>
      <c r="H196" s="60">
        <v>35</v>
      </c>
      <c r="I196" s="60">
        <v>36</v>
      </c>
      <c r="J196" s="61">
        <v>36</v>
      </c>
      <c r="K196" s="60">
        <v>18</v>
      </c>
      <c r="L196" s="60">
        <v>26</v>
      </c>
      <c r="M196" s="61">
        <v>22</v>
      </c>
      <c r="N196" s="60">
        <v>65</v>
      </c>
      <c r="O196" s="60">
        <v>71</v>
      </c>
      <c r="P196" s="61">
        <v>68</v>
      </c>
      <c r="Q196" s="60">
        <v>17</v>
      </c>
      <c r="R196" s="60">
        <v>22</v>
      </c>
      <c r="S196" s="61">
        <v>20</v>
      </c>
      <c r="T196" s="60">
        <v>27</v>
      </c>
      <c r="U196" s="60">
        <v>29</v>
      </c>
      <c r="V196" s="61">
        <v>28</v>
      </c>
      <c r="Y196" s="61"/>
      <c r="AB196" s="61"/>
      <c r="AE196" s="61"/>
      <c r="AH196" s="61"/>
    </row>
    <row r="197" spans="1:34" s="60" customFormat="1" ht="10" x14ac:dyDescent="0.2">
      <c r="A197" s="58">
        <v>43797</v>
      </c>
      <c r="B197" s="59">
        <f t="shared" si="6"/>
        <v>2019</v>
      </c>
      <c r="C197" s="59"/>
      <c r="D197" s="59">
        <f t="shared" si="7"/>
        <v>11</v>
      </c>
      <c r="E197" s="60">
        <v>31</v>
      </c>
      <c r="F197" s="60">
        <v>33</v>
      </c>
      <c r="G197" s="61">
        <v>32</v>
      </c>
      <c r="H197" s="60">
        <v>35</v>
      </c>
      <c r="I197" s="60">
        <v>36</v>
      </c>
      <c r="J197" s="61">
        <v>36</v>
      </c>
      <c r="K197" s="60">
        <v>18</v>
      </c>
      <c r="L197" s="60">
        <v>27</v>
      </c>
      <c r="M197" s="61">
        <v>22</v>
      </c>
      <c r="N197" s="60">
        <v>66</v>
      </c>
      <c r="O197" s="60">
        <v>72</v>
      </c>
      <c r="P197" s="61">
        <v>69</v>
      </c>
      <c r="Q197" s="60">
        <v>18</v>
      </c>
      <c r="R197" s="60">
        <v>23</v>
      </c>
      <c r="S197" s="61">
        <v>20</v>
      </c>
      <c r="T197" s="60">
        <v>28</v>
      </c>
      <c r="U197" s="60">
        <v>30</v>
      </c>
      <c r="V197" s="61">
        <v>29</v>
      </c>
      <c r="Y197" s="61"/>
      <c r="AB197" s="61"/>
      <c r="AE197" s="61"/>
      <c r="AH197" s="61"/>
    </row>
    <row r="198" spans="1:34" s="60" customFormat="1" ht="10" x14ac:dyDescent="0.2">
      <c r="A198" s="58">
        <v>43804</v>
      </c>
      <c r="B198" s="59">
        <f t="shared" si="6"/>
        <v>2019</v>
      </c>
      <c r="C198" s="59"/>
      <c r="D198" s="59">
        <f t="shared" si="7"/>
        <v>12</v>
      </c>
      <c r="E198" s="60">
        <v>31</v>
      </c>
      <c r="F198" s="60">
        <v>33</v>
      </c>
      <c r="G198" s="61">
        <v>32</v>
      </c>
      <c r="H198" s="60">
        <v>35</v>
      </c>
      <c r="I198" s="60">
        <v>36</v>
      </c>
      <c r="J198" s="61">
        <v>36</v>
      </c>
      <c r="K198" s="60">
        <v>18</v>
      </c>
      <c r="L198" s="60">
        <v>27</v>
      </c>
      <c r="M198" s="61">
        <v>22</v>
      </c>
      <c r="N198" s="60">
        <v>66</v>
      </c>
      <c r="O198" s="60">
        <v>72</v>
      </c>
      <c r="P198" s="61">
        <v>69</v>
      </c>
      <c r="Q198" s="60">
        <v>18</v>
      </c>
      <c r="R198" s="60">
        <v>23</v>
      </c>
      <c r="S198" s="61">
        <v>20</v>
      </c>
      <c r="T198" s="60">
        <v>28</v>
      </c>
      <c r="U198" s="60">
        <v>30</v>
      </c>
      <c r="V198" s="61">
        <v>29</v>
      </c>
      <c r="Y198" s="61"/>
      <c r="AB198" s="61"/>
      <c r="AE198" s="61"/>
      <c r="AH198" s="61"/>
    </row>
    <row r="199" spans="1:34" s="60" customFormat="1" ht="10" x14ac:dyDescent="0.2">
      <c r="A199" s="58">
        <v>43811</v>
      </c>
      <c r="B199" s="59">
        <f t="shared" si="6"/>
        <v>2019</v>
      </c>
      <c r="C199" s="59"/>
      <c r="D199" s="59">
        <f t="shared" si="7"/>
        <v>12</v>
      </c>
      <c r="E199" s="60">
        <v>31</v>
      </c>
      <c r="F199" s="60">
        <v>33</v>
      </c>
      <c r="G199" s="61">
        <v>32</v>
      </c>
      <c r="H199" s="60">
        <v>37</v>
      </c>
      <c r="I199" s="60">
        <v>38</v>
      </c>
      <c r="J199" s="61">
        <v>38</v>
      </c>
      <c r="K199" s="60">
        <v>18</v>
      </c>
      <c r="L199" s="60">
        <v>27</v>
      </c>
      <c r="M199" s="61">
        <v>22</v>
      </c>
      <c r="N199" s="60">
        <v>66</v>
      </c>
      <c r="O199" s="60">
        <v>72</v>
      </c>
      <c r="P199" s="61">
        <v>69</v>
      </c>
      <c r="Q199" s="60">
        <v>18</v>
      </c>
      <c r="R199" s="60">
        <v>23</v>
      </c>
      <c r="S199" s="61">
        <v>20</v>
      </c>
      <c r="T199" s="60">
        <v>28</v>
      </c>
      <c r="U199" s="60">
        <v>30</v>
      </c>
      <c r="V199" s="61">
        <v>29</v>
      </c>
      <c r="Y199" s="61"/>
      <c r="AB199" s="61"/>
      <c r="AE199" s="61"/>
      <c r="AH199" s="61"/>
    </row>
    <row r="200" spans="1:34" s="60" customFormat="1" ht="10" x14ac:dyDescent="0.2">
      <c r="A200" s="58">
        <v>43818</v>
      </c>
      <c r="B200" s="59">
        <f t="shared" si="6"/>
        <v>2019</v>
      </c>
      <c r="C200" s="59"/>
      <c r="D200" s="59">
        <f t="shared" si="7"/>
        <v>12</v>
      </c>
      <c r="E200" s="60">
        <v>31</v>
      </c>
      <c r="F200" s="60">
        <v>33</v>
      </c>
      <c r="G200" s="61">
        <v>32</v>
      </c>
      <c r="H200" s="60">
        <v>37</v>
      </c>
      <c r="I200" s="60">
        <v>38</v>
      </c>
      <c r="J200" s="61">
        <v>38</v>
      </c>
      <c r="K200" s="60">
        <v>18</v>
      </c>
      <c r="L200" s="60">
        <v>27</v>
      </c>
      <c r="M200" s="61">
        <v>22</v>
      </c>
      <c r="N200" s="60">
        <v>66</v>
      </c>
      <c r="O200" s="60">
        <v>72</v>
      </c>
      <c r="P200" s="61">
        <v>69</v>
      </c>
      <c r="Q200" s="60">
        <v>18</v>
      </c>
      <c r="R200" s="60">
        <v>23</v>
      </c>
      <c r="S200" s="61">
        <v>20</v>
      </c>
      <c r="T200" s="60">
        <v>28</v>
      </c>
      <c r="U200" s="60">
        <v>30</v>
      </c>
      <c r="V200" s="61">
        <v>29</v>
      </c>
      <c r="Y200" s="61"/>
      <c r="AB200" s="61"/>
      <c r="AE200" s="61"/>
      <c r="AH200" s="61"/>
    </row>
    <row r="201" spans="1:34" s="60" customFormat="1" ht="10" x14ac:dyDescent="0.2">
      <c r="A201" s="58">
        <v>43825</v>
      </c>
      <c r="B201" s="59">
        <f t="shared" si="6"/>
        <v>2019</v>
      </c>
      <c r="C201" s="59"/>
      <c r="D201" s="59">
        <f t="shared" si="7"/>
        <v>12</v>
      </c>
      <c r="E201" s="60">
        <v>31</v>
      </c>
      <c r="F201" s="60">
        <v>33</v>
      </c>
      <c r="G201" s="61">
        <v>32</v>
      </c>
      <c r="H201" s="60">
        <v>37</v>
      </c>
      <c r="I201" s="60">
        <v>38</v>
      </c>
      <c r="J201" s="61">
        <v>38</v>
      </c>
      <c r="K201" s="60">
        <v>18</v>
      </c>
      <c r="L201" s="60">
        <v>27</v>
      </c>
      <c r="M201" s="61">
        <v>22</v>
      </c>
      <c r="N201" s="60">
        <v>66</v>
      </c>
      <c r="O201" s="60">
        <v>72</v>
      </c>
      <c r="P201" s="61">
        <v>69</v>
      </c>
      <c r="Q201" s="60">
        <v>18</v>
      </c>
      <c r="R201" s="60">
        <v>23</v>
      </c>
      <c r="S201" s="61">
        <v>20</v>
      </c>
      <c r="T201" s="60">
        <v>28</v>
      </c>
      <c r="U201" s="60">
        <v>30</v>
      </c>
      <c r="V201" s="61">
        <v>29</v>
      </c>
      <c r="Y201" s="61"/>
      <c r="AB201" s="61"/>
      <c r="AE201" s="61"/>
      <c r="AH201" s="61"/>
    </row>
    <row r="202" spans="1:34" s="60" customFormat="1" ht="10" x14ac:dyDescent="0.2">
      <c r="A202" s="58">
        <v>43832</v>
      </c>
      <c r="B202" s="59">
        <f t="shared" si="6"/>
        <v>2020</v>
      </c>
      <c r="C202" s="59"/>
      <c r="D202" s="59">
        <f t="shared" si="7"/>
        <v>1</v>
      </c>
      <c r="E202" s="60">
        <v>31</v>
      </c>
      <c r="F202" s="60">
        <v>33</v>
      </c>
      <c r="G202" s="61">
        <v>32</v>
      </c>
      <c r="H202" s="60">
        <v>37</v>
      </c>
      <c r="I202" s="60">
        <v>38</v>
      </c>
      <c r="J202" s="61">
        <v>38</v>
      </c>
      <c r="K202" s="60">
        <v>18</v>
      </c>
      <c r="L202" s="60">
        <v>27</v>
      </c>
      <c r="M202" s="61">
        <v>22</v>
      </c>
      <c r="N202" s="60">
        <v>66</v>
      </c>
      <c r="O202" s="60">
        <v>72</v>
      </c>
      <c r="P202" s="61">
        <v>69</v>
      </c>
      <c r="Q202" s="60">
        <v>18</v>
      </c>
      <c r="R202" s="60">
        <v>23</v>
      </c>
      <c r="S202" s="61">
        <v>20</v>
      </c>
      <c r="T202" s="60">
        <v>28</v>
      </c>
      <c r="U202" s="60">
        <v>30</v>
      </c>
      <c r="V202" s="61">
        <v>29</v>
      </c>
      <c r="Y202" s="61"/>
      <c r="AB202" s="61"/>
      <c r="AE202" s="61"/>
      <c r="AH202" s="61"/>
    </row>
    <row r="203" spans="1:34" s="60" customFormat="1" ht="10" x14ac:dyDescent="0.2">
      <c r="A203" s="58">
        <v>43839</v>
      </c>
      <c r="B203" s="59">
        <f t="shared" si="6"/>
        <v>2020</v>
      </c>
      <c r="C203" s="59"/>
      <c r="D203" s="59">
        <f t="shared" si="7"/>
        <v>1</v>
      </c>
      <c r="E203" s="60">
        <v>32</v>
      </c>
      <c r="F203" s="60">
        <v>34</v>
      </c>
      <c r="G203" s="61">
        <v>33</v>
      </c>
      <c r="H203" s="60">
        <v>37</v>
      </c>
      <c r="I203" s="60">
        <v>38</v>
      </c>
      <c r="J203" s="61">
        <v>38</v>
      </c>
      <c r="K203" s="60">
        <v>19</v>
      </c>
      <c r="L203" s="60">
        <v>28</v>
      </c>
      <c r="M203" s="61">
        <v>24</v>
      </c>
      <c r="N203" s="60">
        <v>67</v>
      </c>
      <c r="O203" s="60">
        <v>73</v>
      </c>
      <c r="P203" s="61">
        <v>70</v>
      </c>
      <c r="Q203" s="60">
        <v>18</v>
      </c>
      <c r="R203" s="60">
        <v>23</v>
      </c>
      <c r="S203" s="61">
        <v>20</v>
      </c>
      <c r="T203" s="60">
        <v>28</v>
      </c>
      <c r="U203" s="60">
        <v>30</v>
      </c>
      <c r="V203" s="61">
        <v>29</v>
      </c>
      <c r="Y203" s="61"/>
      <c r="AB203" s="61"/>
      <c r="AE203" s="61"/>
      <c r="AH203" s="61"/>
    </row>
    <row r="204" spans="1:34" s="60" customFormat="1" ht="10" x14ac:dyDescent="0.2">
      <c r="A204" s="58">
        <v>43846</v>
      </c>
      <c r="B204" s="59">
        <f t="shared" si="6"/>
        <v>2020</v>
      </c>
      <c r="C204" s="59"/>
      <c r="D204" s="59">
        <f t="shared" si="7"/>
        <v>1</v>
      </c>
      <c r="E204" s="60">
        <v>33</v>
      </c>
      <c r="F204" s="60">
        <v>35</v>
      </c>
      <c r="G204" s="61">
        <v>34</v>
      </c>
      <c r="H204" s="60">
        <v>38</v>
      </c>
      <c r="I204" s="60">
        <v>39</v>
      </c>
      <c r="J204" s="61">
        <v>38</v>
      </c>
      <c r="K204" s="60">
        <v>20</v>
      </c>
      <c r="L204" s="60">
        <v>29</v>
      </c>
      <c r="M204" s="61">
        <v>24</v>
      </c>
      <c r="N204" s="60">
        <v>69</v>
      </c>
      <c r="O204" s="60">
        <v>75</v>
      </c>
      <c r="P204" s="61">
        <v>72</v>
      </c>
      <c r="Q204" s="60">
        <v>19</v>
      </c>
      <c r="R204" s="60">
        <v>24</v>
      </c>
      <c r="S204" s="61">
        <v>22</v>
      </c>
      <c r="T204" s="60">
        <v>29</v>
      </c>
      <c r="U204" s="60">
        <v>30</v>
      </c>
      <c r="V204" s="61">
        <v>30</v>
      </c>
      <c r="Y204" s="61"/>
      <c r="AB204" s="61"/>
      <c r="AE204" s="61"/>
      <c r="AH204" s="61"/>
    </row>
    <row r="205" spans="1:34" s="60" customFormat="1" ht="10" x14ac:dyDescent="0.2">
      <c r="A205" s="58">
        <v>43853</v>
      </c>
      <c r="B205" s="59">
        <f t="shared" si="6"/>
        <v>2020</v>
      </c>
      <c r="C205" s="59"/>
      <c r="D205" s="59">
        <f t="shared" si="7"/>
        <v>1</v>
      </c>
      <c r="E205" s="60">
        <v>35</v>
      </c>
      <c r="F205" s="60">
        <v>37</v>
      </c>
      <c r="G205" s="61">
        <v>36</v>
      </c>
      <c r="H205" s="60">
        <v>39</v>
      </c>
      <c r="I205" s="60">
        <v>40</v>
      </c>
      <c r="J205" s="61">
        <v>40</v>
      </c>
      <c r="K205" s="60">
        <v>20</v>
      </c>
      <c r="L205" s="60">
        <v>29</v>
      </c>
      <c r="M205" s="61">
        <v>24</v>
      </c>
      <c r="N205" s="60">
        <v>68</v>
      </c>
      <c r="O205" s="60">
        <v>74</v>
      </c>
      <c r="P205" s="61">
        <v>71</v>
      </c>
      <c r="Q205" s="60">
        <v>19</v>
      </c>
      <c r="R205" s="60">
        <v>24</v>
      </c>
      <c r="S205" s="61">
        <v>22</v>
      </c>
      <c r="T205" s="60">
        <v>29</v>
      </c>
      <c r="U205" s="60">
        <v>30</v>
      </c>
      <c r="V205" s="61">
        <v>30</v>
      </c>
      <c r="Y205" s="61"/>
      <c r="AB205" s="61"/>
      <c r="AE205" s="61"/>
      <c r="AH205" s="61"/>
    </row>
    <row r="206" spans="1:34" s="60" customFormat="1" ht="10" x14ac:dyDescent="0.2">
      <c r="A206" s="58">
        <v>43860</v>
      </c>
      <c r="B206" s="59">
        <f t="shared" si="6"/>
        <v>2020</v>
      </c>
      <c r="C206" s="59"/>
      <c r="D206" s="59">
        <f t="shared" si="7"/>
        <v>1</v>
      </c>
      <c r="E206" s="60">
        <v>35</v>
      </c>
      <c r="F206" s="60">
        <v>37</v>
      </c>
      <c r="G206" s="61">
        <v>36</v>
      </c>
      <c r="H206" s="60">
        <v>39</v>
      </c>
      <c r="I206" s="60">
        <v>40</v>
      </c>
      <c r="J206" s="61">
        <v>40</v>
      </c>
      <c r="K206" s="60">
        <v>20</v>
      </c>
      <c r="L206" s="60">
        <v>29</v>
      </c>
      <c r="M206" s="61">
        <v>24</v>
      </c>
      <c r="N206" s="60">
        <v>68</v>
      </c>
      <c r="O206" s="60">
        <v>74</v>
      </c>
      <c r="P206" s="61">
        <v>71</v>
      </c>
      <c r="Q206" s="60">
        <v>19</v>
      </c>
      <c r="R206" s="60">
        <v>24</v>
      </c>
      <c r="S206" s="61">
        <v>22</v>
      </c>
      <c r="T206" s="60">
        <v>31</v>
      </c>
      <c r="U206" s="60">
        <v>32</v>
      </c>
      <c r="V206" s="61">
        <v>32</v>
      </c>
      <c r="Y206" s="61"/>
      <c r="AB206" s="61"/>
      <c r="AE206" s="61"/>
      <c r="AH206" s="61"/>
    </row>
    <row r="207" spans="1:34" s="60" customFormat="1" ht="10" x14ac:dyDescent="0.2">
      <c r="A207" s="58">
        <v>43867</v>
      </c>
      <c r="B207" s="59">
        <f t="shared" si="6"/>
        <v>2020</v>
      </c>
      <c r="C207" s="59"/>
      <c r="D207" s="59">
        <f t="shared" si="7"/>
        <v>2</v>
      </c>
      <c r="E207" s="60">
        <v>34</v>
      </c>
      <c r="F207" s="60">
        <v>37</v>
      </c>
      <c r="G207" s="61">
        <v>36</v>
      </c>
      <c r="H207" s="60">
        <v>38</v>
      </c>
      <c r="I207" s="60">
        <v>39</v>
      </c>
      <c r="J207" s="61">
        <v>38</v>
      </c>
      <c r="K207" s="60">
        <v>19</v>
      </c>
      <c r="L207" s="60">
        <v>28</v>
      </c>
      <c r="M207" s="61">
        <v>24</v>
      </c>
      <c r="N207" s="60">
        <v>66</v>
      </c>
      <c r="O207" s="60">
        <v>72</v>
      </c>
      <c r="P207" s="61">
        <v>69</v>
      </c>
      <c r="Q207" s="60">
        <v>18</v>
      </c>
      <c r="R207" s="60">
        <v>23</v>
      </c>
      <c r="S207" s="61">
        <v>20</v>
      </c>
      <c r="T207" s="60">
        <v>30</v>
      </c>
      <c r="U207" s="60">
        <v>31</v>
      </c>
      <c r="V207" s="61">
        <v>30</v>
      </c>
      <c r="Y207" s="61"/>
      <c r="AB207" s="61"/>
      <c r="AE207" s="61"/>
      <c r="AH207" s="61"/>
    </row>
    <row r="208" spans="1:34" s="60" customFormat="1" ht="10" x14ac:dyDescent="0.2">
      <c r="A208" s="58">
        <v>43874</v>
      </c>
      <c r="B208" s="59">
        <f t="shared" si="6"/>
        <v>2020</v>
      </c>
      <c r="C208" s="59"/>
      <c r="D208" s="59">
        <f t="shared" si="7"/>
        <v>2</v>
      </c>
      <c r="E208" s="60">
        <v>34</v>
      </c>
      <c r="F208" s="60">
        <v>37</v>
      </c>
      <c r="G208" s="61">
        <v>36</v>
      </c>
      <c r="H208" s="60">
        <v>38</v>
      </c>
      <c r="I208" s="60">
        <v>39</v>
      </c>
      <c r="J208" s="61">
        <v>38</v>
      </c>
      <c r="K208" s="60">
        <v>19</v>
      </c>
      <c r="L208" s="60">
        <v>28</v>
      </c>
      <c r="M208" s="61">
        <v>24</v>
      </c>
      <c r="N208" s="60">
        <v>65</v>
      </c>
      <c r="O208" s="60">
        <v>71</v>
      </c>
      <c r="P208" s="61">
        <v>68</v>
      </c>
      <c r="Q208" s="60">
        <v>17</v>
      </c>
      <c r="R208" s="60">
        <v>22</v>
      </c>
      <c r="S208" s="61">
        <v>20</v>
      </c>
      <c r="T208" s="60">
        <v>27</v>
      </c>
      <c r="U208" s="60">
        <v>29</v>
      </c>
      <c r="V208" s="61">
        <v>28</v>
      </c>
      <c r="Y208" s="61"/>
      <c r="AB208" s="61"/>
      <c r="AE208" s="61"/>
      <c r="AH208" s="61"/>
    </row>
    <row r="209" spans="1:34" s="60" customFormat="1" ht="10" x14ac:dyDescent="0.2">
      <c r="A209" s="58">
        <v>43881</v>
      </c>
      <c r="B209" s="59">
        <f t="shared" si="6"/>
        <v>2020</v>
      </c>
      <c r="C209" s="59"/>
      <c r="D209" s="59">
        <f t="shared" si="7"/>
        <v>2</v>
      </c>
      <c r="E209" s="60">
        <v>34</v>
      </c>
      <c r="F209" s="60">
        <v>37</v>
      </c>
      <c r="G209" s="61">
        <v>36</v>
      </c>
      <c r="H209" s="60">
        <v>38</v>
      </c>
      <c r="I209" s="60">
        <v>39</v>
      </c>
      <c r="J209" s="61">
        <v>38</v>
      </c>
      <c r="K209" s="60">
        <v>19</v>
      </c>
      <c r="L209" s="60">
        <v>28</v>
      </c>
      <c r="M209" s="61">
        <v>24</v>
      </c>
      <c r="N209" s="60">
        <v>65</v>
      </c>
      <c r="O209" s="60">
        <v>71</v>
      </c>
      <c r="P209" s="61">
        <v>68</v>
      </c>
      <c r="Q209" s="60">
        <v>17</v>
      </c>
      <c r="R209" s="60">
        <v>22</v>
      </c>
      <c r="S209" s="61">
        <v>20</v>
      </c>
      <c r="T209" s="60">
        <v>27</v>
      </c>
      <c r="U209" s="60">
        <v>29</v>
      </c>
      <c r="V209" s="61">
        <v>28</v>
      </c>
      <c r="Y209" s="61"/>
      <c r="AB209" s="61"/>
      <c r="AE209" s="61"/>
      <c r="AH209" s="61"/>
    </row>
    <row r="210" spans="1:34" s="60" customFormat="1" ht="10" x14ac:dyDescent="0.2">
      <c r="A210" s="58">
        <v>43888</v>
      </c>
      <c r="B210" s="59">
        <f t="shared" si="6"/>
        <v>2020</v>
      </c>
      <c r="C210" s="59"/>
      <c r="D210" s="59">
        <f t="shared" si="7"/>
        <v>2</v>
      </c>
      <c r="E210" s="60">
        <v>34</v>
      </c>
      <c r="F210" s="60">
        <v>37</v>
      </c>
      <c r="G210" s="61">
        <v>36</v>
      </c>
      <c r="H210" s="60">
        <v>38</v>
      </c>
      <c r="I210" s="60">
        <v>39</v>
      </c>
      <c r="J210" s="61">
        <v>38</v>
      </c>
      <c r="K210" s="60">
        <v>19</v>
      </c>
      <c r="L210" s="60">
        <v>28</v>
      </c>
      <c r="M210" s="61">
        <v>24</v>
      </c>
      <c r="N210" s="60">
        <v>65</v>
      </c>
      <c r="O210" s="60">
        <v>71</v>
      </c>
      <c r="P210" s="61">
        <v>68</v>
      </c>
      <c r="Q210" s="60">
        <v>17</v>
      </c>
      <c r="R210" s="60">
        <v>22</v>
      </c>
      <c r="S210" s="61">
        <v>20</v>
      </c>
      <c r="T210" s="60">
        <v>27</v>
      </c>
      <c r="U210" s="60">
        <v>29</v>
      </c>
      <c r="V210" s="61">
        <v>28</v>
      </c>
      <c r="Y210" s="61"/>
      <c r="AB210" s="61"/>
      <c r="AE210" s="61"/>
      <c r="AH210" s="61"/>
    </row>
    <row r="211" spans="1:34" s="60" customFormat="1" ht="10" x14ac:dyDescent="0.2">
      <c r="A211" s="58">
        <v>43895</v>
      </c>
      <c r="B211" s="59">
        <f t="shared" si="6"/>
        <v>2020</v>
      </c>
      <c r="C211" s="59"/>
      <c r="D211" s="59">
        <f t="shared" si="7"/>
        <v>3</v>
      </c>
      <c r="E211" s="60">
        <v>34</v>
      </c>
      <c r="F211" s="60">
        <v>37</v>
      </c>
      <c r="G211" s="61">
        <v>36</v>
      </c>
      <c r="H211" s="60">
        <v>38</v>
      </c>
      <c r="I211" s="60">
        <v>39</v>
      </c>
      <c r="J211" s="61">
        <v>38</v>
      </c>
      <c r="K211" s="60">
        <v>19</v>
      </c>
      <c r="L211" s="60">
        <v>28</v>
      </c>
      <c r="M211" s="61">
        <v>24</v>
      </c>
      <c r="N211" s="60">
        <v>61</v>
      </c>
      <c r="O211" s="60">
        <v>67</v>
      </c>
      <c r="P211" s="61">
        <v>64</v>
      </c>
      <c r="Q211" s="60">
        <v>15</v>
      </c>
      <c r="R211" s="60">
        <v>20</v>
      </c>
      <c r="S211" s="61">
        <v>18</v>
      </c>
      <c r="T211" s="60">
        <v>25</v>
      </c>
      <c r="U211" s="60">
        <v>27</v>
      </c>
      <c r="V211" s="61">
        <v>26</v>
      </c>
      <c r="Y211" s="61"/>
      <c r="AB211" s="61"/>
      <c r="AE211" s="61"/>
      <c r="AH211" s="61"/>
    </row>
    <row r="212" spans="1:34" s="60" customFormat="1" ht="10" x14ac:dyDescent="0.2">
      <c r="A212" s="58">
        <v>43902</v>
      </c>
      <c r="B212" s="59">
        <f t="shared" si="6"/>
        <v>2020</v>
      </c>
      <c r="C212" s="59"/>
      <c r="D212" s="59">
        <f t="shared" si="7"/>
        <v>3</v>
      </c>
      <c r="E212" s="60">
        <v>33</v>
      </c>
      <c r="F212" s="60">
        <v>36</v>
      </c>
      <c r="G212" s="61">
        <v>34</v>
      </c>
      <c r="H212" s="60">
        <v>37</v>
      </c>
      <c r="I212" s="60">
        <v>38</v>
      </c>
      <c r="J212" s="61">
        <v>38</v>
      </c>
      <c r="K212" s="60">
        <v>18</v>
      </c>
      <c r="L212" s="60">
        <v>27</v>
      </c>
      <c r="M212" s="61">
        <v>22</v>
      </c>
      <c r="N212" s="60">
        <v>60</v>
      </c>
      <c r="O212" s="60">
        <v>66</v>
      </c>
      <c r="P212" s="61">
        <v>63</v>
      </c>
      <c r="Q212" s="60">
        <v>14</v>
      </c>
      <c r="R212" s="60">
        <v>19</v>
      </c>
      <c r="S212" s="61">
        <v>16</v>
      </c>
      <c r="T212" s="60">
        <v>24</v>
      </c>
      <c r="U212" s="60">
        <v>26</v>
      </c>
      <c r="V212" s="61">
        <v>25</v>
      </c>
      <c r="Y212" s="61"/>
      <c r="AB212" s="61"/>
      <c r="AE212" s="61"/>
      <c r="AH212" s="61"/>
    </row>
    <row r="213" spans="1:34" s="60" customFormat="1" ht="10" x14ac:dyDescent="0.2">
      <c r="A213" s="58">
        <v>43909</v>
      </c>
      <c r="B213" s="59">
        <f t="shared" si="6"/>
        <v>2020</v>
      </c>
      <c r="C213" s="59"/>
      <c r="D213" s="59">
        <f t="shared" si="7"/>
        <v>3</v>
      </c>
      <c r="E213" s="60">
        <v>33</v>
      </c>
      <c r="F213" s="60">
        <v>36</v>
      </c>
      <c r="G213" s="61">
        <v>34</v>
      </c>
      <c r="H213" s="60">
        <v>37</v>
      </c>
      <c r="I213" s="60">
        <v>38</v>
      </c>
      <c r="J213" s="61">
        <v>38</v>
      </c>
      <c r="K213" s="60">
        <v>18</v>
      </c>
      <c r="L213" s="60">
        <v>27</v>
      </c>
      <c r="M213" s="61">
        <v>22</v>
      </c>
      <c r="N213" s="60">
        <v>60</v>
      </c>
      <c r="O213" s="60">
        <v>66</v>
      </c>
      <c r="P213" s="61">
        <v>63</v>
      </c>
      <c r="Q213" s="60">
        <v>14</v>
      </c>
      <c r="R213" s="60">
        <v>19</v>
      </c>
      <c r="S213" s="61">
        <v>16</v>
      </c>
      <c r="T213" s="60">
        <v>24</v>
      </c>
      <c r="U213" s="60">
        <v>26</v>
      </c>
      <c r="V213" s="61">
        <v>25</v>
      </c>
      <c r="Y213" s="61"/>
      <c r="AB213" s="61"/>
      <c r="AE213" s="61"/>
      <c r="AH213" s="61"/>
    </row>
    <row r="214" spans="1:34" s="60" customFormat="1" ht="10" x14ac:dyDescent="0.2">
      <c r="A214" s="58">
        <v>43916</v>
      </c>
      <c r="B214" s="59">
        <f t="shared" si="6"/>
        <v>2020</v>
      </c>
      <c r="C214" s="59"/>
      <c r="D214" s="59">
        <f t="shared" si="7"/>
        <v>3</v>
      </c>
      <c r="E214" s="60">
        <v>32</v>
      </c>
      <c r="F214" s="60">
        <v>35</v>
      </c>
      <c r="G214" s="61">
        <v>34</v>
      </c>
      <c r="H214" s="60">
        <v>37</v>
      </c>
      <c r="I214" s="60">
        <v>38</v>
      </c>
      <c r="J214" s="61">
        <v>38</v>
      </c>
      <c r="K214" s="60">
        <v>18</v>
      </c>
      <c r="L214" s="60">
        <v>27</v>
      </c>
      <c r="M214" s="61">
        <v>22</v>
      </c>
      <c r="N214" s="60">
        <v>59</v>
      </c>
      <c r="O214" s="60">
        <v>65</v>
      </c>
      <c r="P214" s="61">
        <v>62</v>
      </c>
      <c r="Q214" s="60">
        <v>14</v>
      </c>
      <c r="R214" s="60">
        <v>19</v>
      </c>
      <c r="S214" s="61">
        <v>16</v>
      </c>
      <c r="T214" s="60">
        <v>24</v>
      </c>
      <c r="U214" s="60">
        <v>26</v>
      </c>
      <c r="V214" s="61">
        <v>25</v>
      </c>
      <c r="Y214" s="61"/>
      <c r="AB214" s="61"/>
      <c r="AE214" s="61"/>
      <c r="AH214" s="61"/>
    </row>
    <row r="215" spans="1:34" s="60" customFormat="1" ht="10" x14ac:dyDescent="0.2">
      <c r="A215" s="58">
        <v>43923</v>
      </c>
      <c r="B215" s="59">
        <f t="shared" si="6"/>
        <v>2020</v>
      </c>
      <c r="C215" s="59"/>
      <c r="D215" s="59">
        <f t="shared" si="7"/>
        <v>4</v>
      </c>
      <c r="E215" s="60">
        <v>32</v>
      </c>
      <c r="F215" s="60">
        <v>35</v>
      </c>
      <c r="G215" s="61">
        <v>34</v>
      </c>
      <c r="H215" s="60">
        <v>37</v>
      </c>
      <c r="I215" s="60">
        <v>38</v>
      </c>
      <c r="J215" s="61">
        <v>38</v>
      </c>
      <c r="K215" s="60">
        <v>18</v>
      </c>
      <c r="L215" s="60">
        <v>27</v>
      </c>
      <c r="M215" s="61">
        <v>22</v>
      </c>
      <c r="N215" s="60">
        <v>58</v>
      </c>
      <c r="O215" s="60">
        <v>64</v>
      </c>
      <c r="P215" s="61">
        <v>61</v>
      </c>
      <c r="Q215" s="60">
        <v>13</v>
      </c>
      <c r="R215" s="60">
        <v>18</v>
      </c>
      <c r="S215" s="61">
        <v>16</v>
      </c>
      <c r="T215" s="60">
        <v>24</v>
      </c>
      <c r="U215" s="60">
        <v>26</v>
      </c>
      <c r="V215" s="61">
        <v>25</v>
      </c>
      <c r="Y215" s="61"/>
      <c r="AB215" s="61"/>
      <c r="AE215" s="61"/>
      <c r="AH215" s="61"/>
    </row>
    <row r="216" spans="1:34" s="60" customFormat="1" ht="10" x14ac:dyDescent="0.2">
      <c r="A216" s="58">
        <v>43930</v>
      </c>
      <c r="B216" s="59">
        <f t="shared" si="6"/>
        <v>2020</v>
      </c>
      <c r="C216" s="59"/>
      <c r="D216" s="59">
        <f t="shared" si="7"/>
        <v>4</v>
      </c>
      <c r="E216" s="60">
        <v>32</v>
      </c>
      <c r="F216" s="60">
        <v>35</v>
      </c>
      <c r="G216" s="61">
        <v>34</v>
      </c>
      <c r="H216" s="60">
        <v>37</v>
      </c>
      <c r="I216" s="60">
        <v>38</v>
      </c>
      <c r="J216" s="61">
        <v>38</v>
      </c>
      <c r="K216" s="60">
        <v>18</v>
      </c>
      <c r="L216" s="60">
        <v>27</v>
      </c>
      <c r="M216" s="61">
        <v>22</v>
      </c>
      <c r="N216" s="60">
        <v>58</v>
      </c>
      <c r="O216" s="60">
        <v>64</v>
      </c>
      <c r="P216" s="61">
        <v>61</v>
      </c>
      <c r="Q216" s="60">
        <v>13</v>
      </c>
      <c r="R216" s="60">
        <v>18</v>
      </c>
      <c r="S216" s="61">
        <v>16</v>
      </c>
      <c r="T216" s="60">
        <v>24</v>
      </c>
      <c r="U216" s="60">
        <v>26</v>
      </c>
      <c r="V216" s="61">
        <v>25</v>
      </c>
      <c r="Y216" s="61"/>
      <c r="AB216" s="61"/>
      <c r="AE216" s="61"/>
      <c r="AH216" s="61"/>
    </row>
    <row r="217" spans="1:34" s="60" customFormat="1" ht="10" x14ac:dyDescent="0.2">
      <c r="A217" s="58">
        <v>43937</v>
      </c>
      <c r="B217" s="59">
        <f t="shared" si="6"/>
        <v>2020</v>
      </c>
      <c r="C217" s="59"/>
      <c r="D217" s="59">
        <f t="shared" si="7"/>
        <v>4</v>
      </c>
      <c r="E217" s="60">
        <v>32</v>
      </c>
      <c r="F217" s="60">
        <v>35</v>
      </c>
      <c r="G217" s="61">
        <v>34</v>
      </c>
      <c r="H217" s="60">
        <v>37</v>
      </c>
      <c r="I217" s="60">
        <v>38</v>
      </c>
      <c r="J217" s="61">
        <v>38</v>
      </c>
      <c r="K217" s="60">
        <v>18</v>
      </c>
      <c r="L217" s="60">
        <v>27</v>
      </c>
      <c r="M217" s="61">
        <v>22</v>
      </c>
      <c r="N217" s="60">
        <v>57</v>
      </c>
      <c r="O217" s="60">
        <v>63</v>
      </c>
      <c r="P217" s="61">
        <v>60</v>
      </c>
      <c r="Q217" s="60">
        <v>13</v>
      </c>
      <c r="R217" s="60">
        <v>18</v>
      </c>
      <c r="S217" s="61">
        <v>16</v>
      </c>
      <c r="T217" s="60">
        <v>23</v>
      </c>
      <c r="U217" s="60">
        <v>25</v>
      </c>
      <c r="V217" s="61">
        <v>24</v>
      </c>
      <c r="Y217" s="61"/>
      <c r="AB217" s="61"/>
      <c r="AE217" s="61"/>
      <c r="AH217" s="61"/>
    </row>
    <row r="218" spans="1:34" s="60" customFormat="1" ht="10" x14ac:dyDescent="0.2">
      <c r="A218" s="58">
        <v>43944</v>
      </c>
      <c r="B218" s="59">
        <f t="shared" si="6"/>
        <v>2020</v>
      </c>
      <c r="C218" s="59"/>
      <c r="D218" s="59">
        <f t="shared" si="7"/>
        <v>4</v>
      </c>
      <c r="E218" s="60">
        <v>33</v>
      </c>
      <c r="F218" s="60">
        <v>36</v>
      </c>
      <c r="G218" s="61">
        <v>34</v>
      </c>
      <c r="H218" s="60">
        <v>38</v>
      </c>
      <c r="I218" s="60">
        <v>39</v>
      </c>
      <c r="J218" s="61">
        <v>38</v>
      </c>
      <c r="K218" s="60">
        <v>19</v>
      </c>
      <c r="L218" s="60">
        <v>28</v>
      </c>
      <c r="M218" s="61">
        <v>24</v>
      </c>
      <c r="N218" s="60">
        <v>58</v>
      </c>
      <c r="O218" s="60">
        <v>64</v>
      </c>
      <c r="P218" s="61">
        <v>61</v>
      </c>
      <c r="Q218" s="60">
        <v>13</v>
      </c>
      <c r="R218" s="60">
        <v>18</v>
      </c>
      <c r="S218" s="61">
        <v>16</v>
      </c>
      <c r="T218" s="60">
        <v>24</v>
      </c>
      <c r="U218" s="60">
        <v>26</v>
      </c>
      <c r="V218" s="61">
        <v>25</v>
      </c>
      <c r="Y218" s="61"/>
      <c r="AB218" s="61"/>
      <c r="AE218" s="61"/>
      <c r="AH218" s="61"/>
    </row>
    <row r="219" spans="1:34" s="60" customFormat="1" ht="10" x14ac:dyDescent="0.2">
      <c r="A219" s="58">
        <v>43951</v>
      </c>
      <c r="B219" s="59">
        <f t="shared" si="6"/>
        <v>2020</v>
      </c>
      <c r="C219" s="59"/>
      <c r="D219" s="59">
        <f t="shared" si="7"/>
        <v>4</v>
      </c>
      <c r="E219" s="60">
        <v>33</v>
      </c>
      <c r="F219" s="60">
        <v>36</v>
      </c>
      <c r="G219" s="61">
        <v>34</v>
      </c>
      <c r="H219" s="60">
        <v>38</v>
      </c>
      <c r="I219" s="60">
        <v>39</v>
      </c>
      <c r="J219" s="61">
        <v>38</v>
      </c>
      <c r="K219" s="60">
        <v>19</v>
      </c>
      <c r="L219" s="60">
        <v>28</v>
      </c>
      <c r="M219" s="61">
        <v>24</v>
      </c>
      <c r="N219" s="60">
        <v>59</v>
      </c>
      <c r="O219" s="60">
        <v>65</v>
      </c>
      <c r="P219" s="61">
        <v>62</v>
      </c>
      <c r="Q219" s="60">
        <v>14</v>
      </c>
      <c r="R219" s="60">
        <v>19</v>
      </c>
      <c r="S219" s="61">
        <v>16</v>
      </c>
      <c r="T219" s="60">
        <v>25</v>
      </c>
      <c r="U219" s="60">
        <v>27</v>
      </c>
      <c r="V219" s="61">
        <v>26</v>
      </c>
      <c r="Y219" s="61"/>
      <c r="AB219" s="61"/>
      <c r="AE219" s="61"/>
      <c r="AH219" s="61"/>
    </row>
    <row r="220" spans="1:34" s="60" customFormat="1" ht="10" x14ac:dyDescent="0.2">
      <c r="A220" s="58">
        <v>43958</v>
      </c>
      <c r="B220" s="59">
        <f t="shared" si="6"/>
        <v>2020</v>
      </c>
      <c r="C220" s="59"/>
      <c r="D220" s="59">
        <f t="shared" si="7"/>
        <v>5</v>
      </c>
      <c r="E220" s="60">
        <v>33</v>
      </c>
      <c r="F220" s="60">
        <v>36</v>
      </c>
      <c r="G220" s="61">
        <v>34</v>
      </c>
      <c r="H220" s="60">
        <v>38</v>
      </c>
      <c r="I220" s="60">
        <v>39</v>
      </c>
      <c r="J220" s="61">
        <v>38</v>
      </c>
      <c r="K220" s="60">
        <v>19</v>
      </c>
      <c r="L220" s="60">
        <v>28</v>
      </c>
      <c r="M220" s="61">
        <v>24</v>
      </c>
      <c r="N220" s="60">
        <v>60</v>
      </c>
      <c r="O220" s="60">
        <v>66</v>
      </c>
      <c r="P220" s="61">
        <v>63</v>
      </c>
      <c r="Q220" s="60">
        <v>14</v>
      </c>
      <c r="R220" s="60">
        <v>19</v>
      </c>
      <c r="S220" s="61">
        <v>16</v>
      </c>
      <c r="T220" s="60">
        <v>25</v>
      </c>
      <c r="U220" s="60">
        <v>27</v>
      </c>
      <c r="V220" s="61">
        <v>26</v>
      </c>
      <c r="Y220" s="61"/>
      <c r="AB220" s="61"/>
      <c r="AE220" s="61"/>
      <c r="AH220" s="61"/>
    </row>
    <row r="221" spans="1:34" s="60" customFormat="1" ht="10" x14ac:dyDescent="0.2">
      <c r="A221" s="58">
        <v>43965</v>
      </c>
      <c r="B221" s="59">
        <f t="shared" si="6"/>
        <v>2020</v>
      </c>
      <c r="C221" s="59"/>
      <c r="D221" s="59">
        <f t="shared" si="7"/>
        <v>5</v>
      </c>
      <c r="E221" s="60">
        <v>33</v>
      </c>
      <c r="F221" s="60">
        <v>36</v>
      </c>
      <c r="G221" s="61">
        <v>34</v>
      </c>
      <c r="H221" s="60">
        <v>38</v>
      </c>
      <c r="I221" s="60">
        <v>39</v>
      </c>
      <c r="J221" s="61">
        <v>38</v>
      </c>
      <c r="K221" s="60">
        <v>19</v>
      </c>
      <c r="L221" s="60">
        <v>28</v>
      </c>
      <c r="M221" s="61">
        <v>24</v>
      </c>
      <c r="N221" s="60">
        <v>60</v>
      </c>
      <c r="O221" s="60">
        <v>66</v>
      </c>
      <c r="P221" s="61">
        <v>63</v>
      </c>
      <c r="Q221" s="60">
        <v>14</v>
      </c>
      <c r="R221" s="60">
        <v>19</v>
      </c>
      <c r="S221" s="61">
        <v>16</v>
      </c>
      <c r="T221" s="60">
        <v>25</v>
      </c>
      <c r="U221" s="60">
        <v>27</v>
      </c>
      <c r="V221" s="61">
        <v>26</v>
      </c>
      <c r="Y221" s="61"/>
      <c r="AB221" s="61"/>
      <c r="AE221" s="61"/>
      <c r="AH221" s="61"/>
    </row>
    <row r="222" spans="1:34" s="60" customFormat="1" ht="10" x14ac:dyDescent="0.2">
      <c r="A222" s="58">
        <v>43972</v>
      </c>
      <c r="B222" s="59">
        <f t="shared" si="6"/>
        <v>2020</v>
      </c>
      <c r="C222" s="59"/>
      <c r="D222" s="59">
        <f t="shared" si="7"/>
        <v>5</v>
      </c>
      <c r="E222" s="60">
        <v>32</v>
      </c>
      <c r="F222" s="60">
        <v>35</v>
      </c>
      <c r="G222" s="61">
        <v>34</v>
      </c>
      <c r="H222" s="60">
        <v>38</v>
      </c>
      <c r="I222" s="60">
        <v>39</v>
      </c>
      <c r="J222" s="61">
        <v>38</v>
      </c>
      <c r="K222" s="60">
        <v>18</v>
      </c>
      <c r="L222" s="60">
        <v>27</v>
      </c>
      <c r="M222" s="61">
        <v>22</v>
      </c>
      <c r="N222" s="60">
        <v>59</v>
      </c>
      <c r="O222" s="60">
        <v>65</v>
      </c>
      <c r="P222" s="61">
        <v>62</v>
      </c>
      <c r="Q222" s="60">
        <v>14</v>
      </c>
      <c r="R222" s="60">
        <v>19</v>
      </c>
      <c r="S222" s="61">
        <v>16</v>
      </c>
      <c r="T222" s="60">
        <v>24</v>
      </c>
      <c r="U222" s="60">
        <v>26</v>
      </c>
      <c r="V222" s="61">
        <v>25</v>
      </c>
      <c r="Y222" s="61"/>
      <c r="AB222" s="61"/>
      <c r="AE222" s="61"/>
      <c r="AH222" s="61"/>
    </row>
    <row r="223" spans="1:34" s="60" customFormat="1" ht="10" x14ac:dyDescent="0.2">
      <c r="A223" s="58">
        <v>43979</v>
      </c>
      <c r="B223" s="59">
        <f t="shared" si="6"/>
        <v>2020</v>
      </c>
      <c r="C223" s="59"/>
      <c r="D223" s="59">
        <f t="shared" si="7"/>
        <v>5</v>
      </c>
      <c r="E223" s="60">
        <v>32</v>
      </c>
      <c r="F223" s="60">
        <v>35</v>
      </c>
      <c r="G223" s="61">
        <v>34</v>
      </c>
      <c r="H223" s="60">
        <v>37</v>
      </c>
      <c r="I223" s="60">
        <v>38</v>
      </c>
      <c r="J223" s="61">
        <v>38</v>
      </c>
      <c r="K223" s="60">
        <v>17</v>
      </c>
      <c r="L223" s="60">
        <v>26</v>
      </c>
      <c r="M223" s="61">
        <v>22</v>
      </c>
      <c r="N223" s="60">
        <v>59</v>
      </c>
      <c r="O223" s="60">
        <v>65</v>
      </c>
      <c r="P223" s="61">
        <v>62</v>
      </c>
      <c r="Q223" s="60">
        <v>14</v>
      </c>
      <c r="R223" s="60">
        <v>19</v>
      </c>
      <c r="S223" s="61">
        <v>16</v>
      </c>
      <c r="T223" s="60">
        <v>24</v>
      </c>
      <c r="U223" s="60">
        <v>26</v>
      </c>
      <c r="V223" s="61">
        <v>25</v>
      </c>
      <c r="Y223" s="61"/>
      <c r="AB223" s="61"/>
      <c r="AE223" s="61"/>
      <c r="AH223" s="61"/>
    </row>
    <row r="224" spans="1:34" s="60" customFormat="1" ht="10" x14ac:dyDescent="0.2">
      <c r="A224" s="58">
        <v>43986</v>
      </c>
      <c r="B224" s="59">
        <f t="shared" si="6"/>
        <v>2020</v>
      </c>
      <c r="C224" s="59"/>
      <c r="D224" s="59">
        <f t="shared" si="7"/>
        <v>6</v>
      </c>
      <c r="E224" s="60">
        <v>32</v>
      </c>
      <c r="F224" s="60">
        <v>35</v>
      </c>
      <c r="G224" s="61">
        <v>34</v>
      </c>
      <c r="H224" s="60">
        <v>37</v>
      </c>
      <c r="I224" s="60">
        <v>38</v>
      </c>
      <c r="J224" s="61">
        <v>38</v>
      </c>
      <c r="K224" s="60">
        <v>17</v>
      </c>
      <c r="L224" s="60">
        <v>26</v>
      </c>
      <c r="M224" s="61">
        <v>22</v>
      </c>
      <c r="N224" s="60">
        <v>57</v>
      </c>
      <c r="O224" s="60">
        <v>63</v>
      </c>
      <c r="P224" s="61">
        <v>60</v>
      </c>
      <c r="Q224" s="60">
        <v>14</v>
      </c>
      <c r="R224" s="60">
        <v>19</v>
      </c>
      <c r="S224" s="61">
        <v>16</v>
      </c>
      <c r="T224" s="60">
        <v>24</v>
      </c>
      <c r="U224" s="60">
        <v>26</v>
      </c>
      <c r="V224" s="61">
        <v>25</v>
      </c>
      <c r="Y224" s="61"/>
      <c r="AB224" s="61"/>
      <c r="AE224" s="61"/>
      <c r="AH224" s="61"/>
    </row>
    <row r="225" spans="1:34" s="60" customFormat="1" ht="10" x14ac:dyDescent="0.2">
      <c r="A225" s="58">
        <v>43993</v>
      </c>
      <c r="B225" s="59">
        <f t="shared" si="6"/>
        <v>2020</v>
      </c>
      <c r="C225" s="59"/>
      <c r="D225" s="59">
        <f t="shared" si="7"/>
        <v>6</v>
      </c>
      <c r="E225" s="60">
        <v>31</v>
      </c>
      <c r="F225" s="60">
        <v>34</v>
      </c>
      <c r="G225" s="61">
        <v>32</v>
      </c>
      <c r="H225" s="60">
        <v>37</v>
      </c>
      <c r="I225" s="60">
        <v>38</v>
      </c>
      <c r="J225" s="61">
        <v>38</v>
      </c>
      <c r="K225" s="60">
        <v>16</v>
      </c>
      <c r="L225" s="60">
        <v>23</v>
      </c>
      <c r="M225" s="61">
        <v>20</v>
      </c>
      <c r="N225" s="60">
        <v>57</v>
      </c>
      <c r="O225" s="60">
        <v>63</v>
      </c>
      <c r="P225" s="61">
        <v>60</v>
      </c>
      <c r="Q225" s="60">
        <v>14</v>
      </c>
      <c r="R225" s="60">
        <v>19</v>
      </c>
      <c r="S225" s="61">
        <v>16</v>
      </c>
      <c r="T225" s="60">
        <v>24</v>
      </c>
      <c r="U225" s="60">
        <v>26</v>
      </c>
      <c r="V225" s="61">
        <v>25</v>
      </c>
      <c r="Y225" s="61"/>
      <c r="AB225" s="61"/>
      <c r="AE225" s="61"/>
      <c r="AH225" s="61"/>
    </row>
    <row r="226" spans="1:34" s="60" customFormat="1" ht="10" x14ac:dyDescent="0.2">
      <c r="A226" s="58">
        <v>44000</v>
      </c>
      <c r="B226" s="59">
        <f t="shared" si="6"/>
        <v>2020</v>
      </c>
      <c r="C226" s="59"/>
      <c r="D226" s="59">
        <f t="shared" si="7"/>
        <v>6</v>
      </c>
      <c r="E226" s="60">
        <v>30</v>
      </c>
      <c r="F226" s="60">
        <v>33</v>
      </c>
      <c r="G226" s="61">
        <v>32</v>
      </c>
      <c r="H226" s="60">
        <v>37</v>
      </c>
      <c r="I226" s="60">
        <v>38</v>
      </c>
      <c r="J226" s="61">
        <v>38</v>
      </c>
      <c r="K226" s="60">
        <v>16</v>
      </c>
      <c r="L226" s="60">
        <v>23</v>
      </c>
      <c r="M226" s="61">
        <v>20</v>
      </c>
      <c r="N226" s="60">
        <v>57</v>
      </c>
      <c r="O226" s="60">
        <v>63</v>
      </c>
      <c r="P226" s="61">
        <v>60</v>
      </c>
      <c r="Q226" s="60">
        <v>14</v>
      </c>
      <c r="R226" s="60">
        <v>19</v>
      </c>
      <c r="S226" s="61">
        <v>16</v>
      </c>
      <c r="T226" s="60">
        <v>24</v>
      </c>
      <c r="U226" s="60">
        <v>26</v>
      </c>
      <c r="V226" s="61">
        <v>25</v>
      </c>
      <c r="Y226" s="61"/>
      <c r="AB226" s="61"/>
      <c r="AE226" s="61"/>
      <c r="AH226" s="61"/>
    </row>
    <row r="227" spans="1:34" s="60" customFormat="1" ht="10" x14ac:dyDescent="0.2">
      <c r="A227" s="58">
        <v>44007</v>
      </c>
      <c r="B227" s="59">
        <f t="shared" si="6"/>
        <v>2020</v>
      </c>
      <c r="C227" s="59"/>
      <c r="D227" s="59">
        <f t="shared" si="7"/>
        <v>6</v>
      </c>
      <c r="E227" s="60">
        <v>28</v>
      </c>
      <c r="F227" s="60">
        <v>31</v>
      </c>
      <c r="G227" s="61">
        <v>30</v>
      </c>
      <c r="H227" s="60">
        <v>35</v>
      </c>
      <c r="I227" s="60">
        <v>36</v>
      </c>
      <c r="J227" s="61">
        <v>36</v>
      </c>
      <c r="K227" s="60">
        <v>16</v>
      </c>
      <c r="L227" s="60">
        <v>23</v>
      </c>
      <c r="M227" s="61">
        <v>20</v>
      </c>
      <c r="N227" s="60">
        <v>57</v>
      </c>
      <c r="O227" s="60">
        <v>63</v>
      </c>
      <c r="P227" s="61">
        <v>60</v>
      </c>
      <c r="Q227" s="60">
        <v>14</v>
      </c>
      <c r="R227" s="60">
        <v>19</v>
      </c>
      <c r="S227" s="61">
        <v>16</v>
      </c>
      <c r="T227" s="60">
        <v>24</v>
      </c>
      <c r="U227" s="60">
        <v>26</v>
      </c>
      <c r="V227" s="61">
        <v>25</v>
      </c>
      <c r="Y227" s="61"/>
      <c r="AB227" s="61"/>
      <c r="AE227" s="61"/>
      <c r="AH227" s="61"/>
    </row>
    <row r="228" spans="1:34" s="60" customFormat="1" ht="10" x14ac:dyDescent="0.2">
      <c r="A228" s="58">
        <v>44014</v>
      </c>
      <c r="B228" s="59">
        <f t="shared" si="6"/>
        <v>2020</v>
      </c>
      <c r="C228" s="59"/>
      <c r="D228" s="59">
        <f t="shared" si="7"/>
        <v>7</v>
      </c>
      <c r="E228" s="60">
        <v>28</v>
      </c>
      <c r="F228" s="60">
        <v>31</v>
      </c>
      <c r="G228" s="61">
        <v>30</v>
      </c>
      <c r="H228" s="60">
        <v>34</v>
      </c>
      <c r="I228" s="60">
        <v>35</v>
      </c>
      <c r="J228" s="61">
        <v>34</v>
      </c>
      <c r="K228" s="60">
        <v>15</v>
      </c>
      <c r="L228" s="60">
        <v>22</v>
      </c>
      <c r="M228" s="61">
        <v>18</v>
      </c>
      <c r="N228" s="60">
        <v>57</v>
      </c>
      <c r="O228" s="60">
        <v>63</v>
      </c>
      <c r="P228" s="61">
        <v>60</v>
      </c>
      <c r="Q228" s="60">
        <v>14</v>
      </c>
      <c r="R228" s="60">
        <v>19</v>
      </c>
      <c r="S228" s="61">
        <v>16</v>
      </c>
      <c r="T228" s="60">
        <v>23</v>
      </c>
      <c r="U228" s="60">
        <v>25</v>
      </c>
      <c r="V228" s="61">
        <v>24</v>
      </c>
      <c r="Y228" s="61"/>
      <c r="AB228" s="61"/>
      <c r="AE228" s="61"/>
      <c r="AH228" s="61"/>
    </row>
    <row r="229" spans="1:34" s="60" customFormat="1" ht="10" x14ac:dyDescent="0.2">
      <c r="A229" s="58">
        <v>44021</v>
      </c>
      <c r="B229" s="59">
        <f t="shared" si="6"/>
        <v>2020</v>
      </c>
      <c r="C229" s="59"/>
      <c r="D229" s="59">
        <f t="shared" si="7"/>
        <v>7</v>
      </c>
      <c r="E229" s="60">
        <v>25</v>
      </c>
      <c r="F229" s="60">
        <v>27</v>
      </c>
      <c r="G229" s="61">
        <v>26</v>
      </c>
      <c r="H229" s="60">
        <v>32</v>
      </c>
      <c r="I229" s="60">
        <v>33</v>
      </c>
      <c r="J229" s="61">
        <v>32</v>
      </c>
      <c r="K229" s="60">
        <v>15</v>
      </c>
      <c r="L229" s="60">
        <v>22</v>
      </c>
      <c r="M229" s="61">
        <v>18</v>
      </c>
      <c r="N229" s="60">
        <v>57</v>
      </c>
      <c r="O229" s="60">
        <v>63</v>
      </c>
      <c r="P229" s="61">
        <v>60</v>
      </c>
      <c r="Q229" s="60">
        <v>14</v>
      </c>
      <c r="R229" s="60">
        <v>19</v>
      </c>
      <c r="S229" s="61">
        <v>16</v>
      </c>
      <c r="T229" s="60">
        <v>23</v>
      </c>
      <c r="U229" s="60">
        <v>25</v>
      </c>
      <c r="V229" s="61">
        <v>24</v>
      </c>
      <c r="Y229" s="61"/>
      <c r="AB229" s="61"/>
      <c r="AE229" s="61"/>
      <c r="AH229" s="61"/>
    </row>
    <row r="230" spans="1:34" s="60" customFormat="1" ht="10" x14ac:dyDescent="0.2">
      <c r="A230" s="58">
        <v>44028</v>
      </c>
      <c r="B230" s="59">
        <f t="shared" si="6"/>
        <v>2020</v>
      </c>
      <c r="C230" s="59"/>
      <c r="D230" s="59">
        <f t="shared" si="7"/>
        <v>7</v>
      </c>
      <c r="E230" s="60">
        <v>23</v>
      </c>
      <c r="F230" s="60">
        <v>25</v>
      </c>
      <c r="G230" s="61">
        <v>24</v>
      </c>
      <c r="H230" s="60">
        <v>32</v>
      </c>
      <c r="I230" s="60">
        <v>33</v>
      </c>
      <c r="J230" s="61">
        <v>32</v>
      </c>
      <c r="K230" s="60">
        <v>15</v>
      </c>
      <c r="L230" s="60">
        <v>22</v>
      </c>
      <c r="M230" s="61">
        <v>18</v>
      </c>
      <c r="N230" s="60">
        <v>56</v>
      </c>
      <c r="O230" s="60">
        <v>62</v>
      </c>
      <c r="P230" s="61">
        <v>59</v>
      </c>
      <c r="Q230" s="60">
        <v>13</v>
      </c>
      <c r="R230" s="60">
        <v>18</v>
      </c>
      <c r="S230" s="61">
        <v>16</v>
      </c>
      <c r="T230" s="60">
        <v>23</v>
      </c>
      <c r="U230" s="60">
        <v>25</v>
      </c>
      <c r="V230" s="61">
        <v>24</v>
      </c>
      <c r="Y230" s="61"/>
      <c r="AB230" s="61"/>
      <c r="AE230" s="61"/>
      <c r="AH230" s="61"/>
    </row>
    <row r="231" spans="1:34" s="60" customFormat="1" ht="10" x14ac:dyDescent="0.2">
      <c r="A231" s="58">
        <v>44035</v>
      </c>
      <c r="B231" s="59">
        <f t="shared" si="6"/>
        <v>2020</v>
      </c>
      <c r="C231" s="59"/>
      <c r="D231" s="59">
        <f t="shared" si="7"/>
        <v>7</v>
      </c>
      <c r="E231" s="60">
        <v>24</v>
      </c>
      <c r="F231" s="60">
        <v>26</v>
      </c>
      <c r="G231" s="61">
        <v>25</v>
      </c>
      <c r="H231" s="60">
        <v>32</v>
      </c>
      <c r="I231" s="60">
        <v>33</v>
      </c>
      <c r="J231" s="61">
        <v>32</v>
      </c>
      <c r="K231" s="60">
        <v>15</v>
      </c>
      <c r="L231" s="60">
        <v>22</v>
      </c>
      <c r="M231" s="61">
        <v>18</v>
      </c>
      <c r="N231" s="60">
        <v>56</v>
      </c>
      <c r="O231" s="60">
        <v>62</v>
      </c>
      <c r="P231" s="61">
        <v>59</v>
      </c>
      <c r="Q231" s="60">
        <v>13</v>
      </c>
      <c r="R231" s="60">
        <v>18</v>
      </c>
      <c r="S231" s="61">
        <v>16</v>
      </c>
      <c r="T231" s="60">
        <v>23</v>
      </c>
      <c r="U231" s="60">
        <v>25</v>
      </c>
      <c r="V231" s="61">
        <v>24</v>
      </c>
      <c r="Y231" s="61"/>
      <c r="AB231" s="61"/>
      <c r="AE231" s="61"/>
      <c r="AH231" s="61"/>
    </row>
    <row r="232" spans="1:34" s="60" customFormat="1" ht="10" x14ac:dyDescent="0.2">
      <c r="A232" s="58">
        <v>44042</v>
      </c>
      <c r="B232" s="59">
        <f t="shared" si="6"/>
        <v>2020</v>
      </c>
      <c r="C232" s="59"/>
      <c r="D232" s="59">
        <f t="shared" si="7"/>
        <v>7</v>
      </c>
      <c r="E232" s="60">
        <v>24</v>
      </c>
      <c r="F232" s="60">
        <v>26</v>
      </c>
      <c r="G232" s="61">
        <v>25</v>
      </c>
      <c r="H232" s="60">
        <v>32</v>
      </c>
      <c r="I232" s="60">
        <v>33</v>
      </c>
      <c r="J232" s="61">
        <v>32</v>
      </c>
      <c r="K232" s="60">
        <v>15</v>
      </c>
      <c r="L232" s="60">
        <v>22</v>
      </c>
      <c r="M232" s="61">
        <v>18</v>
      </c>
      <c r="N232" s="60">
        <v>56</v>
      </c>
      <c r="O232" s="60">
        <v>62</v>
      </c>
      <c r="P232" s="61">
        <v>59</v>
      </c>
      <c r="Q232" s="60">
        <v>13</v>
      </c>
      <c r="R232" s="60">
        <v>18</v>
      </c>
      <c r="S232" s="61">
        <v>16</v>
      </c>
      <c r="T232" s="60">
        <v>24</v>
      </c>
      <c r="U232" s="60">
        <v>26</v>
      </c>
      <c r="V232" s="61">
        <v>25</v>
      </c>
      <c r="Y232" s="61"/>
      <c r="AB232" s="61"/>
      <c r="AE232" s="61"/>
      <c r="AH232" s="61"/>
    </row>
    <row r="233" spans="1:34" s="60" customFormat="1" ht="10" x14ac:dyDescent="0.2">
      <c r="A233" s="58">
        <v>44049</v>
      </c>
      <c r="B233" s="59">
        <f t="shared" si="6"/>
        <v>2020</v>
      </c>
      <c r="C233" s="59"/>
      <c r="D233" s="59">
        <f t="shared" si="7"/>
        <v>8</v>
      </c>
      <c r="E233" s="60">
        <v>24</v>
      </c>
      <c r="F233" s="60">
        <v>26</v>
      </c>
      <c r="G233" s="61">
        <v>25</v>
      </c>
      <c r="H233" s="60">
        <v>32</v>
      </c>
      <c r="I233" s="60">
        <v>33</v>
      </c>
      <c r="J233" s="61">
        <v>32</v>
      </c>
      <c r="K233" s="60">
        <v>15</v>
      </c>
      <c r="L233" s="60">
        <v>22</v>
      </c>
      <c r="M233" s="61">
        <v>18</v>
      </c>
      <c r="N233" s="60">
        <v>56</v>
      </c>
      <c r="O233" s="60">
        <v>62</v>
      </c>
      <c r="P233" s="61">
        <v>59</v>
      </c>
      <c r="Q233" s="60">
        <v>12</v>
      </c>
      <c r="R233" s="60">
        <v>18</v>
      </c>
      <c r="S233" s="61">
        <v>15</v>
      </c>
      <c r="T233" s="60">
        <v>23</v>
      </c>
      <c r="U233" s="60">
        <v>25</v>
      </c>
      <c r="V233" s="61">
        <v>24</v>
      </c>
      <c r="Y233" s="61"/>
      <c r="AB233" s="61"/>
      <c r="AE233" s="61"/>
      <c r="AH233" s="61"/>
    </row>
    <row r="234" spans="1:34" s="60" customFormat="1" ht="10" x14ac:dyDescent="0.2">
      <c r="A234" s="58">
        <v>44056</v>
      </c>
      <c r="B234" s="59">
        <f t="shared" si="6"/>
        <v>2020</v>
      </c>
      <c r="C234" s="59"/>
      <c r="D234" s="59">
        <f t="shared" si="7"/>
        <v>8</v>
      </c>
      <c r="E234" s="60">
        <v>25</v>
      </c>
      <c r="F234" s="60">
        <v>27</v>
      </c>
      <c r="G234" s="61">
        <v>26</v>
      </c>
      <c r="H234" s="60">
        <v>32</v>
      </c>
      <c r="I234" s="60">
        <v>33</v>
      </c>
      <c r="J234" s="61">
        <v>32</v>
      </c>
      <c r="K234" s="60">
        <v>15</v>
      </c>
      <c r="L234" s="60">
        <v>22</v>
      </c>
      <c r="M234" s="61">
        <v>18</v>
      </c>
      <c r="N234" s="60">
        <v>56</v>
      </c>
      <c r="O234" s="60">
        <v>62</v>
      </c>
      <c r="P234" s="61">
        <v>59</v>
      </c>
      <c r="Q234" s="60">
        <v>12</v>
      </c>
      <c r="R234" s="60">
        <v>18</v>
      </c>
      <c r="S234" s="61">
        <v>15</v>
      </c>
      <c r="T234" s="60">
        <v>23</v>
      </c>
      <c r="U234" s="60">
        <v>25</v>
      </c>
      <c r="V234" s="61">
        <v>24</v>
      </c>
      <c r="Y234" s="61"/>
      <c r="AB234" s="61"/>
      <c r="AE234" s="61"/>
      <c r="AH234" s="61"/>
    </row>
    <row r="235" spans="1:34" s="60" customFormat="1" ht="10" x14ac:dyDescent="0.2">
      <c r="A235" s="58">
        <v>44063</v>
      </c>
      <c r="B235" s="59">
        <f t="shared" si="6"/>
        <v>2020</v>
      </c>
      <c r="C235" s="59"/>
      <c r="D235" s="59">
        <f t="shared" si="7"/>
        <v>8</v>
      </c>
      <c r="E235" s="60">
        <v>25</v>
      </c>
      <c r="F235" s="60">
        <v>27</v>
      </c>
      <c r="G235" s="61">
        <v>26</v>
      </c>
      <c r="H235" s="60">
        <v>32</v>
      </c>
      <c r="I235" s="60">
        <v>33</v>
      </c>
      <c r="J235" s="61">
        <v>32</v>
      </c>
      <c r="K235" s="60">
        <v>15</v>
      </c>
      <c r="L235" s="60">
        <v>22</v>
      </c>
      <c r="M235" s="61">
        <v>18</v>
      </c>
      <c r="N235" s="60">
        <v>56</v>
      </c>
      <c r="O235" s="60">
        <v>62</v>
      </c>
      <c r="P235" s="61">
        <v>59</v>
      </c>
      <c r="Q235" s="60">
        <v>12</v>
      </c>
      <c r="R235" s="60">
        <v>18</v>
      </c>
      <c r="S235" s="61">
        <v>15</v>
      </c>
      <c r="T235" s="60">
        <v>23</v>
      </c>
      <c r="U235" s="60">
        <v>25</v>
      </c>
      <c r="V235" s="61">
        <v>24</v>
      </c>
      <c r="Y235" s="61"/>
      <c r="AB235" s="61"/>
      <c r="AE235" s="61"/>
      <c r="AH235" s="61"/>
    </row>
    <row r="236" spans="1:34" s="60" customFormat="1" ht="10" x14ac:dyDescent="0.2">
      <c r="A236" s="58">
        <v>44070</v>
      </c>
      <c r="B236" s="59">
        <f t="shared" si="6"/>
        <v>2020</v>
      </c>
      <c r="C236" s="59"/>
      <c r="D236" s="59">
        <f t="shared" si="7"/>
        <v>8</v>
      </c>
      <c r="E236" s="60">
        <v>25</v>
      </c>
      <c r="F236" s="60">
        <v>27</v>
      </c>
      <c r="G236" s="61">
        <v>26</v>
      </c>
      <c r="H236" s="60">
        <v>33</v>
      </c>
      <c r="I236" s="60">
        <v>34</v>
      </c>
      <c r="J236" s="61">
        <v>34</v>
      </c>
      <c r="K236" s="60">
        <v>15</v>
      </c>
      <c r="L236" s="60">
        <v>22</v>
      </c>
      <c r="M236" s="61">
        <v>18</v>
      </c>
      <c r="N236" s="60">
        <v>56</v>
      </c>
      <c r="O236" s="60">
        <v>58</v>
      </c>
      <c r="P236" s="61">
        <v>57</v>
      </c>
      <c r="Q236" s="60">
        <v>11</v>
      </c>
      <c r="R236" s="60">
        <v>17</v>
      </c>
      <c r="S236" s="61">
        <v>14</v>
      </c>
      <c r="T236" s="60">
        <v>23</v>
      </c>
      <c r="U236" s="60">
        <v>25</v>
      </c>
      <c r="V236" s="61">
        <v>24</v>
      </c>
      <c r="Y236" s="61"/>
      <c r="AB236" s="61"/>
      <c r="AE236" s="61"/>
      <c r="AH236" s="61"/>
    </row>
    <row r="237" spans="1:34" s="60" customFormat="1" ht="10" x14ac:dyDescent="0.2">
      <c r="A237" s="58">
        <v>44077</v>
      </c>
      <c r="B237" s="59">
        <f t="shared" si="6"/>
        <v>2020</v>
      </c>
      <c r="C237" s="59"/>
      <c r="D237" s="59">
        <f t="shared" si="7"/>
        <v>9</v>
      </c>
      <c r="E237" s="60">
        <v>25</v>
      </c>
      <c r="F237" s="60">
        <v>27</v>
      </c>
      <c r="G237" s="61">
        <v>26</v>
      </c>
      <c r="H237" s="60">
        <v>34</v>
      </c>
      <c r="I237" s="60">
        <v>35</v>
      </c>
      <c r="J237" s="61">
        <v>34</v>
      </c>
      <c r="K237" s="60">
        <v>15</v>
      </c>
      <c r="L237" s="60">
        <v>22</v>
      </c>
      <c r="M237" s="61">
        <v>18</v>
      </c>
      <c r="N237" s="60">
        <v>52</v>
      </c>
      <c r="O237" s="60">
        <v>58</v>
      </c>
      <c r="P237" s="61">
        <v>55</v>
      </c>
      <c r="Q237" s="60">
        <v>11</v>
      </c>
      <c r="R237" s="60">
        <v>17</v>
      </c>
      <c r="S237" s="61">
        <v>14</v>
      </c>
      <c r="T237" s="60">
        <v>23</v>
      </c>
      <c r="U237" s="60">
        <v>25</v>
      </c>
      <c r="V237" s="61">
        <v>24</v>
      </c>
      <c r="Y237" s="61"/>
      <c r="AB237" s="61"/>
      <c r="AE237" s="61"/>
      <c r="AH237" s="61"/>
    </row>
    <row r="238" spans="1:34" s="60" customFormat="1" ht="10" x14ac:dyDescent="0.2">
      <c r="A238" s="58">
        <v>44084</v>
      </c>
      <c r="B238" s="59">
        <f t="shared" si="6"/>
        <v>2020</v>
      </c>
      <c r="C238" s="59"/>
      <c r="D238" s="59">
        <f t="shared" si="7"/>
        <v>9</v>
      </c>
      <c r="E238" s="60">
        <v>25</v>
      </c>
      <c r="F238" s="60">
        <v>27</v>
      </c>
      <c r="G238" s="61">
        <v>26</v>
      </c>
      <c r="H238" s="60">
        <v>34</v>
      </c>
      <c r="I238" s="60">
        <v>35</v>
      </c>
      <c r="J238" s="61">
        <v>34</v>
      </c>
      <c r="K238" s="60">
        <v>15</v>
      </c>
      <c r="L238" s="60">
        <v>22</v>
      </c>
      <c r="M238" s="61">
        <v>18</v>
      </c>
      <c r="N238" s="60">
        <v>52</v>
      </c>
      <c r="O238" s="60">
        <v>58</v>
      </c>
      <c r="P238" s="61">
        <v>55</v>
      </c>
      <c r="Q238" s="60">
        <v>11</v>
      </c>
      <c r="R238" s="60">
        <v>17</v>
      </c>
      <c r="S238" s="61">
        <v>14</v>
      </c>
      <c r="T238" s="60">
        <v>23</v>
      </c>
      <c r="U238" s="60">
        <v>25</v>
      </c>
      <c r="V238" s="61">
        <v>24</v>
      </c>
      <c r="Y238" s="61"/>
      <c r="AB238" s="61"/>
      <c r="AE238" s="61"/>
      <c r="AH238" s="61"/>
    </row>
    <row r="239" spans="1:34" s="60" customFormat="1" ht="10" x14ac:dyDescent="0.2">
      <c r="A239" s="58">
        <v>44091</v>
      </c>
      <c r="B239" s="59">
        <f t="shared" si="6"/>
        <v>2020</v>
      </c>
      <c r="C239" s="59"/>
      <c r="D239" s="59">
        <f t="shared" si="7"/>
        <v>9</v>
      </c>
      <c r="E239" s="60">
        <v>25</v>
      </c>
      <c r="F239" s="60">
        <v>27</v>
      </c>
      <c r="G239" s="61">
        <v>26</v>
      </c>
      <c r="H239" s="60">
        <v>34</v>
      </c>
      <c r="I239" s="60">
        <v>35</v>
      </c>
      <c r="J239" s="61">
        <v>34</v>
      </c>
      <c r="K239" s="60">
        <v>15</v>
      </c>
      <c r="L239" s="60">
        <v>22</v>
      </c>
      <c r="M239" s="61">
        <v>18</v>
      </c>
      <c r="N239" s="60">
        <v>52</v>
      </c>
      <c r="O239" s="60">
        <v>58</v>
      </c>
      <c r="P239" s="61">
        <v>55</v>
      </c>
      <c r="Q239" s="60">
        <v>11</v>
      </c>
      <c r="R239" s="60">
        <v>17</v>
      </c>
      <c r="S239" s="61">
        <v>14</v>
      </c>
      <c r="T239" s="60">
        <v>25</v>
      </c>
      <c r="U239" s="60">
        <v>27</v>
      </c>
      <c r="V239" s="61">
        <v>26</v>
      </c>
      <c r="Y239" s="61"/>
      <c r="AB239" s="61"/>
      <c r="AE239" s="61"/>
      <c r="AH239" s="61"/>
    </row>
    <row r="240" spans="1:34" s="60" customFormat="1" ht="10" x14ac:dyDescent="0.2">
      <c r="A240" s="58">
        <v>44098</v>
      </c>
      <c r="B240" s="59">
        <f t="shared" si="6"/>
        <v>2020</v>
      </c>
      <c r="C240" s="59"/>
      <c r="D240" s="59">
        <f t="shared" si="7"/>
        <v>9</v>
      </c>
      <c r="E240" s="60">
        <v>25</v>
      </c>
      <c r="F240" s="60">
        <v>27</v>
      </c>
      <c r="G240" s="61">
        <v>26</v>
      </c>
      <c r="H240" s="60">
        <v>34</v>
      </c>
      <c r="I240" s="60">
        <v>35</v>
      </c>
      <c r="J240" s="61">
        <v>34</v>
      </c>
      <c r="K240" s="60">
        <v>15</v>
      </c>
      <c r="L240" s="60">
        <v>22</v>
      </c>
      <c r="M240" s="61">
        <v>18</v>
      </c>
      <c r="N240" s="60">
        <v>52</v>
      </c>
      <c r="O240" s="60">
        <v>58</v>
      </c>
      <c r="P240" s="61">
        <v>55</v>
      </c>
      <c r="Q240" s="60">
        <v>11</v>
      </c>
      <c r="R240" s="60">
        <v>17</v>
      </c>
      <c r="S240" s="61">
        <v>14</v>
      </c>
      <c r="T240" s="60">
        <v>25</v>
      </c>
      <c r="U240" s="60">
        <v>27</v>
      </c>
      <c r="V240" s="61">
        <v>26</v>
      </c>
      <c r="Y240" s="61"/>
      <c r="AB240" s="61"/>
      <c r="AE240" s="61"/>
      <c r="AH240" s="61"/>
    </row>
    <row r="241" spans="1:34" s="60" customFormat="1" ht="10" x14ac:dyDescent="0.2">
      <c r="A241" s="58">
        <v>44105</v>
      </c>
      <c r="B241" s="59">
        <f t="shared" si="6"/>
        <v>2020</v>
      </c>
      <c r="C241" s="59"/>
      <c r="D241" s="59">
        <f t="shared" si="7"/>
        <v>10</v>
      </c>
      <c r="E241" s="60">
        <v>25</v>
      </c>
      <c r="F241" s="60">
        <v>27</v>
      </c>
      <c r="G241" s="61">
        <v>26</v>
      </c>
      <c r="H241" s="60">
        <v>34</v>
      </c>
      <c r="I241" s="60">
        <v>35</v>
      </c>
      <c r="J241" s="61">
        <v>34</v>
      </c>
      <c r="K241" s="60">
        <v>14</v>
      </c>
      <c r="L241" s="60">
        <v>21</v>
      </c>
      <c r="M241" s="61">
        <v>18</v>
      </c>
      <c r="N241" s="60">
        <v>52</v>
      </c>
      <c r="O241" s="60">
        <v>58</v>
      </c>
      <c r="P241" s="61">
        <v>55</v>
      </c>
      <c r="Q241" s="60">
        <v>11</v>
      </c>
      <c r="R241" s="60">
        <v>17</v>
      </c>
      <c r="S241" s="61">
        <v>14</v>
      </c>
      <c r="T241" s="60">
        <v>25</v>
      </c>
      <c r="U241" s="60">
        <v>27</v>
      </c>
      <c r="V241" s="61">
        <v>26</v>
      </c>
      <c r="Y241" s="61"/>
      <c r="AB241" s="61"/>
      <c r="AE241" s="61"/>
      <c r="AH241" s="61"/>
    </row>
    <row r="242" spans="1:34" s="60" customFormat="1" ht="10" x14ac:dyDescent="0.2">
      <c r="A242" s="58">
        <v>44112</v>
      </c>
      <c r="B242" s="59">
        <f t="shared" si="6"/>
        <v>2020</v>
      </c>
      <c r="C242" s="59"/>
      <c r="D242" s="59">
        <f t="shared" si="7"/>
        <v>10</v>
      </c>
      <c r="E242" s="60">
        <v>25</v>
      </c>
      <c r="F242" s="60">
        <v>27</v>
      </c>
      <c r="G242" s="61">
        <v>26</v>
      </c>
      <c r="H242" s="60">
        <v>34</v>
      </c>
      <c r="I242" s="60">
        <v>35</v>
      </c>
      <c r="J242" s="61">
        <v>34</v>
      </c>
      <c r="K242" s="60">
        <v>15</v>
      </c>
      <c r="L242" s="60">
        <v>22</v>
      </c>
      <c r="M242" s="61">
        <v>18</v>
      </c>
      <c r="N242" s="60">
        <v>52</v>
      </c>
      <c r="O242" s="60">
        <v>58</v>
      </c>
      <c r="P242" s="61">
        <v>55</v>
      </c>
      <c r="Q242" s="60">
        <v>11</v>
      </c>
      <c r="R242" s="60">
        <v>17</v>
      </c>
      <c r="S242" s="61">
        <v>14</v>
      </c>
      <c r="T242" s="60">
        <v>23</v>
      </c>
      <c r="U242" s="60">
        <v>25</v>
      </c>
      <c r="V242" s="61">
        <v>24</v>
      </c>
      <c r="Y242" s="61"/>
      <c r="AB242" s="61"/>
      <c r="AE242" s="61"/>
      <c r="AH242" s="61"/>
    </row>
    <row r="243" spans="1:34" s="60" customFormat="1" ht="10" x14ac:dyDescent="0.2">
      <c r="A243" s="58">
        <v>44119</v>
      </c>
      <c r="B243" s="59">
        <f t="shared" si="6"/>
        <v>2020</v>
      </c>
      <c r="C243" s="59"/>
      <c r="D243" s="59">
        <f t="shared" si="7"/>
        <v>10</v>
      </c>
      <c r="E243" s="60">
        <v>25</v>
      </c>
      <c r="F243" s="60">
        <v>27</v>
      </c>
      <c r="G243" s="61">
        <v>26</v>
      </c>
      <c r="H243" s="60">
        <v>34</v>
      </c>
      <c r="I243" s="60">
        <v>35</v>
      </c>
      <c r="J243" s="61">
        <v>34</v>
      </c>
      <c r="K243" s="60">
        <v>15</v>
      </c>
      <c r="L243" s="60">
        <v>22</v>
      </c>
      <c r="M243" s="61">
        <v>18</v>
      </c>
      <c r="N243" s="60">
        <v>52</v>
      </c>
      <c r="O243" s="60">
        <v>58</v>
      </c>
      <c r="P243" s="61">
        <v>55</v>
      </c>
      <c r="Q243" s="60">
        <v>11</v>
      </c>
      <c r="R243" s="60">
        <v>17</v>
      </c>
      <c r="S243" s="61">
        <v>14</v>
      </c>
      <c r="T243" s="60">
        <v>23</v>
      </c>
      <c r="U243" s="60">
        <v>25</v>
      </c>
      <c r="V243" s="61">
        <v>24</v>
      </c>
      <c r="Y243" s="61"/>
      <c r="AB243" s="61"/>
      <c r="AE243" s="61"/>
      <c r="AH243" s="61"/>
    </row>
    <row r="244" spans="1:34" s="60" customFormat="1" ht="10" x14ac:dyDescent="0.2">
      <c r="A244" s="58">
        <v>44126</v>
      </c>
      <c r="B244" s="59">
        <f t="shared" si="6"/>
        <v>2020</v>
      </c>
      <c r="C244" s="59"/>
      <c r="D244" s="59">
        <f t="shared" si="7"/>
        <v>10</v>
      </c>
      <c r="E244" s="60">
        <v>26</v>
      </c>
      <c r="F244" s="60">
        <v>28</v>
      </c>
      <c r="G244" s="61">
        <v>27</v>
      </c>
      <c r="H244" s="60">
        <v>35</v>
      </c>
      <c r="I244" s="60">
        <v>36</v>
      </c>
      <c r="J244" s="61">
        <v>36</v>
      </c>
      <c r="K244" s="60">
        <v>14</v>
      </c>
      <c r="L244" s="60">
        <v>21</v>
      </c>
      <c r="M244" s="61">
        <v>18</v>
      </c>
      <c r="N244" s="60">
        <v>53</v>
      </c>
      <c r="O244" s="60">
        <v>59</v>
      </c>
      <c r="P244" s="61">
        <v>56</v>
      </c>
      <c r="Q244" s="60">
        <v>12</v>
      </c>
      <c r="R244" s="60">
        <v>18</v>
      </c>
      <c r="S244" s="61">
        <v>15</v>
      </c>
      <c r="T244" s="60">
        <v>25</v>
      </c>
      <c r="U244" s="60">
        <v>27</v>
      </c>
      <c r="V244" s="61">
        <v>26</v>
      </c>
      <c r="Y244" s="61"/>
      <c r="AB244" s="61"/>
      <c r="AE244" s="61"/>
      <c r="AH244" s="61"/>
    </row>
    <row r="245" spans="1:34" s="60" customFormat="1" ht="10" x14ac:dyDescent="0.2">
      <c r="A245" s="58">
        <v>44133</v>
      </c>
      <c r="B245" s="59">
        <f t="shared" si="6"/>
        <v>2020</v>
      </c>
      <c r="C245" s="59"/>
      <c r="D245" s="59">
        <f t="shared" si="7"/>
        <v>10</v>
      </c>
      <c r="E245" s="60">
        <v>26</v>
      </c>
      <c r="F245" s="60">
        <v>28</v>
      </c>
      <c r="G245" s="61">
        <v>27</v>
      </c>
      <c r="H245" s="60">
        <v>35</v>
      </c>
      <c r="I245" s="60">
        <v>36</v>
      </c>
      <c r="J245" s="61">
        <v>36</v>
      </c>
      <c r="K245" s="60">
        <v>14</v>
      </c>
      <c r="L245" s="60">
        <v>21</v>
      </c>
      <c r="M245" s="61">
        <v>18</v>
      </c>
      <c r="N245" s="60">
        <v>53</v>
      </c>
      <c r="O245" s="60">
        <v>59</v>
      </c>
      <c r="P245" s="61">
        <v>56</v>
      </c>
      <c r="Q245" s="60">
        <v>12</v>
      </c>
      <c r="R245" s="60">
        <v>18</v>
      </c>
      <c r="S245" s="61">
        <v>15</v>
      </c>
      <c r="T245" s="60">
        <v>25</v>
      </c>
      <c r="U245" s="60">
        <v>27</v>
      </c>
      <c r="V245" s="61">
        <v>26</v>
      </c>
      <c r="Y245" s="61"/>
      <c r="AB245" s="61"/>
      <c r="AE245" s="61"/>
      <c r="AH245" s="61"/>
    </row>
    <row r="246" spans="1:34" s="60" customFormat="1" ht="10" x14ac:dyDescent="0.2">
      <c r="A246" s="58">
        <v>44140</v>
      </c>
      <c r="B246" s="59">
        <f t="shared" si="6"/>
        <v>2020</v>
      </c>
      <c r="C246" s="59"/>
      <c r="D246" s="59">
        <f t="shared" si="7"/>
        <v>11</v>
      </c>
      <c r="E246" s="60">
        <v>27</v>
      </c>
      <c r="F246" s="60">
        <v>29</v>
      </c>
      <c r="G246" s="61">
        <v>28</v>
      </c>
      <c r="H246" s="60">
        <v>36</v>
      </c>
      <c r="I246" s="60">
        <v>37</v>
      </c>
      <c r="J246" s="61">
        <v>36</v>
      </c>
      <c r="K246" s="60">
        <v>15</v>
      </c>
      <c r="L246" s="60">
        <v>22</v>
      </c>
      <c r="M246" s="61">
        <v>18</v>
      </c>
      <c r="N246" s="60">
        <v>54</v>
      </c>
      <c r="O246" s="60">
        <v>60</v>
      </c>
      <c r="P246" s="61">
        <v>57</v>
      </c>
      <c r="Q246" s="60">
        <v>13</v>
      </c>
      <c r="R246" s="60">
        <v>19</v>
      </c>
      <c r="S246" s="61">
        <v>16</v>
      </c>
      <c r="T246" s="60">
        <v>26</v>
      </c>
      <c r="U246" s="60">
        <v>28</v>
      </c>
      <c r="V246" s="61">
        <v>27</v>
      </c>
      <c r="Y246" s="61"/>
      <c r="AB246" s="61"/>
      <c r="AE246" s="61"/>
      <c r="AH246" s="61"/>
    </row>
    <row r="247" spans="1:34" s="60" customFormat="1" ht="10" x14ac:dyDescent="0.2">
      <c r="A247" s="58">
        <v>44147</v>
      </c>
      <c r="B247" s="59">
        <f t="shared" si="6"/>
        <v>2020</v>
      </c>
      <c r="C247" s="59"/>
      <c r="D247" s="59">
        <f t="shared" si="7"/>
        <v>11</v>
      </c>
      <c r="E247" s="60">
        <v>26</v>
      </c>
      <c r="F247" s="60">
        <v>28</v>
      </c>
      <c r="G247" s="61">
        <v>27</v>
      </c>
      <c r="H247" s="60">
        <v>35</v>
      </c>
      <c r="I247" s="60">
        <v>36</v>
      </c>
      <c r="J247" s="61">
        <v>36</v>
      </c>
      <c r="K247" s="60">
        <v>15</v>
      </c>
      <c r="L247" s="60">
        <v>22</v>
      </c>
      <c r="M247" s="61">
        <v>18</v>
      </c>
      <c r="N247" s="60">
        <v>54</v>
      </c>
      <c r="O247" s="60">
        <v>60</v>
      </c>
      <c r="P247" s="61">
        <v>57</v>
      </c>
      <c r="Q247" s="60">
        <v>12</v>
      </c>
      <c r="R247" s="60">
        <v>18</v>
      </c>
      <c r="S247" s="61">
        <v>15</v>
      </c>
      <c r="T247" s="60">
        <v>25</v>
      </c>
      <c r="U247" s="60">
        <v>27</v>
      </c>
      <c r="V247" s="61">
        <v>26</v>
      </c>
      <c r="Y247" s="61"/>
      <c r="AB247" s="61"/>
      <c r="AE247" s="61"/>
      <c r="AH247" s="61"/>
    </row>
    <row r="248" spans="1:34" s="60" customFormat="1" ht="10" x14ac:dyDescent="0.2">
      <c r="A248" s="58">
        <v>44154</v>
      </c>
      <c r="B248" s="59">
        <f t="shared" si="6"/>
        <v>2020</v>
      </c>
      <c r="C248" s="59"/>
      <c r="D248" s="59">
        <f t="shared" si="7"/>
        <v>11</v>
      </c>
      <c r="E248" s="60">
        <v>26</v>
      </c>
      <c r="F248" s="60">
        <v>28</v>
      </c>
      <c r="G248" s="61">
        <v>27</v>
      </c>
      <c r="H248" s="60">
        <v>35</v>
      </c>
      <c r="I248" s="60">
        <v>36</v>
      </c>
      <c r="J248" s="61">
        <v>36</v>
      </c>
      <c r="K248" s="60">
        <v>15</v>
      </c>
      <c r="L248" s="60">
        <v>22</v>
      </c>
      <c r="M248" s="61">
        <v>18</v>
      </c>
      <c r="N248" s="60">
        <v>53</v>
      </c>
      <c r="O248" s="60">
        <v>59</v>
      </c>
      <c r="P248" s="61">
        <v>56</v>
      </c>
      <c r="Q248" s="60">
        <v>11</v>
      </c>
      <c r="R248" s="60">
        <v>17</v>
      </c>
      <c r="S248" s="61">
        <v>14</v>
      </c>
      <c r="T248" s="60">
        <v>24</v>
      </c>
      <c r="U248" s="60">
        <v>26</v>
      </c>
      <c r="V248" s="61">
        <v>25</v>
      </c>
      <c r="Y248" s="61"/>
      <c r="AB248" s="61"/>
      <c r="AE248" s="61"/>
      <c r="AH248" s="61"/>
    </row>
    <row r="249" spans="1:34" s="60" customFormat="1" ht="10" x14ac:dyDescent="0.2">
      <c r="A249" s="58">
        <v>44161</v>
      </c>
      <c r="B249" s="59">
        <f t="shared" si="6"/>
        <v>2020</v>
      </c>
      <c r="C249" s="59"/>
      <c r="D249" s="59">
        <f t="shared" si="7"/>
        <v>11</v>
      </c>
      <c r="E249" s="60">
        <v>26</v>
      </c>
      <c r="F249" s="60">
        <v>28</v>
      </c>
      <c r="G249" s="61">
        <v>27</v>
      </c>
      <c r="H249" s="60">
        <v>35</v>
      </c>
      <c r="I249" s="60">
        <v>36</v>
      </c>
      <c r="J249" s="61">
        <v>36</v>
      </c>
      <c r="K249" s="60">
        <v>15</v>
      </c>
      <c r="L249" s="60">
        <v>22</v>
      </c>
      <c r="M249" s="61">
        <v>18</v>
      </c>
      <c r="N249" s="60">
        <v>53</v>
      </c>
      <c r="O249" s="60">
        <v>59</v>
      </c>
      <c r="P249" s="61">
        <v>56</v>
      </c>
      <c r="Q249" s="60">
        <v>11</v>
      </c>
      <c r="R249" s="60">
        <v>17</v>
      </c>
      <c r="S249" s="61">
        <v>14</v>
      </c>
      <c r="T249" s="60">
        <v>24</v>
      </c>
      <c r="U249" s="60">
        <v>26</v>
      </c>
      <c r="V249" s="61">
        <v>25</v>
      </c>
      <c r="Y249" s="61"/>
      <c r="AB249" s="61"/>
      <c r="AE249" s="61"/>
      <c r="AH249" s="61"/>
    </row>
    <row r="250" spans="1:34" s="60" customFormat="1" ht="10" x14ac:dyDescent="0.2">
      <c r="A250" s="58">
        <v>44168</v>
      </c>
      <c r="B250" s="59">
        <f t="shared" si="6"/>
        <v>2020</v>
      </c>
      <c r="C250" s="59"/>
      <c r="D250" s="59">
        <f t="shared" si="7"/>
        <v>12</v>
      </c>
      <c r="E250" s="60">
        <v>25</v>
      </c>
      <c r="F250" s="60">
        <v>26</v>
      </c>
      <c r="G250" s="61">
        <v>26</v>
      </c>
      <c r="H250" s="60">
        <v>34</v>
      </c>
      <c r="I250" s="60">
        <v>35</v>
      </c>
      <c r="J250" s="61">
        <v>34</v>
      </c>
      <c r="K250" s="60">
        <v>15</v>
      </c>
      <c r="L250" s="60">
        <v>22</v>
      </c>
      <c r="M250" s="61">
        <v>18</v>
      </c>
      <c r="N250" s="60">
        <v>53</v>
      </c>
      <c r="O250" s="60">
        <v>59</v>
      </c>
      <c r="P250" s="61">
        <v>56</v>
      </c>
      <c r="Q250" s="60">
        <v>11</v>
      </c>
      <c r="R250" s="60">
        <v>17</v>
      </c>
      <c r="S250" s="61">
        <v>14</v>
      </c>
      <c r="T250" s="60">
        <v>24</v>
      </c>
      <c r="U250" s="60">
        <v>26</v>
      </c>
      <c r="V250" s="61">
        <v>25</v>
      </c>
      <c r="Y250" s="61"/>
      <c r="AB250" s="61"/>
      <c r="AE250" s="61"/>
      <c r="AH250" s="61"/>
    </row>
    <row r="251" spans="1:34" s="60" customFormat="1" ht="10" x14ac:dyDescent="0.2">
      <c r="A251" s="58">
        <v>44175</v>
      </c>
      <c r="B251" s="59">
        <f t="shared" si="6"/>
        <v>2020</v>
      </c>
      <c r="C251" s="59"/>
      <c r="D251" s="59">
        <f t="shared" si="7"/>
        <v>12</v>
      </c>
      <c r="E251" s="60">
        <v>25</v>
      </c>
      <c r="F251" s="60">
        <v>26</v>
      </c>
      <c r="G251" s="61">
        <v>26</v>
      </c>
      <c r="H251" s="60">
        <v>34</v>
      </c>
      <c r="I251" s="60">
        <v>35</v>
      </c>
      <c r="J251" s="61">
        <v>34</v>
      </c>
      <c r="K251" s="60">
        <v>15</v>
      </c>
      <c r="L251" s="60">
        <v>22</v>
      </c>
      <c r="M251" s="61">
        <v>18</v>
      </c>
      <c r="N251" s="60">
        <v>53</v>
      </c>
      <c r="O251" s="60">
        <v>59</v>
      </c>
      <c r="P251" s="61">
        <v>56</v>
      </c>
      <c r="Q251" s="60">
        <v>11</v>
      </c>
      <c r="R251" s="60">
        <v>17</v>
      </c>
      <c r="S251" s="61">
        <v>14</v>
      </c>
      <c r="T251" s="60">
        <v>24</v>
      </c>
      <c r="U251" s="60">
        <v>26</v>
      </c>
      <c r="V251" s="61">
        <v>25</v>
      </c>
      <c r="Y251" s="61"/>
      <c r="AB251" s="61"/>
      <c r="AE251" s="61"/>
      <c r="AH251" s="61"/>
    </row>
    <row r="252" spans="1:34" s="60" customFormat="1" ht="10" x14ac:dyDescent="0.2">
      <c r="A252" s="58">
        <v>44182</v>
      </c>
      <c r="B252" s="59">
        <f t="shared" si="6"/>
        <v>2020</v>
      </c>
      <c r="C252" s="59"/>
      <c r="D252" s="59">
        <f t="shared" si="7"/>
        <v>12</v>
      </c>
      <c r="E252" s="60">
        <v>25</v>
      </c>
      <c r="F252" s="60">
        <v>26</v>
      </c>
      <c r="G252" s="61">
        <v>26</v>
      </c>
      <c r="H252" s="60">
        <v>34</v>
      </c>
      <c r="I252" s="60">
        <v>35</v>
      </c>
      <c r="J252" s="61">
        <v>34</v>
      </c>
      <c r="K252" s="60">
        <v>15</v>
      </c>
      <c r="L252" s="60">
        <v>22</v>
      </c>
      <c r="M252" s="61">
        <v>18</v>
      </c>
      <c r="N252" s="60">
        <v>54</v>
      </c>
      <c r="O252" s="60">
        <v>60</v>
      </c>
      <c r="P252" s="61">
        <v>57</v>
      </c>
      <c r="Q252" s="60">
        <v>12</v>
      </c>
      <c r="R252" s="60">
        <v>18</v>
      </c>
      <c r="S252" s="61">
        <v>15</v>
      </c>
      <c r="T252" s="60">
        <v>25</v>
      </c>
      <c r="U252" s="60">
        <v>27</v>
      </c>
      <c r="V252" s="61">
        <v>26</v>
      </c>
      <c r="Y252" s="61"/>
      <c r="AB252" s="61"/>
      <c r="AE252" s="61"/>
      <c r="AH252" s="61"/>
    </row>
    <row r="253" spans="1:34" s="60" customFormat="1" ht="10" x14ac:dyDescent="0.2">
      <c r="A253" s="58">
        <v>44189</v>
      </c>
      <c r="B253" s="59">
        <f t="shared" si="6"/>
        <v>2020</v>
      </c>
      <c r="C253" s="59"/>
      <c r="D253" s="59">
        <f t="shared" si="7"/>
        <v>12</v>
      </c>
      <c r="E253" s="60">
        <v>25</v>
      </c>
      <c r="F253" s="60">
        <v>26</v>
      </c>
      <c r="G253" s="61">
        <v>26</v>
      </c>
      <c r="H253" s="60">
        <v>34</v>
      </c>
      <c r="I253" s="60">
        <v>35</v>
      </c>
      <c r="J253" s="61">
        <v>34</v>
      </c>
      <c r="K253" s="60">
        <v>15</v>
      </c>
      <c r="L253" s="60">
        <v>22</v>
      </c>
      <c r="M253" s="61">
        <v>18</v>
      </c>
      <c r="N253" s="60">
        <v>54</v>
      </c>
      <c r="O253" s="60">
        <v>60</v>
      </c>
      <c r="P253" s="61">
        <v>57</v>
      </c>
      <c r="Q253" s="60">
        <v>10</v>
      </c>
      <c r="R253" s="60">
        <v>16</v>
      </c>
      <c r="S253" s="61">
        <v>13</v>
      </c>
      <c r="T253" s="60">
        <v>23</v>
      </c>
      <c r="U253" s="60">
        <v>25</v>
      </c>
      <c r="V253" s="61">
        <v>24</v>
      </c>
      <c r="Y253" s="61"/>
      <c r="AB253" s="61"/>
      <c r="AE253" s="61"/>
      <c r="AH253" s="61"/>
    </row>
    <row r="254" spans="1:34" s="60" customFormat="1" ht="10" x14ac:dyDescent="0.2">
      <c r="A254" s="58">
        <v>44196</v>
      </c>
      <c r="B254" s="59">
        <f t="shared" si="6"/>
        <v>2020</v>
      </c>
      <c r="C254" s="59"/>
      <c r="D254" s="59">
        <f t="shared" si="7"/>
        <v>12</v>
      </c>
      <c r="G254" s="61"/>
      <c r="J254" s="61"/>
      <c r="M254" s="61"/>
      <c r="P254" s="61"/>
      <c r="S254" s="61"/>
      <c r="V254" s="61"/>
      <c r="Y254" s="61"/>
      <c r="AB254" s="61"/>
      <c r="AE254" s="61"/>
      <c r="AH254" s="61"/>
    </row>
    <row r="255" spans="1:34" s="60" customFormat="1" ht="10" x14ac:dyDescent="0.2">
      <c r="A255" s="58">
        <v>44203</v>
      </c>
      <c r="B255" s="59">
        <f t="shared" si="6"/>
        <v>2021</v>
      </c>
      <c r="C255" s="59"/>
      <c r="D255" s="59">
        <f t="shared" si="7"/>
        <v>1</v>
      </c>
      <c r="E255" s="60">
        <v>25</v>
      </c>
      <c r="F255" s="60">
        <v>26</v>
      </c>
      <c r="G255" s="61">
        <v>26</v>
      </c>
      <c r="H255" s="60">
        <v>34</v>
      </c>
      <c r="I255" s="60">
        <v>35</v>
      </c>
      <c r="J255" s="61">
        <v>34</v>
      </c>
      <c r="K255" s="60">
        <v>15</v>
      </c>
      <c r="L255" s="60">
        <v>22</v>
      </c>
      <c r="M255" s="61">
        <v>18</v>
      </c>
      <c r="N255" s="60">
        <v>54</v>
      </c>
      <c r="O255" s="60">
        <v>60</v>
      </c>
      <c r="P255" s="61">
        <v>57</v>
      </c>
      <c r="Q255" s="60">
        <v>10</v>
      </c>
      <c r="R255" s="60">
        <v>16</v>
      </c>
      <c r="S255" s="61">
        <v>13</v>
      </c>
      <c r="T255" s="60">
        <v>23</v>
      </c>
      <c r="U255" s="60">
        <v>25</v>
      </c>
      <c r="V255" s="61">
        <v>24</v>
      </c>
      <c r="Y255" s="61"/>
      <c r="AB255" s="61"/>
      <c r="AE255" s="61"/>
      <c r="AH255" s="61"/>
    </row>
    <row r="256" spans="1:34" s="60" customFormat="1" ht="10" x14ac:dyDescent="0.2">
      <c r="A256" s="58">
        <v>44210</v>
      </c>
      <c r="B256" s="59">
        <f t="shared" si="6"/>
        <v>2021</v>
      </c>
      <c r="C256" s="59"/>
      <c r="D256" s="59">
        <f t="shared" si="7"/>
        <v>1</v>
      </c>
      <c r="E256" s="60">
        <v>25</v>
      </c>
      <c r="F256" s="60">
        <v>26</v>
      </c>
      <c r="G256" s="61">
        <v>26</v>
      </c>
      <c r="H256" s="60">
        <v>31</v>
      </c>
      <c r="I256" s="60">
        <v>32</v>
      </c>
      <c r="J256" s="61">
        <v>32</v>
      </c>
      <c r="K256" s="60">
        <v>14</v>
      </c>
      <c r="L256" s="60">
        <v>21</v>
      </c>
      <c r="M256" s="61">
        <v>18</v>
      </c>
      <c r="N256" s="60">
        <v>52</v>
      </c>
      <c r="O256" s="60">
        <v>58</v>
      </c>
      <c r="P256" s="61">
        <v>55</v>
      </c>
      <c r="Q256" s="60">
        <v>10</v>
      </c>
      <c r="R256" s="60">
        <v>16</v>
      </c>
      <c r="S256" s="61">
        <v>13</v>
      </c>
      <c r="T256" s="60">
        <v>23</v>
      </c>
      <c r="U256" s="60">
        <v>25</v>
      </c>
      <c r="V256" s="61">
        <v>24</v>
      </c>
      <c r="Y256" s="61"/>
      <c r="AB256" s="61"/>
      <c r="AE256" s="61"/>
      <c r="AH256" s="61"/>
    </row>
    <row r="257" spans="1:34" s="60" customFormat="1" ht="10" x14ac:dyDescent="0.2">
      <c r="A257" s="58">
        <v>44217</v>
      </c>
      <c r="B257" s="59">
        <f t="shared" si="6"/>
        <v>2021</v>
      </c>
      <c r="C257" s="59"/>
      <c r="D257" s="59">
        <f t="shared" si="7"/>
        <v>1</v>
      </c>
      <c r="E257" s="60">
        <v>25</v>
      </c>
      <c r="F257" s="60">
        <v>26</v>
      </c>
      <c r="G257" s="61">
        <v>26</v>
      </c>
      <c r="H257" s="60">
        <v>31</v>
      </c>
      <c r="I257" s="60">
        <v>32</v>
      </c>
      <c r="J257" s="61">
        <v>32</v>
      </c>
      <c r="K257" s="60">
        <v>14</v>
      </c>
      <c r="L257" s="60">
        <v>21</v>
      </c>
      <c r="M257" s="61">
        <v>18</v>
      </c>
      <c r="N257" s="60">
        <v>52</v>
      </c>
      <c r="O257" s="60">
        <v>58</v>
      </c>
      <c r="P257" s="61">
        <v>55</v>
      </c>
      <c r="Q257" s="60">
        <v>9</v>
      </c>
      <c r="R257" s="60">
        <v>15</v>
      </c>
      <c r="S257" s="61">
        <v>12</v>
      </c>
      <c r="T257" s="60">
        <v>21</v>
      </c>
      <c r="U257" s="60">
        <v>23</v>
      </c>
      <c r="V257" s="61">
        <v>22</v>
      </c>
      <c r="Y257" s="61"/>
      <c r="AB257" s="61"/>
      <c r="AE257" s="61"/>
      <c r="AH257" s="61"/>
    </row>
    <row r="258" spans="1:34" s="60" customFormat="1" ht="10" x14ac:dyDescent="0.2">
      <c r="A258" s="58">
        <v>44224</v>
      </c>
      <c r="B258" s="59">
        <f t="shared" si="6"/>
        <v>2021</v>
      </c>
      <c r="C258" s="59"/>
      <c r="D258" s="59">
        <f t="shared" si="7"/>
        <v>1</v>
      </c>
      <c r="E258" s="60">
        <v>25</v>
      </c>
      <c r="F258" s="60">
        <v>26</v>
      </c>
      <c r="G258" s="61">
        <v>26</v>
      </c>
      <c r="H258" s="60">
        <v>31</v>
      </c>
      <c r="I258" s="60">
        <v>32</v>
      </c>
      <c r="J258" s="61">
        <v>32</v>
      </c>
      <c r="K258" s="60">
        <v>14</v>
      </c>
      <c r="L258" s="60">
        <v>21</v>
      </c>
      <c r="M258" s="61">
        <v>18</v>
      </c>
      <c r="N258" s="60">
        <v>52</v>
      </c>
      <c r="O258" s="60">
        <v>58</v>
      </c>
      <c r="P258" s="61">
        <v>55</v>
      </c>
      <c r="Q258" s="60">
        <v>11</v>
      </c>
      <c r="R258" s="60">
        <v>17</v>
      </c>
      <c r="S258" s="61">
        <v>14</v>
      </c>
      <c r="T258" s="60">
        <v>22</v>
      </c>
      <c r="U258" s="60">
        <v>24</v>
      </c>
      <c r="V258" s="61">
        <v>23</v>
      </c>
      <c r="Y258" s="61"/>
      <c r="AB258" s="61"/>
      <c r="AE258" s="61"/>
      <c r="AH258" s="61"/>
    </row>
    <row r="259" spans="1:34" s="60" customFormat="1" ht="10" x14ac:dyDescent="0.2">
      <c r="A259" s="58">
        <v>44231</v>
      </c>
      <c r="B259" s="59">
        <f t="shared" ref="B259:B322" si="8">YEAR(A259)</f>
        <v>2021</v>
      </c>
      <c r="C259" s="59"/>
      <c r="D259" s="59">
        <f t="shared" ref="D259:D322" si="9">MONTH(A259)</f>
        <v>2</v>
      </c>
      <c r="E259" s="60">
        <v>25</v>
      </c>
      <c r="F259" s="60">
        <v>26</v>
      </c>
      <c r="G259" s="61">
        <v>26</v>
      </c>
      <c r="H259" s="60">
        <v>31</v>
      </c>
      <c r="I259" s="60">
        <v>32</v>
      </c>
      <c r="J259" s="61">
        <v>32</v>
      </c>
      <c r="K259" s="60">
        <v>14</v>
      </c>
      <c r="L259" s="60">
        <v>21</v>
      </c>
      <c r="M259" s="61">
        <v>18</v>
      </c>
      <c r="N259" s="60">
        <v>52</v>
      </c>
      <c r="O259" s="60">
        <v>58</v>
      </c>
      <c r="P259" s="61">
        <v>55</v>
      </c>
      <c r="Q259" s="60">
        <v>11</v>
      </c>
      <c r="R259" s="60">
        <v>17</v>
      </c>
      <c r="S259" s="61">
        <v>14</v>
      </c>
      <c r="T259" s="60">
        <v>22</v>
      </c>
      <c r="U259" s="60">
        <v>24</v>
      </c>
      <c r="V259" s="61">
        <v>23</v>
      </c>
      <c r="Y259" s="61"/>
      <c r="AB259" s="61"/>
      <c r="AE259" s="61"/>
      <c r="AH259" s="61"/>
    </row>
    <row r="260" spans="1:34" s="60" customFormat="1" ht="10" x14ac:dyDescent="0.2">
      <c r="A260" s="58">
        <v>44238</v>
      </c>
      <c r="B260" s="59">
        <f t="shared" si="8"/>
        <v>2021</v>
      </c>
      <c r="C260" s="59"/>
      <c r="D260" s="59">
        <f t="shared" si="9"/>
        <v>2</v>
      </c>
      <c r="E260" s="60">
        <v>25</v>
      </c>
      <c r="F260" s="60">
        <v>26</v>
      </c>
      <c r="G260" s="61">
        <v>26</v>
      </c>
      <c r="H260" s="60">
        <v>31</v>
      </c>
      <c r="I260" s="60">
        <v>32</v>
      </c>
      <c r="J260" s="61">
        <v>32</v>
      </c>
      <c r="K260" s="60">
        <v>14</v>
      </c>
      <c r="L260" s="60">
        <v>21</v>
      </c>
      <c r="M260" s="61">
        <v>18</v>
      </c>
      <c r="N260" s="60">
        <v>53</v>
      </c>
      <c r="O260" s="60">
        <v>59</v>
      </c>
      <c r="P260" s="61">
        <v>56</v>
      </c>
      <c r="Q260" s="60">
        <v>11</v>
      </c>
      <c r="R260" s="60">
        <v>17</v>
      </c>
      <c r="S260" s="61">
        <v>14</v>
      </c>
      <c r="T260" s="60">
        <v>23</v>
      </c>
      <c r="U260" s="60">
        <v>24</v>
      </c>
      <c r="V260" s="61">
        <v>24</v>
      </c>
      <c r="Y260" s="61"/>
      <c r="AB260" s="61"/>
      <c r="AE260" s="61"/>
      <c r="AH260" s="61"/>
    </row>
    <row r="261" spans="1:34" s="60" customFormat="1" ht="10" x14ac:dyDescent="0.2">
      <c r="A261" s="58">
        <v>44245</v>
      </c>
      <c r="B261" s="59">
        <f t="shared" si="8"/>
        <v>2021</v>
      </c>
      <c r="C261" s="59"/>
      <c r="D261" s="59">
        <f t="shared" si="9"/>
        <v>2</v>
      </c>
      <c r="E261" s="60">
        <v>25</v>
      </c>
      <c r="F261" s="60">
        <v>26</v>
      </c>
      <c r="G261" s="61">
        <v>26</v>
      </c>
      <c r="H261" s="60">
        <v>31</v>
      </c>
      <c r="I261" s="60">
        <v>32</v>
      </c>
      <c r="J261" s="61">
        <v>32</v>
      </c>
      <c r="K261" s="60">
        <v>14</v>
      </c>
      <c r="L261" s="60">
        <v>21</v>
      </c>
      <c r="M261" s="61">
        <v>18</v>
      </c>
      <c r="N261" s="60">
        <v>53</v>
      </c>
      <c r="O261" s="60">
        <v>59</v>
      </c>
      <c r="P261" s="61">
        <v>56</v>
      </c>
      <c r="Q261" s="60">
        <v>11</v>
      </c>
      <c r="R261" s="60">
        <v>17</v>
      </c>
      <c r="S261" s="61">
        <v>14</v>
      </c>
      <c r="T261" s="60">
        <v>23</v>
      </c>
      <c r="U261" s="60">
        <v>24</v>
      </c>
      <c r="V261" s="61">
        <v>24</v>
      </c>
      <c r="Y261" s="61"/>
      <c r="AB261" s="61"/>
      <c r="AE261" s="61"/>
      <c r="AH261" s="61"/>
    </row>
    <row r="262" spans="1:34" s="60" customFormat="1" ht="10" x14ac:dyDescent="0.2">
      <c r="A262" s="58">
        <v>44252</v>
      </c>
      <c r="B262" s="59">
        <f t="shared" si="8"/>
        <v>2021</v>
      </c>
      <c r="C262" s="59"/>
      <c r="D262" s="59">
        <f t="shared" si="9"/>
        <v>2</v>
      </c>
      <c r="E262" s="60">
        <v>25</v>
      </c>
      <c r="F262" s="60">
        <v>26</v>
      </c>
      <c r="G262" s="61">
        <v>26</v>
      </c>
      <c r="H262" s="60">
        <v>31</v>
      </c>
      <c r="I262" s="60">
        <v>32</v>
      </c>
      <c r="J262" s="61">
        <v>32</v>
      </c>
      <c r="K262" s="60">
        <v>14</v>
      </c>
      <c r="L262" s="60">
        <v>21</v>
      </c>
      <c r="M262" s="61">
        <v>18</v>
      </c>
      <c r="N262" s="60">
        <v>53</v>
      </c>
      <c r="O262" s="60">
        <v>59</v>
      </c>
      <c r="P262" s="61">
        <v>56</v>
      </c>
      <c r="Q262" s="60">
        <v>11</v>
      </c>
      <c r="R262" s="60">
        <v>17</v>
      </c>
      <c r="S262" s="61">
        <v>14</v>
      </c>
      <c r="T262" s="60">
        <v>24</v>
      </c>
      <c r="U262" s="60">
        <v>25</v>
      </c>
      <c r="V262" s="61">
        <v>24</v>
      </c>
      <c r="Y262" s="61"/>
      <c r="AB262" s="61"/>
      <c r="AE262" s="61"/>
      <c r="AH262" s="61"/>
    </row>
    <row r="263" spans="1:34" s="60" customFormat="1" ht="10" x14ac:dyDescent="0.2">
      <c r="A263" s="58">
        <v>44259</v>
      </c>
      <c r="B263" s="59">
        <f t="shared" si="8"/>
        <v>2021</v>
      </c>
      <c r="C263" s="59"/>
      <c r="D263" s="59">
        <f t="shared" si="9"/>
        <v>3</v>
      </c>
      <c r="E263" s="60">
        <v>25</v>
      </c>
      <c r="F263" s="60">
        <v>26</v>
      </c>
      <c r="G263" s="61">
        <v>26</v>
      </c>
      <c r="H263" s="60">
        <v>31</v>
      </c>
      <c r="I263" s="60">
        <v>32</v>
      </c>
      <c r="J263" s="61">
        <v>32</v>
      </c>
      <c r="K263" s="60">
        <v>14</v>
      </c>
      <c r="L263" s="60">
        <v>21</v>
      </c>
      <c r="M263" s="61">
        <v>18</v>
      </c>
      <c r="N263" s="60">
        <v>54</v>
      </c>
      <c r="O263" s="60">
        <v>60</v>
      </c>
      <c r="P263" s="61">
        <v>57</v>
      </c>
      <c r="Q263" s="60">
        <v>12</v>
      </c>
      <c r="R263" s="60">
        <v>18</v>
      </c>
      <c r="S263" s="61">
        <v>15</v>
      </c>
      <c r="T263" s="60">
        <v>25</v>
      </c>
      <c r="U263" s="60">
        <v>26</v>
      </c>
      <c r="V263" s="61">
        <v>26</v>
      </c>
      <c r="Y263" s="61"/>
      <c r="AB263" s="61"/>
      <c r="AE263" s="61"/>
      <c r="AH263" s="61"/>
    </row>
    <row r="264" spans="1:34" s="60" customFormat="1" ht="10" x14ac:dyDescent="0.2">
      <c r="A264" s="58">
        <v>44266</v>
      </c>
      <c r="B264" s="59">
        <f t="shared" si="8"/>
        <v>2021</v>
      </c>
      <c r="C264" s="59"/>
      <c r="D264" s="59">
        <f t="shared" si="9"/>
        <v>3</v>
      </c>
      <c r="E264" s="60">
        <v>25</v>
      </c>
      <c r="F264" s="60">
        <v>26</v>
      </c>
      <c r="G264" s="61">
        <v>26</v>
      </c>
      <c r="H264" s="60">
        <v>31</v>
      </c>
      <c r="I264" s="60">
        <v>32</v>
      </c>
      <c r="J264" s="61">
        <v>32</v>
      </c>
      <c r="K264" s="60">
        <v>14</v>
      </c>
      <c r="L264" s="60">
        <v>21</v>
      </c>
      <c r="M264" s="61">
        <v>18</v>
      </c>
      <c r="N264" s="60">
        <v>56</v>
      </c>
      <c r="O264" s="60">
        <v>62</v>
      </c>
      <c r="P264" s="61">
        <v>59</v>
      </c>
      <c r="Q264" s="60">
        <v>13</v>
      </c>
      <c r="R264" s="60">
        <v>19</v>
      </c>
      <c r="S264" s="61">
        <v>16</v>
      </c>
      <c r="T264" s="60">
        <v>26</v>
      </c>
      <c r="U264" s="60">
        <v>27</v>
      </c>
      <c r="V264" s="61">
        <v>26</v>
      </c>
      <c r="Y264" s="61"/>
      <c r="AB264" s="61"/>
      <c r="AE264" s="61"/>
      <c r="AH264" s="61"/>
    </row>
    <row r="265" spans="1:34" s="60" customFormat="1" ht="10" x14ac:dyDescent="0.2">
      <c r="A265" s="58">
        <v>44273</v>
      </c>
      <c r="B265" s="59">
        <f t="shared" si="8"/>
        <v>2021</v>
      </c>
      <c r="C265" s="59"/>
      <c r="D265" s="59">
        <f t="shared" si="9"/>
        <v>3</v>
      </c>
      <c r="E265" s="60">
        <v>25</v>
      </c>
      <c r="F265" s="60">
        <v>26</v>
      </c>
      <c r="G265" s="61">
        <v>26</v>
      </c>
      <c r="H265" s="60">
        <v>31</v>
      </c>
      <c r="I265" s="60">
        <v>32</v>
      </c>
      <c r="J265" s="61">
        <v>32</v>
      </c>
      <c r="K265" s="60">
        <v>14</v>
      </c>
      <c r="L265" s="60">
        <v>21</v>
      </c>
      <c r="M265" s="61">
        <v>18</v>
      </c>
      <c r="N265" s="60">
        <v>54</v>
      </c>
      <c r="O265" s="60">
        <v>60</v>
      </c>
      <c r="P265" s="61">
        <v>57</v>
      </c>
      <c r="Q265" s="60">
        <v>13</v>
      </c>
      <c r="R265" s="60">
        <v>19</v>
      </c>
      <c r="S265" s="61">
        <v>16</v>
      </c>
      <c r="T265" s="60">
        <v>26</v>
      </c>
      <c r="U265" s="60">
        <v>27</v>
      </c>
      <c r="V265" s="61">
        <v>26</v>
      </c>
      <c r="Y265" s="61"/>
      <c r="AB265" s="61"/>
      <c r="AE265" s="61"/>
      <c r="AH265" s="61"/>
    </row>
    <row r="266" spans="1:34" s="60" customFormat="1" ht="10" x14ac:dyDescent="0.2">
      <c r="A266" s="58">
        <v>44280</v>
      </c>
      <c r="B266" s="59">
        <f t="shared" si="8"/>
        <v>2021</v>
      </c>
      <c r="C266" s="59"/>
      <c r="D266" s="59">
        <f t="shared" si="9"/>
        <v>3</v>
      </c>
      <c r="E266" s="60">
        <v>25</v>
      </c>
      <c r="F266" s="60">
        <v>26</v>
      </c>
      <c r="G266" s="61">
        <v>26</v>
      </c>
      <c r="H266" s="60">
        <v>31</v>
      </c>
      <c r="I266" s="60">
        <v>32</v>
      </c>
      <c r="J266" s="61">
        <v>32</v>
      </c>
      <c r="K266" s="60">
        <v>14</v>
      </c>
      <c r="L266" s="60">
        <v>21</v>
      </c>
      <c r="M266" s="61">
        <v>18</v>
      </c>
      <c r="N266" s="60">
        <v>54</v>
      </c>
      <c r="O266" s="60">
        <v>60</v>
      </c>
      <c r="P266" s="61">
        <v>57</v>
      </c>
      <c r="Q266" s="60">
        <v>14</v>
      </c>
      <c r="R266" s="60">
        <v>20</v>
      </c>
      <c r="S266" s="61">
        <v>17</v>
      </c>
      <c r="T266" s="60">
        <v>27</v>
      </c>
      <c r="U266" s="60">
        <v>28</v>
      </c>
      <c r="V266" s="61">
        <v>28</v>
      </c>
      <c r="Y266" s="61"/>
      <c r="AB266" s="61"/>
      <c r="AE266" s="61"/>
      <c r="AH266" s="61"/>
    </row>
    <row r="267" spans="1:34" s="60" customFormat="1" ht="10" x14ac:dyDescent="0.2">
      <c r="A267" s="58">
        <v>44287</v>
      </c>
      <c r="B267" s="59">
        <f t="shared" si="8"/>
        <v>2021</v>
      </c>
      <c r="C267" s="59"/>
      <c r="D267" s="59">
        <f t="shared" si="9"/>
        <v>4</v>
      </c>
      <c r="E267" s="60">
        <v>25</v>
      </c>
      <c r="F267" s="60">
        <v>26</v>
      </c>
      <c r="G267" s="61">
        <v>26</v>
      </c>
      <c r="H267" s="60">
        <v>32</v>
      </c>
      <c r="I267" s="60">
        <v>33</v>
      </c>
      <c r="J267" s="61">
        <v>32</v>
      </c>
      <c r="K267" s="60">
        <v>14</v>
      </c>
      <c r="L267" s="60">
        <v>21</v>
      </c>
      <c r="M267" s="61">
        <v>18</v>
      </c>
      <c r="N267" s="60">
        <v>54</v>
      </c>
      <c r="O267" s="60">
        <v>60</v>
      </c>
      <c r="P267" s="61">
        <v>57</v>
      </c>
      <c r="Q267" s="60">
        <v>13</v>
      </c>
      <c r="R267" s="60">
        <v>19</v>
      </c>
      <c r="S267" s="61">
        <v>16</v>
      </c>
      <c r="T267" s="60">
        <v>26</v>
      </c>
      <c r="U267" s="60">
        <v>27</v>
      </c>
      <c r="V267" s="61">
        <v>26</v>
      </c>
      <c r="Y267" s="61"/>
      <c r="AB267" s="61"/>
      <c r="AE267" s="61"/>
      <c r="AH267" s="61"/>
    </row>
    <row r="268" spans="1:34" s="60" customFormat="1" ht="10" x14ac:dyDescent="0.2">
      <c r="A268" s="58">
        <v>44294</v>
      </c>
      <c r="B268" s="59">
        <f t="shared" si="8"/>
        <v>2021</v>
      </c>
      <c r="C268" s="59"/>
      <c r="D268" s="59">
        <f t="shared" si="9"/>
        <v>4</v>
      </c>
      <c r="E268" s="60">
        <v>25</v>
      </c>
      <c r="F268" s="60">
        <v>26</v>
      </c>
      <c r="G268" s="61">
        <v>26</v>
      </c>
      <c r="H268" s="60">
        <v>32</v>
      </c>
      <c r="I268" s="60">
        <v>33</v>
      </c>
      <c r="J268" s="61">
        <v>32</v>
      </c>
      <c r="K268" s="60">
        <v>14</v>
      </c>
      <c r="L268" s="60">
        <v>21</v>
      </c>
      <c r="M268" s="61">
        <v>18</v>
      </c>
      <c r="N268" s="60">
        <v>60</v>
      </c>
      <c r="O268" s="60">
        <v>66</v>
      </c>
      <c r="P268" s="61">
        <v>63</v>
      </c>
      <c r="Q268" s="60">
        <v>15</v>
      </c>
      <c r="R268" s="60">
        <v>21</v>
      </c>
      <c r="S268" s="61">
        <v>18</v>
      </c>
      <c r="T268" s="60">
        <v>29</v>
      </c>
      <c r="U268" s="60">
        <v>32</v>
      </c>
      <c r="V268" s="61">
        <v>30</v>
      </c>
      <c r="Y268" s="61"/>
      <c r="AB268" s="61"/>
      <c r="AE268" s="61"/>
      <c r="AH268" s="61"/>
    </row>
    <row r="269" spans="1:34" s="60" customFormat="1" ht="10" x14ac:dyDescent="0.2">
      <c r="A269" s="58">
        <v>44301</v>
      </c>
      <c r="B269" s="59">
        <f t="shared" si="8"/>
        <v>2021</v>
      </c>
      <c r="C269" s="59"/>
      <c r="D269" s="59">
        <f t="shared" si="9"/>
        <v>4</v>
      </c>
      <c r="E269" s="60">
        <v>25</v>
      </c>
      <c r="F269" s="60">
        <v>26</v>
      </c>
      <c r="G269" s="61">
        <v>26</v>
      </c>
      <c r="H269" s="60">
        <v>32</v>
      </c>
      <c r="I269" s="60">
        <v>33</v>
      </c>
      <c r="J269" s="61">
        <v>32</v>
      </c>
      <c r="K269" s="60">
        <v>14</v>
      </c>
      <c r="L269" s="60">
        <v>21</v>
      </c>
      <c r="M269" s="61">
        <v>18</v>
      </c>
      <c r="N269" s="60">
        <v>61</v>
      </c>
      <c r="O269" s="60">
        <v>67</v>
      </c>
      <c r="P269" s="61">
        <v>64</v>
      </c>
      <c r="Q269" s="60">
        <v>16</v>
      </c>
      <c r="R269" s="60">
        <v>22</v>
      </c>
      <c r="S269" s="61">
        <v>19</v>
      </c>
      <c r="T269" s="60">
        <v>30</v>
      </c>
      <c r="U269" s="60">
        <v>33</v>
      </c>
      <c r="V269" s="61">
        <v>32</v>
      </c>
      <c r="Y269" s="61"/>
      <c r="AB269" s="61"/>
      <c r="AE269" s="61"/>
      <c r="AH269" s="61"/>
    </row>
    <row r="270" spans="1:34" s="60" customFormat="1" ht="10" x14ac:dyDescent="0.2">
      <c r="A270" s="58">
        <v>44308</v>
      </c>
      <c r="B270" s="59">
        <f t="shared" si="8"/>
        <v>2021</v>
      </c>
      <c r="C270" s="59"/>
      <c r="D270" s="59">
        <f t="shared" si="9"/>
        <v>4</v>
      </c>
      <c r="E270" s="60">
        <v>25</v>
      </c>
      <c r="F270" s="60">
        <v>26</v>
      </c>
      <c r="G270" s="61">
        <v>26</v>
      </c>
      <c r="H270" s="60">
        <v>32</v>
      </c>
      <c r="I270" s="60">
        <v>33</v>
      </c>
      <c r="J270" s="61">
        <v>32</v>
      </c>
      <c r="K270" s="60">
        <v>13</v>
      </c>
      <c r="L270" s="60">
        <v>20</v>
      </c>
      <c r="M270" s="61">
        <v>16</v>
      </c>
      <c r="N270" s="60">
        <v>61</v>
      </c>
      <c r="O270" s="60">
        <v>67</v>
      </c>
      <c r="P270" s="61">
        <v>64</v>
      </c>
      <c r="Q270" s="60">
        <v>16</v>
      </c>
      <c r="R270" s="60">
        <v>22</v>
      </c>
      <c r="S270" s="61">
        <v>19</v>
      </c>
      <c r="T270" s="60">
        <v>30</v>
      </c>
      <c r="U270" s="60">
        <v>33</v>
      </c>
      <c r="V270" s="61">
        <v>32</v>
      </c>
      <c r="Y270" s="61"/>
      <c r="AB270" s="61"/>
      <c r="AE270" s="61"/>
      <c r="AH270" s="61"/>
    </row>
    <row r="271" spans="1:34" s="60" customFormat="1" ht="10" x14ac:dyDescent="0.2">
      <c r="A271" s="58">
        <v>44315</v>
      </c>
      <c r="B271" s="59">
        <f t="shared" si="8"/>
        <v>2021</v>
      </c>
      <c r="C271" s="59"/>
      <c r="D271" s="59">
        <f t="shared" si="9"/>
        <v>4</v>
      </c>
      <c r="E271" s="60">
        <v>25</v>
      </c>
      <c r="F271" s="60">
        <v>26</v>
      </c>
      <c r="G271" s="61">
        <v>26</v>
      </c>
      <c r="H271" s="60">
        <v>31</v>
      </c>
      <c r="I271" s="60">
        <v>32</v>
      </c>
      <c r="J271" s="61">
        <v>32</v>
      </c>
      <c r="K271" s="60">
        <v>13</v>
      </c>
      <c r="L271" s="60">
        <v>20</v>
      </c>
      <c r="M271" s="61">
        <v>16</v>
      </c>
      <c r="N271" s="60">
        <v>63</v>
      </c>
      <c r="O271" s="60">
        <v>69</v>
      </c>
      <c r="P271" s="61">
        <v>66</v>
      </c>
      <c r="Q271" s="60">
        <v>17</v>
      </c>
      <c r="R271" s="60">
        <v>23</v>
      </c>
      <c r="S271" s="61">
        <v>20</v>
      </c>
      <c r="T271" s="60">
        <v>31</v>
      </c>
      <c r="U271" s="60">
        <v>34</v>
      </c>
      <c r="V271" s="61">
        <v>32</v>
      </c>
      <c r="Y271" s="61"/>
      <c r="AB271" s="61"/>
      <c r="AE271" s="61"/>
      <c r="AH271" s="61"/>
    </row>
    <row r="272" spans="1:34" s="60" customFormat="1" ht="10" x14ac:dyDescent="0.2">
      <c r="A272" s="58">
        <v>44322</v>
      </c>
      <c r="B272" s="59">
        <f t="shared" si="8"/>
        <v>2021</v>
      </c>
      <c r="C272" s="59"/>
      <c r="D272" s="59">
        <f t="shared" si="9"/>
        <v>5</v>
      </c>
      <c r="E272" s="60">
        <v>25</v>
      </c>
      <c r="F272" s="60">
        <v>26</v>
      </c>
      <c r="G272" s="61">
        <v>26</v>
      </c>
      <c r="H272" s="60">
        <v>31</v>
      </c>
      <c r="I272" s="60">
        <v>32</v>
      </c>
      <c r="J272" s="61">
        <v>32</v>
      </c>
      <c r="K272" s="60">
        <v>13</v>
      </c>
      <c r="L272" s="60">
        <v>20</v>
      </c>
      <c r="M272" s="61">
        <v>16</v>
      </c>
      <c r="N272" s="60">
        <v>64</v>
      </c>
      <c r="O272" s="60">
        <v>70</v>
      </c>
      <c r="P272" s="61">
        <v>67</v>
      </c>
      <c r="Q272" s="60">
        <v>18</v>
      </c>
      <c r="R272" s="60">
        <v>24</v>
      </c>
      <c r="S272" s="61">
        <v>21</v>
      </c>
      <c r="T272" s="60">
        <v>32</v>
      </c>
      <c r="U272" s="60">
        <v>35</v>
      </c>
      <c r="V272" s="61">
        <v>34</v>
      </c>
      <c r="Y272" s="61"/>
      <c r="AB272" s="61"/>
      <c r="AE272" s="61"/>
      <c r="AH272" s="61"/>
    </row>
    <row r="273" spans="1:34" s="60" customFormat="1" ht="10" x14ac:dyDescent="0.2">
      <c r="A273" s="58">
        <v>44329</v>
      </c>
      <c r="B273" s="59">
        <f t="shared" si="8"/>
        <v>2021</v>
      </c>
      <c r="C273" s="59"/>
      <c r="D273" s="59">
        <f t="shared" si="9"/>
        <v>5</v>
      </c>
      <c r="E273" s="60">
        <v>25</v>
      </c>
      <c r="F273" s="60">
        <v>26</v>
      </c>
      <c r="G273" s="61">
        <v>26</v>
      </c>
      <c r="H273" s="60">
        <v>31</v>
      </c>
      <c r="I273" s="60">
        <v>32</v>
      </c>
      <c r="J273" s="61">
        <v>32</v>
      </c>
      <c r="K273" s="60">
        <v>13</v>
      </c>
      <c r="L273" s="60">
        <v>20</v>
      </c>
      <c r="M273" s="61">
        <v>16</v>
      </c>
      <c r="N273" s="60">
        <v>65</v>
      </c>
      <c r="O273" s="60">
        <v>71</v>
      </c>
      <c r="P273" s="61">
        <v>68</v>
      </c>
      <c r="Q273" s="60">
        <v>17</v>
      </c>
      <c r="R273" s="60">
        <v>23</v>
      </c>
      <c r="S273" s="61">
        <v>20</v>
      </c>
      <c r="T273" s="60">
        <v>33</v>
      </c>
      <c r="U273" s="60">
        <v>36</v>
      </c>
      <c r="V273" s="61">
        <v>34</v>
      </c>
      <c r="Y273" s="61"/>
      <c r="AB273" s="61"/>
      <c r="AE273" s="61"/>
      <c r="AH273" s="61"/>
    </row>
    <row r="274" spans="1:34" s="60" customFormat="1" ht="10" x14ac:dyDescent="0.2">
      <c r="A274" s="58">
        <v>44336</v>
      </c>
      <c r="B274" s="59">
        <f t="shared" si="8"/>
        <v>2021</v>
      </c>
      <c r="C274" s="59"/>
      <c r="D274" s="59">
        <f t="shared" si="9"/>
        <v>5</v>
      </c>
      <c r="E274" s="60">
        <v>25</v>
      </c>
      <c r="F274" s="60">
        <v>26</v>
      </c>
      <c r="G274" s="61">
        <v>26</v>
      </c>
      <c r="H274" s="60">
        <v>31</v>
      </c>
      <c r="I274" s="60">
        <v>32</v>
      </c>
      <c r="J274" s="61">
        <v>32</v>
      </c>
      <c r="K274" s="60">
        <v>13</v>
      </c>
      <c r="L274" s="60">
        <v>20</v>
      </c>
      <c r="M274" s="61">
        <v>16</v>
      </c>
      <c r="N274" s="60">
        <v>65</v>
      </c>
      <c r="O274" s="60">
        <v>71</v>
      </c>
      <c r="P274" s="61">
        <v>68</v>
      </c>
      <c r="Q274" s="60">
        <v>17</v>
      </c>
      <c r="R274" s="60">
        <v>23</v>
      </c>
      <c r="S274" s="61">
        <v>20</v>
      </c>
      <c r="T274" s="60">
        <v>33</v>
      </c>
      <c r="U274" s="60">
        <v>36</v>
      </c>
      <c r="V274" s="61">
        <v>34</v>
      </c>
      <c r="Y274" s="61"/>
      <c r="AB274" s="61"/>
      <c r="AE274" s="61"/>
      <c r="AH274" s="61"/>
    </row>
    <row r="275" spans="1:34" s="60" customFormat="1" ht="10" x14ac:dyDescent="0.2">
      <c r="A275" s="58">
        <v>44343</v>
      </c>
      <c r="B275" s="59">
        <f t="shared" si="8"/>
        <v>2021</v>
      </c>
      <c r="C275" s="59"/>
      <c r="D275" s="59">
        <f t="shared" si="9"/>
        <v>5</v>
      </c>
      <c r="E275" s="60">
        <v>25</v>
      </c>
      <c r="F275" s="60">
        <v>26</v>
      </c>
      <c r="G275" s="61">
        <v>26</v>
      </c>
      <c r="H275" s="60">
        <v>31</v>
      </c>
      <c r="I275" s="60">
        <v>32</v>
      </c>
      <c r="J275" s="61">
        <v>32</v>
      </c>
      <c r="K275" s="60">
        <v>13</v>
      </c>
      <c r="L275" s="60">
        <v>20</v>
      </c>
      <c r="M275" s="61">
        <v>16</v>
      </c>
      <c r="N275" s="60">
        <v>65</v>
      </c>
      <c r="O275" s="60">
        <v>71</v>
      </c>
      <c r="P275" s="61">
        <v>68</v>
      </c>
      <c r="Q275" s="60">
        <v>16</v>
      </c>
      <c r="R275" s="60">
        <v>22</v>
      </c>
      <c r="S275" s="61">
        <v>19</v>
      </c>
      <c r="T275" s="60">
        <v>32</v>
      </c>
      <c r="U275" s="60">
        <v>35</v>
      </c>
      <c r="V275" s="61">
        <v>34</v>
      </c>
      <c r="Y275" s="61"/>
      <c r="AB275" s="61"/>
      <c r="AE275" s="61"/>
      <c r="AH275" s="61"/>
    </row>
    <row r="276" spans="1:34" s="60" customFormat="1" ht="10" x14ac:dyDescent="0.2">
      <c r="A276" s="58">
        <v>44350</v>
      </c>
      <c r="B276" s="59">
        <f t="shared" si="8"/>
        <v>2021</v>
      </c>
      <c r="C276" s="59"/>
      <c r="D276" s="59">
        <f t="shared" si="9"/>
        <v>6</v>
      </c>
      <c r="E276" s="60">
        <v>25</v>
      </c>
      <c r="F276" s="60">
        <v>26</v>
      </c>
      <c r="G276" s="61">
        <v>26</v>
      </c>
      <c r="H276" s="60">
        <v>31</v>
      </c>
      <c r="I276" s="60">
        <v>32</v>
      </c>
      <c r="J276" s="61">
        <v>32</v>
      </c>
      <c r="K276" s="60">
        <v>13</v>
      </c>
      <c r="L276" s="60">
        <v>20</v>
      </c>
      <c r="M276" s="61">
        <v>16</v>
      </c>
      <c r="N276" s="60">
        <v>65</v>
      </c>
      <c r="O276" s="60">
        <v>71</v>
      </c>
      <c r="P276" s="61">
        <v>68</v>
      </c>
      <c r="Q276" s="60">
        <v>16</v>
      </c>
      <c r="R276" s="60">
        <v>22</v>
      </c>
      <c r="S276" s="61">
        <v>19</v>
      </c>
      <c r="T276" s="60">
        <v>32</v>
      </c>
      <c r="U276" s="60">
        <v>35</v>
      </c>
      <c r="V276" s="61">
        <v>34</v>
      </c>
      <c r="Y276" s="61"/>
      <c r="AB276" s="61"/>
      <c r="AE276" s="61"/>
      <c r="AH276" s="61"/>
    </row>
    <row r="277" spans="1:34" s="60" customFormat="1" ht="10" x14ac:dyDescent="0.2">
      <c r="A277" s="58">
        <v>44357</v>
      </c>
      <c r="B277" s="59">
        <f t="shared" si="8"/>
        <v>2021</v>
      </c>
      <c r="C277" s="59"/>
      <c r="D277" s="59">
        <f t="shared" si="9"/>
        <v>6</v>
      </c>
      <c r="E277" s="60">
        <v>25</v>
      </c>
      <c r="F277" s="60">
        <v>26</v>
      </c>
      <c r="G277" s="61">
        <v>26</v>
      </c>
      <c r="H277" s="60">
        <v>31</v>
      </c>
      <c r="I277" s="60">
        <v>32</v>
      </c>
      <c r="J277" s="61">
        <v>32</v>
      </c>
      <c r="K277" s="60">
        <v>13</v>
      </c>
      <c r="L277" s="60">
        <v>20</v>
      </c>
      <c r="M277" s="61">
        <v>16</v>
      </c>
      <c r="N277" s="60">
        <v>65</v>
      </c>
      <c r="O277" s="60">
        <v>71</v>
      </c>
      <c r="P277" s="61">
        <v>68</v>
      </c>
      <c r="Q277" s="60">
        <v>15</v>
      </c>
      <c r="R277" s="60">
        <v>21</v>
      </c>
      <c r="S277" s="61">
        <v>18</v>
      </c>
      <c r="T277" s="60">
        <v>31</v>
      </c>
      <c r="U277" s="60">
        <v>34</v>
      </c>
      <c r="V277" s="61">
        <v>32</v>
      </c>
      <c r="Y277" s="61"/>
      <c r="AB277" s="61"/>
      <c r="AE277" s="61"/>
      <c r="AH277" s="61"/>
    </row>
    <row r="278" spans="1:34" s="60" customFormat="1" ht="10" x14ac:dyDescent="0.2">
      <c r="A278" s="58">
        <v>44364</v>
      </c>
      <c r="B278" s="59">
        <f t="shared" si="8"/>
        <v>2021</v>
      </c>
      <c r="C278" s="59"/>
      <c r="D278" s="59">
        <f t="shared" si="9"/>
        <v>6</v>
      </c>
      <c r="E278" s="60">
        <v>25</v>
      </c>
      <c r="F278" s="60">
        <v>26</v>
      </c>
      <c r="G278" s="61">
        <v>26</v>
      </c>
      <c r="H278" s="60">
        <v>31</v>
      </c>
      <c r="I278" s="60">
        <v>32</v>
      </c>
      <c r="J278" s="61">
        <v>32</v>
      </c>
      <c r="K278" s="60">
        <v>13</v>
      </c>
      <c r="L278" s="60">
        <v>20</v>
      </c>
      <c r="M278" s="61">
        <v>16</v>
      </c>
      <c r="N278" s="60">
        <v>65</v>
      </c>
      <c r="O278" s="60">
        <v>71</v>
      </c>
      <c r="P278" s="61">
        <v>68</v>
      </c>
      <c r="Q278" s="60">
        <v>15</v>
      </c>
      <c r="R278" s="60">
        <v>21</v>
      </c>
      <c r="S278" s="61">
        <v>18</v>
      </c>
      <c r="T278" s="60">
        <v>31</v>
      </c>
      <c r="U278" s="60">
        <v>34</v>
      </c>
      <c r="V278" s="61">
        <v>32</v>
      </c>
      <c r="Y278" s="61"/>
      <c r="AB278" s="61"/>
      <c r="AE278" s="61"/>
      <c r="AH278" s="61"/>
    </row>
    <row r="279" spans="1:34" s="60" customFormat="1" ht="10" x14ac:dyDescent="0.2">
      <c r="A279" s="58">
        <v>44371</v>
      </c>
      <c r="B279" s="59">
        <f t="shared" si="8"/>
        <v>2021</v>
      </c>
      <c r="C279" s="59"/>
      <c r="D279" s="59">
        <f t="shared" si="9"/>
        <v>6</v>
      </c>
      <c r="E279" s="60">
        <v>25</v>
      </c>
      <c r="F279" s="60">
        <v>26</v>
      </c>
      <c r="G279" s="61">
        <v>26</v>
      </c>
      <c r="H279" s="60">
        <v>31</v>
      </c>
      <c r="I279" s="60">
        <v>32</v>
      </c>
      <c r="J279" s="61">
        <v>32</v>
      </c>
      <c r="K279" s="60">
        <v>13</v>
      </c>
      <c r="L279" s="60">
        <v>20</v>
      </c>
      <c r="M279" s="61">
        <v>16</v>
      </c>
      <c r="N279" s="60">
        <v>65</v>
      </c>
      <c r="O279" s="60">
        <v>71</v>
      </c>
      <c r="P279" s="61">
        <v>68</v>
      </c>
      <c r="Q279" s="60">
        <v>14</v>
      </c>
      <c r="R279" s="60">
        <v>21</v>
      </c>
      <c r="S279" s="61">
        <v>18</v>
      </c>
      <c r="T279" s="60">
        <v>30</v>
      </c>
      <c r="U279" s="60">
        <v>33</v>
      </c>
      <c r="V279" s="61">
        <v>32</v>
      </c>
      <c r="Y279" s="61"/>
      <c r="AB279" s="61"/>
      <c r="AE279" s="61"/>
      <c r="AH279" s="61"/>
    </row>
    <row r="280" spans="1:34" s="60" customFormat="1" ht="10" x14ac:dyDescent="0.2">
      <c r="A280" s="58">
        <v>44378</v>
      </c>
      <c r="B280" s="59">
        <f t="shared" si="8"/>
        <v>2021</v>
      </c>
      <c r="C280" s="59"/>
      <c r="D280" s="59">
        <f t="shared" si="9"/>
        <v>7</v>
      </c>
      <c r="E280" s="60">
        <v>24</v>
      </c>
      <c r="F280" s="60">
        <v>24</v>
      </c>
      <c r="G280" s="61">
        <v>24</v>
      </c>
      <c r="H280" s="60">
        <v>31</v>
      </c>
      <c r="I280" s="60">
        <v>32</v>
      </c>
      <c r="J280" s="61">
        <v>32</v>
      </c>
      <c r="K280" s="60">
        <v>12</v>
      </c>
      <c r="L280" s="60">
        <v>19</v>
      </c>
      <c r="M280" s="61">
        <v>16</v>
      </c>
      <c r="N280" s="60">
        <v>67</v>
      </c>
      <c r="O280" s="60">
        <v>73</v>
      </c>
      <c r="P280" s="61">
        <v>70</v>
      </c>
      <c r="Q280" s="60">
        <v>15</v>
      </c>
      <c r="R280" s="60">
        <v>21</v>
      </c>
      <c r="S280" s="61">
        <v>18</v>
      </c>
      <c r="T280" s="60">
        <v>31</v>
      </c>
      <c r="U280" s="60">
        <v>34</v>
      </c>
      <c r="V280" s="61">
        <v>32</v>
      </c>
      <c r="Y280" s="61"/>
      <c r="AB280" s="61"/>
      <c r="AE280" s="61"/>
      <c r="AH280" s="61"/>
    </row>
    <row r="281" spans="1:34" s="60" customFormat="1" ht="10" x14ac:dyDescent="0.2">
      <c r="A281" s="58">
        <v>44385</v>
      </c>
      <c r="B281" s="59">
        <f t="shared" si="8"/>
        <v>2021</v>
      </c>
      <c r="C281" s="59"/>
      <c r="D281" s="59">
        <f t="shared" si="9"/>
        <v>7</v>
      </c>
      <c r="E281" s="60">
        <v>24</v>
      </c>
      <c r="F281" s="60">
        <v>25</v>
      </c>
      <c r="G281" s="61">
        <v>24</v>
      </c>
      <c r="H281" s="60">
        <v>31</v>
      </c>
      <c r="I281" s="60">
        <v>32</v>
      </c>
      <c r="J281" s="61">
        <v>32</v>
      </c>
      <c r="K281" s="60">
        <v>13</v>
      </c>
      <c r="L281" s="60">
        <v>20</v>
      </c>
      <c r="M281" s="61">
        <v>16</v>
      </c>
      <c r="N281" s="60">
        <v>67</v>
      </c>
      <c r="O281" s="60">
        <v>73</v>
      </c>
      <c r="P281" s="61">
        <v>70</v>
      </c>
      <c r="Q281" s="60">
        <v>15</v>
      </c>
      <c r="R281" s="60">
        <v>21</v>
      </c>
      <c r="S281" s="61">
        <v>18</v>
      </c>
      <c r="T281" s="60">
        <v>31</v>
      </c>
      <c r="U281" s="60">
        <v>34</v>
      </c>
      <c r="V281" s="61">
        <v>32</v>
      </c>
      <c r="Y281" s="61"/>
      <c r="AB281" s="61"/>
      <c r="AE281" s="61"/>
      <c r="AH281" s="61"/>
    </row>
    <row r="282" spans="1:34" s="60" customFormat="1" ht="10" x14ac:dyDescent="0.2">
      <c r="A282" s="58">
        <v>44392</v>
      </c>
      <c r="B282" s="59">
        <f t="shared" si="8"/>
        <v>2021</v>
      </c>
      <c r="C282" s="59"/>
      <c r="D282" s="59">
        <f t="shared" si="9"/>
        <v>7</v>
      </c>
      <c r="E282" s="60">
        <v>24</v>
      </c>
      <c r="F282" s="60">
        <v>25</v>
      </c>
      <c r="G282" s="61">
        <v>24</v>
      </c>
      <c r="H282" s="60">
        <v>30</v>
      </c>
      <c r="I282" s="60">
        <v>31</v>
      </c>
      <c r="J282" s="61">
        <v>30</v>
      </c>
      <c r="K282" s="60">
        <v>12</v>
      </c>
      <c r="L282" s="60">
        <v>19</v>
      </c>
      <c r="M282" s="61">
        <v>16</v>
      </c>
      <c r="N282" s="60">
        <v>66</v>
      </c>
      <c r="O282" s="60">
        <v>72</v>
      </c>
      <c r="P282" s="61">
        <v>69</v>
      </c>
      <c r="Q282" s="60">
        <v>14</v>
      </c>
      <c r="R282" s="60">
        <v>21</v>
      </c>
      <c r="S282" s="61">
        <v>18</v>
      </c>
      <c r="T282" s="60">
        <v>30</v>
      </c>
      <c r="U282" s="60">
        <v>33</v>
      </c>
      <c r="V282" s="61">
        <v>32</v>
      </c>
      <c r="Y282" s="61"/>
      <c r="AB282" s="61"/>
      <c r="AE282" s="61"/>
      <c r="AH282" s="61"/>
    </row>
    <row r="283" spans="1:34" s="60" customFormat="1" ht="10" x14ac:dyDescent="0.2">
      <c r="A283" s="58">
        <v>44399</v>
      </c>
      <c r="B283" s="59">
        <f t="shared" si="8"/>
        <v>2021</v>
      </c>
      <c r="C283" s="59"/>
      <c r="D283" s="59">
        <f t="shared" si="9"/>
        <v>7</v>
      </c>
      <c r="E283" s="60">
        <v>24</v>
      </c>
      <c r="F283" s="60">
        <v>25</v>
      </c>
      <c r="G283" s="61">
        <v>24</v>
      </c>
      <c r="H283" s="60">
        <v>30</v>
      </c>
      <c r="I283" s="60">
        <v>31</v>
      </c>
      <c r="J283" s="61">
        <v>30</v>
      </c>
      <c r="K283" s="60">
        <v>12</v>
      </c>
      <c r="L283" s="60">
        <v>19</v>
      </c>
      <c r="M283" s="61">
        <v>16</v>
      </c>
      <c r="N283" s="60">
        <v>66</v>
      </c>
      <c r="O283" s="60">
        <v>72</v>
      </c>
      <c r="P283" s="61">
        <v>69</v>
      </c>
      <c r="Q283" s="60">
        <v>14</v>
      </c>
      <c r="R283" s="60">
        <v>21</v>
      </c>
      <c r="S283" s="61">
        <v>18</v>
      </c>
      <c r="T283" s="60">
        <v>30</v>
      </c>
      <c r="U283" s="60">
        <v>33</v>
      </c>
      <c r="V283" s="61">
        <v>32</v>
      </c>
      <c r="Y283" s="61"/>
      <c r="AB283" s="61"/>
      <c r="AE283" s="61"/>
      <c r="AH283" s="61"/>
    </row>
    <row r="284" spans="1:34" s="60" customFormat="1" ht="10" x14ac:dyDescent="0.2">
      <c r="A284" s="58">
        <v>44406</v>
      </c>
      <c r="B284" s="59">
        <f t="shared" si="8"/>
        <v>2021</v>
      </c>
      <c r="C284" s="59"/>
      <c r="D284" s="59">
        <f t="shared" si="9"/>
        <v>7</v>
      </c>
      <c r="E284" s="60">
        <v>24</v>
      </c>
      <c r="F284" s="60">
        <v>25</v>
      </c>
      <c r="G284" s="61">
        <v>24</v>
      </c>
      <c r="H284" s="60">
        <v>30</v>
      </c>
      <c r="I284" s="60">
        <v>31</v>
      </c>
      <c r="J284" s="61">
        <v>30</v>
      </c>
      <c r="K284" s="60">
        <v>12</v>
      </c>
      <c r="L284" s="60">
        <v>19</v>
      </c>
      <c r="M284" s="61">
        <v>16</v>
      </c>
      <c r="N284" s="60">
        <v>71</v>
      </c>
      <c r="O284" s="60">
        <v>78</v>
      </c>
      <c r="P284" s="61">
        <v>74</v>
      </c>
      <c r="Q284" s="60">
        <v>16</v>
      </c>
      <c r="R284" s="60">
        <v>23</v>
      </c>
      <c r="S284" s="61">
        <v>20</v>
      </c>
      <c r="T284" s="60">
        <v>32</v>
      </c>
      <c r="U284" s="60">
        <v>35</v>
      </c>
      <c r="V284" s="61">
        <v>34</v>
      </c>
      <c r="Y284" s="61"/>
      <c r="AB284" s="61"/>
      <c r="AE284" s="61"/>
      <c r="AH284" s="61"/>
    </row>
    <row r="285" spans="1:34" s="60" customFormat="1" ht="10" x14ac:dyDescent="0.2">
      <c r="A285" s="58">
        <v>44413</v>
      </c>
      <c r="B285" s="59">
        <f t="shared" si="8"/>
        <v>2021</v>
      </c>
      <c r="C285" s="59"/>
      <c r="D285" s="59">
        <f t="shared" si="9"/>
        <v>8</v>
      </c>
      <c r="E285" s="60">
        <v>24</v>
      </c>
      <c r="F285" s="60">
        <v>25</v>
      </c>
      <c r="G285" s="61">
        <v>24</v>
      </c>
      <c r="H285" s="60">
        <v>30</v>
      </c>
      <c r="I285" s="60">
        <v>31</v>
      </c>
      <c r="J285" s="61">
        <v>30</v>
      </c>
      <c r="K285" s="60">
        <v>12</v>
      </c>
      <c r="L285" s="60">
        <v>19</v>
      </c>
      <c r="M285" s="61">
        <v>16</v>
      </c>
      <c r="N285" s="60">
        <v>73</v>
      </c>
      <c r="O285" s="60">
        <v>80</v>
      </c>
      <c r="P285" s="61">
        <v>76</v>
      </c>
      <c r="Q285" s="60">
        <v>18</v>
      </c>
      <c r="R285" s="60">
        <v>25</v>
      </c>
      <c r="S285" s="61">
        <v>22</v>
      </c>
      <c r="T285" s="60">
        <v>33</v>
      </c>
      <c r="U285" s="60">
        <v>36</v>
      </c>
      <c r="V285" s="61">
        <v>34</v>
      </c>
      <c r="Y285" s="61"/>
      <c r="AB285" s="61"/>
      <c r="AE285" s="61"/>
      <c r="AH285" s="61"/>
    </row>
    <row r="286" spans="1:34" s="60" customFormat="1" ht="10" x14ac:dyDescent="0.2">
      <c r="A286" s="58">
        <v>44420</v>
      </c>
      <c r="B286" s="59">
        <f t="shared" si="8"/>
        <v>2021</v>
      </c>
      <c r="C286" s="59"/>
      <c r="D286" s="59">
        <f t="shared" si="9"/>
        <v>8</v>
      </c>
      <c r="E286" s="60">
        <v>23</v>
      </c>
      <c r="F286" s="60">
        <v>24</v>
      </c>
      <c r="G286" s="61">
        <v>24</v>
      </c>
      <c r="H286" s="60">
        <v>30</v>
      </c>
      <c r="I286" s="60">
        <v>31</v>
      </c>
      <c r="J286" s="61">
        <v>30</v>
      </c>
      <c r="K286" s="60">
        <v>12</v>
      </c>
      <c r="L286" s="60">
        <v>19</v>
      </c>
      <c r="M286" s="61">
        <v>16</v>
      </c>
      <c r="N286" s="60">
        <v>76</v>
      </c>
      <c r="O286" s="60">
        <v>83</v>
      </c>
      <c r="P286" s="61">
        <v>80</v>
      </c>
      <c r="Q286" s="60">
        <v>19</v>
      </c>
      <c r="R286" s="60">
        <v>26</v>
      </c>
      <c r="S286" s="61">
        <v>22</v>
      </c>
      <c r="T286" s="60">
        <v>35</v>
      </c>
      <c r="U286" s="60">
        <v>37</v>
      </c>
      <c r="V286" s="61">
        <v>36</v>
      </c>
      <c r="Y286" s="61"/>
      <c r="AB286" s="61"/>
      <c r="AE286" s="61"/>
      <c r="AH286" s="61"/>
    </row>
    <row r="287" spans="1:34" s="60" customFormat="1" ht="10" x14ac:dyDescent="0.2">
      <c r="A287" s="58">
        <v>44427</v>
      </c>
      <c r="B287" s="59">
        <f t="shared" si="8"/>
        <v>2021</v>
      </c>
      <c r="C287" s="59"/>
      <c r="D287" s="59">
        <f t="shared" si="9"/>
        <v>8</v>
      </c>
      <c r="E287" s="60">
        <v>23</v>
      </c>
      <c r="F287" s="60">
        <v>24</v>
      </c>
      <c r="G287" s="61">
        <v>24</v>
      </c>
      <c r="H287" s="60">
        <v>30</v>
      </c>
      <c r="I287" s="60">
        <v>31</v>
      </c>
      <c r="J287" s="61">
        <v>30</v>
      </c>
      <c r="K287" s="60">
        <v>11</v>
      </c>
      <c r="L287" s="60">
        <v>18</v>
      </c>
      <c r="M287" s="61">
        <v>14</v>
      </c>
      <c r="N287" s="60">
        <v>78</v>
      </c>
      <c r="O287" s="60">
        <v>85</v>
      </c>
      <c r="P287" s="61">
        <v>82</v>
      </c>
      <c r="Q287" s="60">
        <v>19</v>
      </c>
      <c r="R287" s="60">
        <v>26</v>
      </c>
      <c r="S287" s="61">
        <v>22</v>
      </c>
      <c r="T287" s="60">
        <v>36</v>
      </c>
      <c r="U287" s="60">
        <v>38</v>
      </c>
      <c r="V287" s="61">
        <v>37</v>
      </c>
      <c r="Y287" s="61"/>
      <c r="AB287" s="61"/>
      <c r="AE287" s="61"/>
      <c r="AH287" s="61"/>
    </row>
    <row r="288" spans="1:34" s="60" customFormat="1" ht="10" x14ac:dyDescent="0.2">
      <c r="A288" s="58">
        <v>44434</v>
      </c>
      <c r="B288" s="59">
        <f t="shared" si="8"/>
        <v>2021</v>
      </c>
      <c r="C288" s="59"/>
      <c r="D288" s="59">
        <f t="shared" si="9"/>
        <v>8</v>
      </c>
      <c r="E288" s="60">
        <v>23</v>
      </c>
      <c r="F288" s="60">
        <v>24</v>
      </c>
      <c r="G288" s="61">
        <v>24</v>
      </c>
      <c r="H288" s="60">
        <v>30</v>
      </c>
      <c r="I288" s="60">
        <v>31</v>
      </c>
      <c r="J288" s="61">
        <v>30</v>
      </c>
      <c r="K288" s="60">
        <v>11</v>
      </c>
      <c r="L288" s="60">
        <v>18</v>
      </c>
      <c r="M288" s="61">
        <v>14</v>
      </c>
      <c r="N288" s="60">
        <v>79</v>
      </c>
      <c r="O288" s="60">
        <v>86</v>
      </c>
      <c r="P288" s="61">
        <v>82</v>
      </c>
      <c r="Q288" s="60">
        <v>20</v>
      </c>
      <c r="R288" s="60">
        <v>27</v>
      </c>
      <c r="S288" s="61">
        <v>24</v>
      </c>
      <c r="T288" s="60">
        <v>36</v>
      </c>
      <c r="U288" s="60">
        <v>39</v>
      </c>
      <c r="V288" s="61">
        <v>38</v>
      </c>
      <c r="Y288" s="61"/>
      <c r="AB288" s="61"/>
      <c r="AE288" s="61"/>
      <c r="AH288" s="61"/>
    </row>
    <row r="289" spans="1:34" s="60" customFormat="1" ht="10" x14ac:dyDescent="0.2">
      <c r="A289" s="58">
        <v>44441</v>
      </c>
      <c r="B289" s="59">
        <f t="shared" si="8"/>
        <v>2021</v>
      </c>
      <c r="C289" s="59"/>
      <c r="D289" s="59">
        <f t="shared" si="9"/>
        <v>9</v>
      </c>
      <c r="E289" s="60">
        <v>23</v>
      </c>
      <c r="F289" s="60">
        <v>24</v>
      </c>
      <c r="G289" s="61">
        <v>24</v>
      </c>
      <c r="H289" s="60">
        <v>30</v>
      </c>
      <c r="I289" s="60">
        <v>31</v>
      </c>
      <c r="J289" s="61">
        <v>30</v>
      </c>
      <c r="K289" s="60">
        <v>11</v>
      </c>
      <c r="L289" s="60">
        <v>18</v>
      </c>
      <c r="M289" s="61">
        <v>14</v>
      </c>
      <c r="N289" s="60">
        <v>78</v>
      </c>
      <c r="O289" s="60">
        <v>85</v>
      </c>
      <c r="P289" s="61">
        <v>82</v>
      </c>
      <c r="Q289" s="60">
        <v>20</v>
      </c>
      <c r="R289" s="60">
        <v>27</v>
      </c>
      <c r="S289" s="61">
        <v>24</v>
      </c>
      <c r="T289" s="60">
        <v>36</v>
      </c>
      <c r="U289" s="60">
        <v>39</v>
      </c>
      <c r="V289" s="61">
        <v>38</v>
      </c>
      <c r="Y289" s="61"/>
      <c r="AB289" s="61"/>
      <c r="AE289" s="61"/>
      <c r="AH289" s="61"/>
    </row>
    <row r="290" spans="1:34" s="60" customFormat="1" ht="10" x14ac:dyDescent="0.2">
      <c r="A290" s="58">
        <v>44448</v>
      </c>
      <c r="B290" s="59">
        <f t="shared" si="8"/>
        <v>2021</v>
      </c>
      <c r="C290" s="59"/>
      <c r="D290" s="59">
        <f t="shared" si="9"/>
        <v>9</v>
      </c>
      <c r="E290" s="60">
        <v>22</v>
      </c>
      <c r="F290" s="60">
        <v>23</v>
      </c>
      <c r="G290" s="61">
        <v>22</v>
      </c>
      <c r="H290" s="60">
        <v>29</v>
      </c>
      <c r="I290" s="60">
        <v>30</v>
      </c>
      <c r="J290" s="61">
        <v>30</v>
      </c>
      <c r="K290" s="60">
        <v>11</v>
      </c>
      <c r="L290" s="60">
        <v>18</v>
      </c>
      <c r="M290" s="61">
        <v>14</v>
      </c>
      <c r="N290" s="60">
        <v>78</v>
      </c>
      <c r="O290" s="60">
        <v>85</v>
      </c>
      <c r="P290" s="61">
        <v>82</v>
      </c>
      <c r="Q290" s="60">
        <v>20</v>
      </c>
      <c r="R290" s="60">
        <v>27</v>
      </c>
      <c r="S290" s="61">
        <v>24</v>
      </c>
      <c r="T290" s="60">
        <v>36</v>
      </c>
      <c r="U290" s="60">
        <v>39</v>
      </c>
      <c r="V290" s="61">
        <v>38</v>
      </c>
      <c r="Y290" s="61"/>
      <c r="AB290" s="61"/>
      <c r="AE290" s="61"/>
      <c r="AH290" s="61"/>
    </row>
    <row r="291" spans="1:34" s="60" customFormat="1" ht="10" x14ac:dyDescent="0.2">
      <c r="A291" s="58">
        <v>44455</v>
      </c>
      <c r="B291" s="59">
        <f t="shared" si="8"/>
        <v>2021</v>
      </c>
      <c r="C291" s="59"/>
      <c r="D291" s="59">
        <f t="shared" si="9"/>
        <v>9</v>
      </c>
      <c r="E291" s="60">
        <v>22</v>
      </c>
      <c r="F291" s="60">
        <v>23</v>
      </c>
      <c r="G291" s="61">
        <v>22</v>
      </c>
      <c r="H291" s="60">
        <v>30</v>
      </c>
      <c r="I291" s="60">
        <v>31</v>
      </c>
      <c r="J291" s="61">
        <v>30</v>
      </c>
      <c r="K291" s="60">
        <v>11</v>
      </c>
      <c r="L291" s="60">
        <v>18</v>
      </c>
      <c r="M291" s="61">
        <v>14</v>
      </c>
      <c r="N291" s="60">
        <v>79</v>
      </c>
      <c r="O291" s="60">
        <v>86</v>
      </c>
      <c r="P291" s="61">
        <v>82</v>
      </c>
      <c r="Q291" s="60">
        <v>19</v>
      </c>
      <c r="R291" s="60">
        <v>26</v>
      </c>
      <c r="S291" s="61">
        <v>22</v>
      </c>
      <c r="T291" s="60">
        <v>36</v>
      </c>
      <c r="U291" s="60">
        <v>39</v>
      </c>
      <c r="V291" s="61">
        <v>38</v>
      </c>
      <c r="Y291" s="61"/>
      <c r="AB291" s="61"/>
      <c r="AE291" s="61"/>
      <c r="AH291" s="61"/>
    </row>
    <row r="292" spans="1:34" s="60" customFormat="1" ht="10" x14ac:dyDescent="0.2">
      <c r="A292" s="58">
        <v>44462</v>
      </c>
      <c r="B292" s="59">
        <f t="shared" si="8"/>
        <v>2021</v>
      </c>
      <c r="C292" s="59"/>
      <c r="D292" s="59">
        <f t="shared" si="9"/>
        <v>9</v>
      </c>
      <c r="E292" s="60">
        <v>22</v>
      </c>
      <c r="F292" s="60">
        <v>23</v>
      </c>
      <c r="G292" s="61">
        <v>22</v>
      </c>
      <c r="H292" s="60">
        <v>30</v>
      </c>
      <c r="I292" s="60">
        <v>31</v>
      </c>
      <c r="J292" s="61">
        <v>30</v>
      </c>
      <c r="K292" s="60">
        <v>11</v>
      </c>
      <c r="L292" s="60">
        <v>18</v>
      </c>
      <c r="M292" s="61">
        <v>14</v>
      </c>
      <c r="N292" s="60">
        <v>79</v>
      </c>
      <c r="O292" s="60">
        <v>86</v>
      </c>
      <c r="P292" s="61">
        <v>82</v>
      </c>
      <c r="Q292" s="60">
        <v>19</v>
      </c>
      <c r="R292" s="60">
        <v>26</v>
      </c>
      <c r="S292" s="61">
        <v>22</v>
      </c>
      <c r="T292" s="60">
        <v>36</v>
      </c>
      <c r="U292" s="60">
        <v>39</v>
      </c>
      <c r="V292" s="61">
        <v>38</v>
      </c>
      <c r="Y292" s="61"/>
      <c r="AB292" s="61"/>
      <c r="AE292" s="61"/>
      <c r="AH292" s="61"/>
    </row>
    <row r="293" spans="1:34" s="60" customFormat="1" ht="10" x14ac:dyDescent="0.2">
      <c r="A293" s="58">
        <v>44469</v>
      </c>
      <c r="B293" s="59">
        <f t="shared" si="8"/>
        <v>2021</v>
      </c>
      <c r="C293" s="59"/>
      <c r="D293" s="59">
        <f t="shared" si="9"/>
        <v>9</v>
      </c>
      <c r="E293" s="60">
        <v>23</v>
      </c>
      <c r="F293" s="60">
        <v>24</v>
      </c>
      <c r="G293" s="61">
        <v>24</v>
      </c>
      <c r="H293" s="60">
        <v>31</v>
      </c>
      <c r="I293" s="60">
        <v>32</v>
      </c>
      <c r="J293" s="61">
        <v>32</v>
      </c>
      <c r="K293" s="60">
        <v>11</v>
      </c>
      <c r="L293" s="60">
        <v>18</v>
      </c>
      <c r="M293" s="61">
        <v>14</v>
      </c>
      <c r="N293" s="60">
        <v>79</v>
      </c>
      <c r="O293" s="60">
        <v>86</v>
      </c>
      <c r="P293" s="61">
        <v>82</v>
      </c>
      <c r="Q293" s="60">
        <v>19</v>
      </c>
      <c r="R293" s="60">
        <v>26</v>
      </c>
      <c r="S293" s="61">
        <v>22</v>
      </c>
      <c r="T293" s="60">
        <v>36</v>
      </c>
      <c r="U293" s="60">
        <v>39</v>
      </c>
      <c r="V293" s="61">
        <v>38</v>
      </c>
      <c r="Y293" s="61"/>
      <c r="AB293" s="61"/>
      <c r="AE293" s="61"/>
      <c r="AH293" s="61"/>
    </row>
    <row r="294" spans="1:34" s="60" customFormat="1" ht="10" x14ac:dyDescent="0.2">
      <c r="A294" s="58">
        <v>44476</v>
      </c>
      <c r="B294" s="59">
        <f t="shared" si="8"/>
        <v>2021</v>
      </c>
      <c r="C294" s="59"/>
      <c r="D294" s="59">
        <f t="shared" si="9"/>
        <v>10</v>
      </c>
      <c r="E294" s="60">
        <v>23</v>
      </c>
      <c r="F294" s="60">
        <v>24</v>
      </c>
      <c r="G294" s="61">
        <v>24</v>
      </c>
      <c r="H294" s="60">
        <v>31</v>
      </c>
      <c r="I294" s="60">
        <v>32</v>
      </c>
      <c r="J294" s="61">
        <v>32</v>
      </c>
      <c r="K294" s="60">
        <v>11</v>
      </c>
      <c r="L294" s="60">
        <v>18</v>
      </c>
      <c r="M294" s="61">
        <v>14</v>
      </c>
      <c r="N294" s="60">
        <v>79</v>
      </c>
      <c r="O294" s="60">
        <v>86</v>
      </c>
      <c r="P294" s="61">
        <v>82</v>
      </c>
      <c r="Q294" s="60">
        <v>19</v>
      </c>
      <c r="R294" s="60">
        <v>26</v>
      </c>
      <c r="S294" s="61">
        <v>22</v>
      </c>
      <c r="T294" s="60">
        <v>36</v>
      </c>
      <c r="U294" s="60">
        <v>39</v>
      </c>
      <c r="V294" s="61">
        <v>38</v>
      </c>
      <c r="Y294" s="61"/>
      <c r="AB294" s="61"/>
      <c r="AE294" s="61"/>
      <c r="AH294" s="61"/>
    </row>
    <row r="295" spans="1:34" s="60" customFormat="1" ht="10" x14ac:dyDescent="0.2">
      <c r="A295" s="58">
        <v>44483</v>
      </c>
      <c r="B295" s="59">
        <f t="shared" si="8"/>
        <v>2021</v>
      </c>
      <c r="C295" s="59"/>
      <c r="D295" s="59">
        <f t="shared" si="9"/>
        <v>10</v>
      </c>
      <c r="E295" s="60">
        <v>24</v>
      </c>
      <c r="F295" s="60">
        <v>25</v>
      </c>
      <c r="G295" s="61">
        <v>24</v>
      </c>
      <c r="H295" s="60">
        <v>32</v>
      </c>
      <c r="I295" s="60">
        <v>33</v>
      </c>
      <c r="J295" s="61">
        <v>32</v>
      </c>
      <c r="K295" s="60">
        <v>12</v>
      </c>
      <c r="L295" s="60">
        <v>19</v>
      </c>
      <c r="M295" s="61">
        <v>16</v>
      </c>
      <c r="N295" s="60">
        <v>79</v>
      </c>
      <c r="O295" s="60">
        <v>86</v>
      </c>
      <c r="P295" s="61">
        <v>82</v>
      </c>
      <c r="Q295" s="60">
        <v>19</v>
      </c>
      <c r="R295" s="60">
        <v>26</v>
      </c>
      <c r="S295" s="61">
        <v>22</v>
      </c>
      <c r="T295" s="60">
        <v>36</v>
      </c>
      <c r="U295" s="60">
        <v>39</v>
      </c>
      <c r="V295" s="61">
        <v>38</v>
      </c>
      <c r="Y295" s="61"/>
      <c r="AB295" s="61"/>
      <c r="AE295" s="61"/>
      <c r="AH295" s="61"/>
    </row>
    <row r="296" spans="1:34" s="60" customFormat="1" ht="10" x14ac:dyDescent="0.2">
      <c r="A296" s="58">
        <v>44490</v>
      </c>
      <c r="B296" s="59">
        <f t="shared" si="8"/>
        <v>2021</v>
      </c>
      <c r="C296" s="59"/>
      <c r="D296" s="59">
        <f t="shared" si="9"/>
        <v>10</v>
      </c>
      <c r="E296" s="60">
        <v>24</v>
      </c>
      <c r="F296" s="60">
        <v>25</v>
      </c>
      <c r="G296" s="61">
        <v>24</v>
      </c>
      <c r="H296" s="60">
        <v>32</v>
      </c>
      <c r="I296" s="60">
        <v>33</v>
      </c>
      <c r="J296" s="61">
        <v>32</v>
      </c>
      <c r="K296" s="60">
        <v>12</v>
      </c>
      <c r="L296" s="60">
        <v>19</v>
      </c>
      <c r="M296" s="61">
        <v>16</v>
      </c>
      <c r="N296" s="60">
        <v>79</v>
      </c>
      <c r="O296" s="60">
        <v>86</v>
      </c>
      <c r="P296" s="61">
        <v>82</v>
      </c>
      <c r="Q296" s="60">
        <v>19</v>
      </c>
      <c r="R296" s="60">
        <v>26</v>
      </c>
      <c r="S296" s="61">
        <v>22</v>
      </c>
      <c r="T296" s="60">
        <v>36</v>
      </c>
      <c r="U296" s="60">
        <v>39</v>
      </c>
      <c r="V296" s="61">
        <v>38</v>
      </c>
      <c r="Y296" s="61"/>
      <c r="AB296" s="61"/>
      <c r="AE296" s="61"/>
      <c r="AH296" s="61"/>
    </row>
    <row r="297" spans="1:34" s="60" customFormat="1" ht="10" x14ac:dyDescent="0.2">
      <c r="A297" s="58">
        <v>44497</v>
      </c>
      <c r="B297" s="59">
        <f t="shared" si="8"/>
        <v>2021</v>
      </c>
      <c r="C297" s="59"/>
      <c r="D297" s="59">
        <f t="shared" si="9"/>
        <v>10</v>
      </c>
      <c r="E297" s="60">
        <v>24</v>
      </c>
      <c r="F297" s="60">
        <v>25</v>
      </c>
      <c r="G297" s="61">
        <v>24</v>
      </c>
      <c r="H297" s="60">
        <v>32</v>
      </c>
      <c r="I297" s="60">
        <v>33</v>
      </c>
      <c r="J297" s="61">
        <v>32</v>
      </c>
      <c r="K297" s="60">
        <v>12</v>
      </c>
      <c r="L297" s="60">
        <v>19</v>
      </c>
      <c r="M297" s="61">
        <v>16</v>
      </c>
      <c r="N297" s="60">
        <v>79</v>
      </c>
      <c r="O297" s="60">
        <v>86</v>
      </c>
      <c r="P297" s="61">
        <v>82</v>
      </c>
      <c r="Q297" s="60">
        <v>19</v>
      </c>
      <c r="R297" s="60">
        <v>26</v>
      </c>
      <c r="S297" s="61">
        <v>22</v>
      </c>
      <c r="T297" s="60">
        <v>36</v>
      </c>
      <c r="U297" s="60">
        <v>39</v>
      </c>
      <c r="V297" s="61">
        <v>38</v>
      </c>
      <c r="Y297" s="61"/>
      <c r="AB297" s="61"/>
      <c r="AE297" s="61"/>
      <c r="AH297" s="61"/>
    </row>
    <row r="298" spans="1:34" s="60" customFormat="1" ht="10" x14ac:dyDescent="0.2">
      <c r="A298" s="58">
        <v>44504</v>
      </c>
      <c r="B298" s="59">
        <f t="shared" si="8"/>
        <v>2021</v>
      </c>
      <c r="C298" s="59"/>
      <c r="D298" s="59">
        <f t="shared" si="9"/>
        <v>11</v>
      </c>
      <c r="E298" s="60">
        <v>24</v>
      </c>
      <c r="F298" s="60">
        <v>25</v>
      </c>
      <c r="G298" s="61">
        <v>24</v>
      </c>
      <c r="H298" s="60">
        <v>32</v>
      </c>
      <c r="I298" s="60">
        <v>33</v>
      </c>
      <c r="J298" s="61">
        <v>32</v>
      </c>
      <c r="K298" s="60">
        <v>12</v>
      </c>
      <c r="L298" s="60">
        <v>19</v>
      </c>
      <c r="M298" s="61">
        <v>16</v>
      </c>
      <c r="N298" s="60">
        <v>79</v>
      </c>
      <c r="O298" s="60">
        <v>86</v>
      </c>
      <c r="P298" s="61">
        <v>82</v>
      </c>
      <c r="Q298" s="60">
        <v>19</v>
      </c>
      <c r="R298" s="60">
        <v>26</v>
      </c>
      <c r="S298" s="61">
        <v>22</v>
      </c>
      <c r="T298" s="60">
        <v>36</v>
      </c>
      <c r="U298" s="60">
        <v>39</v>
      </c>
      <c r="V298" s="61">
        <v>38</v>
      </c>
      <c r="Y298" s="61"/>
      <c r="AB298" s="61"/>
      <c r="AE298" s="61"/>
      <c r="AH298" s="61"/>
    </row>
    <row r="299" spans="1:34" s="60" customFormat="1" ht="10" x14ac:dyDescent="0.2">
      <c r="A299" s="58">
        <v>44511</v>
      </c>
      <c r="B299" s="59">
        <f t="shared" si="8"/>
        <v>2021</v>
      </c>
      <c r="C299" s="59"/>
      <c r="D299" s="59">
        <f t="shared" si="9"/>
        <v>11</v>
      </c>
      <c r="E299" s="60">
        <v>24</v>
      </c>
      <c r="F299" s="60">
        <v>25</v>
      </c>
      <c r="G299" s="61">
        <v>24</v>
      </c>
      <c r="H299" s="60">
        <v>33</v>
      </c>
      <c r="I299" s="60">
        <v>34</v>
      </c>
      <c r="J299" s="61">
        <v>34</v>
      </c>
      <c r="K299" s="60">
        <v>13</v>
      </c>
      <c r="L299" s="60">
        <v>20</v>
      </c>
      <c r="M299" s="61">
        <v>16</v>
      </c>
      <c r="N299" s="60">
        <v>79</v>
      </c>
      <c r="O299" s="60">
        <v>86</v>
      </c>
      <c r="P299" s="61">
        <v>82</v>
      </c>
      <c r="Q299" s="60">
        <v>19</v>
      </c>
      <c r="R299" s="60">
        <v>26</v>
      </c>
      <c r="S299" s="61">
        <v>22</v>
      </c>
      <c r="T299" s="60">
        <v>36</v>
      </c>
      <c r="U299" s="60">
        <v>39</v>
      </c>
      <c r="V299" s="61">
        <v>38</v>
      </c>
      <c r="Y299" s="61"/>
      <c r="AB299" s="61"/>
      <c r="AE299" s="61"/>
      <c r="AH299" s="61"/>
    </row>
    <row r="300" spans="1:34" s="60" customFormat="1" ht="10" x14ac:dyDescent="0.2">
      <c r="A300" s="58">
        <v>44518</v>
      </c>
      <c r="B300" s="59">
        <f t="shared" si="8"/>
        <v>2021</v>
      </c>
      <c r="C300" s="59"/>
      <c r="D300" s="59">
        <f t="shared" si="9"/>
        <v>11</v>
      </c>
      <c r="E300" s="60">
        <v>25</v>
      </c>
      <c r="F300" s="60">
        <v>26</v>
      </c>
      <c r="G300" s="61">
        <v>26</v>
      </c>
      <c r="H300" s="60">
        <v>34</v>
      </c>
      <c r="I300" s="60">
        <v>35</v>
      </c>
      <c r="J300" s="61">
        <v>34</v>
      </c>
      <c r="K300" s="60">
        <v>14</v>
      </c>
      <c r="L300" s="60">
        <v>21</v>
      </c>
      <c r="M300" s="61">
        <v>18</v>
      </c>
      <c r="N300" s="60">
        <v>84</v>
      </c>
      <c r="O300" s="60">
        <v>91</v>
      </c>
      <c r="P300" s="61">
        <v>88</v>
      </c>
      <c r="Q300" s="60">
        <v>21</v>
      </c>
      <c r="R300" s="60">
        <v>28</v>
      </c>
      <c r="S300" s="61">
        <v>24</v>
      </c>
      <c r="T300" s="60">
        <v>38</v>
      </c>
      <c r="U300" s="60">
        <v>41</v>
      </c>
      <c r="V300" s="61">
        <v>40</v>
      </c>
      <c r="Y300" s="61"/>
      <c r="AB300" s="61"/>
      <c r="AE300" s="61"/>
      <c r="AH300" s="61"/>
    </row>
    <row r="301" spans="1:34" s="60" customFormat="1" ht="10" x14ac:dyDescent="0.2">
      <c r="A301" s="58">
        <v>44525</v>
      </c>
      <c r="B301" s="59">
        <f t="shared" si="8"/>
        <v>2021</v>
      </c>
      <c r="C301" s="59"/>
      <c r="D301" s="59">
        <f t="shared" si="9"/>
        <v>11</v>
      </c>
      <c r="E301" s="60">
        <v>25</v>
      </c>
      <c r="F301" s="60">
        <v>26</v>
      </c>
      <c r="G301" s="61">
        <v>26</v>
      </c>
      <c r="H301" s="60">
        <v>34</v>
      </c>
      <c r="I301" s="60">
        <v>35</v>
      </c>
      <c r="J301" s="61">
        <v>34</v>
      </c>
      <c r="K301" s="60">
        <v>14</v>
      </c>
      <c r="L301" s="60">
        <v>21</v>
      </c>
      <c r="M301" s="61">
        <v>18</v>
      </c>
      <c r="N301" s="60">
        <v>85</v>
      </c>
      <c r="O301" s="60">
        <v>92</v>
      </c>
      <c r="P301" s="61">
        <v>88</v>
      </c>
      <c r="Q301" s="60">
        <v>22</v>
      </c>
      <c r="R301" s="60">
        <v>29</v>
      </c>
      <c r="S301" s="61">
        <v>26</v>
      </c>
      <c r="T301" s="60">
        <v>38</v>
      </c>
      <c r="U301" s="60">
        <v>41</v>
      </c>
      <c r="V301" s="61">
        <v>40</v>
      </c>
      <c r="Y301" s="61"/>
      <c r="AB301" s="61"/>
      <c r="AE301" s="61"/>
      <c r="AH301" s="61"/>
    </row>
    <row r="302" spans="1:34" s="60" customFormat="1" ht="10" x14ac:dyDescent="0.2">
      <c r="A302" s="58">
        <v>44532</v>
      </c>
      <c r="B302" s="59">
        <f t="shared" si="8"/>
        <v>2021</v>
      </c>
      <c r="C302" s="59"/>
      <c r="D302" s="59">
        <f t="shared" si="9"/>
        <v>12</v>
      </c>
      <c r="E302" s="60">
        <v>25</v>
      </c>
      <c r="F302" s="60">
        <v>26</v>
      </c>
      <c r="G302" s="61">
        <v>26</v>
      </c>
      <c r="H302" s="60">
        <v>34</v>
      </c>
      <c r="I302" s="60">
        <v>35</v>
      </c>
      <c r="J302" s="61">
        <v>34</v>
      </c>
      <c r="K302" s="60">
        <v>14</v>
      </c>
      <c r="L302" s="60">
        <v>21</v>
      </c>
      <c r="M302" s="61">
        <v>18</v>
      </c>
      <c r="N302" s="60">
        <v>85</v>
      </c>
      <c r="O302" s="60">
        <v>92</v>
      </c>
      <c r="P302" s="61">
        <v>88</v>
      </c>
      <c r="Q302" s="60">
        <v>22</v>
      </c>
      <c r="R302" s="60">
        <v>29</v>
      </c>
      <c r="S302" s="61">
        <v>26</v>
      </c>
      <c r="T302" s="60">
        <v>38</v>
      </c>
      <c r="U302" s="60">
        <v>41</v>
      </c>
      <c r="V302" s="61">
        <v>40</v>
      </c>
      <c r="Y302" s="61"/>
      <c r="AB302" s="61"/>
      <c r="AE302" s="61"/>
      <c r="AH302" s="61"/>
    </row>
    <row r="303" spans="1:34" s="60" customFormat="1" ht="10" x14ac:dyDescent="0.2">
      <c r="A303" s="58">
        <v>44539</v>
      </c>
      <c r="B303" s="59">
        <f t="shared" si="8"/>
        <v>2021</v>
      </c>
      <c r="C303" s="59"/>
      <c r="D303" s="59">
        <f t="shared" si="9"/>
        <v>12</v>
      </c>
      <c r="E303" s="60">
        <v>27</v>
      </c>
      <c r="F303" s="60">
        <v>28</v>
      </c>
      <c r="G303" s="61">
        <v>28</v>
      </c>
      <c r="H303" s="60">
        <v>36</v>
      </c>
      <c r="I303" s="60">
        <v>37</v>
      </c>
      <c r="J303" s="61">
        <v>36</v>
      </c>
      <c r="K303" s="60">
        <v>16</v>
      </c>
      <c r="L303" s="60">
        <v>23</v>
      </c>
      <c r="M303" s="61">
        <v>20</v>
      </c>
      <c r="N303" s="60">
        <v>92</v>
      </c>
      <c r="O303" s="60">
        <v>99</v>
      </c>
      <c r="P303" s="61">
        <v>96</v>
      </c>
      <c r="Q303" s="60">
        <v>25</v>
      </c>
      <c r="R303" s="60">
        <v>32</v>
      </c>
      <c r="S303" s="61">
        <v>28</v>
      </c>
      <c r="T303" s="60">
        <v>40</v>
      </c>
      <c r="U303" s="60">
        <v>43</v>
      </c>
      <c r="V303" s="61">
        <v>42</v>
      </c>
      <c r="Y303" s="61"/>
      <c r="AB303" s="61"/>
      <c r="AE303" s="61"/>
      <c r="AH303" s="61"/>
    </row>
    <row r="304" spans="1:34" s="60" customFormat="1" ht="10" x14ac:dyDescent="0.2">
      <c r="A304" s="58">
        <v>44546</v>
      </c>
      <c r="B304" s="59">
        <f t="shared" si="8"/>
        <v>2021</v>
      </c>
      <c r="C304" s="59"/>
      <c r="D304" s="59">
        <f t="shared" si="9"/>
        <v>12</v>
      </c>
      <c r="E304" s="60">
        <v>27</v>
      </c>
      <c r="F304" s="60">
        <v>28</v>
      </c>
      <c r="G304" s="61">
        <v>28</v>
      </c>
      <c r="H304" s="60">
        <v>36</v>
      </c>
      <c r="I304" s="60">
        <v>37</v>
      </c>
      <c r="J304" s="61">
        <v>36</v>
      </c>
      <c r="K304" s="60">
        <v>16</v>
      </c>
      <c r="L304" s="60">
        <v>23</v>
      </c>
      <c r="M304" s="61">
        <v>20</v>
      </c>
      <c r="N304" s="60">
        <v>92</v>
      </c>
      <c r="O304" s="60">
        <v>99</v>
      </c>
      <c r="P304" s="61">
        <v>96</v>
      </c>
      <c r="Q304" s="60">
        <v>25</v>
      </c>
      <c r="R304" s="60">
        <v>32</v>
      </c>
      <c r="S304" s="61">
        <v>28</v>
      </c>
      <c r="T304" s="60">
        <v>40</v>
      </c>
      <c r="U304" s="60">
        <v>43</v>
      </c>
      <c r="V304" s="61">
        <v>42</v>
      </c>
      <c r="Y304" s="61"/>
      <c r="AB304" s="61"/>
      <c r="AE304" s="61"/>
      <c r="AH304" s="61"/>
    </row>
    <row r="305" spans="1:34" s="60" customFormat="1" ht="10" x14ac:dyDescent="0.2">
      <c r="A305" s="58">
        <v>44553</v>
      </c>
      <c r="B305" s="59">
        <f t="shared" si="8"/>
        <v>2021</v>
      </c>
      <c r="C305" s="59"/>
      <c r="D305" s="59">
        <f t="shared" si="9"/>
        <v>12</v>
      </c>
      <c r="E305" s="60">
        <v>27</v>
      </c>
      <c r="F305" s="60">
        <v>28</v>
      </c>
      <c r="G305" s="61">
        <v>28</v>
      </c>
      <c r="H305" s="60">
        <v>36</v>
      </c>
      <c r="I305" s="60">
        <v>37</v>
      </c>
      <c r="J305" s="61">
        <v>36</v>
      </c>
      <c r="K305" s="60">
        <v>16</v>
      </c>
      <c r="L305" s="60">
        <v>23</v>
      </c>
      <c r="M305" s="61">
        <v>20</v>
      </c>
      <c r="N305" s="60">
        <v>92</v>
      </c>
      <c r="O305" s="60">
        <v>99</v>
      </c>
      <c r="P305" s="61">
        <v>96</v>
      </c>
      <c r="Q305" s="60">
        <v>25</v>
      </c>
      <c r="R305" s="60">
        <v>32</v>
      </c>
      <c r="S305" s="61">
        <v>28</v>
      </c>
      <c r="T305" s="60">
        <v>40</v>
      </c>
      <c r="U305" s="60">
        <v>43</v>
      </c>
      <c r="V305" s="61">
        <v>42</v>
      </c>
      <c r="Y305" s="61"/>
      <c r="AB305" s="61"/>
      <c r="AE305" s="61"/>
      <c r="AH305" s="61"/>
    </row>
    <row r="306" spans="1:34" s="60" customFormat="1" ht="10" x14ac:dyDescent="0.2">
      <c r="A306" s="58">
        <v>44560</v>
      </c>
      <c r="B306" s="59">
        <f t="shared" si="8"/>
        <v>2021</v>
      </c>
      <c r="C306" s="59"/>
      <c r="D306" s="59">
        <f t="shared" si="9"/>
        <v>12</v>
      </c>
      <c r="G306" s="61"/>
      <c r="J306" s="61"/>
      <c r="M306" s="61"/>
      <c r="P306" s="61"/>
      <c r="S306" s="61"/>
      <c r="V306" s="61"/>
      <c r="Y306" s="61"/>
      <c r="AB306" s="61"/>
      <c r="AE306" s="61"/>
      <c r="AH306" s="61"/>
    </row>
    <row r="307" spans="1:34" s="60" customFormat="1" ht="10" x14ac:dyDescent="0.2">
      <c r="A307" s="58">
        <v>44567</v>
      </c>
      <c r="B307" s="59">
        <f t="shared" si="8"/>
        <v>2022</v>
      </c>
      <c r="C307" s="59"/>
      <c r="D307" s="59">
        <f t="shared" si="9"/>
        <v>1</v>
      </c>
      <c r="E307" s="60">
        <v>27</v>
      </c>
      <c r="F307" s="60">
        <v>28</v>
      </c>
      <c r="G307" s="61">
        <v>28</v>
      </c>
      <c r="H307" s="60">
        <v>38</v>
      </c>
      <c r="I307" s="60">
        <v>39</v>
      </c>
      <c r="J307" s="61">
        <v>38</v>
      </c>
      <c r="K307" s="60">
        <v>17</v>
      </c>
      <c r="L307" s="60">
        <v>24</v>
      </c>
      <c r="M307" s="61">
        <v>20</v>
      </c>
      <c r="N307" s="60">
        <v>93</v>
      </c>
      <c r="O307" s="60">
        <v>100</v>
      </c>
      <c r="P307" s="61">
        <v>96</v>
      </c>
      <c r="Q307" s="60">
        <v>25</v>
      </c>
      <c r="R307" s="60">
        <v>32</v>
      </c>
      <c r="S307" s="61">
        <v>28</v>
      </c>
      <c r="T307" s="60">
        <v>40</v>
      </c>
      <c r="U307" s="60">
        <v>43</v>
      </c>
      <c r="V307" s="61">
        <v>42</v>
      </c>
      <c r="Y307" s="61"/>
      <c r="AB307" s="61"/>
      <c r="AE307" s="61"/>
      <c r="AH307" s="61"/>
    </row>
    <row r="308" spans="1:34" s="60" customFormat="1" ht="10" x14ac:dyDescent="0.2">
      <c r="A308" s="58">
        <v>44574</v>
      </c>
      <c r="B308" s="59">
        <f t="shared" si="8"/>
        <v>2022</v>
      </c>
      <c r="C308" s="59"/>
      <c r="D308" s="59">
        <f t="shared" si="9"/>
        <v>1</v>
      </c>
      <c r="E308" s="60">
        <v>27</v>
      </c>
      <c r="F308" s="60">
        <v>28</v>
      </c>
      <c r="G308" s="61">
        <v>28</v>
      </c>
      <c r="H308" s="60">
        <v>38</v>
      </c>
      <c r="I308" s="60">
        <v>39</v>
      </c>
      <c r="J308" s="61">
        <v>38</v>
      </c>
      <c r="K308" s="60">
        <v>17</v>
      </c>
      <c r="L308" s="60">
        <v>24</v>
      </c>
      <c r="M308" s="61">
        <v>20</v>
      </c>
      <c r="N308" s="60">
        <v>92</v>
      </c>
      <c r="O308" s="60">
        <v>99</v>
      </c>
      <c r="P308" s="61">
        <v>96</v>
      </c>
      <c r="Q308" s="60">
        <v>24</v>
      </c>
      <c r="R308" s="60">
        <v>31</v>
      </c>
      <c r="S308" s="61">
        <v>28</v>
      </c>
      <c r="T308" s="60">
        <v>39</v>
      </c>
      <c r="U308" s="60">
        <v>42</v>
      </c>
      <c r="V308" s="61">
        <v>40</v>
      </c>
      <c r="Y308" s="61"/>
      <c r="AB308" s="61"/>
      <c r="AE308" s="61"/>
      <c r="AH308" s="61"/>
    </row>
    <row r="309" spans="1:34" s="60" customFormat="1" ht="10" x14ac:dyDescent="0.2">
      <c r="A309" s="58">
        <v>44581</v>
      </c>
      <c r="B309" s="59">
        <f t="shared" si="8"/>
        <v>2022</v>
      </c>
      <c r="C309" s="59"/>
      <c r="D309" s="59">
        <f t="shared" si="9"/>
        <v>1</v>
      </c>
      <c r="E309" s="60">
        <v>26</v>
      </c>
      <c r="F309" s="60">
        <v>27</v>
      </c>
      <c r="G309" s="61">
        <v>26</v>
      </c>
      <c r="H309" s="60">
        <v>38</v>
      </c>
      <c r="I309" s="60">
        <v>39</v>
      </c>
      <c r="J309" s="61">
        <v>38</v>
      </c>
      <c r="K309" s="60">
        <v>17</v>
      </c>
      <c r="L309" s="60">
        <v>24</v>
      </c>
      <c r="M309" s="61">
        <v>20</v>
      </c>
      <c r="N309" s="60">
        <v>91</v>
      </c>
      <c r="O309" s="60">
        <v>98</v>
      </c>
      <c r="P309" s="61">
        <v>94</v>
      </c>
      <c r="Q309" s="60">
        <v>23</v>
      </c>
      <c r="R309" s="60">
        <v>30</v>
      </c>
      <c r="S309" s="61">
        <v>26</v>
      </c>
      <c r="T309" s="60">
        <v>38</v>
      </c>
      <c r="U309" s="60">
        <v>41</v>
      </c>
      <c r="V309" s="61">
        <v>40</v>
      </c>
      <c r="Y309" s="61"/>
      <c r="AB309" s="61"/>
      <c r="AE309" s="61"/>
      <c r="AH309" s="61"/>
    </row>
    <row r="310" spans="1:34" s="60" customFormat="1" ht="10" x14ac:dyDescent="0.2">
      <c r="A310" s="58">
        <v>44588</v>
      </c>
      <c r="B310" s="59">
        <f t="shared" si="8"/>
        <v>2022</v>
      </c>
      <c r="C310" s="59"/>
      <c r="D310" s="59">
        <f t="shared" si="9"/>
        <v>1</v>
      </c>
      <c r="E310" s="60">
        <v>26</v>
      </c>
      <c r="F310" s="60">
        <v>27</v>
      </c>
      <c r="G310" s="61">
        <v>26</v>
      </c>
      <c r="H310" s="60">
        <v>38</v>
      </c>
      <c r="I310" s="60">
        <v>39</v>
      </c>
      <c r="J310" s="61">
        <v>38</v>
      </c>
      <c r="K310" s="60">
        <v>17</v>
      </c>
      <c r="L310" s="60">
        <v>24</v>
      </c>
      <c r="M310" s="61">
        <v>20</v>
      </c>
      <c r="N310" s="60">
        <v>91</v>
      </c>
      <c r="O310" s="60">
        <v>98</v>
      </c>
      <c r="P310" s="61">
        <v>94</v>
      </c>
      <c r="Q310" s="60">
        <v>23</v>
      </c>
      <c r="R310" s="60">
        <v>30</v>
      </c>
      <c r="S310" s="61">
        <v>26</v>
      </c>
      <c r="T310" s="60">
        <v>38</v>
      </c>
      <c r="U310" s="60">
        <v>41</v>
      </c>
      <c r="V310" s="61">
        <v>40</v>
      </c>
      <c r="Y310" s="61"/>
      <c r="AB310" s="61"/>
      <c r="AE310" s="61"/>
      <c r="AH310" s="61"/>
    </row>
    <row r="311" spans="1:34" s="60" customFormat="1" ht="10" x14ac:dyDescent="0.2">
      <c r="A311" s="58">
        <v>44595</v>
      </c>
      <c r="B311" s="59">
        <f t="shared" si="8"/>
        <v>2022</v>
      </c>
      <c r="C311" s="59"/>
      <c r="D311" s="59">
        <f t="shared" si="9"/>
        <v>2</v>
      </c>
      <c r="E311" s="60">
        <v>26</v>
      </c>
      <c r="F311" s="60">
        <v>27</v>
      </c>
      <c r="G311" s="61">
        <v>26</v>
      </c>
      <c r="H311" s="60">
        <v>38</v>
      </c>
      <c r="I311" s="60">
        <v>39</v>
      </c>
      <c r="J311" s="61">
        <v>38</v>
      </c>
      <c r="K311" s="60">
        <v>17</v>
      </c>
      <c r="L311" s="60">
        <v>24</v>
      </c>
      <c r="M311" s="61">
        <v>20</v>
      </c>
      <c r="N311" s="60">
        <v>91</v>
      </c>
      <c r="O311" s="60">
        <v>98</v>
      </c>
      <c r="P311" s="61">
        <v>94</v>
      </c>
      <c r="Q311" s="60">
        <v>23</v>
      </c>
      <c r="R311" s="60">
        <v>30</v>
      </c>
      <c r="S311" s="61">
        <v>26</v>
      </c>
      <c r="T311" s="60">
        <v>38</v>
      </c>
      <c r="U311" s="60">
        <v>41</v>
      </c>
      <c r="V311" s="61">
        <v>40</v>
      </c>
      <c r="Y311" s="61"/>
      <c r="AB311" s="61"/>
      <c r="AE311" s="61"/>
      <c r="AH311" s="61"/>
    </row>
    <row r="312" spans="1:34" s="60" customFormat="1" ht="10" x14ac:dyDescent="0.2">
      <c r="A312" s="58">
        <v>44602</v>
      </c>
      <c r="B312" s="59">
        <f t="shared" si="8"/>
        <v>2022</v>
      </c>
      <c r="C312" s="59"/>
      <c r="D312" s="59">
        <f t="shared" si="9"/>
        <v>2</v>
      </c>
      <c r="E312" s="60">
        <v>26</v>
      </c>
      <c r="F312" s="60">
        <v>27</v>
      </c>
      <c r="G312" s="61">
        <v>26</v>
      </c>
      <c r="H312" s="60">
        <v>38</v>
      </c>
      <c r="I312" s="60">
        <v>39</v>
      </c>
      <c r="J312" s="61">
        <v>38</v>
      </c>
      <c r="K312" s="60">
        <v>17</v>
      </c>
      <c r="L312" s="60">
        <v>24</v>
      </c>
      <c r="M312" s="61">
        <v>20</v>
      </c>
      <c r="N312" s="60">
        <v>91</v>
      </c>
      <c r="O312" s="60">
        <v>98</v>
      </c>
      <c r="P312" s="61">
        <v>94</v>
      </c>
      <c r="Q312" s="60">
        <v>23</v>
      </c>
      <c r="R312" s="60">
        <v>30</v>
      </c>
      <c r="S312" s="61">
        <v>26</v>
      </c>
      <c r="T312" s="60">
        <v>38</v>
      </c>
      <c r="U312" s="60">
        <v>41</v>
      </c>
      <c r="V312" s="61">
        <v>40</v>
      </c>
      <c r="Y312" s="61"/>
      <c r="AB312" s="61"/>
      <c r="AE312" s="61"/>
      <c r="AH312" s="61"/>
    </row>
    <row r="313" spans="1:34" s="60" customFormat="1" ht="10" x14ac:dyDescent="0.2">
      <c r="A313" s="58">
        <v>44609</v>
      </c>
      <c r="B313" s="59">
        <f t="shared" si="8"/>
        <v>2022</v>
      </c>
      <c r="C313" s="59"/>
      <c r="D313" s="59">
        <f t="shared" si="9"/>
        <v>2</v>
      </c>
      <c r="E313" s="60">
        <v>27</v>
      </c>
      <c r="F313" s="60">
        <v>28</v>
      </c>
      <c r="G313" s="61">
        <v>28</v>
      </c>
      <c r="H313" s="60">
        <v>38</v>
      </c>
      <c r="I313" s="60">
        <v>40</v>
      </c>
      <c r="J313" s="61">
        <v>39</v>
      </c>
      <c r="K313" s="60">
        <v>18</v>
      </c>
      <c r="L313" s="60">
        <v>25</v>
      </c>
      <c r="M313" s="61">
        <v>22</v>
      </c>
      <c r="N313" s="60">
        <v>91</v>
      </c>
      <c r="O313" s="60">
        <v>98</v>
      </c>
      <c r="P313" s="61">
        <v>94</v>
      </c>
      <c r="Q313" s="60">
        <v>23</v>
      </c>
      <c r="R313" s="60">
        <v>30</v>
      </c>
      <c r="S313" s="61">
        <v>26</v>
      </c>
      <c r="T313" s="60">
        <v>38</v>
      </c>
      <c r="U313" s="60">
        <v>41</v>
      </c>
      <c r="V313" s="61">
        <v>40</v>
      </c>
      <c r="Y313" s="61"/>
      <c r="AB313" s="61"/>
      <c r="AE313" s="61"/>
      <c r="AH313" s="61"/>
    </row>
    <row r="314" spans="1:34" s="60" customFormat="1" ht="10" x14ac:dyDescent="0.2">
      <c r="A314" s="58">
        <v>44616</v>
      </c>
      <c r="B314" s="59">
        <f t="shared" si="8"/>
        <v>2022</v>
      </c>
      <c r="C314" s="59"/>
      <c r="D314" s="59">
        <f t="shared" si="9"/>
        <v>2</v>
      </c>
      <c r="E314" s="60">
        <v>27</v>
      </c>
      <c r="F314" s="60">
        <v>28</v>
      </c>
      <c r="G314" s="61">
        <v>28</v>
      </c>
      <c r="H314" s="60">
        <v>38</v>
      </c>
      <c r="I314" s="60">
        <v>40</v>
      </c>
      <c r="J314" s="61">
        <v>39</v>
      </c>
      <c r="K314" s="60">
        <v>18</v>
      </c>
      <c r="L314" s="60">
        <v>25</v>
      </c>
      <c r="M314" s="61">
        <v>22</v>
      </c>
      <c r="N314" s="60">
        <v>91</v>
      </c>
      <c r="O314" s="60">
        <v>98</v>
      </c>
      <c r="P314" s="61">
        <v>94</v>
      </c>
      <c r="Q314" s="60">
        <v>23</v>
      </c>
      <c r="R314" s="60">
        <v>30</v>
      </c>
      <c r="S314" s="61">
        <v>26</v>
      </c>
      <c r="T314" s="60">
        <v>38</v>
      </c>
      <c r="U314" s="60">
        <v>41</v>
      </c>
      <c r="V314" s="61">
        <v>40</v>
      </c>
      <c r="Y314" s="61"/>
      <c r="AB314" s="61"/>
      <c r="AE314" s="61"/>
      <c r="AH314" s="61"/>
    </row>
    <row r="315" spans="1:34" s="60" customFormat="1" ht="10" x14ac:dyDescent="0.2">
      <c r="A315" s="58">
        <v>44623</v>
      </c>
      <c r="B315" s="59">
        <f t="shared" si="8"/>
        <v>2022</v>
      </c>
      <c r="C315" s="59"/>
      <c r="D315" s="59">
        <f t="shared" si="9"/>
        <v>3</v>
      </c>
      <c r="E315" s="60">
        <v>27</v>
      </c>
      <c r="F315" s="60">
        <v>28</v>
      </c>
      <c r="G315" s="61">
        <v>28</v>
      </c>
      <c r="H315" s="60">
        <v>38</v>
      </c>
      <c r="I315" s="60">
        <v>40</v>
      </c>
      <c r="J315" s="61">
        <v>39</v>
      </c>
      <c r="K315" s="60">
        <v>18</v>
      </c>
      <c r="L315" s="60">
        <v>25</v>
      </c>
      <c r="M315" s="61">
        <v>22</v>
      </c>
      <c r="N315" s="60">
        <v>91</v>
      </c>
      <c r="O315" s="60">
        <v>98</v>
      </c>
      <c r="P315" s="61">
        <v>94</v>
      </c>
      <c r="Q315" s="60">
        <v>23</v>
      </c>
      <c r="R315" s="60">
        <v>30</v>
      </c>
      <c r="S315" s="61">
        <v>26</v>
      </c>
      <c r="T315" s="60">
        <v>38</v>
      </c>
      <c r="U315" s="60">
        <v>41</v>
      </c>
      <c r="V315" s="61">
        <v>40</v>
      </c>
      <c r="Y315" s="61"/>
      <c r="AB315" s="61"/>
      <c r="AE315" s="61"/>
      <c r="AH315" s="61"/>
    </row>
    <row r="316" spans="1:34" s="60" customFormat="1" ht="10" x14ac:dyDescent="0.2">
      <c r="A316" s="58">
        <v>44630</v>
      </c>
      <c r="B316" s="59">
        <f t="shared" si="8"/>
        <v>2022</v>
      </c>
      <c r="C316" s="59"/>
      <c r="D316" s="59">
        <f t="shared" si="9"/>
        <v>3</v>
      </c>
      <c r="E316" s="60">
        <v>27</v>
      </c>
      <c r="F316" s="60">
        <v>28</v>
      </c>
      <c r="G316" s="61">
        <v>28</v>
      </c>
      <c r="H316" s="60">
        <v>38</v>
      </c>
      <c r="I316" s="60">
        <v>40</v>
      </c>
      <c r="J316" s="61">
        <v>39</v>
      </c>
      <c r="K316" s="60">
        <v>18</v>
      </c>
      <c r="L316" s="60">
        <v>25</v>
      </c>
      <c r="M316" s="61">
        <v>22</v>
      </c>
      <c r="N316" s="60">
        <v>91</v>
      </c>
      <c r="O316" s="60">
        <v>98</v>
      </c>
      <c r="P316" s="61">
        <v>94</v>
      </c>
      <c r="Q316" s="60">
        <v>23</v>
      </c>
      <c r="R316" s="60">
        <v>30</v>
      </c>
      <c r="S316" s="61">
        <v>26</v>
      </c>
      <c r="T316" s="60">
        <v>38</v>
      </c>
      <c r="U316" s="60">
        <v>41</v>
      </c>
      <c r="V316" s="61">
        <v>40</v>
      </c>
      <c r="Y316" s="61"/>
      <c r="AB316" s="61"/>
      <c r="AE316" s="61"/>
      <c r="AH316" s="61"/>
    </row>
    <row r="317" spans="1:34" s="60" customFormat="1" ht="10" x14ac:dyDescent="0.2">
      <c r="A317" s="58">
        <v>44637</v>
      </c>
      <c r="B317" s="59">
        <f t="shared" si="8"/>
        <v>2022</v>
      </c>
      <c r="C317" s="59"/>
      <c r="D317" s="59">
        <f t="shared" si="9"/>
        <v>3</v>
      </c>
      <c r="E317" s="60">
        <v>30</v>
      </c>
      <c r="F317" s="60">
        <v>31</v>
      </c>
      <c r="G317" s="61">
        <v>30</v>
      </c>
      <c r="H317" s="60">
        <v>42</v>
      </c>
      <c r="I317" s="60">
        <v>43</v>
      </c>
      <c r="J317" s="61">
        <v>42</v>
      </c>
      <c r="K317" s="60">
        <v>21</v>
      </c>
      <c r="L317" s="60">
        <v>28</v>
      </c>
      <c r="M317" s="61">
        <v>24</v>
      </c>
      <c r="N317" s="60">
        <v>100</v>
      </c>
      <c r="O317" s="60">
        <v>107</v>
      </c>
      <c r="P317" s="61">
        <v>104</v>
      </c>
      <c r="Q317" s="60">
        <v>30</v>
      </c>
      <c r="R317" s="60">
        <v>35</v>
      </c>
      <c r="S317" s="61">
        <v>32</v>
      </c>
      <c r="T317" s="60">
        <v>44</v>
      </c>
      <c r="U317" s="60">
        <v>47</v>
      </c>
      <c r="V317" s="61">
        <v>46</v>
      </c>
      <c r="Y317" s="61"/>
      <c r="AB317" s="61"/>
      <c r="AE317" s="61"/>
      <c r="AH317" s="61"/>
    </row>
    <row r="318" spans="1:34" s="60" customFormat="1" ht="10" x14ac:dyDescent="0.2">
      <c r="A318" s="58">
        <v>44644</v>
      </c>
      <c r="B318" s="59">
        <f t="shared" si="8"/>
        <v>2022</v>
      </c>
      <c r="C318" s="59"/>
      <c r="D318" s="59">
        <f t="shared" si="9"/>
        <v>3</v>
      </c>
      <c r="E318" s="60">
        <v>31</v>
      </c>
      <c r="F318" s="60">
        <v>32</v>
      </c>
      <c r="G318" s="61">
        <v>32</v>
      </c>
      <c r="H318" s="60">
        <v>43</v>
      </c>
      <c r="I318" s="60">
        <v>44</v>
      </c>
      <c r="J318" s="61">
        <v>44</v>
      </c>
      <c r="K318" s="60">
        <v>22</v>
      </c>
      <c r="L318" s="60">
        <v>29</v>
      </c>
      <c r="M318" s="61">
        <v>26</v>
      </c>
      <c r="N318" s="60">
        <v>101</v>
      </c>
      <c r="O318" s="60">
        <v>108</v>
      </c>
      <c r="P318" s="61">
        <v>104</v>
      </c>
      <c r="Q318" s="60">
        <v>35</v>
      </c>
      <c r="R318" s="60">
        <v>40</v>
      </c>
      <c r="S318" s="61">
        <v>38</v>
      </c>
      <c r="T318" s="60">
        <v>49</v>
      </c>
      <c r="U318" s="60">
        <v>53</v>
      </c>
      <c r="V318" s="61">
        <v>51</v>
      </c>
      <c r="Y318" s="61"/>
      <c r="AB318" s="61"/>
      <c r="AE318" s="61"/>
      <c r="AH318" s="61"/>
    </row>
    <row r="319" spans="1:34" s="60" customFormat="1" ht="10" x14ac:dyDescent="0.2">
      <c r="A319" s="58">
        <v>44651</v>
      </c>
      <c r="B319" s="59">
        <f t="shared" si="8"/>
        <v>2022</v>
      </c>
      <c r="C319" s="59"/>
      <c r="D319" s="59">
        <f t="shared" si="9"/>
        <v>3</v>
      </c>
      <c r="E319" s="60">
        <v>31</v>
      </c>
      <c r="F319" s="60">
        <v>32</v>
      </c>
      <c r="G319" s="61">
        <v>32</v>
      </c>
      <c r="H319" s="60">
        <v>43</v>
      </c>
      <c r="I319" s="60">
        <v>44</v>
      </c>
      <c r="J319" s="61">
        <v>44</v>
      </c>
      <c r="K319" s="60">
        <v>22</v>
      </c>
      <c r="L319" s="60">
        <v>29</v>
      </c>
      <c r="M319" s="61">
        <v>26</v>
      </c>
      <c r="N319" s="60">
        <v>101</v>
      </c>
      <c r="O319" s="60">
        <v>108</v>
      </c>
      <c r="P319" s="61">
        <v>104</v>
      </c>
      <c r="Q319" s="60">
        <v>35</v>
      </c>
      <c r="R319" s="60">
        <v>40</v>
      </c>
      <c r="S319" s="61">
        <v>38</v>
      </c>
      <c r="T319" s="60">
        <v>49</v>
      </c>
      <c r="U319" s="60">
        <v>53</v>
      </c>
      <c r="V319" s="61">
        <v>51</v>
      </c>
      <c r="Y319" s="61"/>
      <c r="AB319" s="61"/>
      <c r="AE319" s="61"/>
      <c r="AH319" s="61"/>
    </row>
    <row r="320" spans="1:34" s="60" customFormat="1" ht="10" x14ac:dyDescent="0.2">
      <c r="A320" s="58">
        <v>44658</v>
      </c>
      <c r="B320" s="59">
        <f t="shared" si="8"/>
        <v>2022</v>
      </c>
      <c r="C320" s="59"/>
      <c r="D320" s="59">
        <f t="shared" si="9"/>
        <v>4</v>
      </c>
      <c r="E320" s="60">
        <v>31</v>
      </c>
      <c r="F320" s="60">
        <v>32</v>
      </c>
      <c r="G320" s="61">
        <v>32</v>
      </c>
      <c r="H320" s="60">
        <v>43</v>
      </c>
      <c r="I320" s="60">
        <v>44</v>
      </c>
      <c r="J320" s="61">
        <v>44</v>
      </c>
      <c r="K320" s="60">
        <v>22</v>
      </c>
      <c r="L320" s="60">
        <v>29</v>
      </c>
      <c r="M320" s="61">
        <v>26</v>
      </c>
      <c r="N320" s="60">
        <v>101</v>
      </c>
      <c r="O320" s="60">
        <v>108</v>
      </c>
      <c r="P320" s="61">
        <v>104</v>
      </c>
      <c r="Q320" s="60">
        <v>35</v>
      </c>
      <c r="R320" s="60">
        <v>40</v>
      </c>
      <c r="S320" s="61">
        <v>38</v>
      </c>
      <c r="T320" s="60">
        <v>49</v>
      </c>
      <c r="U320" s="60">
        <v>53</v>
      </c>
      <c r="V320" s="61">
        <v>51</v>
      </c>
      <c r="Y320" s="61"/>
      <c r="AB320" s="61"/>
      <c r="AE320" s="61"/>
      <c r="AH320" s="61"/>
    </row>
    <row r="321" spans="1:34" s="60" customFormat="1" ht="10" x14ac:dyDescent="0.2">
      <c r="A321" s="58">
        <v>44665</v>
      </c>
      <c r="B321" s="59">
        <f t="shared" si="8"/>
        <v>2022</v>
      </c>
      <c r="C321" s="59"/>
      <c r="D321" s="59">
        <f t="shared" si="9"/>
        <v>4</v>
      </c>
      <c r="E321" s="60">
        <v>35</v>
      </c>
      <c r="F321" s="60">
        <v>37</v>
      </c>
      <c r="G321" s="61">
        <v>36</v>
      </c>
      <c r="H321" s="60">
        <v>43</v>
      </c>
      <c r="I321" s="60">
        <v>44</v>
      </c>
      <c r="J321" s="61">
        <v>44</v>
      </c>
      <c r="K321" s="60">
        <v>22</v>
      </c>
      <c r="L321" s="60">
        <v>29</v>
      </c>
      <c r="M321" s="61">
        <v>26</v>
      </c>
      <c r="N321" s="60">
        <v>101</v>
      </c>
      <c r="O321" s="60">
        <v>108</v>
      </c>
      <c r="P321" s="61">
        <v>104</v>
      </c>
      <c r="Q321" s="60">
        <v>35</v>
      </c>
      <c r="R321" s="60">
        <v>40</v>
      </c>
      <c r="S321" s="61">
        <v>38</v>
      </c>
      <c r="T321" s="60">
        <v>49</v>
      </c>
      <c r="U321" s="60">
        <v>53</v>
      </c>
      <c r="V321" s="61">
        <v>51</v>
      </c>
      <c r="Y321" s="61"/>
      <c r="AB321" s="61"/>
      <c r="AE321" s="61"/>
      <c r="AH321" s="61"/>
    </row>
    <row r="322" spans="1:34" s="60" customFormat="1" ht="10" x14ac:dyDescent="0.2">
      <c r="A322" s="58">
        <v>44672</v>
      </c>
      <c r="B322" s="59">
        <f t="shared" si="8"/>
        <v>2022</v>
      </c>
      <c r="C322" s="59"/>
      <c r="D322" s="59">
        <f t="shared" si="9"/>
        <v>4</v>
      </c>
      <c r="E322" s="60">
        <v>35</v>
      </c>
      <c r="F322" s="60">
        <v>37</v>
      </c>
      <c r="G322" s="61">
        <v>36</v>
      </c>
      <c r="H322" s="60">
        <v>43</v>
      </c>
      <c r="I322" s="60">
        <v>44</v>
      </c>
      <c r="J322" s="61">
        <v>44</v>
      </c>
      <c r="K322" s="60">
        <v>21</v>
      </c>
      <c r="L322" s="60">
        <v>28</v>
      </c>
      <c r="M322" s="61">
        <v>24</v>
      </c>
      <c r="N322" s="60">
        <v>101</v>
      </c>
      <c r="O322" s="60">
        <v>108</v>
      </c>
      <c r="P322" s="61">
        <v>104</v>
      </c>
      <c r="Q322" s="60">
        <v>35</v>
      </c>
      <c r="R322" s="60">
        <v>40</v>
      </c>
      <c r="S322" s="61">
        <v>38</v>
      </c>
      <c r="T322" s="60">
        <v>49</v>
      </c>
      <c r="U322" s="60">
        <v>53</v>
      </c>
      <c r="V322" s="61">
        <v>51</v>
      </c>
      <c r="Y322" s="61"/>
      <c r="AB322" s="61"/>
      <c r="AE322" s="61"/>
      <c r="AH322" s="61"/>
    </row>
    <row r="323" spans="1:34" s="60" customFormat="1" ht="10" x14ac:dyDescent="0.2">
      <c r="A323" s="58">
        <v>44679</v>
      </c>
      <c r="B323" s="59">
        <f t="shared" ref="B323:B386" si="10">YEAR(A323)</f>
        <v>2022</v>
      </c>
      <c r="C323" s="59"/>
      <c r="D323" s="59">
        <f t="shared" ref="D323:D386" si="11">MONTH(A323)</f>
        <v>4</v>
      </c>
      <c r="E323" s="60">
        <v>35</v>
      </c>
      <c r="F323" s="60">
        <v>37</v>
      </c>
      <c r="G323" s="61">
        <v>36</v>
      </c>
      <c r="H323" s="60">
        <v>43</v>
      </c>
      <c r="I323" s="60">
        <v>44</v>
      </c>
      <c r="J323" s="61">
        <v>44</v>
      </c>
      <c r="K323" s="60">
        <v>21</v>
      </c>
      <c r="L323" s="60">
        <v>28</v>
      </c>
      <c r="M323" s="61">
        <v>24</v>
      </c>
      <c r="N323" s="60">
        <v>110</v>
      </c>
      <c r="O323" s="60">
        <v>115</v>
      </c>
      <c r="P323" s="61">
        <v>112</v>
      </c>
      <c r="Q323" s="60">
        <v>38</v>
      </c>
      <c r="R323" s="60">
        <v>43</v>
      </c>
      <c r="S323" s="61">
        <v>40</v>
      </c>
      <c r="T323" s="60">
        <v>53</v>
      </c>
      <c r="U323" s="60">
        <v>57</v>
      </c>
      <c r="V323" s="61">
        <v>55</v>
      </c>
      <c r="Y323" s="61"/>
      <c r="AB323" s="61"/>
      <c r="AE323" s="61"/>
      <c r="AH323" s="61"/>
    </row>
    <row r="324" spans="1:34" s="60" customFormat="1" ht="10" x14ac:dyDescent="0.2">
      <c r="A324" s="58">
        <v>44686</v>
      </c>
      <c r="B324" s="59">
        <f t="shared" si="10"/>
        <v>2022</v>
      </c>
      <c r="C324" s="59"/>
      <c r="D324" s="59">
        <f t="shared" si="11"/>
        <v>5</v>
      </c>
      <c r="E324" s="60">
        <v>35</v>
      </c>
      <c r="F324" s="60">
        <v>37</v>
      </c>
      <c r="G324" s="61">
        <v>36</v>
      </c>
      <c r="H324" s="60">
        <v>43</v>
      </c>
      <c r="I324" s="60">
        <v>44</v>
      </c>
      <c r="J324" s="61">
        <v>44</v>
      </c>
      <c r="K324" s="60">
        <v>21</v>
      </c>
      <c r="L324" s="60">
        <v>28</v>
      </c>
      <c r="M324" s="61">
        <v>24</v>
      </c>
      <c r="N324" s="60">
        <v>110</v>
      </c>
      <c r="O324" s="60">
        <v>115</v>
      </c>
      <c r="P324" s="61">
        <v>112</v>
      </c>
      <c r="Q324" s="60">
        <v>38</v>
      </c>
      <c r="R324" s="60">
        <v>43</v>
      </c>
      <c r="S324" s="61">
        <v>40</v>
      </c>
      <c r="T324" s="60">
        <v>53</v>
      </c>
      <c r="U324" s="60">
        <v>57</v>
      </c>
      <c r="V324" s="61">
        <v>55</v>
      </c>
      <c r="Y324" s="61"/>
      <c r="AB324" s="61"/>
      <c r="AE324" s="61"/>
      <c r="AH324" s="61"/>
    </row>
    <row r="325" spans="1:34" s="60" customFormat="1" ht="10" x14ac:dyDescent="0.2">
      <c r="A325" s="58">
        <v>44693</v>
      </c>
      <c r="B325" s="59">
        <f t="shared" si="10"/>
        <v>2022</v>
      </c>
      <c r="C325" s="59"/>
      <c r="D325" s="59">
        <f t="shared" si="11"/>
        <v>5</v>
      </c>
      <c r="E325" s="60">
        <v>34</v>
      </c>
      <c r="F325" s="60">
        <v>36</v>
      </c>
      <c r="G325" s="61">
        <v>35</v>
      </c>
      <c r="H325" s="60">
        <v>43</v>
      </c>
      <c r="I325" s="60">
        <v>44</v>
      </c>
      <c r="J325" s="61">
        <v>44</v>
      </c>
      <c r="K325" s="60">
        <v>21</v>
      </c>
      <c r="L325" s="60">
        <v>28</v>
      </c>
      <c r="M325" s="61">
        <v>24</v>
      </c>
      <c r="N325" s="60">
        <v>110</v>
      </c>
      <c r="O325" s="60">
        <v>115</v>
      </c>
      <c r="P325" s="61">
        <v>112</v>
      </c>
      <c r="Q325" s="60">
        <v>38</v>
      </c>
      <c r="R325" s="60">
        <v>43</v>
      </c>
      <c r="S325" s="61">
        <v>40</v>
      </c>
      <c r="T325" s="60">
        <v>53</v>
      </c>
      <c r="U325" s="60">
        <v>57</v>
      </c>
      <c r="V325" s="61">
        <v>55</v>
      </c>
      <c r="Y325" s="61"/>
      <c r="AB325" s="61"/>
      <c r="AE325" s="61"/>
      <c r="AH325" s="61"/>
    </row>
    <row r="326" spans="1:34" s="60" customFormat="1" ht="10" x14ac:dyDescent="0.2">
      <c r="A326" s="58">
        <v>44700</v>
      </c>
      <c r="B326" s="59">
        <f t="shared" si="10"/>
        <v>2022</v>
      </c>
      <c r="C326" s="59"/>
      <c r="D326" s="59">
        <f t="shared" si="11"/>
        <v>5</v>
      </c>
      <c r="E326" s="60">
        <v>36</v>
      </c>
      <c r="F326" s="60">
        <v>38</v>
      </c>
      <c r="G326" s="61">
        <v>37</v>
      </c>
      <c r="H326" s="60">
        <v>46</v>
      </c>
      <c r="I326" s="60">
        <v>47</v>
      </c>
      <c r="J326" s="61">
        <v>46</v>
      </c>
      <c r="K326" s="60">
        <v>22</v>
      </c>
      <c r="L326" s="60">
        <v>29</v>
      </c>
      <c r="M326" s="61">
        <v>26</v>
      </c>
      <c r="N326" s="60">
        <v>113</v>
      </c>
      <c r="O326" s="60">
        <v>118</v>
      </c>
      <c r="P326" s="61">
        <v>116</v>
      </c>
      <c r="Q326" s="60">
        <v>42</v>
      </c>
      <c r="R326" s="60">
        <v>47</v>
      </c>
      <c r="S326" s="61">
        <v>44</v>
      </c>
      <c r="T326" s="60">
        <v>55</v>
      </c>
      <c r="U326" s="60">
        <v>59</v>
      </c>
      <c r="V326" s="61">
        <v>57</v>
      </c>
      <c r="Y326" s="61"/>
      <c r="AB326" s="61"/>
      <c r="AE326" s="61"/>
      <c r="AH326" s="61"/>
    </row>
    <row r="327" spans="1:34" s="60" customFormat="1" ht="10" x14ac:dyDescent="0.2">
      <c r="A327" s="58">
        <v>44707</v>
      </c>
      <c r="B327" s="59">
        <f t="shared" si="10"/>
        <v>2022</v>
      </c>
      <c r="C327" s="59"/>
      <c r="D327" s="59">
        <f t="shared" si="11"/>
        <v>5</v>
      </c>
      <c r="E327" s="60">
        <v>36</v>
      </c>
      <c r="F327" s="60">
        <v>38</v>
      </c>
      <c r="G327" s="61">
        <v>37</v>
      </c>
      <c r="H327" s="60">
        <v>46</v>
      </c>
      <c r="I327" s="60">
        <v>47</v>
      </c>
      <c r="J327" s="61">
        <v>46</v>
      </c>
      <c r="K327" s="60">
        <v>22</v>
      </c>
      <c r="L327" s="60">
        <v>29</v>
      </c>
      <c r="M327" s="61">
        <v>26</v>
      </c>
      <c r="N327" s="60">
        <v>113</v>
      </c>
      <c r="O327" s="60">
        <v>118</v>
      </c>
      <c r="P327" s="61">
        <v>116</v>
      </c>
      <c r="Q327" s="60">
        <v>42</v>
      </c>
      <c r="R327" s="60">
        <v>47</v>
      </c>
      <c r="S327" s="61">
        <v>44</v>
      </c>
      <c r="T327" s="60">
        <v>55</v>
      </c>
      <c r="U327" s="60">
        <v>59</v>
      </c>
      <c r="V327" s="61">
        <v>57</v>
      </c>
      <c r="Y327" s="61"/>
      <c r="AB327" s="61"/>
      <c r="AE327" s="61"/>
      <c r="AH327" s="61"/>
    </row>
    <row r="328" spans="1:34" s="60" customFormat="1" ht="10" x14ac:dyDescent="0.2">
      <c r="A328" s="58">
        <v>44714</v>
      </c>
      <c r="B328" s="59">
        <f t="shared" si="10"/>
        <v>2022</v>
      </c>
      <c r="C328" s="59"/>
      <c r="D328" s="59">
        <f t="shared" si="11"/>
        <v>6</v>
      </c>
      <c r="E328" s="60">
        <v>37</v>
      </c>
      <c r="F328" s="60">
        <v>39</v>
      </c>
      <c r="G328" s="61">
        <v>38</v>
      </c>
      <c r="H328" s="60">
        <v>46</v>
      </c>
      <c r="I328" s="60">
        <v>47</v>
      </c>
      <c r="J328" s="61">
        <v>46</v>
      </c>
      <c r="K328" s="60">
        <v>24</v>
      </c>
      <c r="L328" s="60">
        <v>30</v>
      </c>
      <c r="M328" s="61">
        <v>27</v>
      </c>
      <c r="N328" s="60">
        <v>113</v>
      </c>
      <c r="O328" s="60">
        <v>118</v>
      </c>
      <c r="P328" s="61">
        <v>116</v>
      </c>
      <c r="Q328" s="60">
        <v>44</v>
      </c>
      <c r="R328" s="60">
        <v>48</v>
      </c>
      <c r="S328" s="61">
        <v>46</v>
      </c>
      <c r="T328" s="60">
        <v>56</v>
      </c>
      <c r="U328" s="60">
        <v>60</v>
      </c>
      <c r="V328" s="61">
        <v>58</v>
      </c>
      <c r="Y328" s="61"/>
      <c r="AB328" s="61"/>
      <c r="AE328" s="61"/>
      <c r="AH328" s="61"/>
    </row>
    <row r="329" spans="1:34" s="60" customFormat="1" ht="10" x14ac:dyDescent="0.2">
      <c r="A329" s="58">
        <v>44721</v>
      </c>
      <c r="B329" s="59">
        <f t="shared" si="10"/>
        <v>2022</v>
      </c>
      <c r="C329" s="59"/>
      <c r="D329" s="59">
        <f t="shared" si="11"/>
        <v>6</v>
      </c>
      <c r="E329" s="60">
        <v>37</v>
      </c>
      <c r="F329" s="60">
        <v>39</v>
      </c>
      <c r="G329" s="61">
        <v>38</v>
      </c>
      <c r="H329" s="60">
        <v>46</v>
      </c>
      <c r="I329" s="60">
        <v>47</v>
      </c>
      <c r="J329" s="61">
        <v>46</v>
      </c>
      <c r="K329" s="60">
        <v>24</v>
      </c>
      <c r="L329" s="60">
        <v>30</v>
      </c>
      <c r="M329" s="61">
        <v>27</v>
      </c>
      <c r="N329" s="60">
        <v>115</v>
      </c>
      <c r="O329" s="60">
        <v>120</v>
      </c>
      <c r="P329" s="61">
        <v>118</v>
      </c>
      <c r="Q329" s="60">
        <v>46</v>
      </c>
      <c r="R329" s="60">
        <v>50</v>
      </c>
      <c r="S329" s="61">
        <v>48</v>
      </c>
      <c r="T329" s="60">
        <v>58</v>
      </c>
      <c r="U329" s="60">
        <v>62</v>
      </c>
      <c r="V329" s="61">
        <v>60</v>
      </c>
      <c r="Y329" s="61"/>
      <c r="AB329" s="61"/>
      <c r="AE329" s="61"/>
      <c r="AH329" s="61"/>
    </row>
    <row r="330" spans="1:34" s="60" customFormat="1" ht="10" x14ac:dyDescent="0.2">
      <c r="A330" s="58">
        <v>44728</v>
      </c>
      <c r="B330" s="59">
        <f t="shared" si="10"/>
        <v>2022</v>
      </c>
      <c r="C330" s="59"/>
      <c r="D330" s="59">
        <f t="shared" si="11"/>
        <v>6</v>
      </c>
      <c r="E330" s="60">
        <v>40</v>
      </c>
      <c r="F330" s="60">
        <v>42</v>
      </c>
      <c r="G330" s="61">
        <v>41</v>
      </c>
      <c r="H330" s="60">
        <v>47</v>
      </c>
      <c r="I330" s="60">
        <v>48</v>
      </c>
      <c r="J330" s="61">
        <v>48</v>
      </c>
      <c r="K330" s="60">
        <v>24</v>
      </c>
      <c r="L330" s="60">
        <v>30</v>
      </c>
      <c r="M330" s="61">
        <v>27</v>
      </c>
      <c r="N330" s="60">
        <v>113</v>
      </c>
      <c r="O330" s="60">
        <v>118</v>
      </c>
      <c r="P330" s="61">
        <v>116</v>
      </c>
      <c r="Q330" s="60">
        <v>45</v>
      </c>
      <c r="R330" s="60">
        <v>49</v>
      </c>
      <c r="S330" s="61">
        <v>47</v>
      </c>
      <c r="T330" s="60">
        <v>56</v>
      </c>
      <c r="U330" s="60">
        <v>60</v>
      </c>
      <c r="V330" s="61">
        <v>58</v>
      </c>
      <c r="Y330" s="61"/>
      <c r="AB330" s="61"/>
      <c r="AE330" s="61"/>
      <c r="AH330" s="61"/>
    </row>
    <row r="331" spans="1:34" s="60" customFormat="1" ht="10" x14ac:dyDescent="0.2">
      <c r="A331" s="58">
        <v>44735</v>
      </c>
      <c r="B331" s="59">
        <f t="shared" si="10"/>
        <v>2022</v>
      </c>
      <c r="C331" s="59"/>
      <c r="D331" s="59">
        <f t="shared" si="11"/>
        <v>6</v>
      </c>
      <c r="E331" s="60">
        <v>40</v>
      </c>
      <c r="F331" s="60">
        <v>42</v>
      </c>
      <c r="G331" s="61">
        <v>41</v>
      </c>
      <c r="H331" s="60">
        <v>47</v>
      </c>
      <c r="I331" s="60">
        <v>48</v>
      </c>
      <c r="J331" s="61">
        <v>48</v>
      </c>
      <c r="K331" s="60">
        <v>24</v>
      </c>
      <c r="L331" s="60">
        <v>30</v>
      </c>
      <c r="M331" s="61">
        <v>27</v>
      </c>
      <c r="N331" s="60">
        <v>113</v>
      </c>
      <c r="O331" s="60">
        <v>118</v>
      </c>
      <c r="P331" s="61">
        <v>116</v>
      </c>
      <c r="Q331" s="60">
        <v>45</v>
      </c>
      <c r="R331" s="60">
        <v>49</v>
      </c>
      <c r="S331" s="61">
        <v>47</v>
      </c>
      <c r="T331" s="60">
        <v>56</v>
      </c>
      <c r="U331" s="60">
        <v>60</v>
      </c>
      <c r="V331" s="61">
        <v>58</v>
      </c>
      <c r="Y331" s="61"/>
      <c r="AB331" s="61"/>
      <c r="AE331" s="61"/>
      <c r="AH331" s="61"/>
    </row>
    <row r="332" spans="1:34" s="60" customFormat="1" ht="10" x14ac:dyDescent="0.2">
      <c r="A332" s="58">
        <v>44742</v>
      </c>
      <c r="B332" s="59">
        <f t="shared" si="10"/>
        <v>2022</v>
      </c>
      <c r="C332" s="59"/>
      <c r="D332" s="59">
        <f t="shared" si="11"/>
        <v>6</v>
      </c>
      <c r="E332" s="60">
        <v>42</v>
      </c>
      <c r="F332" s="60">
        <v>44</v>
      </c>
      <c r="G332" s="61">
        <v>43</v>
      </c>
      <c r="H332" s="60">
        <v>47</v>
      </c>
      <c r="I332" s="60">
        <v>48</v>
      </c>
      <c r="J332" s="61">
        <v>48</v>
      </c>
      <c r="K332" s="60">
        <v>28</v>
      </c>
      <c r="L332" s="60">
        <v>34</v>
      </c>
      <c r="M332" s="61">
        <v>31</v>
      </c>
      <c r="N332" s="60">
        <v>125</v>
      </c>
      <c r="O332" s="60">
        <v>130</v>
      </c>
      <c r="P332" s="61">
        <v>128</v>
      </c>
      <c r="Q332" s="60">
        <v>45</v>
      </c>
      <c r="R332" s="60">
        <v>49</v>
      </c>
      <c r="S332" s="61">
        <v>47</v>
      </c>
      <c r="T332" s="60">
        <v>55</v>
      </c>
      <c r="U332" s="60">
        <v>59</v>
      </c>
      <c r="V332" s="61">
        <v>57</v>
      </c>
      <c r="Y332" s="61"/>
      <c r="AB332" s="61"/>
      <c r="AE332" s="61"/>
      <c r="AH332" s="61"/>
    </row>
    <row r="333" spans="1:34" s="60" customFormat="1" ht="10" x14ac:dyDescent="0.2">
      <c r="A333" s="58">
        <v>44749</v>
      </c>
      <c r="B333" s="59">
        <f t="shared" si="10"/>
        <v>2022</v>
      </c>
      <c r="C333" s="59"/>
      <c r="D333" s="59">
        <f t="shared" si="11"/>
        <v>7</v>
      </c>
      <c r="E333" s="60">
        <v>42</v>
      </c>
      <c r="F333" s="60">
        <v>44</v>
      </c>
      <c r="G333" s="61">
        <v>43</v>
      </c>
      <c r="H333" s="60">
        <v>47</v>
      </c>
      <c r="I333" s="60">
        <v>48</v>
      </c>
      <c r="J333" s="61">
        <v>48</v>
      </c>
      <c r="K333" s="60">
        <v>28</v>
      </c>
      <c r="L333" s="60">
        <v>34</v>
      </c>
      <c r="M333" s="61">
        <v>31</v>
      </c>
      <c r="N333" s="60">
        <v>127</v>
      </c>
      <c r="O333" s="60">
        <v>132</v>
      </c>
      <c r="P333" s="61">
        <v>130</v>
      </c>
      <c r="Q333" s="60">
        <v>56</v>
      </c>
      <c r="R333" s="60">
        <v>60</v>
      </c>
      <c r="S333" s="61">
        <v>58</v>
      </c>
      <c r="T333" s="60">
        <v>66</v>
      </c>
      <c r="U333" s="60">
        <v>70</v>
      </c>
      <c r="V333" s="61">
        <v>68</v>
      </c>
      <c r="Y333" s="61"/>
      <c r="AB333" s="61"/>
      <c r="AE333" s="61"/>
      <c r="AH333" s="61"/>
    </row>
    <row r="334" spans="1:34" s="60" customFormat="1" ht="10" x14ac:dyDescent="0.2">
      <c r="A334" s="58">
        <v>44756</v>
      </c>
      <c r="B334" s="59">
        <f t="shared" si="10"/>
        <v>2022</v>
      </c>
      <c r="C334" s="59"/>
      <c r="D334" s="59">
        <f t="shared" si="11"/>
        <v>7</v>
      </c>
      <c r="E334" s="60">
        <v>42</v>
      </c>
      <c r="F334" s="60">
        <v>44</v>
      </c>
      <c r="G334" s="61">
        <v>43</v>
      </c>
      <c r="H334" s="60">
        <v>47</v>
      </c>
      <c r="I334" s="60">
        <v>48</v>
      </c>
      <c r="J334" s="61">
        <v>48</v>
      </c>
      <c r="K334" s="60">
        <v>28</v>
      </c>
      <c r="L334" s="60">
        <v>34</v>
      </c>
      <c r="M334" s="61">
        <v>31</v>
      </c>
      <c r="N334" s="60">
        <v>128</v>
      </c>
      <c r="O334" s="60">
        <v>133</v>
      </c>
      <c r="P334" s="61">
        <v>130</v>
      </c>
      <c r="Q334" s="60">
        <v>56</v>
      </c>
      <c r="R334" s="60">
        <v>60</v>
      </c>
      <c r="S334" s="61">
        <v>58</v>
      </c>
      <c r="T334" s="60">
        <v>66</v>
      </c>
      <c r="U334" s="60">
        <v>70</v>
      </c>
      <c r="V334" s="61">
        <v>68</v>
      </c>
      <c r="Y334" s="61"/>
      <c r="AB334" s="61"/>
      <c r="AE334" s="61"/>
      <c r="AH334" s="61"/>
    </row>
    <row r="335" spans="1:34" s="60" customFormat="1" ht="10" x14ac:dyDescent="0.2">
      <c r="A335" s="58">
        <v>44763</v>
      </c>
      <c r="B335" s="59">
        <f t="shared" si="10"/>
        <v>2022</v>
      </c>
      <c r="C335" s="59"/>
      <c r="D335" s="59">
        <f t="shared" si="11"/>
        <v>7</v>
      </c>
      <c r="E335" s="60">
        <v>42</v>
      </c>
      <c r="F335" s="60">
        <v>44</v>
      </c>
      <c r="G335" s="61">
        <v>43</v>
      </c>
      <c r="H335" s="60">
        <v>48</v>
      </c>
      <c r="I335" s="60">
        <v>49</v>
      </c>
      <c r="J335" s="61">
        <v>48</v>
      </c>
      <c r="K335" s="60">
        <v>30</v>
      </c>
      <c r="L335" s="60">
        <v>36</v>
      </c>
      <c r="M335" s="61">
        <v>33</v>
      </c>
      <c r="N335" s="60">
        <v>129</v>
      </c>
      <c r="O335" s="60">
        <v>134</v>
      </c>
      <c r="P335" s="61">
        <v>132</v>
      </c>
      <c r="Q335" s="60">
        <v>57</v>
      </c>
      <c r="R335" s="60">
        <v>61</v>
      </c>
      <c r="S335" s="61">
        <v>59</v>
      </c>
      <c r="T335" s="60">
        <v>67</v>
      </c>
      <c r="U335" s="60">
        <v>71</v>
      </c>
      <c r="V335" s="61">
        <v>69</v>
      </c>
      <c r="Y335" s="61"/>
      <c r="AB335" s="61"/>
      <c r="AE335" s="61"/>
      <c r="AH335" s="61"/>
    </row>
    <row r="336" spans="1:34" s="60" customFormat="1" ht="10" x14ac:dyDescent="0.2">
      <c r="A336" s="58">
        <v>44770</v>
      </c>
      <c r="B336" s="59">
        <f t="shared" si="10"/>
        <v>2022</v>
      </c>
      <c r="C336" s="59"/>
      <c r="D336" s="59">
        <f t="shared" si="11"/>
        <v>7</v>
      </c>
      <c r="E336" s="60">
        <v>42</v>
      </c>
      <c r="F336" s="60">
        <v>44</v>
      </c>
      <c r="G336" s="61">
        <v>43</v>
      </c>
      <c r="H336" s="60">
        <v>48</v>
      </c>
      <c r="I336" s="60">
        <v>49</v>
      </c>
      <c r="J336" s="61">
        <v>48</v>
      </c>
      <c r="K336" s="60">
        <v>30</v>
      </c>
      <c r="L336" s="60">
        <v>36</v>
      </c>
      <c r="M336" s="61">
        <v>33</v>
      </c>
      <c r="N336" s="60">
        <v>129</v>
      </c>
      <c r="O336" s="60">
        <v>134</v>
      </c>
      <c r="P336" s="61">
        <v>132</v>
      </c>
      <c r="Q336" s="60">
        <v>57</v>
      </c>
      <c r="R336" s="60">
        <v>61</v>
      </c>
      <c r="S336" s="61">
        <v>59</v>
      </c>
      <c r="T336" s="60">
        <v>67</v>
      </c>
      <c r="U336" s="60">
        <v>71</v>
      </c>
      <c r="V336" s="61">
        <v>69</v>
      </c>
      <c r="Y336" s="61"/>
      <c r="AB336" s="61"/>
      <c r="AE336" s="61"/>
      <c r="AH336" s="61"/>
    </row>
    <row r="337" spans="1:34" s="60" customFormat="1" ht="10" x14ac:dyDescent="0.2">
      <c r="A337" s="58">
        <v>44777</v>
      </c>
      <c r="B337" s="59">
        <f t="shared" si="10"/>
        <v>2022</v>
      </c>
      <c r="C337" s="59"/>
      <c r="D337" s="59">
        <f t="shared" si="11"/>
        <v>8</v>
      </c>
      <c r="E337" s="60">
        <v>42</v>
      </c>
      <c r="F337" s="60">
        <v>44</v>
      </c>
      <c r="G337" s="61">
        <v>43</v>
      </c>
      <c r="H337" s="60">
        <v>48</v>
      </c>
      <c r="I337" s="60">
        <v>49</v>
      </c>
      <c r="J337" s="61">
        <v>48</v>
      </c>
      <c r="K337" s="60">
        <v>30</v>
      </c>
      <c r="L337" s="60">
        <v>36</v>
      </c>
      <c r="M337" s="61">
        <v>33</v>
      </c>
      <c r="N337" s="60">
        <v>129</v>
      </c>
      <c r="O337" s="60">
        <v>134</v>
      </c>
      <c r="P337" s="61">
        <v>132</v>
      </c>
      <c r="Q337" s="60">
        <v>57</v>
      </c>
      <c r="R337" s="60">
        <v>61</v>
      </c>
      <c r="S337" s="61">
        <v>59</v>
      </c>
      <c r="T337" s="60">
        <v>67</v>
      </c>
      <c r="U337" s="60">
        <v>71</v>
      </c>
      <c r="V337" s="61">
        <v>69</v>
      </c>
      <c r="Y337" s="61"/>
      <c r="AB337" s="61"/>
      <c r="AE337" s="61"/>
      <c r="AH337" s="61"/>
    </row>
    <row r="338" spans="1:34" s="60" customFormat="1" ht="10" x14ac:dyDescent="0.2">
      <c r="A338" s="58">
        <v>44784</v>
      </c>
      <c r="B338" s="59">
        <f t="shared" si="10"/>
        <v>2022</v>
      </c>
      <c r="C338" s="59"/>
      <c r="D338" s="59">
        <f t="shared" si="11"/>
        <v>8</v>
      </c>
      <c r="E338" s="60">
        <v>42</v>
      </c>
      <c r="F338" s="60">
        <v>44</v>
      </c>
      <c r="G338" s="61">
        <v>43</v>
      </c>
      <c r="H338" s="60">
        <v>48</v>
      </c>
      <c r="I338" s="60">
        <v>49</v>
      </c>
      <c r="J338" s="61">
        <v>48</v>
      </c>
      <c r="K338" s="60">
        <v>30</v>
      </c>
      <c r="L338" s="60">
        <v>36</v>
      </c>
      <c r="M338" s="61">
        <v>33</v>
      </c>
      <c r="N338" s="60">
        <v>129</v>
      </c>
      <c r="O338" s="60">
        <v>134</v>
      </c>
      <c r="P338" s="61">
        <v>132</v>
      </c>
      <c r="Q338" s="60">
        <v>57</v>
      </c>
      <c r="R338" s="60">
        <v>61</v>
      </c>
      <c r="S338" s="61">
        <v>59</v>
      </c>
      <c r="T338" s="60">
        <v>67</v>
      </c>
      <c r="U338" s="60">
        <v>71</v>
      </c>
      <c r="V338" s="61">
        <v>69</v>
      </c>
      <c r="Y338" s="61"/>
      <c r="AB338" s="61"/>
      <c r="AE338" s="61"/>
      <c r="AH338" s="61"/>
    </row>
    <row r="339" spans="1:34" s="60" customFormat="1" ht="10" x14ac:dyDescent="0.2">
      <c r="A339" s="58">
        <v>44791</v>
      </c>
      <c r="B339" s="59">
        <f t="shared" si="10"/>
        <v>2022</v>
      </c>
      <c r="C339" s="59"/>
      <c r="D339" s="59">
        <f t="shared" si="11"/>
        <v>8</v>
      </c>
      <c r="E339" s="60">
        <v>41</v>
      </c>
      <c r="F339" s="60">
        <v>43</v>
      </c>
      <c r="G339" s="61">
        <v>42</v>
      </c>
      <c r="H339" s="60">
        <v>48</v>
      </c>
      <c r="I339" s="60">
        <v>49</v>
      </c>
      <c r="J339" s="61">
        <v>48</v>
      </c>
      <c r="K339" s="60">
        <v>30</v>
      </c>
      <c r="L339" s="60">
        <v>36</v>
      </c>
      <c r="M339" s="61">
        <v>33</v>
      </c>
      <c r="N339" s="60">
        <v>130</v>
      </c>
      <c r="O339" s="60">
        <v>135</v>
      </c>
      <c r="P339" s="61">
        <v>132</v>
      </c>
      <c r="Q339" s="60">
        <v>58</v>
      </c>
      <c r="R339" s="60">
        <v>62</v>
      </c>
      <c r="S339" s="61">
        <v>60</v>
      </c>
      <c r="T339" s="60">
        <v>68</v>
      </c>
      <c r="U339" s="60">
        <v>71</v>
      </c>
      <c r="V339" s="61">
        <v>70</v>
      </c>
      <c r="Y339" s="61"/>
      <c r="AB339" s="61"/>
      <c r="AE339" s="61"/>
      <c r="AH339" s="61"/>
    </row>
    <row r="340" spans="1:34" s="60" customFormat="1" ht="10" x14ac:dyDescent="0.2">
      <c r="A340" s="58">
        <v>44798</v>
      </c>
      <c r="B340" s="59">
        <f t="shared" si="10"/>
        <v>2022</v>
      </c>
      <c r="C340" s="59"/>
      <c r="D340" s="59">
        <f t="shared" si="11"/>
        <v>8</v>
      </c>
      <c r="E340" s="60">
        <v>41</v>
      </c>
      <c r="F340" s="60">
        <v>43</v>
      </c>
      <c r="G340" s="61">
        <v>42</v>
      </c>
      <c r="H340" s="60">
        <v>48</v>
      </c>
      <c r="I340" s="60">
        <v>49</v>
      </c>
      <c r="J340" s="61">
        <v>48</v>
      </c>
      <c r="K340" s="60">
        <v>30</v>
      </c>
      <c r="L340" s="60">
        <v>36</v>
      </c>
      <c r="M340" s="61">
        <v>33</v>
      </c>
      <c r="N340" s="60">
        <v>130</v>
      </c>
      <c r="O340" s="60">
        <v>135</v>
      </c>
      <c r="P340" s="61">
        <v>132</v>
      </c>
      <c r="Q340" s="60">
        <v>58</v>
      </c>
      <c r="R340" s="60">
        <v>62</v>
      </c>
      <c r="S340" s="61">
        <v>60</v>
      </c>
      <c r="T340" s="60">
        <v>68</v>
      </c>
      <c r="U340" s="60">
        <v>71</v>
      </c>
      <c r="V340" s="61">
        <v>70</v>
      </c>
      <c r="Y340" s="61"/>
      <c r="AB340" s="61"/>
      <c r="AE340" s="61"/>
      <c r="AH340" s="61"/>
    </row>
    <row r="341" spans="1:34" s="60" customFormat="1" ht="10" x14ac:dyDescent="0.2">
      <c r="A341" s="58">
        <v>44805</v>
      </c>
      <c r="B341" s="59">
        <f t="shared" si="10"/>
        <v>2022</v>
      </c>
      <c r="C341" s="59"/>
      <c r="D341" s="59">
        <f t="shared" si="11"/>
        <v>9</v>
      </c>
      <c r="E341" s="60">
        <v>41</v>
      </c>
      <c r="F341" s="60">
        <v>43</v>
      </c>
      <c r="G341" s="61">
        <v>42</v>
      </c>
      <c r="H341" s="60">
        <v>48</v>
      </c>
      <c r="I341" s="60">
        <v>49</v>
      </c>
      <c r="J341" s="61">
        <v>48</v>
      </c>
      <c r="K341" s="60">
        <v>30</v>
      </c>
      <c r="L341" s="60">
        <v>36</v>
      </c>
      <c r="M341" s="61">
        <v>33</v>
      </c>
      <c r="N341" s="60">
        <v>130</v>
      </c>
      <c r="O341" s="60">
        <v>135</v>
      </c>
      <c r="P341" s="61">
        <v>132</v>
      </c>
      <c r="Q341" s="60">
        <v>58</v>
      </c>
      <c r="R341" s="60">
        <v>62</v>
      </c>
      <c r="S341" s="61">
        <v>60</v>
      </c>
      <c r="T341" s="60">
        <v>68</v>
      </c>
      <c r="U341" s="60">
        <v>71</v>
      </c>
      <c r="V341" s="61">
        <v>70</v>
      </c>
      <c r="Y341" s="61"/>
      <c r="AB341" s="61"/>
      <c r="AE341" s="61"/>
      <c r="AH341" s="61"/>
    </row>
    <row r="342" spans="1:34" s="60" customFormat="1" ht="10" x14ac:dyDescent="0.2">
      <c r="A342" s="58">
        <v>44812</v>
      </c>
      <c r="B342" s="59">
        <f t="shared" si="10"/>
        <v>2022</v>
      </c>
      <c r="C342" s="59"/>
      <c r="D342" s="59">
        <f t="shared" si="11"/>
        <v>9</v>
      </c>
      <c r="E342" s="60">
        <v>41</v>
      </c>
      <c r="F342" s="60">
        <v>43</v>
      </c>
      <c r="G342" s="61">
        <v>42</v>
      </c>
      <c r="H342" s="60">
        <v>48</v>
      </c>
      <c r="I342" s="60">
        <v>49</v>
      </c>
      <c r="J342" s="61">
        <v>48</v>
      </c>
      <c r="K342" s="60">
        <v>30</v>
      </c>
      <c r="L342" s="60">
        <v>36</v>
      </c>
      <c r="M342" s="61">
        <v>33</v>
      </c>
      <c r="N342" s="60">
        <v>130</v>
      </c>
      <c r="O342" s="60">
        <v>135</v>
      </c>
      <c r="P342" s="61">
        <v>132</v>
      </c>
      <c r="Q342" s="60">
        <v>58</v>
      </c>
      <c r="R342" s="60">
        <v>62</v>
      </c>
      <c r="S342" s="61">
        <v>60</v>
      </c>
      <c r="T342" s="60">
        <v>68</v>
      </c>
      <c r="U342" s="60">
        <v>71</v>
      </c>
      <c r="V342" s="61">
        <v>70</v>
      </c>
      <c r="Y342" s="61"/>
      <c r="AB342" s="61"/>
      <c r="AE342" s="61"/>
      <c r="AH342" s="61"/>
    </row>
    <row r="343" spans="1:34" s="60" customFormat="1" ht="10" x14ac:dyDescent="0.2">
      <c r="A343" s="58">
        <v>44819</v>
      </c>
      <c r="B343" s="59">
        <f t="shared" si="10"/>
        <v>2022</v>
      </c>
      <c r="C343" s="59"/>
      <c r="D343" s="59">
        <f t="shared" si="11"/>
        <v>9</v>
      </c>
      <c r="E343" s="60">
        <v>41</v>
      </c>
      <c r="F343" s="60">
        <v>43</v>
      </c>
      <c r="G343" s="61">
        <v>42</v>
      </c>
      <c r="H343" s="60">
        <v>49</v>
      </c>
      <c r="I343" s="60">
        <v>50</v>
      </c>
      <c r="J343" s="61">
        <v>50</v>
      </c>
      <c r="K343" s="60">
        <v>30</v>
      </c>
      <c r="L343" s="60">
        <v>36</v>
      </c>
      <c r="M343" s="61">
        <v>33</v>
      </c>
      <c r="N343" s="60">
        <v>132</v>
      </c>
      <c r="O343" s="60">
        <v>136</v>
      </c>
      <c r="P343" s="61">
        <v>134</v>
      </c>
      <c r="Q343" s="60">
        <v>61</v>
      </c>
      <c r="R343" s="60">
        <v>65</v>
      </c>
      <c r="S343" s="61">
        <v>63</v>
      </c>
      <c r="T343" s="60">
        <v>73</v>
      </c>
      <c r="U343" s="60">
        <v>76</v>
      </c>
      <c r="V343" s="61">
        <v>74</v>
      </c>
      <c r="Y343" s="61"/>
      <c r="AB343" s="61"/>
      <c r="AE343" s="61"/>
      <c r="AH343" s="61"/>
    </row>
    <row r="344" spans="1:34" s="60" customFormat="1" ht="10" x14ac:dyDescent="0.2">
      <c r="A344" s="58">
        <v>44826</v>
      </c>
      <c r="B344" s="59">
        <f t="shared" si="10"/>
        <v>2022</v>
      </c>
      <c r="C344" s="59"/>
      <c r="D344" s="59">
        <f t="shared" si="11"/>
        <v>9</v>
      </c>
      <c r="E344" s="60">
        <v>40</v>
      </c>
      <c r="F344" s="60">
        <v>42</v>
      </c>
      <c r="G344" s="61">
        <v>41</v>
      </c>
      <c r="H344" s="60">
        <v>49</v>
      </c>
      <c r="I344" s="60">
        <v>50</v>
      </c>
      <c r="J344" s="61">
        <v>50</v>
      </c>
      <c r="K344" s="60">
        <v>30</v>
      </c>
      <c r="L344" s="60">
        <v>36</v>
      </c>
      <c r="M344" s="61">
        <v>33</v>
      </c>
      <c r="N344" s="60">
        <v>133</v>
      </c>
      <c r="O344" s="60">
        <v>137</v>
      </c>
      <c r="P344" s="61">
        <v>135</v>
      </c>
      <c r="Q344" s="60">
        <v>62</v>
      </c>
      <c r="R344" s="60">
        <v>66</v>
      </c>
      <c r="S344" s="61">
        <v>64</v>
      </c>
      <c r="T344" s="60">
        <v>74</v>
      </c>
      <c r="U344" s="60">
        <v>76</v>
      </c>
      <c r="V344" s="61">
        <v>75</v>
      </c>
      <c r="Y344" s="61"/>
      <c r="AB344" s="61"/>
      <c r="AE344" s="61"/>
      <c r="AH344" s="61"/>
    </row>
    <row r="345" spans="1:34" s="60" customFormat="1" ht="10" x14ac:dyDescent="0.2">
      <c r="A345" s="58">
        <v>44833</v>
      </c>
      <c r="B345" s="59">
        <f t="shared" si="10"/>
        <v>2022</v>
      </c>
      <c r="C345" s="59"/>
      <c r="D345" s="59">
        <f t="shared" si="11"/>
        <v>9</v>
      </c>
      <c r="E345" s="60">
        <v>40</v>
      </c>
      <c r="F345" s="60">
        <v>42</v>
      </c>
      <c r="G345" s="61">
        <v>41</v>
      </c>
      <c r="H345" s="60">
        <v>50</v>
      </c>
      <c r="I345" s="60">
        <v>51</v>
      </c>
      <c r="J345" s="61">
        <v>50</v>
      </c>
      <c r="K345" s="60">
        <v>30</v>
      </c>
      <c r="L345" s="60">
        <v>36</v>
      </c>
      <c r="M345" s="61">
        <v>33</v>
      </c>
      <c r="N345" s="60">
        <v>133</v>
      </c>
      <c r="O345" s="60">
        <v>137</v>
      </c>
      <c r="P345" s="61">
        <v>135</v>
      </c>
      <c r="Q345" s="60">
        <v>63</v>
      </c>
      <c r="R345" s="60">
        <v>67</v>
      </c>
      <c r="S345" s="61">
        <v>65</v>
      </c>
      <c r="T345" s="60">
        <v>75</v>
      </c>
      <c r="U345" s="60">
        <v>77</v>
      </c>
      <c r="V345" s="61">
        <v>76</v>
      </c>
      <c r="Y345" s="61"/>
      <c r="AB345" s="61"/>
      <c r="AE345" s="61"/>
      <c r="AH345" s="61"/>
    </row>
    <row r="346" spans="1:34" s="60" customFormat="1" ht="10" x14ac:dyDescent="0.2">
      <c r="A346" s="58">
        <v>44840</v>
      </c>
      <c r="B346" s="59">
        <f t="shared" si="10"/>
        <v>2022</v>
      </c>
      <c r="C346" s="59"/>
      <c r="D346" s="59">
        <f t="shared" si="11"/>
        <v>10</v>
      </c>
      <c r="E346" s="60">
        <v>40</v>
      </c>
      <c r="F346" s="60">
        <v>42</v>
      </c>
      <c r="G346" s="61">
        <v>41</v>
      </c>
      <c r="H346" s="60">
        <v>50</v>
      </c>
      <c r="I346" s="60">
        <v>51</v>
      </c>
      <c r="J346" s="61">
        <v>50</v>
      </c>
      <c r="K346" s="60">
        <v>30</v>
      </c>
      <c r="L346" s="60">
        <v>36</v>
      </c>
      <c r="M346" s="61">
        <v>33</v>
      </c>
      <c r="N346" s="60">
        <v>133</v>
      </c>
      <c r="O346" s="60">
        <v>137</v>
      </c>
      <c r="P346" s="61">
        <v>135</v>
      </c>
      <c r="Q346" s="60">
        <v>63</v>
      </c>
      <c r="R346" s="60">
        <v>67</v>
      </c>
      <c r="S346" s="61">
        <v>65</v>
      </c>
      <c r="T346" s="60">
        <v>75</v>
      </c>
      <c r="U346" s="60">
        <v>77</v>
      </c>
      <c r="V346" s="61">
        <v>76</v>
      </c>
      <c r="Y346" s="61"/>
      <c r="AB346" s="61"/>
      <c r="AE346" s="61"/>
      <c r="AH346" s="61"/>
    </row>
    <row r="347" spans="1:34" s="60" customFormat="1" ht="10" x14ac:dyDescent="0.2">
      <c r="A347" s="58">
        <v>44847</v>
      </c>
      <c r="B347" s="59">
        <f t="shared" si="10"/>
        <v>2022</v>
      </c>
      <c r="C347" s="59"/>
      <c r="D347" s="59">
        <f t="shared" si="11"/>
        <v>10</v>
      </c>
      <c r="E347" s="60">
        <v>40</v>
      </c>
      <c r="F347" s="60">
        <v>42</v>
      </c>
      <c r="G347" s="61">
        <v>41</v>
      </c>
      <c r="H347" s="60">
        <v>50</v>
      </c>
      <c r="I347" s="60">
        <v>51</v>
      </c>
      <c r="J347" s="61">
        <v>50</v>
      </c>
      <c r="K347" s="60">
        <v>30</v>
      </c>
      <c r="L347" s="60">
        <v>36</v>
      </c>
      <c r="M347" s="61">
        <v>33</v>
      </c>
      <c r="N347" s="60">
        <v>133</v>
      </c>
      <c r="O347" s="60">
        <v>137</v>
      </c>
      <c r="P347" s="61">
        <v>135</v>
      </c>
      <c r="Q347" s="60">
        <v>63</v>
      </c>
      <c r="R347" s="60">
        <v>67</v>
      </c>
      <c r="S347" s="61">
        <v>65</v>
      </c>
      <c r="T347" s="60">
        <v>75</v>
      </c>
      <c r="U347" s="60">
        <v>77</v>
      </c>
      <c r="V347" s="61">
        <v>76</v>
      </c>
      <c r="Y347" s="61"/>
      <c r="AB347" s="61"/>
      <c r="AE347" s="61"/>
      <c r="AH347" s="61"/>
    </row>
    <row r="348" spans="1:34" s="60" customFormat="1" ht="10" x14ac:dyDescent="0.2">
      <c r="A348" s="58">
        <v>44854</v>
      </c>
      <c r="B348" s="59">
        <f t="shared" si="10"/>
        <v>2022</v>
      </c>
      <c r="C348" s="59"/>
      <c r="D348" s="59">
        <f t="shared" si="11"/>
        <v>10</v>
      </c>
      <c r="E348" s="60">
        <v>42</v>
      </c>
      <c r="F348" s="60">
        <v>44</v>
      </c>
      <c r="G348" s="61">
        <v>43</v>
      </c>
      <c r="H348" s="60">
        <v>57</v>
      </c>
      <c r="I348" s="60">
        <v>59</v>
      </c>
      <c r="J348" s="61">
        <v>58</v>
      </c>
      <c r="K348" s="60">
        <v>32</v>
      </c>
      <c r="L348" s="60">
        <v>38</v>
      </c>
      <c r="M348" s="61">
        <v>35</v>
      </c>
      <c r="N348" s="60">
        <v>133</v>
      </c>
      <c r="O348" s="60">
        <v>137</v>
      </c>
      <c r="P348" s="61">
        <v>135</v>
      </c>
      <c r="Q348" s="60">
        <v>63</v>
      </c>
      <c r="R348" s="60">
        <v>67</v>
      </c>
      <c r="S348" s="61">
        <v>65</v>
      </c>
      <c r="T348" s="60">
        <v>75</v>
      </c>
      <c r="U348" s="60">
        <v>77</v>
      </c>
      <c r="V348" s="61">
        <v>76</v>
      </c>
      <c r="Y348" s="61"/>
      <c r="AB348" s="61"/>
      <c r="AE348" s="61"/>
      <c r="AH348" s="61"/>
    </row>
    <row r="349" spans="1:34" s="60" customFormat="1" ht="10" x14ac:dyDescent="0.2">
      <c r="A349" s="58">
        <v>44861</v>
      </c>
      <c r="B349" s="59">
        <f t="shared" si="10"/>
        <v>2022</v>
      </c>
      <c r="C349" s="59"/>
      <c r="D349" s="59">
        <f t="shared" si="11"/>
        <v>10</v>
      </c>
      <c r="E349" s="60">
        <v>43</v>
      </c>
      <c r="F349" s="60">
        <v>45</v>
      </c>
      <c r="G349" s="61">
        <v>44</v>
      </c>
      <c r="H349" s="60">
        <v>58</v>
      </c>
      <c r="I349" s="60">
        <v>60</v>
      </c>
      <c r="J349" s="61">
        <v>59</v>
      </c>
      <c r="K349" s="60">
        <v>33</v>
      </c>
      <c r="L349" s="60">
        <v>39</v>
      </c>
      <c r="M349" s="61">
        <v>36</v>
      </c>
      <c r="N349" s="60">
        <v>136</v>
      </c>
      <c r="O349" s="60">
        <v>139</v>
      </c>
      <c r="P349" s="61">
        <v>138</v>
      </c>
      <c r="Q349" s="60">
        <v>65</v>
      </c>
      <c r="R349" s="60">
        <v>69</v>
      </c>
      <c r="S349" s="61">
        <v>67</v>
      </c>
      <c r="T349" s="60">
        <v>77</v>
      </c>
      <c r="U349" s="60">
        <v>79</v>
      </c>
      <c r="V349" s="61">
        <v>78</v>
      </c>
      <c r="Y349" s="61"/>
      <c r="AB349" s="61"/>
      <c r="AE349" s="61"/>
      <c r="AH349" s="61"/>
    </row>
    <row r="350" spans="1:34" s="60" customFormat="1" ht="10" x14ac:dyDescent="0.2">
      <c r="A350" s="58">
        <v>44868</v>
      </c>
      <c r="B350" s="59">
        <f t="shared" si="10"/>
        <v>2022</v>
      </c>
      <c r="C350" s="59"/>
      <c r="D350" s="59">
        <f t="shared" si="11"/>
        <v>11</v>
      </c>
      <c r="E350" s="60">
        <v>44</v>
      </c>
      <c r="F350" s="60">
        <v>46</v>
      </c>
      <c r="G350" s="61">
        <v>45</v>
      </c>
      <c r="H350" s="60">
        <v>58</v>
      </c>
      <c r="I350" s="60">
        <v>60</v>
      </c>
      <c r="J350" s="61">
        <v>59</v>
      </c>
      <c r="K350" s="60">
        <v>33</v>
      </c>
      <c r="L350" s="60">
        <v>39</v>
      </c>
      <c r="M350" s="61">
        <v>36</v>
      </c>
      <c r="N350" s="60">
        <v>136</v>
      </c>
      <c r="O350" s="60">
        <v>139</v>
      </c>
      <c r="P350" s="61">
        <v>138</v>
      </c>
      <c r="Q350" s="60">
        <v>65</v>
      </c>
      <c r="R350" s="60">
        <v>69</v>
      </c>
      <c r="S350" s="61">
        <v>67</v>
      </c>
      <c r="T350" s="60">
        <v>77</v>
      </c>
      <c r="U350" s="60">
        <v>79</v>
      </c>
      <c r="V350" s="61">
        <v>78</v>
      </c>
      <c r="Y350" s="61"/>
      <c r="AB350" s="61"/>
      <c r="AE350" s="61"/>
      <c r="AH350" s="61"/>
    </row>
    <row r="351" spans="1:34" s="60" customFormat="1" ht="10" x14ac:dyDescent="0.2">
      <c r="A351" s="58">
        <v>44875</v>
      </c>
      <c r="B351" s="59">
        <f t="shared" si="10"/>
        <v>2022</v>
      </c>
      <c r="C351" s="59"/>
      <c r="D351" s="59">
        <f t="shared" si="11"/>
        <v>11</v>
      </c>
      <c r="E351" s="60">
        <v>44</v>
      </c>
      <c r="F351" s="60">
        <v>46</v>
      </c>
      <c r="G351" s="61">
        <v>45</v>
      </c>
      <c r="H351" s="60">
        <v>58</v>
      </c>
      <c r="I351" s="60">
        <v>60</v>
      </c>
      <c r="J351" s="61">
        <v>59</v>
      </c>
      <c r="K351" s="60">
        <v>33</v>
      </c>
      <c r="L351" s="60">
        <v>39</v>
      </c>
      <c r="M351" s="61">
        <v>36</v>
      </c>
      <c r="N351" s="60">
        <v>134</v>
      </c>
      <c r="O351" s="60">
        <v>137</v>
      </c>
      <c r="P351" s="61">
        <v>136</v>
      </c>
      <c r="Q351" s="60">
        <v>65</v>
      </c>
      <c r="R351" s="60">
        <v>69</v>
      </c>
      <c r="S351" s="61">
        <v>67</v>
      </c>
      <c r="T351" s="60">
        <v>77</v>
      </c>
      <c r="U351" s="60">
        <v>79</v>
      </c>
      <c r="V351" s="61">
        <v>78</v>
      </c>
      <c r="Y351" s="61"/>
      <c r="AB351" s="61"/>
      <c r="AE351" s="61"/>
      <c r="AH351" s="61"/>
    </row>
    <row r="352" spans="1:34" s="60" customFormat="1" ht="10" x14ac:dyDescent="0.2">
      <c r="A352" s="58">
        <v>44882</v>
      </c>
      <c r="B352" s="59">
        <f t="shared" si="10"/>
        <v>2022</v>
      </c>
      <c r="C352" s="59"/>
      <c r="D352" s="59">
        <f t="shared" si="11"/>
        <v>11</v>
      </c>
      <c r="E352" s="60">
        <v>46</v>
      </c>
      <c r="F352" s="60">
        <v>48</v>
      </c>
      <c r="G352" s="61">
        <v>47</v>
      </c>
      <c r="H352" s="60">
        <v>62</v>
      </c>
      <c r="I352" s="60">
        <v>68</v>
      </c>
      <c r="J352" s="61">
        <v>65</v>
      </c>
      <c r="K352" s="60">
        <v>34</v>
      </c>
      <c r="L352" s="60">
        <v>40</v>
      </c>
      <c r="M352" s="61">
        <v>37</v>
      </c>
      <c r="N352" s="60">
        <v>136</v>
      </c>
      <c r="O352" s="60">
        <v>139</v>
      </c>
      <c r="P352" s="61">
        <v>138</v>
      </c>
      <c r="Q352" s="60">
        <v>65</v>
      </c>
      <c r="R352" s="60">
        <v>69</v>
      </c>
      <c r="S352" s="61">
        <v>67</v>
      </c>
      <c r="T352" s="60">
        <v>77</v>
      </c>
      <c r="U352" s="60">
        <v>79</v>
      </c>
      <c r="V352" s="61">
        <v>78</v>
      </c>
      <c r="Y352" s="61"/>
      <c r="AB352" s="61"/>
      <c r="AE352" s="61"/>
      <c r="AH352" s="61"/>
    </row>
    <row r="353" spans="1:34" s="60" customFormat="1" ht="10" x14ac:dyDescent="0.2">
      <c r="A353" s="58">
        <v>44889</v>
      </c>
      <c r="B353" s="59">
        <f t="shared" si="10"/>
        <v>2022</v>
      </c>
      <c r="C353" s="59"/>
      <c r="D353" s="59">
        <f t="shared" si="11"/>
        <v>11</v>
      </c>
      <c r="E353" s="60">
        <v>48</v>
      </c>
      <c r="F353" s="60">
        <v>50</v>
      </c>
      <c r="G353" s="61">
        <v>49</v>
      </c>
      <c r="H353" s="60">
        <v>64</v>
      </c>
      <c r="I353" s="60">
        <v>70</v>
      </c>
      <c r="J353" s="61">
        <v>67</v>
      </c>
      <c r="K353" s="60">
        <v>35</v>
      </c>
      <c r="L353" s="60">
        <v>41</v>
      </c>
      <c r="M353" s="61">
        <v>38</v>
      </c>
      <c r="N353" s="60">
        <v>136</v>
      </c>
      <c r="O353" s="60">
        <v>139</v>
      </c>
      <c r="P353" s="61">
        <v>138</v>
      </c>
      <c r="Q353" s="60">
        <v>67</v>
      </c>
      <c r="R353" s="60">
        <v>71</v>
      </c>
      <c r="S353" s="61">
        <v>69</v>
      </c>
      <c r="T353" s="60">
        <v>77</v>
      </c>
      <c r="U353" s="60">
        <v>79</v>
      </c>
      <c r="V353" s="61">
        <v>78</v>
      </c>
      <c r="Y353" s="61"/>
      <c r="AB353" s="61"/>
      <c r="AE353" s="61"/>
      <c r="AH353" s="61"/>
    </row>
    <row r="354" spans="1:34" s="60" customFormat="1" ht="10" x14ac:dyDescent="0.2">
      <c r="A354" s="58">
        <v>44896</v>
      </c>
      <c r="B354" s="59">
        <f t="shared" si="10"/>
        <v>2022</v>
      </c>
      <c r="C354" s="59"/>
      <c r="D354" s="59">
        <f t="shared" si="11"/>
        <v>12</v>
      </c>
      <c r="E354" s="60">
        <v>49</v>
      </c>
      <c r="F354" s="60">
        <v>51</v>
      </c>
      <c r="G354" s="61">
        <v>50</v>
      </c>
      <c r="H354" s="60">
        <v>64</v>
      </c>
      <c r="I354" s="60">
        <v>70</v>
      </c>
      <c r="J354" s="61">
        <v>67</v>
      </c>
      <c r="K354" s="60">
        <v>35</v>
      </c>
      <c r="L354" s="60">
        <v>41</v>
      </c>
      <c r="M354" s="61">
        <v>38</v>
      </c>
      <c r="N354" s="60">
        <v>136</v>
      </c>
      <c r="O354" s="60">
        <v>139</v>
      </c>
      <c r="P354" s="61">
        <v>138</v>
      </c>
      <c r="Q354" s="60">
        <v>67</v>
      </c>
      <c r="R354" s="60">
        <v>71</v>
      </c>
      <c r="S354" s="61">
        <v>69</v>
      </c>
      <c r="T354" s="60">
        <v>77</v>
      </c>
      <c r="U354" s="60">
        <v>79</v>
      </c>
      <c r="V354" s="61">
        <v>78</v>
      </c>
      <c r="Y354" s="61"/>
      <c r="AB354" s="61"/>
      <c r="AE354" s="61"/>
      <c r="AH354" s="61"/>
    </row>
    <row r="355" spans="1:34" s="60" customFormat="1" ht="10" x14ac:dyDescent="0.2">
      <c r="A355" s="58">
        <v>44903</v>
      </c>
      <c r="B355" s="59">
        <f t="shared" si="10"/>
        <v>2022</v>
      </c>
      <c r="C355" s="59"/>
      <c r="D355" s="59">
        <f t="shared" si="11"/>
        <v>12</v>
      </c>
      <c r="E355" s="60">
        <v>49</v>
      </c>
      <c r="F355" s="60">
        <v>51</v>
      </c>
      <c r="G355" s="61">
        <v>50</v>
      </c>
      <c r="H355" s="60">
        <v>64</v>
      </c>
      <c r="I355" s="60">
        <v>70</v>
      </c>
      <c r="J355" s="61">
        <v>67</v>
      </c>
      <c r="K355" s="60">
        <v>35</v>
      </c>
      <c r="L355" s="60">
        <v>41</v>
      </c>
      <c r="M355" s="61">
        <v>38</v>
      </c>
      <c r="N355" s="60">
        <v>136</v>
      </c>
      <c r="O355" s="60">
        <v>139</v>
      </c>
      <c r="P355" s="61">
        <v>138</v>
      </c>
      <c r="Q355" s="60">
        <v>67</v>
      </c>
      <c r="R355" s="60">
        <v>71</v>
      </c>
      <c r="S355" s="61">
        <v>69</v>
      </c>
      <c r="T355" s="60">
        <v>77</v>
      </c>
      <c r="U355" s="60">
        <v>79</v>
      </c>
      <c r="V355" s="61">
        <v>78</v>
      </c>
      <c r="Y355" s="61"/>
      <c r="AB355" s="61"/>
      <c r="AE355" s="61"/>
      <c r="AH355" s="61"/>
    </row>
    <row r="356" spans="1:34" s="60" customFormat="1" ht="10" x14ac:dyDescent="0.2">
      <c r="A356" s="58">
        <v>44910</v>
      </c>
      <c r="B356" s="59">
        <f t="shared" si="10"/>
        <v>2022</v>
      </c>
      <c r="C356" s="59"/>
      <c r="D356" s="59">
        <f t="shared" si="11"/>
        <v>12</v>
      </c>
      <c r="E356" s="60">
        <v>51</v>
      </c>
      <c r="F356" s="60">
        <v>52</v>
      </c>
      <c r="G356" s="61">
        <v>52</v>
      </c>
      <c r="H356" s="60">
        <v>66</v>
      </c>
      <c r="I356" s="60">
        <v>72</v>
      </c>
      <c r="J356" s="61">
        <v>69</v>
      </c>
      <c r="K356" s="60">
        <v>36</v>
      </c>
      <c r="L356" s="60">
        <v>42</v>
      </c>
      <c r="M356" s="61">
        <v>39</v>
      </c>
      <c r="N356" s="60">
        <v>136</v>
      </c>
      <c r="O356" s="60">
        <v>139</v>
      </c>
      <c r="P356" s="61">
        <v>138</v>
      </c>
      <c r="Q356" s="60">
        <v>67</v>
      </c>
      <c r="R356" s="60">
        <v>71</v>
      </c>
      <c r="S356" s="61">
        <v>69</v>
      </c>
      <c r="T356" s="60">
        <v>77</v>
      </c>
      <c r="U356" s="60">
        <v>79</v>
      </c>
      <c r="V356" s="61">
        <v>78</v>
      </c>
      <c r="Y356" s="61"/>
      <c r="AB356" s="61"/>
      <c r="AE356" s="61"/>
      <c r="AH356" s="61"/>
    </row>
    <row r="357" spans="1:34" s="60" customFormat="1" ht="10" x14ac:dyDescent="0.2">
      <c r="A357" s="58">
        <v>44917</v>
      </c>
      <c r="B357" s="59">
        <f t="shared" si="10"/>
        <v>2022</v>
      </c>
      <c r="C357" s="59"/>
      <c r="D357" s="59">
        <f t="shared" si="11"/>
        <v>12</v>
      </c>
      <c r="E357" s="60">
        <v>51</v>
      </c>
      <c r="F357" s="60">
        <v>52</v>
      </c>
      <c r="G357" s="61">
        <v>52</v>
      </c>
      <c r="H357" s="60">
        <v>66</v>
      </c>
      <c r="I357" s="60">
        <v>72</v>
      </c>
      <c r="J357" s="61">
        <v>69</v>
      </c>
      <c r="K357" s="60">
        <v>36</v>
      </c>
      <c r="L357" s="60">
        <v>42</v>
      </c>
      <c r="M357" s="61">
        <v>39</v>
      </c>
      <c r="N357" s="60">
        <v>135</v>
      </c>
      <c r="O357" s="60">
        <v>138</v>
      </c>
      <c r="P357" s="61">
        <v>136</v>
      </c>
      <c r="Q357" s="60">
        <v>66</v>
      </c>
      <c r="R357" s="60">
        <v>70</v>
      </c>
      <c r="S357" s="61">
        <v>68</v>
      </c>
      <c r="T357" s="60">
        <v>76</v>
      </c>
      <c r="U357" s="60">
        <v>78</v>
      </c>
      <c r="V357" s="61">
        <v>77</v>
      </c>
      <c r="Y357" s="61"/>
      <c r="AB357" s="61"/>
      <c r="AE357" s="61"/>
      <c r="AH357" s="61"/>
    </row>
    <row r="358" spans="1:34" s="60" customFormat="1" ht="10" x14ac:dyDescent="0.2">
      <c r="A358" s="58">
        <v>44924</v>
      </c>
      <c r="B358" s="59">
        <f t="shared" si="10"/>
        <v>2022</v>
      </c>
      <c r="C358" s="59"/>
      <c r="D358" s="59">
        <f t="shared" si="11"/>
        <v>12</v>
      </c>
      <c r="G358" s="61"/>
      <c r="J358" s="61"/>
      <c r="M358" s="61"/>
      <c r="P358" s="61"/>
      <c r="S358" s="61"/>
      <c r="V358" s="61"/>
      <c r="Y358" s="61"/>
      <c r="AB358" s="61"/>
      <c r="AE358" s="61"/>
      <c r="AH358" s="61"/>
    </row>
    <row r="359" spans="1:34" s="60" customFormat="1" ht="10" x14ac:dyDescent="0.2">
      <c r="A359" s="58">
        <v>44931</v>
      </c>
      <c r="B359" s="59">
        <f t="shared" si="10"/>
        <v>2023</v>
      </c>
      <c r="C359" s="59"/>
      <c r="D359" s="59">
        <f t="shared" si="11"/>
        <v>1</v>
      </c>
      <c r="E359" s="60">
        <v>51</v>
      </c>
      <c r="F359" s="60">
        <v>52</v>
      </c>
      <c r="G359" s="61">
        <v>52</v>
      </c>
      <c r="H359" s="60">
        <v>66</v>
      </c>
      <c r="I359" s="60">
        <v>72</v>
      </c>
      <c r="J359" s="61">
        <v>69</v>
      </c>
      <c r="K359" s="60">
        <v>36</v>
      </c>
      <c r="L359" s="60">
        <v>42</v>
      </c>
      <c r="M359" s="61">
        <v>39</v>
      </c>
      <c r="N359" s="60">
        <v>135</v>
      </c>
      <c r="O359" s="60">
        <v>138</v>
      </c>
      <c r="P359" s="61">
        <v>136</v>
      </c>
      <c r="Q359" s="60">
        <v>64</v>
      </c>
      <c r="R359" s="60">
        <v>68</v>
      </c>
      <c r="S359" s="61">
        <v>66</v>
      </c>
      <c r="T359" s="60">
        <v>74</v>
      </c>
      <c r="U359" s="60">
        <v>76</v>
      </c>
      <c r="V359" s="61">
        <v>75</v>
      </c>
      <c r="Y359" s="61"/>
      <c r="AB359" s="61"/>
      <c r="AE359" s="61"/>
      <c r="AH359" s="61"/>
    </row>
    <row r="360" spans="1:34" s="60" customFormat="1" ht="10" x14ac:dyDescent="0.2">
      <c r="A360" s="58">
        <v>44938</v>
      </c>
      <c r="B360" s="59">
        <f t="shared" si="10"/>
        <v>2023</v>
      </c>
      <c r="C360" s="59"/>
      <c r="D360" s="59">
        <f t="shared" si="11"/>
        <v>1</v>
      </c>
      <c r="E360" s="60">
        <v>51</v>
      </c>
      <c r="F360" s="60">
        <v>52</v>
      </c>
      <c r="G360" s="61">
        <v>52</v>
      </c>
      <c r="H360" s="60">
        <v>66</v>
      </c>
      <c r="I360" s="60">
        <v>72</v>
      </c>
      <c r="J360" s="61">
        <v>69</v>
      </c>
      <c r="K360" s="60">
        <v>36</v>
      </c>
      <c r="L360" s="60">
        <v>42</v>
      </c>
      <c r="M360" s="61">
        <v>39</v>
      </c>
      <c r="N360" s="60">
        <v>134</v>
      </c>
      <c r="O360" s="60">
        <v>137</v>
      </c>
      <c r="P360" s="61">
        <v>136</v>
      </c>
      <c r="Q360" s="60">
        <v>63</v>
      </c>
      <c r="R360" s="60">
        <v>67</v>
      </c>
      <c r="S360" s="61">
        <v>65</v>
      </c>
      <c r="T360" s="60">
        <v>73</v>
      </c>
      <c r="U360" s="60">
        <v>75</v>
      </c>
      <c r="V360" s="61">
        <v>74</v>
      </c>
      <c r="Y360" s="61"/>
      <c r="AB360" s="61"/>
      <c r="AE360" s="61"/>
      <c r="AH360" s="61"/>
    </row>
    <row r="361" spans="1:34" s="60" customFormat="1" ht="10" x14ac:dyDescent="0.2">
      <c r="A361" s="58">
        <v>44945</v>
      </c>
      <c r="B361" s="59">
        <f t="shared" si="10"/>
        <v>2023</v>
      </c>
      <c r="C361" s="59"/>
      <c r="D361" s="59">
        <f t="shared" si="11"/>
        <v>1</v>
      </c>
      <c r="E361" s="60">
        <v>51</v>
      </c>
      <c r="F361" s="60">
        <v>52</v>
      </c>
      <c r="G361" s="61">
        <v>52</v>
      </c>
      <c r="H361" s="60">
        <v>67</v>
      </c>
      <c r="I361" s="60">
        <v>73</v>
      </c>
      <c r="J361" s="61">
        <v>70</v>
      </c>
      <c r="K361" s="60">
        <v>36</v>
      </c>
      <c r="L361" s="60">
        <v>42</v>
      </c>
      <c r="M361" s="61">
        <v>39</v>
      </c>
      <c r="N361" s="60">
        <v>132</v>
      </c>
      <c r="O361" s="60">
        <v>135</v>
      </c>
      <c r="P361" s="61">
        <v>134</v>
      </c>
      <c r="Q361" s="60">
        <v>62</v>
      </c>
      <c r="R361" s="60">
        <v>65</v>
      </c>
      <c r="S361" s="61">
        <v>64</v>
      </c>
      <c r="T361" s="60">
        <v>72</v>
      </c>
      <c r="U361" s="60">
        <v>73</v>
      </c>
      <c r="V361" s="61">
        <v>72</v>
      </c>
      <c r="Y361" s="61"/>
      <c r="AB361" s="61"/>
      <c r="AE361" s="61"/>
      <c r="AH361" s="61"/>
    </row>
    <row r="362" spans="1:34" s="60" customFormat="1" ht="10" x14ac:dyDescent="0.2">
      <c r="A362" s="58">
        <v>44952</v>
      </c>
      <c r="B362" s="59">
        <f t="shared" si="10"/>
        <v>2023</v>
      </c>
      <c r="C362" s="59"/>
      <c r="D362" s="59">
        <f t="shared" si="11"/>
        <v>1</v>
      </c>
      <c r="E362" s="60">
        <v>50</v>
      </c>
      <c r="F362" s="60">
        <v>51</v>
      </c>
      <c r="G362" s="61">
        <v>50</v>
      </c>
      <c r="H362" s="60">
        <v>67</v>
      </c>
      <c r="I362" s="60">
        <v>73</v>
      </c>
      <c r="J362" s="61">
        <v>70</v>
      </c>
      <c r="K362" s="60">
        <v>36</v>
      </c>
      <c r="L362" s="60">
        <v>42</v>
      </c>
      <c r="M362" s="61">
        <v>39</v>
      </c>
      <c r="N362" s="60">
        <v>131</v>
      </c>
      <c r="O362" s="60">
        <v>134</v>
      </c>
      <c r="P362" s="61">
        <v>132</v>
      </c>
      <c r="Q362" s="60">
        <v>61</v>
      </c>
      <c r="R362" s="60">
        <v>64</v>
      </c>
      <c r="S362" s="61">
        <v>62</v>
      </c>
      <c r="T362" s="60">
        <v>71</v>
      </c>
      <c r="U362" s="60">
        <v>72</v>
      </c>
      <c r="V362" s="61">
        <v>72</v>
      </c>
      <c r="Y362" s="61"/>
      <c r="AB362" s="61"/>
      <c r="AE362" s="61"/>
      <c r="AH362" s="61"/>
    </row>
    <row r="363" spans="1:34" s="60" customFormat="1" ht="10" x14ac:dyDescent="0.2">
      <c r="A363" s="58">
        <v>44959</v>
      </c>
      <c r="B363" s="59">
        <f t="shared" si="10"/>
        <v>2023</v>
      </c>
      <c r="C363" s="59"/>
      <c r="D363" s="59">
        <f t="shared" si="11"/>
        <v>2</v>
      </c>
      <c r="E363" s="60">
        <v>50</v>
      </c>
      <c r="F363" s="60">
        <v>51</v>
      </c>
      <c r="G363" s="61">
        <v>50</v>
      </c>
      <c r="H363" s="60">
        <v>68</v>
      </c>
      <c r="I363" s="60">
        <v>74</v>
      </c>
      <c r="J363" s="61">
        <v>71</v>
      </c>
      <c r="K363" s="60">
        <v>36</v>
      </c>
      <c r="L363" s="60">
        <v>42</v>
      </c>
      <c r="M363" s="61">
        <v>39</v>
      </c>
      <c r="N363" s="60">
        <v>129</v>
      </c>
      <c r="O363" s="60">
        <v>132</v>
      </c>
      <c r="P363" s="61">
        <v>130</v>
      </c>
      <c r="Q363" s="60">
        <v>60</v>
      </c>
      <c r="R363" s="60">
        <v>63</v>
      </c>
      <c r="S363" s="61">
        <v>62</v>
      </c>
      <c r="T363" s="60">
        <v>70</v>
      </c>
      <c r="U363" s="60">
        <v>71</v>
      </c>
      <c r="V363" s="61">
        <v>70</v>
      </c>
      <c r="Y363" s="61"/>
      <c r="AB363" s="61"/>
      <c r="AE363" s="61"/>
      <c r="AH363" s="61"/>
    </row>
    <row r="364" spans="1:34" s="60" customFormat="1" ht="10" x14ac:dyDescent="0.2">
      <c r="A364" s="58">
        <v>44966</v>
      </c>
      <c r="B364" s="59">
        <f t="shared" si="10"/>
        <v>2023</v>
      </c>
      <c r="C364" s="59"/>
      <c r="D364" s="59">
        <f t="shared" si="11"/>
        <v>2</v>
      </c>
      <c r="E364" s="60">
        <v>49</v>
      </c>
      <c r="F364" s="60">
        <v>50</v>
      </c>
      <c r="G364" s="61">
        <v>50</v>
      </c>
      <c r="H364" s="60">
        <v>68</v>
      </c>
      <c r="I364" s="60">
        <v>74</v>
      </c>
      <c r="J364" s="61">
        <v>71</v>
      </c>
      <c r="K364" s="60">
        <v>37</v>
      </c>
      <c r="L364" s="60">
        <v>43</v>
      </c>
      <c r="M364" s="61">
        <v>40</v>
      </c>
      <c r="N364" s="60">
        <v>129</v>
      </c>
      <c r="O364" s="60">
        <v>132</v>
      </c>
      <c r="P364" s="61">
        <v>130</v>
      </c>
      <c r="Q364" s="60">
        <v>60</v>
      </c>
      <c r="R364" s="60">
        <v>63</v>
      </c>
      <c r="S364" s="61">
        <v>62</v>
      </c>
      <c r="T364" s="60">
        <v>70</v>
      </c>
      <c r="U364" s="60">
        <v>71</v>
      </c>
      <c r="V364" s="61">
        <v>70</v>
      </c>
      <c r="Y364" s="61"/>
      <c r="AB364" s="61"/>
      <c r="AE364" s="61"/>
      <c r="AH364" s="61"/>
    </row>
    <row r="365" spans="1:34" s="60" customFormat="1" ht="10" x14ac:dyDescent="0.2">
      <c r="A365" s="58">
        <v>44973</v>
      </c>
      <c r="B365" s="59">
        <f t="shared" si="10"/>
        <v>2023</v>
      </c>
      <c r="C365" s="59"/>
      <c r="D365" s="59">
        <f t="shared" si="11"/>
        <v>2</v>
      </c>
      <c r="E365" s="60">
        <v>49</v>
      </c>
      <c r="F365" s="60">
        <v>50</v>
      </c>
      <c r="G365" s="61">
        <v>50</v>
      </c>
      <c r="H365" s="60">
        <v>68</v>
      </c>
      <c r="I365" s="60">
        <v>74</v>
      </c>
      <c r="J365" s="61">
        <v>71</v>
      </c>
      <c r="K365" s="60">
        <v>37</v>
      </c>
      <c r="L365" s="60">
        <v>43</v>
      </c>
      <c r="M365" s="61">
        <v>40</v>
      </c>
      <c r="N365" s="60">
        <v>129</v>
      </c>
      <c r="O365" s="60">
        <v>132</v>
      </c>
      <c r="P365" s="61">
        <v>130</v>
      </c>
      <c r="Q365" s="60">
        <v>60</v>
      </c>
      <c r="R365" s="60">
        <v>63</v>
      </c>
      <c r="S365" s="61">
        <v>62</v>
      </c>
      <c r="T365" s="60">
        <v>70</v>
      </c>
      <c r="U365" s="60">
        <v>71</v>
      </c>
      <c r="V365" s="61">
        <v>70</v>
      </c>
      <c r="Y365" s="61"/>
      <c r="AB365" s="61"/>
      <c r="AE365" s="61"/>
      <c r="AH365" s="61"/>
    </row>
    <row r="366" spans="1:34" s="60" customFormat="1" ht="10" x14ac:dyDescent="0.2">
      <c r="A366" s="58">
        <v>44980</v>
      </c>
      <c r="B366" s="59">
        <f t="shared" si="10"/>
        <v>2023</v>
      </c>
      <c r="C366" s="59"/>
      <c r="D366" s="59">
        <f t="shared" si="11"/>
        <v>2</v>
      </c>
      <c r="E366" s="60">
        <v>49</v>
      </c>
      <c r="F366" s="60">
        <v>50</v>
      </c>
      <c r="G366" s="61">
        <v>50</v>
      </c>
      <c r="H366" s="60">
        <v>66</v>
      </c>
      <c r="I366" s="60">
        <v>72</v>
      </c>
      <c r="J366" s="61">
        <v>69</v>
      </c>
      <c r="K366" s="60">
        <v>36</v>
      </c>
      <c r="L366" s="60">
        <v>42</v>
      </c>
      <c r="M366" s="61">
        <v>39</v>
      </c>
      <c r="N366" s="60">
        <v>126</v>
      </c>
      <c r="O366" s="60">
        <v>129</v>
      </c>
      <c r="P366" s="61">
        <v>128</v>
      </c>
      <c r="Q366" s="60">
        <v>57</v>
      </c>
      <c r="R366" s="60">
        <v>60</v>
      </c>
      <c r="S366" s="61">
        <v>58</v>
      </c>
      <c r="T366" s="60">
        <v>67</v>
      </c>
      <c r="U366" s="60">
        <v>68</v>
      </c>
      <c r="V366" s="61">
        <v>68</v>
      </c>
      <c r="Y366" s="61"/>
      <c r="AB366" s="61"/>
      <c r="AE366" s="61"/>
      <c r="AH366" s="61"/>
    </row>
    <row r="367" spans="1:34" s="60" customFormat="1" ht="10" x14ac:dyDescent="0.2">
      <c r="A367" s="58">
        <v>44987</v>
      </c>
      <c r="B367" s="59">
        <f t="shared" si="10"/>
        <v>2023</v>
      </c>
      <c r="C367" s="59"/>
      <c r="D367" s="59">
        <f t="shared" si="11"/>
        <v>3</v>
      </c>
      <c r="E367" s="60">
        <v>49</v>
      </c>
      <c r="F367" s="60">
        <v>50</v>
      </c>
      <c r="G367" s="61">
        <v>50</v>
      </c>
      <c r="H367" s="60">
        <v>65</v>
      </c>
      <c r="I367" s="60">
        <v>71</v>
      </c>
      <c r="J367" s="61">
        <v>68</v>
      </c>
      <c r="K367" s="60">
        <v>35</v>
      </c>
      <c r="L367" s="60">
        <v>41</v>
      </c>
      <c r="M367" s="61">
        <v>38</v>
      </c>
      <c r="N367" s="60">
        <v>125</v>
      </c>
      <c r="O367" s="60">
        <v>128</v>
      </c>
      <c r="P367" s="61">
        <v>126</v>
      </c>
      <c r="Q367" s="60">
        <v>56</v>
      </c>
      <c r="R367" s="60">
        <v>59</v>
      </c>
      <c r="S367" s="61">
        <v>58</v>
      </c>
      <c r="T367" s="60">
        <v>66</v>
      </c>
      <c r="U367" s="60">
        <v>67</v>
      </c>
      <c r="V367" s="61">
        <v>66</v>
      </c>
      <c r="Y367" s="61"/>
      <c r="AB367" s="61"/>
      <c r="AE367" s="61"/>
      <c r="AH367" s="61"/>
    </row>
    <row r="368" spans="1:34" s="60" customFormat="1" ht="10" x14ac:dyDescent="0.2">
      <c r="A368" s="58">
        <v>44994</v>
      </c>
      <c r="B368" s="59">
        <f t="shared" si="10"/>
        <v>2023</v>
      </c>
      <c r="C368" s="59"/>
      <c r="D368" s="59">
        <f t="shared" si="11"/>
        <v>3</v>
      </c>
      <c r="E368" s="60">
        <v>48</v>
      </c>
      <c r="F368" s="60">
        <v>49</v>
      </c>
      <c r="G368" s="61">
        <v>48</v>
      </c>
      <c r="H368" s="60">
        <v>64</v>
      </c>
      <c r="I368" s="60">
        <v>70</v>
      </c>
      <c r="J368" s="61">
        <v>67</v>
      </c>
      <c r="K368" s="60">
        <v>34</v>
      </c>
      <c r="L368" s="60">
        <v>40</v>
      </c>
      <c r="M368" s="61">
        <v>37</v>
      </c>
      <c r="N368" s="60">
        <v>124</v>
      </c>
      <c r="O368" s="60">
        <v>127</v>
      </c>
      <c r="P368" s="61">
        <v>126</v>
      </c>
      <c r="Q368" s="60">
        <v>55</v>
      </c>
      <c r="R368" s="60">
        <v>68</v>
      </c>
      <c r="S368" s="61">
        <v>62</v>
      </c>
      <c r="T368" s="60">
        <v>65</v>
      </c>
      <c r="U368" s="60">
        <v>66</v>
      </c>
      <c r="V368" s="61">
        <v>66</v>
      </c>
      <c r="Y368" s="61"/>
      <c r="AB368" s="61"/>
      <c r="AE368" s="61"/>
      <c r="AH368" s="61"/>
    </row>
    <row r="369" spans="1:34" s="60" customFormat="1" ht="10" x14ac:dyDescent="0.2">
      <c r="A369" s="58">
        <v>45001</v>
      </c>
      <c r="B369" s="59">
        <f t="shared" si="10"/>
        <v>2023</v>
      </c>
      <c r="C369" s="59"/>
      <c r="D369" s="59">
        <f t="shared" si="11"/>
        <v>3</v>
      </c>
      <c r="E369" s="60">
        <v>50</v>
      </c>
      <c r="F369" s="60">
        <v>51</v>
      </c>
      <c r="G369" s="61">
        <v>50</v>
      </c>
      <c r="H369" s="60">
        <v>64</v>
      </c>
      <c r="I369" s="60">
        <v>70</v>
      </c>
      <c r="J369" s="61">
        <v>67</v>
      </c>
      <c r="K369" s="60">
        <v>34</v>
      </c>
      <c r="L369" s="60">
        <v>40</v>
      </c>
      <c r="M369" s="61">
        <v>37</v>
      </c>
      <c r="N369" s="60">
        <v>124</v>
      </c>
      <c r="O369" s="60">
        <v>127</v>
      </c>
      <c r="P369" s="61">
        <v>126</v>
      </c>
      <c r="Q369" s="60">
        <v>55</v>
      </c>
      <c r="R369" s="60">
        <v>68</v>
      </c>
      <c r="S369" s="61">
        <v>62</v>
      </c>
      <c r="T369" s="60">
        <v>65</v>
      </c>
      <c r="U369" s="60">
        <v>66</v>
      </c>
      <c r="V369" s="61">
        <v>66</v>
      </c>
      <c r="Y369" s="61"/>
      <c r="AB369" s="61"/>
      <c r="AE369" s="61"/>
      <c r="AH369" s="61"/>
    </row>
    <row r="370" spans="1:34" s="60" customFormat="1" ht="10" x14ac:dyDescent="0.2">
      <c r="A370" s="58">
        <v>45008</v>
      </c>
      <c r="B370" s="59">
        <f t="shared" si="10"/>
        <v>2023</v>
      </c>
      <c r="C370" s="59"/>
      <c r="D370" s="59">
        <f t="shared" si="11"/>
        <v>3</v>
      </c>
      <c r="E370" s="60">
        <v>50</v>
      </c>
      <c r="F370" s="60">
        <v>51</v>
      </c>
      <c r="G370" s="61">
        <v>50</v>
      </c>
      <c r="H370" s="60">
        <v>64</v>
      </c>
      <c r="I370" s="60">
        <v>70</v>
      </c>
      <c r="J370" s="61">
        <v>67</v>
      </c>
      <c r="K370" s="60">
        <v>34</v>
      </c>
      <c r="L370" s="60">
        <v>40</v>
      </c>
      <c r="M370" s="61">
        <v>37</v>
      </c>
      <c r="N370" s="60">
        <v>124</v>
      </c>
      <c r="O370" s="60">
        <v>127</v>
      </c>
      <c r="P370" s="61">
        <v>126</v>
      </c>
      <c r="Q370" s="60">
        <v>55</v>
      </c>
      <c r="R370" s="60">
        <v>68</v>
      </c>
      <c r="S370" s="61">
        <v>62</v>
      </c>
      <c r="T370" s="60">
        <v>65</v>
      </c>
      <c r="U370" s="60">
        <v>66</v>
      </c>
      <c r="V370" s="61">
        <v>66</v>
      </c>
      <c r="Y370" s="61"/>
      <c r="AB370" s="61"/>
      <c r="AE370" s="61"/>
      <c r="AH370" s="61"/>
    </row>
    <row r="371" spans="1:34" s="60" customFormat="1" ht="10" x14ac:dyDescent="0.2">
      <c r="A371" s="58">
        <v>45015</v>
      </c>
      <c r="B371" s="59">
        <f t="shared" si="10"/>
        <v>2023</v>
      </c>
      <c r="C371" s="59"/>
      <c r="D371" s="59">
        <f t="shared" si="11"/>
        <v>3</v>
      </c>
      <c r="E371" s="60">
        <v>50</v>
      </c>
      <c r="F371" s="60">
        <v>51</v>
      </c>
      <c r="G371" s="61">
        <v>50</v>
      </c>
      <c r="H371" s="60">
        <v>64</v>
      </c>
      <c r="I371" s="60">
        <v>70</v>
      </c>
      <c r="J371" s="61">
        <v>67</v>
      </c>
      <c r="K371" s="60">
        <v>34</v>
      </c>
      <c r="L371" s="60">
        <v>40</v>
      </c>
      <c r="M371" s="61">
        <v>37</v>
      </c>
      <c r="N371" s="60">
        <v>123</v>
      </c>
      <c r="O371" s="60">
        <v>126</v>
      </c>
      <c r="P371" s="61">
        <v>124</v>
      </c>
      <c r="Q371" s="60">
        <v>54</v>
      </c>
      <c r="R371" s="60">
        <v>67</v>
      </c>
      <c r="S371" s="61">
        <v>60</v>
      </c>
      <c r="T371" s="60">
        <v>64</v>
      </c>
      <c r="U371" s="60">
        <v>65</v>
      </c>
      <c r="V371" s="61">
        <v>64</v>
      </c>
      <c r="Y371" s="61"/>
      <c r="AB371" s="61"/>
      <c r="AE371" s="61"/>
      <c r="AH371" s="61"/>
    </row>
    <row r="372" spans="1:34" s="60" customFormat="1" ht="10" x14ac:dyDescent="0.2">
      <c r="A372" s="58">
        <v>45022</v>
      </c>
      <c r="B372" s="59">
        <f t="shared" si="10"/>
        <v>2023</v>
      </c>
      <c r="C372" s="59"/>
      <c r="D372" s="59">
        <f t="shared" si="11"/>
        <v>4</v>
      </c>
      <c r="E372" s="60">
        <v>49</v>
      </c>
      <c r="F372" s="60">
        <v>50</v>
      </c>
      <c r="G372" s="61">
        <v>50</v>
      </c>
      <c r="H372" s="60">
        <v>63</v>
      </c>
      <c r="I372" s="60">
        <v>69</v>
      </c>
      <c r="J372" s="61">
        <v>66</v>
      </c>
      <c r="K372" s="60">
        <v>33</v>
      </c>
      <c r="L372" s="60">
        <v>39</v>
      </c>
      <c r="M372" s="61">
        <v>36</v>
      </c>
      <c r="N372" s="60">
        <v>119</v>
      </c>
      <c r="O372" s="60">
        <v>122</v>
      </c>
      <c r="P372" s="61">
        <v>120</v>
      </c>
      <c r="Q372" s="60">
        <v>54</v>
      </c>
      <c r="R372" s="60">
        <v>67</v>
      </c>
      <c r="S372" s="61">
        <v>60</v>
      </c>
      <c r="T372" s="60">
        <v>62</v>
      </c>
      <c r="U372" s="60">
        <v>63</v>
      </c>
      <c r="V372" s="61">
        <v>62</v>
      </c>
      <c r="Y372" s="61"/>
      <c r="AB372" s="61"/>
      <c r="AE372" s="61"/>
      <c r="AH372" s="61"/>
    </row>
    <row r="373" spans="1:34" s="60" customFormat="1" ht="10" x14ac:dyDescent="0.2">
      <c r="A373" s="58">
        <v>45029</v>
      </c>
      <c r="B373" s="59">
        <f t="shared" si="10"/>
        <v>2023</v>
      </c>
      <c r="C373" s="59"/>
      <c r="D373" s="59">
        <f t="shared" si="11"/>
        <v>4</v>
      </c>
      <c r="E373" s="60">
        <v>49</v>
      </c>
      <c r="F373" s="60">
        <v>50</v>
      </c>
      <c r="G373" s="61">
        <v>50</v>
      </c>
      <c r="H373" s="60">
        <v>63</v>
      </c>
      <c r="I373" s="60">
        <v>69</v>
      </c>
      <c r="J373" s="61">
        <v>66</v>
      </c>
      <c r="K373" s="60">
        <v>33</v>
      </c>
      <c r="L373" s="60">
        <v>39</v>
      </c>
      <c r="M373" s="61">
        <v>36</v>
      </c>
      <c r="N373" s="60">
        <v>117</v>
      </c>
      <c r="O373" s="60">
        <v>120</v>
      </c>
      <c r="P373" s="61">
        <v>118</v>
      </c>
      <c r="Q373" s="60">
        <v>53</v>
      </c>
      <c r="R373" s="60">
        <v>66</v>
      </c>
      <c r="S373" s="61">
        <v>60</v>
      </c>
      <c r="T373" s="60">
        <v>61</v>
      </c>
      <c r="U373" s="60">
        <v>62</v>
      </c>
      <c r="V373" s="61">
        <v>62</v>
      </c>
      <c r="Y373" s="61"/>
      <c r="AB373" s="61"/>
      <c r="AE373" s="61"/>
      <c r="AH373" s="61"/>
    </row>
    <row r="374" spans="1:34" s="60" customFormat="1" ht="10" x14ac:dyDescent="0.2">
      <c r="A374" s="58">
        <v>45036</v>
      </c>
      <c r="B374" s="59">
        <f t="shared" si="10"/>
        <v>2023</v>
      </c>
      <c r="C374" s="59"/>
      <c r="D374" s="59">
        <f t="shared" si="11"/>
        <v>4</v>
      </c>
      <c r="E374" s="60">
        <v>49</v>
      </c>
      <c r="F374" s="60">
        <v>50</v>
      </c>
      <c r="G374" s="61">
        <v>50</v>
      </c>
      <c r="H374" s="60">
        <v>63</v>
      </c>
      <c r="I374" s="60">
        <v>69</v>
      </c>
      <c r="J374" s="61">
        <v>66</v>
      </c>
      <c r="K374" s="60">
        <v>33</v>
      </c>
      <c r="L374" s="60">
        <v>39</v>
      </c>
      <c r="M374" s="61">
        <v>36</v>
      </c>
      <c r="N374" s="60">
        <v>116</v>
      </c>
      <c r="O374" s="60">
        <v>121</v>
      </c>
      <c r="P374" s="61">
        <v>118</v>
      </c>
      <c r="Q374" s="60">
        <v>53</v>
      </c>
      <c r="R374" s="60">
        <v>66</v>
      </c>
      <c r="S374" s="61">
        <v>60</v>
      </c>
      <c r="T374" s="60">
        <v>61</v>
      </c>
      <c r="U374" s="60">
        <v>62</v>
      </c>
      <c r="V374" s="61">
        <v>62</v>
      </c>
      <c r="Y374" s="61"/>
      <c r="AB374" s="61"/>
      <c r="AE374" s="61"/>
      <c r="AH374" s="61"/>
    </row>
    <row r="375" spans="1:34" s="60" customFormat="1" ht="10" x14ac:dyDescent="0.2">
      <c r="A375" s="58">
        <v>45043</v>
      </c>
      <c r="B375" s="59">
        <f t="shared" si="10"/>
        <v>2023</v>
      </c>
      <c r="C375" s="59"/>
      <c r="D375" s="59">
        <f t="shared" si="11"/>
        <v>4</v>
      </c>
      <c r="E375" s="60">
        <v>49</v>
      </c>
      <c r="F375" s="60">
        <v>50</v>
      </c>
      <c r="G375" s="61">
        <v>50</v>
      </c>
      <c r="H375" s="60">
        <v>63</v>
      </c>
      <c r="I375" s="60">
        <v>69</v>
      </c>
      <c r="J375" s="61">
        <v>66</v>
      </c>
      <c r="K375" s="60">
        <v>33</v>
      </c>
      <c r="L375" s="60">
        <v>39</v>
      </c>
      <c r="M375" s="61">
        <v>36</v>
      </c>
      <c r="N375" s="60">
        <v>115</v>
      </c>
      <c r="O375" s="60">
        <v>120</v>
      </c>
      <c r="P375" s="61">
        <v>118</v>
      </c>
      <c r="Q375" s="60">
        <v>52</v>
      </c>
      <c r="R375" s="60">
        <v>65</v>
      </c>
      <c r="S375" s="61">
        <v>58</v>
      </c>
      <c r="T375" s="60">
        <v>60</v>
      </c>
      <c r="U375" s="60">
        <v>61</v>
      </c>
      <c r="V375" s="61">
        <v>60</v>
      </c>
      <c r="Y375" s="61"/>
      <c r="AB375" s="61"/>
      <c r="AE375" s="61"/>
      <c r="AH375" s="61"/>
    </row>
    <row r="376" spans="1:34" s="60" customFormat="1" ht="10" x14ac:dyDescent="0.2">
      <c r="A376" s="58">
        <v>45050</v>
      </c>
      <c r="B376" s="59">
        <f t="shared" si="10"/>
        <v>2023</v>
      </c>
      <c r="C376" s="59"/>
      <c r="D376" s="59">
        <f t="shared" si="11"/>
        <v>5</v>
      </c>
      <c r="E376" s="60">
        <v>49</v>
      </c>
      <c r="F376" s="60">
        <v>50</v>
      </c>
      <c r="G376" s="61">
        <v>50</v>
      </c>
      <c r="H376" s="60">
        <v>63</v>
      </c>
      <c r="I376" s="60">
        <v>69</v>
      </c>
      <c r="J376" s="61">
        <v>66</v>
      </c>
      <c r="K376" s="60">
        <v>33</v>
      </c>
      <c r="L376" s="60">
        <v>39</v>
      </c>
      <c r="M376" s="61">
        <v>36</v>
      </c>
      <c r="N376" s="60">
        <v>114</v>
      </c>
      <c r="O376" s="60">
        <v>119</v>
      </c>
      <c r="P376" s="61">
        <v>116</v>
      </c>
      <c r="Q376" s="60">
        <v>51</v>
      </c>
      <c r="R376" s="60">
        <v>64</v>
      </c>
      <c r="S376" s="61">
        <v>58</v>
      </c>
      <c r="T376" s="60">
        <v>59</v>
      </c>
      <c r="U376" s="60">
        <v>60</v>
      </c>
      <c r="V376" s="61">
        <v>60</v>
      </c>
      <c r="Y376" s="61"/>
      <c r="AB376" s="61"/>
      <c r="AE376" s="61"/>
      <c r="AH376" s="61"/>
    </row>
    <row r="377" spans="1:34" s="60" customFormat="1" ht="10" x14ac:dyDescent="0.2">
      <c r="A377" s="58">
        <v>45057</v>
      </c>
      <c r="B377" s="59">
        <f t="shared" si="10"/>
        <v>2023</v>
      </c>
      <c r="C377" s="59"/>
      <c r="D377" s="59">
        <f t="shared" si="11"/>
        <v>5</v>
      </c>
      <c r="E377" s="60">
        <v>49</v>
      </c>
      <c r="F377" s="60">
        <v>50</v>
      </c>
      <c r="G377" s="61">
        <v>50</v>
      </c>
      <c r="H377" s="60">
        <v>63</v>
      </c>
      <c r="I377" s="60">
        <v>69</v>
      </c>
      <c r="J377" s="61">
        <v>66</v>
      </c>
      <c r="K377" s="60">
        <v>33</v>
      </c>
      <c r="L377" s="60">
        <v>39</v>
      </c>
      <c r="M377" s="61">
        <v>36</v>
      </c>
      <c r="N377" s="60">
        <v>114</v>
      </c>
      <c r="O377" s="60">
        <v>119</v>
      </c>
      <c r="P377" s="61">
        <v>116</v>
      </c>
      <c r="Q377" s="60">
        <v>51</v>
      </c>
      <c r="R377" s="60">
        <v>64</v>
      </c>
      <c r="S377" s="61">
        <v>58</v>
      </c>
      <c r="T377" s="60">
        <v>59</v>
      </c>
      <c r="U377" s="60">
        <v>60</v>
      </c>
      <c r="V377" s="61">
        <v>60</v>
      </c>
      <c r="Y377" s="61"/>
      <c r="AB377" s="61"/>
      <c r="AE377" s="61"/>
      <c r="AH377" s="61"/>
    </row>
    <row r="378" spans="1:34" s="60" customFormat="1" ht="10" x14ac:dyDescent="0.2">
      <c r="A378" s="58">
        <v>45064</v>
      </c>
      <c r="B378" s="59">
        <f t="shared" si="10"/>
        <v>2023</v>
      </c>
      <c r="C378" s="59"/>
      <c r="D378" s="59">
        <f t="shared" si="11"/>
        <v>5</v>
      </c>
      <c r="E378" s="60">
        <v>49</v>
      </c>
      <c r="F378" s="60">
        <v>50</v>
      </c>
      <c r="G378" s="61">
        <v>50</v>
      </c>
      <c r="H378" s="60">
        <v>61</v>
      </c>
      <c r="I378" s="60">
        <v>67</v>
      </c>
      <c r="J378" s="61">
        <v>64</v>
      </c>
      <c r="K378" s="60">
        <v>33</v>
      </c>
      <c r="L378" s="60">
        <v>39</v>
      </c>
      <c r="M378" s="61">
        <v>36</v>
      </c>
      <c r="N378" s="60">
        <v>108</v>
      </c>
      <c r="O378" s="60">
        <v>113</v>
      </c>
      <c r="P378" s="61">
        <v>110</v>
      </c>
      <c r="Q378" s="60">
        <v>49</v>
      </c>
      <c r="R378" s="60">
        <v>62</v>
      </c>
      <c r="S378" s="61">
        <v>56</v>
      </c>
      <c r="T378" s="60">
        <v>57</v>
      </c>
      <c r="U378" s="60">
        <v>58</v>
      </c>
      <c r="V378" s="61">
        <v>58</v>
      </c>
      <c r="Y378" s="61"/>
      <c r="AB378" s="61"/>
      <c r="AE378" s="61"/>
      <c r="AH378" s="61"/>
    </row>
    <row r="379" spans="1:34" s="60" customFormat="1" ht="10" x14ac:dyDescent="0.2">
      <c r="A379" s="58">
        <v>45071</v>
      </c>
      <c r="B379" s="59">
        <f t="shared" si="10"/>
        <v>2023</v>
      </c>
      <c r="C379" s="59"/>
      <c r="D379" s="59">
        <f t="shared" si="11"/>
        <v>5</v>
      </c>
      <c r="E379" s="60">
        <v>49</v>
      </c>
      <c r="F379" s="60">
        <v>50</v>
      </c>
      <c r="G379" s="61">
        <v>50</v>
      </c>
      <c r="H379" s="60">
        <v>61</v>
      </c>
      <c r="I379" s="60">
        <v>67</v>
      </c>
      <c r="J379" s="61">
        <v>64</v>
      </c>
      <c r="K379" s="60">
        <v>33</v>
      </c>
      <c r="L379" s="60">
        <v>39</v>
      </c>
      <c r="M379" s="61">
        <v>36</v>
      </c>
      <c r="N379" s="60">
        <v>108</v>
      </c>
      <c r="O379" s="60">
        <v>113</v>
      </c>
      <c r="P379" s="61">
        <v>110</v>
      </c>
      <c r="Q379" s="60">
        <v>49</v>
      </c>
      <c r="R379" s="60">
        <v>62</v>
      </c>
      <c r="S379" s="61">
        <v>56</v>
      </c>
      <c r="T379" s="60">
        <v>57</v>
      </c>
      <c r="U379" s="60">
        <v>58</v>
      </c>
      <c r="V379" s="61">
        <v>58</v>
      </c>
      <c r="Y379" s="61"/>
      <c r="AB379" s="61"/>
      <c r="AE379" s="61"/>
      <c r="AH379" s="61"/>
    </row>
    <row r="380" spans="1:34" s="60" customFormat="1" ht="10" x14ac:dyDescent="0.2">
      <c r="A380" s="58">
        <v>45078</v>
      </c>
      <c r="B380" s="59">
        <f t="shared" si="10"/>
        <v>2023</v>
      </c>
      <c r="C380" s="59"/>
      <c r="D380" s="59">
        <f t="shared" si="11"/>
        <v>6</v>
      </c>
      <c r="E380" s="60">
        <v>48</v>
      </c>
      <c r="F380" s="60">
        <v>49</v>
      </c>
      <c r="G380" s="61">
        <v>48</v>
      </c>
      <c r="H380" s="60">
        <v>60</v>
      </c>
      <c r="I380" s="60">
        <v>66</v>
      </c>
      <c r="J380" s="61">
        <v>63</v>
      </c>
      <c r="K380" s="60">
        <v>32</v>
      </c>
      <c r="L380" s="60">
        <v>38</v>
      </c>
      <c r="M380" s="61">
        <v>35</v>
      </c>
      <c r="N380" s="60">
        <v>106</v>
      </c>
      <c r="O380" s="60">
        <v>111</v>
      </c>
      <c r="P380" s="61">
        <v>108</v>
      </c>
      <c r="Q380" s="60">
        <v>48</v>
      </c>
      <c r="R380" s="60">
        <v>61</v>
      </c>
      <c r="S380" s="61">
        <v>54</v>
      </c>
      <c r="T380" s="60">
        <v>56</v>
      </c>
      <c r="U380" s="60">
        <v>57</v>
      </c>
      <c r="V380" s="61">
        <v>56</v>
      </c>
      <c r="Y380" s="61"/>
      <c r="AB380" s="61"/>
      <c r="AE380" s="61"/>
      <c r="AH380" s="61"/>
    </row>
    <row r="381" spans="1:34" s="60" customFormat="1" ht="10" x14ac:dyDescent="0.2">
      <c r="A381" s="58">
        <v>45085</v>
      </c>
      <c r="B381" s="59">
        <f t="shared" si="10"/>
        <v>2023</v>
      </c>
      <c r="C381" s="59"/>
      <c r="D381" s="59">
        <f t="shared" si="11"/>
        <v>6</v>
      </c>
      <c r="E381" s="60">
        <v>46</v>
      </c>
      <c r="F381" s="60">
        <v>47</v>
      </c>
      <c r="G381" s="61">
        <v>46</v>
      </c>
      <c r="H381" s="60">
        <v>60</v>
      </c>
      <c r="I381" s="60">
        <v>65</v>
      </c>
      <c r="J381" s="61">
        <v>62</v>
      </c>
      <c r="K381" s="60">
        <v>31</v>
      </c>
      <c r="L381" s="60">
        <v>37</v>
      </c>
      <c r="M381" s="61">
        <v>34</v>
      </c>
      <c r="N381" s="60">
        <v>104</v>
      </c>
      <c r="O381" s="60">
        <v>109</v>
      </c>
      <c r="P381" s="61">
        <v>106</v>
      </c>
      <c r="Q381" s="60">
        <v>47</v>
      </c>
      <c r="R381" s="60">
        <v>60</v>
      </c>
      <c r="S381" s="61">
        <v>54</v>
      </c>
      <c r="T381" s="60">
        <v>55</v>
      </c>
      <c r="U381" s="60">
        <v>56</v>
      </c>
      <c r="V381" s="61">
        <v>56</v>
      </c>
      <c r="Y381" s="61"/>
      <c r="AB381" s="61"/>
      <c r="AE381" s="61"/>
      <c r="AH381" s="61"/>
    </row>
    <row r="382" spans="1:34" s="60" customFormat="1" ht="10" x14ac:dyDescent="0.2">
      <c r="A382" s="58">
        <v>45092</v>
      </c>
      <c r="B382" s="59">
        <f t="shared" si="10"/>
        <v>2023</v>
      </c>
      <c r="C382" s="59"/>
      <c r="D382" s="59">
        <f t="shared" si="11"/>
        <v>6</v>
      </c>
      <c r="E382" s="60">
        <v>46</v>
      </c>
      <c r="F382" s="60">
        <v>47</v>
      </c>
      <c r="G382" s="61">
        <v>46</v>
      </c>
      <c r="H382" s="60">
        <v>60</v>
      </c>
      <c r="I382" s="60">
        <v>65</v>
      </c>
      <c r="J382" s="61">
        <v>62</v>
      </c>
      <c r="K382" s="60">
        <v>31</v>
      </c>
      <c r="L382" s="60">
        <v>37</v>
      </c>
      <c r="M382" s="61">
        <v>34</v>
      </c>
      <c r="N382" s="60">
        <v>104</v>
      </c>
      <c r="O382" s="60">
        <v>109</v>
      </c>
      <c r="P382" s="61">
        <v>106</v>
      </c>
      <c r="Q382" s="60">
        <v>47</v>
      </c>
      <c r="R382" s="60">
        <v>60</v>
      </c>
      <c r="S382" s="61">
        <v>54</v>
      </c>
      <c r="T382" s="60">
        <v>55</v>
      </c>
      <c r="U382" s="60">
        <v>56</v>
      </c>
      <c r="V382" s="61">
        <v>56</v>
      </c>
      <c r="Y382" s="61"/>
      <c r="AB382" s="61"/>
      <c r="AE382" s="61"/>
      <c r="AH382" s="61"/>
    </row>
    <row r="383" spans="1:34" s="60" customFormat="1" ht="10" x14ac:dyDescent="0.2">
      <c r="A383" s="58">
        <v>45099</v>
      </c>
      <c r="B383" s="59">
        <f t="shared" si="10"/>
        <v>2023</v>
      </c>
      <c r="C383" s="59"/>
      <c r="D383" s="59">
        <f t="shared" si="11"/>
        <v>6</v>
      </c>
      <c r="E383" s="60">
        <v>46</v>
      </c>
      <c r="F383" s="60">
        <v>47</v>
      </c>
      <c r="G383" s="61">
        <v>46</v>
      </c>
      <c r="H383" s="60">
        <v>60</v>
      </c>
      <c r="I383" s="60">
        <v>65</v>
      </c>
      <c r="J383" s="61">
        <v>62</v>
      </c>
      <c r="K383" s="60">
        <v>31</v>
      </c>
      <c r="L383" s="60">
        <v>37</v>
      </c>
      <c r="M383" s="61">
        <v>34</v>
      </c>
      <c r="N383" s="60">
        <v>104</v>
      </c>
      <c r="O383" s="60">
        <v>109</v>
      </c>
      <c r="P383" s="61">
        <v>106</v>
      </c>
      <c r="Q383" s="60">
        <v>47</v>
      </c>
      <c r="R383" s="60">
        <v>60</v>
      </c>
      <c r="S383" s="61">
        <v>54</v>
      </c>
      <c r="T383" s="60">
        <v>55</v>
      </c>
      <c r="U383" s="60">
        <v>56</v>
      </c>
      <c r="V383" s="61">
        <v>56</v>
      </c>
      <c r="Y383" s="61"/>
      <c r="AB383" s="61"/>
      <c r="AE383" s="61"/>
      <c r="AH383" s="61"/>
    </row>
    <row r="384" spans="1:34" s="60" customFormat="1" ht="10" x14ac:dyDescent="0.2">
      <c r="A384" s="58">
        <v>45106</v>
      </c>
      <c r="B384" s="59">
        <f t="shared" si="10"/>
        <v>2023</v>
      </c>
      <c r="C384" s="59"/>
      <c r="D384" s="59">
        <f t="shared" si="11"/>
        <v>6</v>
      </c>
      <c r="E384" s="60">
        <v>43</v>
      </c>
      <c r="F384" s="60">
        <v>44</v>
      </c>
      <c r="G384" s="61">
        <v>44</v>
      </c>
      <c r="H384" s="60">
        <v>60</v>
      </c>
      <c r="I384" s="60">
        <v>63</v>
      </c>
      <c r="J384" s="61">
        <v>62</v>
      </c>
      <c r="K384" s="60">
        <v>30</v>
      </c>
      <c r="L384" s="60">
        <v>36</v>
      </c>
      <c r="M384" s="61">
        <v>33</v>
      </c>
      <c r="N384" s="60">
        <v>101</v>
      </c>
      <c r="O384" s="60">
        <v>106</v>
      </c>
      <c r="P384" s="61">
        <v>104</v>
      </c>
      <c r="Q384" s="60">
        <v>46</v>
      </c>
      <c r="R384" s="60">
        <v>59</v>
      </c>
      <c r="S384" s="61">
        <v>52</v>
      </c>
      <c r="T384" s="60">
        <v>54</v>
      </c>
      <c r="U384" s="60">
        <v>55</v>
      </c>
      <c r="V384" s="61">
        <v>54</v>
      </c>
      <c r="Y384" s="61"/>
      <c r="AB384" s="61"/>
      <c r="AE384" s="61"/>
      <c r="AH384" s="61"/>
    </row>
    <row r="385" spans="1:34" s="60" customFormat="1" ht="10" x14ac:dyDescent="0.2">
      <c r="A385" s="58">
        <v>45113</v>
      </c>
      <c r="B385" s="59">
        <f t="shared" si="10"/>
        <v>2023</v>
      </c>
      <c r="C385" s="59"/>
      <c r="D385" s="59">
        <f t="shared" si="11"/>
        <v>7</v>
      </c>
      <c r="E385" s="60">
        <v>43</v>
      </c>
      <c r="F385" s="60">
        <v>44</v>
      </c>
      <c r="G385" s="61">
        <v>44</v>
      </c>
      <c r="H385" s="60">
        <v>60</v>
      </c>
      <c r="I385" s="60">
        <v>63</v>
      </c>
      <c r="J385" s="61">
        <v>62</v>
      </c>
      <c r="K385" s="60">
        <v>30</v>
      </c>
      <c r="L385" s="60">
        <v>36</v>
      </c>
      <c r="M385" s="61">
        <v>33</v>
      </c>
      <c r="N385" s="60">
        <v>101</v>
      </c>
      <c r="O385" s="60">
        <v>106</v>
      </c>
      <c r="P385" s="61">
        <v>104</v>
      </c>
      <c r="Q385" s="60">
        <v>46</v>
      </c>
      <c r="R385" s="60">
        <v>49</v>
      </c>
      <c r="S385" s="61">
        <v>48</v>
      </c>
      <c r="T385" s="60">
        <v>53</v>
      </c>
      <c r="U385" s="60">
        <v>55</v>
      </c>
      <c r="V385" s="61">
        <v>54</v>
      </c>
      <c r="Y385" s="61"/>
      <c r="AB385" s="61"/>
      <c r="AE385" s="61"/>
      <c r="AH385" s="61"/>
    </row>
    <row r="386" spans="1:34" s="60" customFormat="1" ht="10" x14ac:dyDescent="0.2">
      <c r="A386" s="58">
        <v>45120</v>
      </c>
      <c r="B386" s="59">
        <f t="shared" si="10"/>
        <v>2023</v>
      </c>
      <c r="C386" s="59"/>
      <c r="D386" s="59">
        <f t="shared" si="11"/>
        <v>7</v>
      </c>
      <c r="E386" s="60">
        <v>43</v>
      </c>
      <c r="F386" s="60">
        <v>44</v>
      </c>
      <c r="G386" s="61">
        <v>44</v>
      </c>
      <c r="H386" s="60">
        <v>60</v>
      </c>
      <c r="I386" s="60">
        <v>63</v>
      </c>
      <c r="J386" s="61">
        <v>62</v>
      </c>
      <c r="K386" s="60">
        <v>30</v>
      </c>
      <c r="L386" s="60">
        <v>36</v>
      </c>
      <c r="M386" s="61">
        <v>33</v>
      </c>
      <c r="N386" s="60">
        <v>106</v>
      </c>
      <c r="O386" s="60">
        <v>111</v>
      </c>
      <c r="P386" s="61">
        <v>108</v>
      </c>
      <c r="Q386" s="60">
        <v>46</v>
      </c>
      <c r="R386" s="60">
        <v>59</v>
      </c>
      <c r="S386" s="61">
        <v>52</v>
      </c>
      <c r="T386" s="60">
        <v>53</v>
      </c>
      <c r="U386" s="60">
        <v>55</v>
      </c>
      <c r="V386" s="61">
        <v>54</v>
      </c>
      <c r="Y386" s="61"/>
      <c r="AB386" s="61"/>
      <c r="AE386" s="61"/>
      <c r="AH386" s="61"/>
    </row>
    <row r="387" spans="1:34" s="60" customFormat="1" ht="10" x14ac:dyDescent="0.2">
      <c r="A387" s="58">
        <v>45127</v>
      </c>
      <c r="B387" s="59">
        <f t="shared" ref="B387:B450" si="12">YEAR(A387)</f>
        <v>2023</v>
      </c>
      <c r="C387" s="59"/>
      <c r="D387" s="59">
        <f t="shared" ref="D387:D450" si="13">MONTH(A387)</f>
        <v>7</v>
      </c>
      <c r="E387" s="60">
        <v>43</v>
      </c>
      <c r="F387" s="60">
        <v>44</v>
      </c>
      <c r="G387" s="61">
        <v>44</v>
      </c>
      <c r="H387" s="60">
        <v>61</v>
      </c>
      <c r="I387" s="60">
        <v>64</v>
      </c>
      <c r="J387" s="61">
        <v>62</v>
      </c>
      <c r="K387" s="60">
        <v>29</v>
      </c>
      <c r="L387" s="60">
        <v>35</v>
      </c>
      <c r="M387" s="61">
        <v>32</v>
      </c>
      <c r="N387" s="60">
        <v>106</v>
      </c>
      <c r="O387" s="60">
        <v>111</v>
      </c>
      <c r="P387" s="61">
        <v>108</v>
      </c>
      <c r="Q387" s="60">
        <v>46</v>
      </c>
      <c r="R387" s="60">
        <v>59</v>
      </c>
      <c r="S387" s="61">
        <v>52</v>
      </c>
      <c r="T387" s="60">
        <v>53</v>
      </c>
      <c r="U387" s="60">
        <v>55</v>
      </c>
      <c r="V387" s="61">
        <v>54</v>
      </c>
      <c r="Y387" s="61"/>
      <c r="AB387" s="61"/>
      <c r="AE387" s="61"/>
      <c r="AH387" s="61"/>
    </row>
    <row r="388" spans="1:34" s="60" customFormat="1" ht="10" x14ac:dyDescent="0.2">
      <c r="A388" s="58">
        <v>45134</v>
      </c>
      <c r="B388" s="59">
        <f t="shared" si="12"/>
        <v>2023</v>
      </c>
      <c r="C388" s="59"/>
      <c r="D388" s="59">
        <f t="shared" si="13"/>
        <v>7</v>
      </c>
      <c r="E388" s="60">
        <v>43</v>
      </c>
      <c r="F388" s="60">
        <v>44</v>
      </c>
      <c r="G388" s="61">
        <v>44</v>
      </c>
      <c r="H388" s="60">
        <v>56</v>
      </c>
      <c r="I388" s="60">
        <v>57</v>
      </c>
      <c r="J388" s="61">
        <v>56</v>
      </c>
      <c r="K388" s="60">
        <v>28</v>
      </c>
      <c r="L388" s="60">
        <v>32</v>
      </c>
      <c r="M388" s="61">
        <v>30</v>
      </c>
      <c r="N388" s="60">
        <v>107</v>
      </c>
      <c r="O388" s="60">
        <v>112</v>
      </c>
      <c r="P388" s="61">
        <v>110</v>
      </c>
      <c r="Q388" s="60">
        <v>47</v>
      </c>
      <c r="R388" s="60">
        <v>60</v>
      </c>
      <c r="S388" s="61">
        <v>54</v>
      </c>
      <c r="T388" s="60">
        <v>53</v>
      </c>
      <c r="U388" s="60">
        <v>55</v>
      </c>
      <c r="V388" s="61">
        <v>54</v>
      </c>
      <c r="Y388" s="61"/>
      <c r="AB388" s="61"/>
      <c r="AE388" s="61"/>
      <c r="AH388" s="61"/>
    </row>
    <row r="389" spans="1:34" s="60" customFormat="1" ht="10" x14ac:dyDescent="0.2">
      <c r="A389" s="58">
        <v>45141</v>
      </c>
      <c r="B389" s="59">
        <f t="shared" si="12"/>
        <v>2023</v>
      </c>
      <c r="C389" s="59"/>
      <c r="D389" s="59">
        <f t="shared" si="13"/>
        <v>8</v>
      </c>
      <c r="E389" s="60">
        <v>42</v>
      </c>
      <c r="F389" s="60">
        <v>43</v>
      </c>
      <c r="G389" s="61">
        <v>42</v>
      </c>
      <c r="H389" s="60">
        <v>56</v>
      </c>
      <c r="I389" s="60">
        <v>57</v>
      </c>
      <c r="J389" s="61">
        <v>56</v>
      </c>
      <c r="K389" s="60">
        <v>28</v>
      </c>
      <c r="L389" s="60">
        <v>32</v>
      </c>
      <c r="M389" s="61">
        <v>30</v>
      </c>
      <c r="N389" s="60">
        <v>107</v>
      </c>
      <c r="O389" s="60">
        <v>112</v>
      </c>
      <c r="P389" s="61">
        <v>110</v>
      </c>
      <c r="Q389" s="60">
        <v>47</v>
      </c>
      <c r="R389" s="60">
        <v>60</v>
      </c>
      <c r="S389" s="61">
        <v>54</v>
      </c>
      <c r="T389" s="60">
        <v>53</v>
      </c>
      <c r="U389" s="60">
        <v>55</v>
      </c>
      <c r="V389" s="61">
        <v>54</v>
      </c>
      <c r="Y389" s="61"/>
      <c r="AB389" s="61"/>
      <c r="AE389" s="61"/>
      <c r="AH389" s="61"/>
    </row>
    <row r="390" spans="1:34" s="60" customFormat="1" ht="10" x14ac:dyDescent="0.2">
      <c r="A390" s="58">
        <v>45148</v>
      </c>
      <c r="B390" s="59">
        <f t="shared" si="12"/>
        <v>2023</v>
      </c>
      <c r="C390" s="59"/>
      <c r="D390" s="59">
        <f t="shared" si="13"/>
        <v>8</v>
      </c>
      <c r="E390" s="60">
        <v>41</v>
      </c>
      <c r="F390" s="60">
        <v>42</v>
      </c>
      <c r="G390" s="61">
        <v>42</v>
      </c>
      <c r="H390" s="60">
        <v>52</v>
      </c>
      <c r="I390" s="60">
        <v>53</v>
      </c>
      <c r="J390" s="61">
        <v>52</v>
      </c>
      <c r="K390" s="60">
        <v>24</v>
      </c>
      <c r="L390" s="60">
        <v>28</v>
      </c>
      <c r="M390" s="61">
        <v>26</v>
      </c>
      <c r="N390" s="60">
        <v>107</v>
      </c>
      <c r="O390" s="60">
        <v>112</v>
      </c>
      <c r="P390" s="61">
        <v>110</v>
      </c>
      <c r="Q390" s="60">
        <v>47</v>
      </c>
      <c r="R390" s="60">
        <v>60</v>
      </c>
      <c r="S390" s="61">
        <v>54</v>
      </c>
      <c r="T390" s="60">
        <v>53</v>
      </c>
      <c r="U390" s="60">
        <v>55</v>
      </c>
      <c r="V390" s="61">
        <v>54</v>
      </c>
      <c r="Y390" s="61"/>
      <c r="AB390" s="61"/>
      <c r="AE390" s="61"/>
      <c r="AH390" s="61"/>
    </row>
    <row r="391" spans="1:34" s="60" customFormat="1" ht="10" x14ac:dyDescent="0.2">
      <c r="A391" s="58">
        <v>45155</v>
      </c>
      <c r="B391" s="59">
        <f t="shared" si="12"/>
        <v>2023</v>
      </c>
      <c r="C391" s="59"/>
      <c r="D391" s="59">
        <f t="shared" si="13"/>
        <v>8</v>
      </c>
      <c r="E391" s="60">
        <v>41</v>
      </c>
      <c r="F391" s="60">
        <v>42</v>
      </c>
      <c r="G391" s="61">
        <v>42</v>
      </c>
      <c r="H391" s="60">
        <v>52</v>
      </c>
      <c r="I391" s="60">
        <v>53</v>
      </c>
      <c r="J391" s="61">
        <v>52</v>
      </c>
      <c r="K391" s="60">
        <v>24</v>
      </c>
      <c r="L391" s="60">
        <v>28</v>
      </c>
      <c r="M391" s="61">
        <v>26</v>
      </c>
      <c r="N391" s="60">
        <v>107</v>
      </c>
      <c r="O391" s="60">
        <v>112</v>
      </c>
      <c r="P391" s="61">
        <v>110</v>
      </c>
      <c r="Q391" s="60">
        <v>47</v>
      </c>
      <c r="R391" s="60">
        <v>60</v>
      </c>
      <c r="S391" s="61">
        <v>54</v>
      </c>
      <c r="T391" s="60">
        <v>53</v>
      </c>
      <c r="U391" s="60">
        <v>55</v>
      </c>
      <c r="V391" s="61">
        <v>54</v>
      </c>
      <c r="Y391" s="61"/>
      <c r="AB391" s="61"/>
      <c r="AE391" s="61"/>
      <c r="AH391" s="61"/>
    </row>
    <row r="392" spans="1:34" s="60" customFormat="1" ht="10" x14ac:dyDescent="0.2">
      <c r="A392" s="58">
        <v>45162</v>
      </c>
      <c r="B392" s="59">
        <f t="shared" si="12"/>
        <v>2023</v>
      </c>
      <c r="C392" s="59"/>
      <c r="D392" s="59">
        <f t="shared" si="13"/>
        <v>8</v>
      </c>
      <c r="E392" s="60">
        <v>41</v>
      </c>
      <c r="F392" s="60">
        <v>42</v>
      </c>
      <c r="G392" s="61">
        <v>42</v>
      </c>
      <c r="H392" s="60">
        <v>52</v>
      </c>
      <c r="I392" s="60">
        <v>53</v>
      </c>
      <c r="J392" s="61">
        <v>52</v>
      </c>
      <c r="K392" s="60">
        <v>24</v>
      </c>
      <c r="L392" s="60">
        <v>28</v>
      </c>
      <c r="M392" s="61">
        <v>26</v>
      </c>
      <c r="N392" s="60">
        <v>105</v>
      </c>
      <c r="O392" s="60">
        <v>110</v>
      </c>
      <c r="P392" s="61">
        <v>108</v>
      </c>
      <c r="Q392" s="60">
        <v>45</v>
      </c>
      <c r="R392" s="60">
        <v>58</v>
      </c>
      <c r="S392" s="61">
        <v>52</v>
      </c>
      <c r="T392" s="60">
        <v>51</v>
      </c>
      <c r="U392" s="60">
        <v>53</v>
      </c>
      <c r="V392" s="61">
        <v>52</v>
      </c>
      <c r="Y392" s="61"/>
      <c r="AB392" s="61"/>
      <c r="AE392" s="61"/>
      <c r="AH392" s="61"/>
    </row>
    <row r="393" spans="1:34" s="60" customFormat="1" ht="10" x14ac:dyDescent="0.2">
      <c r="A393" s="58">
        <v>45169</v>
      </c>
      <c r="B393" s="59">
        <f t="shared" si="12"/>
        <v>2023</v>
      </c>
      <c r="C393" s="59"/>
      <c r="D393" s="59">
        <f t="shared" si="13"/>
        <v>8</v>
      </c>
      <c r="E393" s="60">
        <v>40</v>
      </c>
      <c r="F393" s="60">
        <v>41</v>
      </c>
      <c r="G393" s="61">
        <v>40</v>
      </c>
      <c r="H393" s="60">
        <v>52</v>
      </c>
      <c r="I393" s="60">
        <v>53</v>
      </c>
      <c r="J393" s="61">
        <v>52</v>
      </c>
      <c r="K393" s="60">
        <v>24</v>
      </c>
      <c r="L393" s="60">
        <v>28</v>
      </c>
      <c r="M393" s="61">
        <v>26</v>
      </c>
      <c r="N393" s="60">
        <v>100</v>
      </c>
      <c r="O393" s="60">
        <v>105</v>
      </c>
      <c r="P393" s="61">
        <v>102</v>
      </c>
      <c r="Q393" s="60">
        <v>45</v>
      </c>
      <c r="R393" s="60">
        <v>58</v>
      </c>
      <c r="S393" s="61">
        <v>52</v>
      </c>
      <c r="T393" s="60">
        <v>51</v>
      </c>
      <c r="U393" s="60">
        <v>53</v>
      </c>
      <c r="V393" s="61">
        <v>52</v>
      </c>
      <c r="Y393" s="61"/>
      <c r="AB393" s="61"/>
      <c r="AE393" s="61"/>
      <c r="AH393" s="61"/>
    </row>
    <row r="394" spans="1:34" s="60" customFormat="1" ht="10" x14ac:dyDescent="0.2">
      <c r="A394" s="58">
        <v>45176</v>
      </c>
      <c r="B394" s="59">
        <f t="shared" si="12"/>
        <v>2023</v>
      </c>
      <c r="C394" s="59"/>
      <c r="D394" s="59">
        <f t="shared" si="13"/>
        <v>9</v>
      </c>
      <c r="E394" s="60">
        <v>41</v>
      </c>
      <c r="F394" s="60">
        <v>42</v>
      </c>
      <c r="G394" s="61">
        <v>42</v>
      </c>
      <c r="H394" s="60">
        <v>53</v>
      </c>
      <c r="I394" s="60">
        <v>54</v>
      </c>
      <c r="J394" s="61">
        <v>54</v>
      </c>
      <c r="K394" s="60">
        <v>25</v>
      </c>
      <c r="L394" s="60">
        <v>29</v>
      </c>
      <c r="M394" s="61">
        <v>27</v>
      </c>
      <c r="N394" s="60">
        <v>100</v>
      </c>
      <c r="O394" s="60">
        <v>105</v>
      </c>
      <c r="P394" s="61">
        <v>102</v>
      </c>
      <c r="Q394" s="60">
        <v>45</v>
      </c>
      <c r="R394" s="60">
        <v>58</v>
      </c>
      <c r="S394" s="61">
        <v>52</v>
      </c>
      <c r="T394" s="60">
        <v>51</v>
      </c>
      <c r="U394" s="60">
        <v>53</v>
      </c>
      <c r="V394" s="61">
        <v>52</v>
      </c>
      <c r="Y394" s="61"/>
      <c r="AB394" s="61"/>
      <c r="AE394" s="61"/>
      <c r="AH394" s="61"/>
    </row>
    <row r="395" spans="1:34" s="60" customFormat="1" ht="10" x14ac:dyDescent="0.2">
      <c r="A395" s="58">
        <v>45183</v>
      </c>
      <c r="B395" s="59">
        <f t="shared" si="12"/>
        <v>2023</v>
      </c>
      <c r="C395" s="59"/>
      <c r="D395" s="59">
        <f t="shared" si="13"/>
        <v>9</v>
      </c>
      <c r="E395" s="60">
        <v>41</v>
      </c>
      <c r="F395" s="60">
        <v>42</v>
      </c>
      <c r="G395" s="61">
        <v>42</v>
      </c>
      <c r="H395" s="60">
        <v>53</v>
      </c>
      <c r="I395" s="60">
        <v>54</v>
      </c>
      <c r="J395" s="61">
        <v>54</v>
      </c>
      <c r="K395" s="60">
        <v>25</v>
      </c>
      <c r="L395" s="60">
        <v>29</v>
      </c>
      <c r="M395" s="61">
        <v>27</v>
      </c>
      <c r="N395" s="60">
        <v>100</v>
      </c>
      <c r="O395" s="60">
        <v>105</v>
      </c>
      <c r="P395" s="61">
        <v>102</v>
      </c>
      <c r="Q395" s="60">
        <v>45</v>
      </c>
      <c r="R395" s="60">
        <v>58</v>
      </c>
      <c r="S395" s="61">
        <v>52</v>
      </c>
      <c r="T395" s="60">
        <v>51</v>
      </c>
      <c r="U395" s="60">
        <v>53</v>
      </c>
      <c r="V395" s="61">
        <v>52</v>
      </c>
      <c r="Y395" s="61"/>
      <c r="AB395" s="61"/>
      <c r="AE395" s="61"/>
      <c r="AH395" s="61"/>
    </row>
    <row r="396" spans="1:34" s="60" customFormat="1" ht="10" x14ac:dyDescent="0.2">
      <c r="A396" s="58">
        <v>45190</v>
      </c>
      <c r="B396" s="59">
        <f t="shared" si="12"/>
        <v>2023</v>
      </c>
      <c r="C396" s="59"/>
      <c r="D396" s="59">
        <f t="shared" si="13"/>
        <v>9</v>
      </c>
      <c r="E396" s="60">
        <v>42</v>
      </c>
      <c r="F396" s="60">
        <v>43</v>
      </c>
      <c r="G396" s="61">
        <v>42</v>
      </c>
      <c r="H396" s="60">
        <v>54</v>
      </c>
      <c r="I396" s="60">
        <v>55</v>
      </c>
      <c r="J396" s="61">
        <v>54</v>
      </c>
      <c r="K396" s="60">
        <v>25</v>
      </c>
      <c r="L396" s="60">
        <v>29</v>
      </c>
      <c r="M396" s="61">
        <v>27</v>
      </c>
      <c r="N396" s="60">
        <v>100</v>
      </c>
      <c r="O396" s="60">
        <v>105</v>
      </c>
      <c r="P396" s="61">
        <v>102</v>
      </c>
      <c r="Q396" s="60">
        <v>45</v>
      </c>
      <c r="R396" s="60">
        <v>58</v>
      </c>
      <c r="S396" s="61">
        <v>52</v>
      </c>
      <c r="T396" s="60">
        <v>51</v>
      </c>
      <c r="U396" s="60">
        <v>53</v>
      </c>
      <c r="V396" s="61">
        <v>52</v>
      </c>
      <c r="Y396" s="61"/>
      <c r="AB396" s="61"/>
      <c r="AE396" s="61"/>
      <c r="AH396" s="61"/>
    </row>
    <row r="397" spans="1:34" s="60" customFormat="1" ht="10" x14ac:dyDescent="0.2">
      <c r="A397" s="58">
        <v>45197</v>
      </c>
      <c r="B397" s="59">
        <f t="shared" si="12"/>
        <v>2023</v>
      </c>
      <c r="C397" s="59"/>
      <c r="D397" s="59">
        <f t="shared" si="13"/>
        <v>9</v>
      </c>
      <c r="E397" s="60">
        <v>42</v>
      </c>
      <c r="F397" s="60">
        <v>43</v>
      </c>
      <c r="G397" s="61">
        <v>42</v>
      </c>
      <c r="H397" s="60">
        <v>54</v>
      </c>
      <c r="I397" s="60">
        <v>55</v>
      </c>
      <c r="J397" s="61">
        <v>54</v>
      </c>
      <c r="K397" s="60">
        <v>25</v>
      </c>
      <c r="L397" s="60">
        <v>29</v>
      </c>
      <c r="M397" s="61">
        <v>27</v>
      </c>
      <c r="N397" s="60">
        <v>100</v>
      </c>
      <c r="O397" s="60">
        <v>105</v>
      </c>
      <c r="P397" s="61">
        <v>102</v>
      </c>
      <c r="Q397" s="60">
        <v>45</v>
      </c>
      <c r="R397" s="60">
        <v>58</v>
      </c>
      <c r="S397" s="61">
        <v>52</v>
      </c>
      <c r="T397" s="60">
        <v>51</v>
      </c>
      <c r="U397" s="60">
        <v>53</v>
      </c>
      <c r="V397" s="61">
        <v>52</v>
      </c>
      <c r="Y397" s="61"/>
      <c r="AB397" s="61"/>
      <c r="AE397" s="61"/>
      <c r="AH397" s="61"/>
    </row>
    <row r="398" spans="1:34" s="60" customFormat="1" ht="10" x14ac:dyDescent="0.2">
      <c r="A398" s="58">
        <v>45204</v>
      </c>
      <c r="B398" s="59">
        <f t="shared" si="12"/>
        <v>2023</v>
      </c>
      <c r="C398" s="59"/>
      <c r="D398" s="59">
        <f t="shared" si="13"/>
        <v>10</v>
      </c>
      <c r="E398" s="60">
        <v>42</v>
      </c>
      <c r="F398" s="60">
        <v>43</v>
      </c>
      <c r="G398" s="61">
        <v>42</v>
      </c>
      <c r="H398" s="60">
        <v>54</v>
      </c>
      <c r="I398" s="60">
        <v>55</v>
      </c>
      <c r="J398" s="61">
        <v>54</v>
      </c>
      <c r="K398" s="60">
        <v>25</v>
      </c>
      <c r="L398" s="60">
        <v>29</v>
      </c>
      <c r="M398" s="61">
        <v>27</v>
      </c>
      <c r="N398" s="60">
        <v>100</v>
      </c>
      <c r="O398" s="60">
        <v>105</v>
      </c>
      <c r="P398" s="61">
        <v>102</v>
      </c>
      <c r="Q398" s="60">
        <v>45</v>
      </c>
      <c r="R398" s="60">
        <v>58</v>
      </c>
      <c r="S398" s="61">
        <v>52</v>
      </c>
      <c r="T398" s="60">
        <v>51</v>
      </c>
      <c r="U398" s="60">
        <v>53</v>
      </c>
      <c r="V398" s="61">
        <v>52</v>
      </c>
      <c r="Y398" s="61"/>
      <c r="AB398" s="61"/>
      <c r="AE398" s="61"/>
      <c r="AH398" s="61"/>
    </row>
    <row r="399" spans="1:34" s="60" customFormat="1" ht="10" x14ac:dyDescent="0.2">
      <c r="A399" s="58">
        <v>45211</v>
      </c>
      <c r="B399" s="59">
        <f t="shared" si="12"/>
        <v>2023</v>
      </c>
      <c r="C399" s="59"/>
      <c r="D399" s="59">
        <f t="shared" si="13"/>
        <v>10</v>
      </c>
      <c r="E399" s="60">
        <v>46</v>
      </c>
      <c r="F399" s="60">
        <v>47</v>
      </c>
      <c r="G399" s="61">
        <v>46</v>
      </c>
      <c r="H399" s="60">
        <v>59</v>
      </c>
      <c r="I399" s="60">
        <v>60</v>
      </c>
      <c r="J399" s="61">
        <v>60</v>
      </c>
      <c r="K399" s="60">
        <v>29</v>
      </c>
      <c r="L399" s="60">
        <v>32</v>
      </c>
      <c r="M399" s="61">
        <v>30</v>
      </c>
      <c r="N399" s="60">
        <v>102</v>
      </c>
      <c r="O399" s="60">
        <v>107</v>
      </c>
      <c r="P399" s="61">
        <v>104</v>
      </c>
      <c r="Q399" s="60">
        <v>47</v>
      </c>
      <c r="R399" s="60">
        <v>60</v>
      </c>
      <c r="S399" s="61">
        <v>54</v>
      </c>
      <c r="T399" s="60">
        <v>53</v>
      </c>
      <c r="U399" s="60">
        <v>55</v>
      </c>
      <c r="V399" s="61">
        <v>54</v>
      </c>
      <c r="Y399" s="61"/>
      <c r="AB399" s="61"/>
      <c r="AE399" s="61"/>
      <c r="AH399" s="61"/>
    </row>
    <row r="400" spans="1:34" s="60" customFormat="1" ht="10" x14ac:dyDescent="0.2">
      <c r="A400" s="58">
        <v>45218</v>
      </c>
      <c r="B400" s="59">
        <f t="shared" si="12"/>
        <v>2023</v>
      </c>
      <c r="C400" s="59"/>
      <c r="D400" s="59">
        <f t="shared" si="13"/>
        <v>10</v>
      </c>
      <c r="E400" s="60">
        <v>47</v>
      </c>
      <c r="F400" s="60">
        <v>48</v>
      </c>
      <c r="G400" s="61">
        <v>48</v>
      </c>
      <c r="H400" s="60">
        <v>60</v>
      </c>
      <c r="I400" s="60">
        <v>61</v>
      </c>
      <c r="J400" s="61">
        <v>60</v>
      </c>
      <c r="K400" s="60">
        <v>30</v>
      </c>
      <c r="L400" s="60">
        <v>33</v>
      </c>
      <c r="M400" s="61">
        <v>32</v>
      </c>
      <c r="N400" s="60">
        <v>103</v>
      </c>
      <c r="O400" s="60">
        <v>108</v>
      </c>
      <c r="P400" s="61">
        <v>106</v>
      </c>
      <c r="Q400" s="60">
        <v>48</v>
      </c>
      <c r="R400" s="60">
        <v>61</v>
      </c>
      <c r="S400" s="61">
        <v>54</v>
      </c>
      <c r="T400" s="60">
        <v>54</v>
      </c>
      <c r="U400" s="60">
        <v>56</v>
      </c>
      <c r="V400" s="61">
        <v>55</v>
      </c>
      <c r="Y400" s="61"/>
      <c r="AB400" s="61"/>
      <c r="AE400" s="61"/>
      <c r="AH400" s="61"/>
    </row>
    <row r="401" spans="1:34" s="60" customFormat="1" ht="10" x14ac:dyDescent="0.2">
      <c r="A401" s="58">
        <v>45225</v>
      </c>
      <c r="B401" s="59">
        <f t="shared" si="12"/>
        <v>2023</v>
      </c>
      <c r="C401" s="59"/>
      <c r="D401" s="59">
        <f t="shared" si="13"/>
        <v>10</v>
      </c>
      <c r="E401" s="60">
        <v>47</v>
      </c>
      <c r="F401" s="60">
        <v>48</v>
      </c>
      <c r="G401" s="61">
        <v>48</v>
      </c>
      <c r="H401" s="60">
        <v>60</v>
      </c>
      <c r="I401" s="60">
        <v>61</v>
      </c>
      <c r="J401" s="61">
        <v>60</v>
      </c>
      <c r="K401" s="60">
        <v>30</v>
      </c>
      <c r="L401" s="60">
        <v>33</v>
      </c>
      <c r="M401" s="61">
        <v>32</v>
      </c>
      <c r="N401" s="60">
        <v>103</v>
      </c>
      <c r="O401" s="60">
        <v>108</v>
      </c>
      <c r="P401" s="61">
        <v>106</v>
      </c>
      <c r="Q401" s="60">
        <v>48</v>
      </c>
      <c r="R401" s="60">
        <v>61</v>
      </c>
      <c r="S401" s="61">
        <v>54</v>
      </c>
      <c r="T401" s="60">
        <v>54</v>
      </c>
      <c r="U401" s="60">
        <v>56</v>
      </c>
      <c r="V401" s="61">
        <v>55</v>
      </c>
      <c r="Y401" s="61"/>
      <c r="AB401" s="61"/>
      <c r="AE401" s="61"/>
      <c r="AH401" s="61"/>
    </row>
    <row r="402" spans="1:34" s="60" customFormat="1" ht="10" x14ac:dyDescent="0.2">
      <c r="A402" s="58">
        <v>45232</v>
      </c>
      <c r="B402" s="59">
        <f t="shared" si="12"/>
        <v>2023</v>
      </c>
      <c r="C402" s="59"/>
      <c r="D402" s="59">
        <f t="shared" si="13"/>
        <v>11</v>
      </c>
      <c r="E402" s="60">
        <v>47</v>
      </c>
      <c r="F402" s="60">
        <v>48</v>
      </c>
      <c r="G402" s="61">
        <v>48</v>
      </c>
      <c r="H402" s="60">
        <v>60</v>
      </c>
      <c r="I402" s="60">
        <v>61</v>
      </c>
      <c r="J402" s="61">
        <v>60</v>
      </c>
      <c r="K402" s="60">
        <v>30</v>
      </c>
      <c r="L402" s="60">
        <v>33</v>
      </c>
      <c r="M402" s="61">
        <v>32</v>
      </c>
      <c r="N402" s="60">
        <v>103</v>
      </c>
      <c r="O402" s="60">
        <v>108</v>
      </c>
      <c r="P402" s="61">
        <v>106</v>
      </c>
      <c r="Q402" s="60">
        <v>48</v>
      </c>
      <c r="R402" s="60">
        <v>61</v>
      </c>
      <c r="S402" s="61">
        <v>54</v>
      </c>
      <c r="T402" s="60">
        <v>54</v>
      </c>
      <c r="U402" s="60">
        <v>56</v>
      </c>
      <c r="V402" s="61">
        <v>55</v>
      </c>
      <c r="Y402" s="61"/>
      <c r="AB402" s="61"/>
      <c r="AE402" s="61"/>
      <c r="AH402" s="61"/>
    </row>
    <row r="403" spans="1:34" s="60" customFormat="1" ht="10" x14ac:dyDescent="0.2">
      <c r="A403" s="58">
        <v>45239</v>
      </c>
      <c r="B403" s="59">
        <f t="shared" si="12"/>
        <v>2023</v>
      </c>
      <c r="C403" s="59"/>
      <c r="D403" s="59">
        <f t="shared" si="13"/>
        <v>11</v>
      </c>
      <c r="E403" s="60">
        <v>47</v>
      </c>
      <c r="F403" s="60">
        <v>48</v>
      </c>
      <c r="G403" s="61">
        <v>48</v>
      </c>
      <c r="H403" s="60">
        <v>60</v>
      </c>
      <c r="I403" s="60">
        <v>61</v>
      </c>
      <c r="J403" s="61">
        <v>60</v>
      </c>
      <c r="K403" s="60">
        <v>30</v>
      </c>
      <c r="L403" s="60">
        <v>33</v>
      </c>
      <c r="M403" s="61">
        <v>32</v>
      </c>
      <c r="N403" s="60">
        <v>103</v>
      </c>
      <c r="O403" s="60">
        <v>108</v>
      </c>
      <c r="P403" s="61">
        <v>106</v>
      </c>
      <c r="Q403" s="60">
        <v>48</v>
      </c>
      <c r="R403" s="60">
        <v>61</v>
      </c>
      <c r="S403" s="61">
        <v>54</v>
      </c>
      <c r="T403" s="60">
        <v>54</v>
      </c>
      <c r="U403" s="60">
        <v>56</v>
      </c>
      <c r="V403" s="61">
        <v>55</v>
      </c>
      <c r="Y403" s="61"/>
      <c r="AB403" s="61"/>
      <c r="AE403" s="61"/>
      <c r="AH403" s="61"/>
    </row>
    <row r="404" spans="1:34" s="60" customFormat="1" ht="10" x14ac:dyDescent="0.2">
      <c r="A404" s="58">
        <v>45246</v>
      </c>
      <c r="B404" s="59">
        <f t="shared" si="12"/>
        <v>2023</v>
      </c>
      <c r="C404" s="59"/>
      <c r="D404" s="59">
        <f t="shared" si="13"/>
        <v>11</v>
      </c>
      <c r="E404" s="60">
        <v>47</v>
      </c>
      <c r="F404" s="60">
        <v>48</v>
      </c>
      <c r="G404" s="61">
        <v>48</v>
      </c>
      <c r="H404" s="60">
        <v>60</v>
      </c>
      <c r="I404" s="60">
        <v>61</v>
      </c>
      <c r="J404" s="61">
        <v>60</v>
      </c>
      <c r="K404" s="60">
        <v>30</v>
      </c>
      <c r="L404" s="60">
        <v>33</v>
      </c>
      <c r="M404" s="61">
        <v>32</v>
      </c>
      <c r="N404" s="60">
        <v>103</v>
      </c>
      <c r="O404" s="60">
        <v>108</v>
      </c>
      <c r="P404" s="61">
        <v>106</v>
      </c>
      <c r="Q404" s="60">
        <v>48</v>
      </c>
      <c r="R404" s="60">
        <v>61</v>
      </c>
      <c r="S404" s="61">
        <v>54</v>
      </c>
      <c r="T404" s="60">
        <v>54</v>
      </c>
      <c r="U404" s="60">
        <v>56</v>
      </c>
      <c r="V404" s="61">
        <v>55</v>
      </c>
      <c r="Y404" s="61"/>
      <c r="AB404" s="61"/>
      <c r="AE404" s="61"/>
      <c r="AH404" s="61"/>
    </row>
    <row r="405" spans="1:34" s="60" customFormat="1" ht="10" x14ac:dyDescent="0.2">
      <c r="A405" s="58">
        <v>45253</v>
      </c>
      <c r="B405" s="59">
        <f t="shared" si="12"/>
        <v>2023</v>
      </c>
      <c r="C405" s="59"/>
      <c r="D405" s="59">
        <f t="shared" si="13"/>
        <v>11</v>
      </c>
      <c r="E405" s="60">
        <v>45</v>
      </c>
      <c r="F405" s="60">
        <v>46</v>
      </c>
      <c r="G405" s="61">
        <v>46</v>
      </c>
      <c r="H405" s="60">
        <v>59</v>
      </c>
      <c r="I405" s="60">
        <v>60</v>
      </c>
      <c r="J405" s="61">
        <v>60</v>
      </c>
      <c r="K405" s="60">
        <v>30</v>
      </c>
      <c r="L405" s="60">
        <v>33</v>
      </c>
      <c r="M405" s="61">
        <v>32</v>
      </c>
      <c r="N405" s="60">
        <v>103</v>
      </c>
      <c r="O405" s="60">
        <v>108</v>
      </c>
      <c r="P405" s="61">
        <v>106</v>
      </c>
      <c r="Q405" s="60">
        <v>48</v>
      </c>
      <c r="R405" s="60">
        <v>61</v>
      </c>
      <c r="S405" s="61">
        <v>54</v>
      </c>
      <c r="T405" s="60">
        <v>54</v>
      </c>
      <c r="U405" s="60">
        <v>56</v>
      </c>
      <c r="V405" s="61">
        <v>55</v>
      </c>
      <c r="Y405" s="61"/>
      <c r="AB405" s="61"/>
      <c r="AE405" s="61"/>
      <c r="AH405" s="61"/>
    </row>
    <row r="406" spans="1:34" s="60" customFormat="1" ht="10" x14ac:dyDescent="0.2">
      <c r="A406" s="58">
        <v>45260</v>
      </c>
      <c r="B406" s="59">
        <f t="shared" si="12"/>
        <v>2023</v>
      </c>
      <c r="C406" s="59"/>
      <c r="D406" s="59">
        <f t="shared" si="13"/>
        <v>11</v>
      </c>
      <c r="E406" s="60">
        <v>45</v>
      </c>
      <c r="F406" s="60">
        <v>46</v>
      </c>
      <c r="G406" s="61">
        <v>46</v>
      </c>
      <c r="H406" s="60">
        <v>59</v>
      </c>
      <c r="I406" s="60">
        <v>60</v>
      </c>
      <c r="J406" s="61">
        <v>60</v>
      </c>
      <c r="K406" s="60">
        <v>30</v>
      </c>
      <c r="L406" s="60">
        <v>33</v>
      </c>
      <c r="M406" s="61">
        <v>32</v>
      </c>
      <c r="N406" s="60">
        <v>105</v>
      </c>
      <c r="O406" s="60">
        <v>110</v>
      </c>
      <c r="P406" s="61">
        <v>108</v>
      </c>
      <c r="Q406" s="60">
        <v>50</v>
      </c>
      <c r="R406" s="60">
        <v>63</v>
      </c>
      <c r="S406" s="61">
        <v>56</v>
      </c>
      <c r="T406" s="60">
        <v>54</v>
      </c>
      <c r="U406" s="60">
        <v>56</v>
      </c>
      <c r="V406" s="61">
        <v>55</v>
      </c>
      <c r="Y406" s="61"/>
      <c r="AB406" s="61"/>
      <c r="AE406" s="61"/>
      <c r="AH406" s="61"/>
    </row>
    <row r="407" spans="1:34" s="60" customFormat="1" ht="10" x14ac:dyDescent="0.2">
      <c r="A407" s="58">
        <v>45267</v>
      </c>
      <c r="B407" s="59">
        <f t="shared" si="12"/>
        <v>2023</v>
      </c>
      <c r="C407" s="59"/>
      <c r="D407" s="59">
        <f t="shared" si="13"/>
        <v>12</v>
      </c>
      <c r="E407" s="60">
        <v>45</v>
      </c>
      <c r="F407" s="60">
        <v>46</v>
      </c>
      <c r="G407" s="61">
        <v>46</v>
      </c>
      <c r="H407" s="60">
        <v>59</v>
      </c>
      <c r="I407" s="60">
        <v>60</v>
      </c>
      <c r="J407" s="61">
        <v>60</v>
      </c>
      <c r="K407" s="60">
        <v>30</v>
      </c>
      <c r="L407" s="60">
        <v>33</v>
      </c>
      <c r="M407" s="61">
        <v>32</v>
      </c>
      <c r="N407" s="60">
        <v>105</v>
      </c>
      <c r="O407" s="60">
        <v>110</v>
      </c>
      <c r="P407" s="61">
        <v>108</v>
      </c>
      <c r="Q407" s="60">
        <v>50</v>
      </c>
      <c r="R407" s="60">
        <v>63</v>
      </c>
      <c r="S407" s="61">
        <v>56</v>
      </c>
      <c r="T407" s="60">
        <v>54</v>
      </c>
      <c r="U407" s="60">
        <v>56</v>
      </c>
      <c r="V407" s="61">
        <v>55</v>
      </c>
      <c r="Y407" s="61"/>
      <c r="AB407" s="61"/>
      <c r="AE407" s="61"/>
      <c r="AH407" s="61"/>
    </row>
    <row r="408" spans="1:34" s="60" customFormat="1" ht="10" x14ac:dyDescent="0.2">
      <c r="A408" s="58">
        <v>45274</v>
      </c>
      <c r="B408" s="59">
        <f t="shared" si="12"/>
        <v>2023</v>
      </c>
      <c r="C408" s="59"/>
      <c r="D408" s="59">
        <f t="shared" si="13"/>
        <v>12</v>
      </c>
      <c r="E408" s="60">
        <v>45</v>
      </c>
      <c r="F408" s="60">
        <v>46</v>
      </c>
      <c r="G408" s="61">
        <v>46</v>
      </c>
      <c r="H408" s="60">
        <v>59</v>
      </c>
      <c r="I408" s="60">
        <v>60</v>
      </c>
      <c r="J408" s="61">
        <v>60</v>
      </c>
      <c r="K408" s="60">
        <v>31</v>
      </c>
      <c r="L408" s="60">
        <v>34</v>
      </c>
      <c r="M408" s="61">
        <v>32</v>
      </c>
      <c r="N408" s="60">
        <v>105</v>
      </c>
      <c r="O408" s="60">
        <v>110</v>
      </c>
      <c r="P408" s="61">
        <v>108</v>
      </c>
      <c r="Q408" s="60">
        <v>50</v>
      </c>
      <c r="R408" s="60">
        <v>63</v>
      </c>
      <c r="S408" s="61">
        <v>56</v>
      </c>
      <c r="T408" s="60">
        <v>54</v>
      </c>
      <c r="U408" s="60">
        <v>56</v>
      </c>
      <c r="V408" s="61">
        <v>55</v>
      </c>
      <c r="Y408" s="61"/>
      <c r="AB408" s="61"/>
      <c r="AE408" s="61"/>
      <c r="AH408" s="61"/>
    </row>
    <row r="409" spans="1:34" s="60" customFormat="1" ht="10" x14ac:dyDescent="0.2">
      <c r="A409" s="58">
        <v>45281</v>
      </c>
      <c r="B409" s="59">
        <f t="shared" si="12"/>
        <v>2023</v>
      </c>
      <c r="C409" s="59"/>
      <c r="D409" s="59">
        <f t="shared" si="13"/>
        <v>12</v>
      </c>
      <c r="E409" s="60">
        <v>45</v>
      </c>
      <c r="F409" s="60">
        <v>46</v>
      </c>
      <c r="G409" s="61">
        <v>46</v>
      </c>
      <c r="H409" s="60">
        <v>59</v>
      </c>
      <c r="I409" s="60">
        <v>60</v>
      </c>
      <c r="J409" s="61">
        <v>60</v>
      </c>
      <c r="K409" s="60">
        <v>31</v>
      </c>
      <c r="L409" s="60">
        <v>34</v>
      </c>
      <c r="M409" s="61">
        <v>32</v>
      </c>
      <c r="N409" s="60">
        <v>120</v>
      </c>
      <c r="O409" s="60">
        <v>127</v>
      </c>
      <c r="P409" s="61">
        <v>124</v>
      </c>
      <c r="Q409" s="60">
        <v>53</v>
      </c>
      <c r="R409" s="60">
        <v>60</v>
      </c>
      <c r="S409" s="61">
        <v>56</v>
      </c>
      <c r="T409" s="60">
        <v>58</v>
      </c>
      <c r="U409" s="60">
        <v>64</v>
      </c>
      <c r="V409" s="61">
        <v>61</v>
      </c>
      <c r="Y409" s="61"/>
      <c r="AB409" s="61"/>
      <c r="AE409" s="61"/>
      <c r="AH409" s="61"/>
    </row>
    <row r="410" spans="1:34" s="60" customFormat="1" ht="10" x14ac:dyDescent="0.2">
      <c r="A410" s="58">
        <v>45288</v>
      </c>
      <c r="B410" s="59">
        <f t="shared" si="12"/>
        <v>2023</v>
      </c>
      <c r="C410" s="59"/>
      <c r="D410" s="59">
        <f t="shared" si="13"/>
        <v>12</v>
      </c>
      <c r="G410" s="61"/>
      <c r="J410" s="61"/>
      <c r="M410" s="61"/>
      <c r="P410" s="61"/>
      <c r="S410" s="61"/>
      <c r="V410" s="61"/>
      <c r="Y410" s="61"/>
      <c r="AB410" s="61"/>
      <c r="AE410" s="61"/>
      <c r="AH410" s="61"/>
    </row>
    <row r="411" spans="1:34" s="60" customFormat="1" ht="10" x14ac:dyDescent="0.2">
      <c r="A411" s="58">
        <v>45295</v>
      </c>
      <c r="B411" s="59">
        <f t="shared" si="12"/>
        <v>2024</v>
      </c>
      <c r="C411" s="59"/>
      <c r="D411" s="59">
        <f t="shared" si="13"/>
        <v>1</v>
      </c>
      <c r="E411" s="60">
        <v>45</v>
      </c>
      <c r="F411" s="60">
        <v>46</v>
      </c>
      <c r="G411" s="61">
        <v>46</v>
      </c>
      <c r="H411" s="60">
        <v>59</v>
      </c>
      <c r="I411" s="60">
        <v>60</v>
      </c>
      <c r="J411" s="61">
        <v>60</v>
      </c>
      <c r="K411" s="60">
        <v>31</v>
      </c>
      <c r="L411" s="60">
        <v>34</v>
      </c>
      <c r="M411" s="61">
        <v>32</v>
      </c>
      <c r="N411" s="60">
        <v>120</v>
      </c>
      <c r="O411" s="60">
        <v>127</v>
      </c>
      <c r="P411" s="61">
        <v>124</v>
      </c>
      <c r="Q411" s="60">
        <v>53</v>
      </c>
      <c r="R411" s="60">
        <v>60</v>
      </c>
      <c r="S411" s="61">
        <v>56</v>
      </c>
      <c r="T411" s="60">
        <v>58</v>
      </c>
      <c r="U411" s="60">
        <v>64</v>
      </c>
      <c r="V411" s="61">
        <v>61</v>
      </c>
      <c r="Y411" s="61"/>
      <c r="AB411" s="61"/>
      <c r="AE411" s="61"/>
      <c r="AH411" s="61"/>
    </row>
    <row r="412" spans="1:34" s="60" customFormat="1" ht="10" x14ac:dyDescent="0.2">
      <c r="A412" s="58">
        <v>45302</v>
      </c>
      <c r="B412" s="59">
        <f t="shared" si="12"/>
        <v>2024</v>
      </c>
      <c r="C412" s="59"/>
      <c r="D412" s="59">
        <f t="shared" si="13"/>
        <v>1</v>
      </c>
      <c r="E412" s="60">
        <v>45</v>
      </c>
      <c r="F412" s="60">
        <v>46</v>
      </c>
      <c r="G412" s="61">
        <v>46</v>
      </c>
      <c r="H412" s="60">
        <v>59</v>
      </c>
      <c r="I412" s="60">
        <v>60</v>
      </c>
      <c r="J412" s="61">
        <v>60</v>
      </c>
      <c r="K412" s="60">
        <v>31</v>
      </c>
      <c r="L412" s="60">
        <v>34</v>
      </c>
      <c r="M412" s="61">
        <v>32</v>
      </c>
      <c r="N412" s="60">
        <v>120</v>
      </c>
      <c r="O412" s="60">
        <v>127</v>
      </c>
      <c r="P412" s="61">
        <v>124</v>
      </c>
      <c r="Q412" s="60">
        <v>53</v>
      </c>
      <c r="R412" s="60">
        <v>60</v>
      </c>
      <c r="S412" s="61">
        <v>56</v>
      </c>
      <c r="T412" s="60">
        <v>58</v>
      </c>
      <c r="U412" s="60">
        <v>64</v>
      </c>
      <c r="V412" s="61">
        <v>61</v>
      </c>
      <c r="Y412" s="61"/>
      <c r="AB412" s="61"/>
      <c r="AE412" s="61"/>
      <c r="AH412" s="61"/>
    </row>
    <row r="413" spans="1:34" s="60" customFormat="1" ht="10" x14ac:dyDescent="0.2">
      <c r="A413" s="58">
        <v>45309</v>
      </c>
      <c r="B413" s="59">
        <f t="shared" si="12"/>
        <v>2024</v>
      </c>
      <c r="C413" s="59"/>
      <c r="D413" s="59">
        <f t="shared" si="13"/>
        <v>1</v>
      </c>
      <c r="E413" s="60">
        <v>45</v>
      </c>
      <c r="F413" s="60">
        <v>46</v>
      </c>
      <c r="G413" s="61">
        <v>46</v>
      </c>
      <c r="H413" s="60">
        <v>59</v>
      </c>
      <c r="I413" s="60">
        <v>60</v>
      </c>
      <c r="J413" s="61">
        <v>60</v>
      </c>
      <c r="K413" s="60">
        <v>31</v>
      </c>
      <c r="L413" s="60">
        <v>34</v>
      </c>
      <c r="M413" s="61">
        <v>32</v>
      </c>
      <c r="N413" s="60">
        <v>120</v>
      </c>
      <c r="O413" s="60">
        <v>127</v>
      </c>
      <c r="P413" s="61">
        <v>124</v>
      </c>
      <c r="Q413" s="60">
        <v>53</v>
      </c>
      <c r="R413" s="60">
        <v>60</v>
      </c>
      <c r="S413" s="61">
        <v>56</v>
      </c>
      <c r="T413" s="60">
        <v>58</v>
      </c>
      <c r="U413" s="60">
        <v>64</v>
      </c>
      <c r="V413" s="61">
        <v>61</v>
      </c>
      <c r="Y413" s="61"/>
      <c r="AB413" s="61"/>
      <c r="AE413" s="61"/>
      <c r="AH413" s="61"/>
    </row>
    <row r="414" spans="1:34" s="60" customFormat="1" ht="10" x14ac:dyDescent="0.2">
      <c r="A414" s="58">
        <v>45316</v>
      </c>
      <c r="B414" s="59">
        <f t="shared" si="12"/>
        <v>2024</v>
      </c>
      <c r="C414" s="59"/>
      <c r="D414" s="59">
        <f t="shared" si="13"/>
        <v>1</v>
      </c>
      <c r="E414" s="60">
        <v>45</v>
      </c>
      <c r="F414" s="60">
        <v>46</v>
      </c>
      <c r="G414" s="61">
        <v>46</v>
      </c>
      <c r="H414" s="60">
        <v>59</v>
      </c>
      <c r="I414" s="60">
        <v>60</v>
      </c>
      <c r="J414" s="61">
        <v>60</v>
      </c>
      <c r="K414" s="60">
        <v>31</v>
      </c>
      <c r="L414" s="60">
        <v>34</v>
      </c>
      <c r="M414" s="61">
        <v>32</v>
      </c>
      <c r="N414" s="60">
        <v>120</v>
      </c>
      <c r="O414" s="60">
        <v>127</v>
      </c>
      <c r="P414" s="61">
        <v>124</v>
      </c>
      <c r="Q414" s="60">
        <v>53</v>
      </c>
      <c r="R414" s="60">
        <v>60</v>
      </c>
      <c r="S414" s="61">
        <v>56</v>
      </c>
      <c r="T414" s="60">
        <v>58</v>
      </c>
      <c r="U414" s="60">
        <v>64</v>
      </c>
      <c r="V414" s="61">
        <v>61</v>
      </c>
      <c r="Y414" s="61"/>
      <c r="AB414" s="61"/>
      <c r="AE414" s="61"/>
      <c r="AH414" s="61"/>
    </row>
    <row r="415" spans="1:34" s="60" customFormat="1" ht="10" x14ac:dyDescent="0.2">
      <c r="A415" s="58">
        <v>45323</v>
      </c>
      <c r="B415" s="59">
        <f t="shared" si="12"/>
        <v>2024</v>
      </c>
      <c r="C415" s="59"/>
      <c r="D415" s="59">
        <f t="shared" si="13"/>
        <v>2</v>
      </c>
      <c r="E415" s="60">
        <v>45</v>
      </c>
      <c r="F415" s="60">
        <v>46</v>
      </c>
      <c r="G415" s="61">
        <v>46</v>
      </c>
      <c r="H415" s="60">
        <v>59</v>
      </c>
      <c r="I415" s="60">
        <v>60</v>
      </c>
      <c r="J415" s="61">
        <v>60</v>
      </c>
      <c r="K415" s="60">
        <v>31</v>
      </c>
      <c r="L415" s="60">
        <v>34</v>
      </c>
      <c r="M415" s="61">
        <v>32</v>
      </c>
      <c r="N415" s="60">
        <v>120</v>
      </c>
      <c r="O415" s="60">
        <v>127</v>
      </c>
      <c r="P415" s="61">
        <v>124</v>
      </c>
      <c r="Q415" s="60">
        <v>53</v>
      </c>
      <c r="R415" s="60">
        <v>60</v>
      </c>
      <c r="S415" s="61">
        <v>56</v>
      </c>
      <c r="T415" s="60">
        <v>58</v>
      </c>
      <c r="U415" s="60">
        <v>64</v>
      </c>
      <c r="V415" s="61">
        <v>61</v>
      </c>
      <c r="Y415" s="61"/>
      <c r="AB415" s="61"/>
      <c r="AE415" s="61"/>
      <c r="AH415" s="61"/>
    </row>
    <row r="416" spans="1:34" s="60" customFormat="1" ht="10" x14ac:dyDescent="0.2">
      <c r="A416" s="58">
        <v>45330</v>
      </c>
      <c r="B416" s="59">
        <f t="shared" si="12"/>
        <v>2024</v>
      </c>
      <c r="C416" s="59"/>
      <c r="D416" s="59">
        <f t="shared" si="13"/>
        <v>2</v>
      </c>
      <c r="E416" s="60">
        <v>43</v>
      </c>
      <c r="F416" s="60">
        <v>45</v>
      </c>
      <c r="G416" s="61">
        <v>44</v>
      </c>
      <c r="H416" s="60">
        <v>59</v>
      </c>
      <c r="I416" s="60">
        <v>60</v>
      </c>
      <c r="J416" s="61">
        <v>60</v>
      </c>
      <c r="K416" s="60">
        <v>33</v>
      </c>
      <c r="L416" s="60">
        <v>36</v>
      </c>
      <c r="M416" s="61">
        <v>34</v>
      </c>
      <c r="N416" s="60">
        <v>122</v>
      </c>
      <c r="O416" s="60">
        <v>129</v>
      </c>
      <c r="P416" s="61">
        <v>126</v>
      </c>
      <c r="Q416" s="60">
        <v>55</v>
      </c>
      <c r="R416" s="60">
        <v>62</v>
      </c>
      <c r="S416" s="61">
        <v>58</v>
      </c>
      <c r="T416" s="60">
        <v>60</v>
      </c>
      <c r="U416" s="60">
        <v>66</v>
      </c>
      <c r="V416" s="61">
        <v>63</v>
      </c>
      <c r="Y416" s="61"/>
      <c r="AB416" s="61"/>
      <c r="AE416" s="61"/>
      <c r="AH416" s="61"/>
    </row>
    <row r="417" spans="1:34" s="60" customFormat="1" ht="10" x14ac:dyDescent="0.2">
      <c r="A417" s="58">
        <v>45337</v>
      </c>
      <c r="B417" s="59">
        <f t="shared" si="12"/>
        <v>2024</v>
      </c>
      <c r="C417" s="59"/>
      <c r="D417" s="59">
        <f t="shared" si="13"/>
        <v>2</v>
      </c>
      <c r="E417" s="60">
        <v>43</v>
      </c>
      <c r="F417" s="60">
        <v>45</v>
      </c>
      <c r="G417" s="61">
        <v>44</v>
      </c>
      <c r="H417" s="60">
        <v>58</v>
      </c>
      <c r="I417" s="60">
        <v>59</v>
      </c>
      <c r="J417" s="61">
        <v>58</v>
      </c>
      <c r="K417" s="60">
        <v>33</v>
      </c>
      <c r="L417" s="60">
        <v>36</v>
      </c>
      <c r="M417" s="61">
        <v>34</v>
      </c>
      <c r="N417" s="60">
        <v>122</v>
      </c>
      <c r="O417" s="60">
        <v>129</v>
      </c>
      <c r="P417" s="61">
        <v>126</v>
      </c>
      <c r="Q417" s="60">
        <v>55</v>
      </c>
      <c r="R417" s="60">
        <v>62</v>
      </c>
      <c r="S417" s="61">
        <v>58</v>
      </c>
      <c r="T417" s="60">
        <v>60</v>
      </c>
      <c r="U417" s="60">
        <v>66</v>
      </c>
      <c r="V417" s="61">
        <v>63</v>
      </c>
      <c r="Y417" s="61"/>
      <c r="AB417" s="61"/>
      <c r="AE417" s="61"/>
      <c r="AH417" s="61"/>
    </row>
    <row r="418" spans="1:34" s="60" customFormat="1" ht="10" x14ac:dyDescent="0.2">
      <c r="A418" s="58">
        <v>45344</v>
      </c>
      <c r="B418" s="59">
        <f t="shared" si="12"/>
        <v>2024</v>
      </c>
      <c r="C418" s="59"/>
      <c r="D418" s="59">
        <f t="shared" si="13"/>
        <v>2</v>
      </c>
      <c r="E418" s="60">
        <v>44</v>
      </c>
      <c r="F418" s="60">
        <v>46</v>
      </c>
      <c r="G418" s="61">
        <v>45</v>
      </c>
      <c r="H418" s="60">
        <v>58</v>
      </c>
      <c r="I418" s="60">
        <v>59</v>
      </c>
      <c r="J418" s="61">
        <v>58</v>
      </c>
      <c r="K418" s="60">
        <v>33</v>
      </c>
      <c r="L418" s="60">
        <v>36</v>
      </c>
      <c r="M418" s="61">
        <v>34</v>
      </c>
      <c r="N418" s="60">
        <v>122</v>
      </c>
      <c r="O418" s="60">
        <v>129</v>
      </c>
      <c r="P418" s="61">
        <v>126</v>
      </c>
      <c r="Q418" s="60">
        <v>55</v>
      </c>
      <c r="R418" s="60">
        <v>62</v>
      </c>
      <c r="S418" s="61">
        <v>58</v>
      </c>
      <c r="T418" s="60">
        <v>60</v>
      </c>
      <c r="U418" s="60">
        <v>66</v>
      </c>
      <c r="V418" s="61">
        <v>63</v>
      </c>
      <c r="Y418" s="61"/>
      <c r="AB418" s="61"/>
      <c r="AE418" s="61"/>
      <c r="AH418" s="61"/>
    </row>
    <row r="419" spans="1:34" s="60" customFormat="1" ht="10" x14ac:dyDescent="0.2">
      <c r="A419" s="58">
        <v>45351</v>
      </c>
      <c r="B419" s="59">
        <f t="shared" si="12"/>
        <v>2024</v>
      </c>
      <c r="C419" s="59"/>
      <c r="D419" s="59">
        <f t="shared" si="13"/>
        <v>2</v>
      </c>
      <c r="E419" s="60">
        <v>44</v>
      </c>
      <c r="F419" s="60">
        <v>46</v>
      </c>
      <c r="G419" s="61">
        <v>45</v>
      </c>
      <c r="H419" s="60">
        <v>57</v>
      </c>
      <c r="I419" s="60">
        <v>58</v>
      </c>
      <c r="J419" s="61">
        <v>58</v>
      </c>
      <c r="K419" s="60">
        <v>33</v>
      </c>
      <c r="L419" s="60">
        <v>36</v>
      </c>
      <c r="M419" s="61">
        <v>34</v>
      </c>
      <c r="N419" s="60">
        <v>122</v>
      </c>
      <c r="O419" s="60">
        <v>129</v>
      </c>
      <c r="P419" s="61">
        <v>126</v>
      </c>
      <c r="Q419" s="60">
        <v>55</v>
      </c>
      <c r="R419" s="60">
        <v>62</v>
      </c>
      <c r="S419" s="61">
        <v>58</v>
      </c>
      <c r="T419" s="60">
        <v>60</v>
      </c>
      <c r="U419" s="60">
        <v>66</v>
      </c>
      <c r="V419" s="61">
        <v>63</v>
      </c>
      <c r="Y419" s="61"/>
      <c r="AB419" s="61"/>
      <c r="AE419" s="61"/>
      <c r="AH419" s="61"/>
    </row>
    <row r="420" spans="1:34" s="60" customFormat="1" ht="10" x14ac:dyDescent="0.2">
      <c r="A420" s="58">
        <v>45358</v>
      </c>
      <c r="B420" s="59">
        <f t="shared" si="12"/>
        <v>2024</v>
      </c>
      <c r="C420" s="59"/>
      <c r="D420" s="59">
        <f t="shared" si="13"/>
        <v>3</v>
      </c>
      <c r="E420" s="60">
        <v>44</v>
      </c>
      <c r="F420" s="60">
        <v>46</v>
      </c>
      <c r="G420" s="61">
        <v>45</v>
      </c>
      <c r="H420" s="60">
        <v>57</v>
      </c>
      <c r="I420" s="60">
        <v>58</v>
      </c>
      <c r="J420" s="61">
        <v>58</v>
      </c>
      <c r="K420" s="60">
        <v>33</v>
      </c>
      <c r="L420" s="60">
        <v>36</v>
      </c>
      <c r="M420" s="61">
        <v>34</v>
      </c>
      <c r="N420" s="60">
        <v>122</v>
      </c>
      <c r="O420" s="60">
        <v>129</v>
      </c>
      <c r="P420" s="61">
        <v>126</v>
      </c>
      <c r="Q420" s="60">
        <v>55</v>
      </c>
      <c r="R420" s="60">
        <v>62</v>
      </c>
      <c r="S420" s="61">
        <v>58</v>
      </c>
      <c r="T420" s="60">
        <v>60</v>
      </c>
      <c r="U420" s="60">
        <v>66</v>
      </c>
      <c r="V420" s="61">
        <v>63</v>
      </c>
      <c r="Y420" s="61"/>
      <c r="AB420" s="61"/>
      <c r="AE420" s="61"/>
      <c r="AH420" s="61"/>
    </row>
    <row r="421" spans="1:34" s="60" customFormat="1" ht="10" x14ac:dyDescent="0.2">
      <c r="A421" s="58">
        <v>45365</v>
      </c>
      <c r="B421" s="59">
        <f t="shared" si="12"/>
        <v>2024</v>
      </c>
      <c r="C421" s="59"/>
      <c r="D421" s="59">
        <f t="shared" si="13"/>
        <v>3</v>
      </c>
      <c r="E421" s="60">
        <v>43</v>
      </c>
      <c r="F421" s="60">
        <v>45</v>
      </c>
      <c r="G421" s="61">
        <v>44</v>
      </c>
      <c r="H421" s="60">
        <v>66</v>
      </c>
      <c r="I421" s="60">
        <v>69</v>
      </c>
      <c r="J421" s="61">
        <v>68</v>
      </c>
      <c r="K421" s="60">
        <v>33</v>
      </c>
      <c r="L421" s="60">
        <v>36</v>
      </c>
      <c r="M421" s="61">
        <v>34</v>
      </c>
      <c r="N421" s="60">
        <v>122</v>
      </c>
      <c r="O421" s="60">
        <v>129</v>
      </c>
      <c r="P421" s="61">
        <v>126</v>
      </c>
      <c r="Q421" s="60">
        <v>55</v>
      </c>
      <c r="R421" s="60">
        <v>62</v>
      </c>
      <c r="S421" s="61">
        <v>58</v>
      </c>
      <c r="T421" s="60">
        <v>60</v>
      </c>
      <c r="U421" s="60">
        <v>66</v>
      </c>
      <c r="V421" s="61">
        <v>63</v>
      </c>
      <c r="Y421" s="61"/>
      <c r="AB421" s="61"/>
      <c r="AE421" s="61"/>
      <c r="AH421" s="61"/>
    </row>
    <row r="422" spans="1:34" s="60" customFormat="1" ht="10" x14ac:dyDescent="0.2">
      <c r="A422" s="58">
        <v>45372</v>
      </c>
      <c r="B422" s="59">
        <f t="shared" si="12"/>
        <v>2024</v>
      </c>
      <c r="C422" s="59"/>
      <c r="D422" s="59">
        <f t="shared" si="13"/>
        <v>3</v>
      </c>
      <c r="E422" s="60">
        <v>43</v>
      </c>
      <c r="F422" s="60">
        <v>45</v>
      </c>
      <c r="G422" s="61">
        <v>44</v>
      </c>
      <c r="H422" s="60">
        <v>66</v>
      </c>
      <c r="I422" s="60">
        <v>69</v>
      </c>
      <c r="J422" s="61">
        <v>68</v>
      </c>
      <c r="K422" s="60">
        <v>33</v>
      </c>
      <c r="L422" s="60">
        <v>36</v>
      </c>
      <c r="M422" s="61">
        <v>34</v>
      </c>
      <c r="N422" s="60">
        <v>122</v>
      </c>
      <c r="O422" s="60">
        <v>129</v>
      </c>
      <c r="P422" s="61">
        <v>126</v>
      </c>
      <c r="Q422" s="60">
        <v>55</v>
      </c>
      <c r="R422" s="60">
        <v>62</v>
      </c>
      <c r="S422" s="61">
        <v>58</v>
      </c>
      <c r="T422" s="60">
        <v>60</v>
      </c>
      <c r="U422" s="60">
        <v>66</v>
      </c>
      <c r="V422" s="61">
        <v>63</v>
      </c>
      <c r="Y422" s="61"/>
      <c r="AB422" s="61"/>
      <c r="AE422" s="61"/>
      <c r="AH422" s="61"/>
    </row>
    <row r="423" spans="1:34" s="60" customFormat="1" ht="10" x14ac:dyDescent="0.2">
      <c r="A423" s="58">
        <v>45379</v>
      </c>
      <c r="B423" s="59">
        <f t="shared" si="12"/>
        <v>2024</v>
      </c>
      <c r="C423" s="59"/>
      <c r="D423" s="59">
        <f t="shared" si="13"/>
        <v>3</v>
      </c>
      <c r="E423" s="60">
        <v>43</v>
      </c>
      <c r="F423" s="60">
        <v>46</v>
      </c>
      <c r="G423" s="61">
        <v>44</v>
      </c>
      <c r="H423" s="60">
        <v>66</v>
      </c>
      <c r="I423" s="60">
        <v>69</v>
      </c>
      <c r="J423" s="61">
        <v>68</v>
      </c>
      <c r="K423" s="60">
        <v>33</v>
      </c>
      <c r="L423" s="60">
        <v>36</v>
      </c>
      <c r="M423" s="61">
        <v>34</v>
      </c>
      <c r="N423" s="60">
        <v>122</v>
      </c>
      <c r="O423" s="60">
        <v>129</v>
      </c>
      <c r="P423" s="61">
        <v>126</v>
      </c>
      <c r="Q423" s="60">
        <v>55</v>
      </c>
      <c r="R423" s="60">
        <v>62</v>
      </c>
      <c r="S423" s="61">
        <v>58</v>
      </c>
      <c r="T423" s="60">
        <v>60</v>
      </c>
      <c r="U423" s="60">
        <v>66</v>
      </c>
      <c r="V423" s="61">
        <v>63</v>
      </c>
      <c r="Y423" s="61"/>
      <c r="AB423" s="61"/>
      <c r="AE423" s="61"/>
      <c r="AH423" s="61"/>
    </row>
    <row r="424" spans="1:34" s="60" customFormat="1" ht="10" x14ac:dyDescent="0.2">
      <c r="A424" s="58">
        <v>45386</v>
      </c>
      <c r="B424" s="59">
        <f t="shared" si="12"/>
        <v>2024</v>
      </c>
      <c r="C424" s="59"/>
      <c r="D424" s="59">
        <f t="shared" si="13"/>
        <v>4</v>
      </c>
      <c r="E424" s="60">
        <v>43</v>
      </c>
      <c r="F424" s="60">
        <v>46</v>
      </c>
      <c r="G424" s="61">
        <v>44</v>
      </c>
      <c r="H424" s="60">
        <v>59</v>
      </c>
      <c r="I424" s="60">
        <v>62</v>
      </c>
      <c r="J424" s="61">
        <v>60</v>
      </c>
      <c r="K424" s="60">
        <v>31</v>
      </c>
      <c r="L424" s="60">
        <v>34</v>
      </c>
      <c r="M424" s="61">
        <v>32</v>
      </c>
      <c r="N424" s="60">
        <v>125</v>
      </c>
      <c r="O424" s="60">
        <v>132</v>
      </c>
      <c r="P424" s="61">
        <v>128</v>
      </c>
      <c r="Q424" s="60">
        <v>55</v>
      </c>
      <c r="R424" s="60">
        <v>62</v>
      </c>
      <c r="S424" s="61">
        <v>58</v>
      </c>
      <c r="T424" s="60">
        <v>58</v>
      </c>
      <c r="U424" s="60">
        <v>64</v>
      </c>
      <c r="V424" s="61">
        <v>61</v>
      </c>
      <c r="Y424" s="61"/>
      <c r="AB424" s="61"/>
      <c r="AE424" s="61"/>
      <c r="AH424" s="61"/>
    </row>
    <row r="425" spans="1:34" s="60" customFormat="1" ht="10" x14ac:dyDescent="0.2">
      <c r="A425" s="58">
        <v>45393</v>
      </c>
      <c r="B425" s="59">
        <f t="shared" si="12"/>
        <v>2024</v>
      </c>
      <c r="C425" s="59"/>
      <c r="D425" s="59">
        <f t="shared" si="13"/>
        <v>4</v>
      </c>
      <c r="E425" s="60">
        <v>43</v>
      </c>
      <c r="F425" s="60">
        <v>46</v>
      </c>
      <c r="G425" s="61">
        <v>44</v>
      </c>
      <c r="H425" s="60">
        <v>59</v>
      </c>
      <c r="I425" s="60">
        <v>62</v>
      </c>
      <c r="J425" s="61">
        <v>60</v>
      </c>
      <c r="K425" s="60">
        <v>31</v>
      </c>
      <c r="L425" s="60">
        <v>34</v>
      </c>
      <c r="M425" s="61">
        <v>32</v>
      </c>
      <c r="N425" s="60">
        <v>125</v>
      </c>
      <c r="O425" s="60">
        <v>132</v>
      </c>
      <c r="P425" s="61">
        <v>128</v>
      </c>
      <c r="Q425" s="60">
        <v>55</v>
      </c>
      <c r="R425" s="60">
        <v>62</v>
      </c>
      <c r="S425" s="61">
        <v>58</v>
      </c>
      <c r="T425" s="60">
        <v>58</v>
      </c>
      <c r="U425" s="60">
        <v>64</v>
      </c>
      <c r="V425" s="61">
        <v>61</v>
      </c>
      <c r="Y425" s="61"/>
      <c r="AB425" s="61"/>
      <c r="AE425" s="61"/>
      <c r="AH425" s="61"/>
    </row>
    <row r="426" spans="1:34" s="60" customFormat="1" ht="10" x14ac:dyDescent="0.2">
      <c r="A426" s="58">
        <v>45400</v>
      </c>
      <c r="B426" s="59">
        <f t="shared" si="12"/>
        <v>2024</v>
      </c>
      <c r="C426" s="59"/>
      <c r="D426" s="59">
        <f t="shared" si="13"/>
        <v>4</v>
      </c>
      <c r="E426" s="60">
        <v>43</v>
      </c>
      <c r="F426" s="60">
        <v>46</v>
      </c>
      <c r="G426" s="61">
        <v>44</v>
      </c>
      <c r="H426" s="60">
        <v>59</v>
      </c>
      <c r="I426" s="60">
        <v>62</v>
      </c>
      <c r="J426" s="61">
        <v>60</v>
      </c>
      <c r="K426" s="60">
        <v>31</v>
      </c>
      <c r="L426" s="60">
        <v>34</v>
      </c>
      <c r="M426" s="61">
        <v>32</v>
      </c>
      <c r="N426" s="60">
        <v>125</v>
      </c>
      <c r="O426" s="60">
        <v>132</v>
      </c>
      <c r="P426" s="61">
        <v>128</v>
      </c>
      <c r="Q426" s="60">
        <v>55</v>
      </c>
      <c r="R426" s="60">
        <v>62</v>
      </c>
      <c r="S426" s="61">
        <v>58</v>
      </c>
      <c r="T426" s="60">
        <v>58</v>
      </c>
      <c r="U426" s="60">
        <v>64</v>
      </c>
      <c r="V426" s="61">
        <v>61</v>
      </c>
      <c r="Y426" s="61"/>
      <c r="AB426" s="61"/>
      <c r="AE426" s="61"/>
      <c r="AH426" s="61"/>
    </row>
    <row r="427" spans="1:34" s="60" customFormat="1" ht="10" x14ac:dyDescent="0.2">
      <c r="A427" s="58">
        <v>45407</v>
      </c>
      <c r="B427" s="59">
        <f t="shared" si="12"/>
        <v>2024</v>
      </c>
      <c r="C427" s="59"/>
      <c r="D427" s="59">
        <f t="shared" si="13"/>
        <v>4</v>
      </c>
      <c r="E427" s="60">
        <v>43</v>
      </c>
      <c r="F427" s="60">
        <v>46</v>
      </c>
      <c r="G427" s="61">
        <v>44</v>
      </c>
      <c r="H427" s="60">
        <v>59</v>
      </c>
      <c r="I427" s="60">
        <v>62</v>
      </c>
      <c r="J427" s="61">
        <v>60</v>
      </c>
      <c r="K427" s="60">
        <v>31</v>
      </c>
      <c r="L427" s="60">
        <v>34</v>
      </c>
      <c r="M427" s="61">
        <v>32</v>
      </c>
      <c r="N427" s="60">
        <v>125</v>
      </c>
      <c r="O427" s="60">
        <v>132</v>
      </c>
      <c r="P427" s="61">
        <v>128</v>
      </c>
      <c r="Q427" s="60">
        <v>55</v>
      </c>
      <c r="R427" s="60">
        <v>62</v>
      </c>
      <c r="S427" s="61">
        <v>58</v>
      </c>
      <c r="T427" s="60">
        <v>58</v>
      </c>
      <c r="U427" s="60">
        <v>64</v>
      </c>
      <c r="V427" s="61">
        <v>61</v>
      </c>
      <c r="Y427" s="61"/>
      <c r="AB427" s="61"/>
      <c r="AE427" s="61"/>
      <c r="AH427" s="61"/>
    </row>
    <row r="428" spans="1:34" s="60" customFormat="1" ht="10" x14ac:dyDescent="0.2">
      <c r="A428" s="58">
        <v>45414</v>
      </c>
      <c r="B428" s="59">
        <f t="shared" si="12"/>
        <v>2024</v>
      </c>
      <c r="C428" s="59"/>
      <c r="D428" s="59">
        <f t="shared" si="13"/>
        <v>5</v>
      </c>
      <c r="E428" s="60">
        <v>43</v>
      </c>
      <c r="F428" s="60">
        <v>46</v>
      </c>
      <c r="G428" s="61">
        <v>44</v>
      </c>
      <c r="H428" s="60">
        <v>59</v>
      </c>
      <c r="I428" s="60">
        <v>62</v>
      </c>
      <c r="J428" s="61">
        <v>60</v>
      </c>
      <c r="K428" s="60">
        <v>31</v>
      </c>
      <c r="L428" s="60">
        <v>34</v>
      </c>
      <c r="M428" s="61">
        <v>32</v>
      </c>
      <c r="N428" s="60">
        <v>125</v>
      </c>
      <c r="O428" s="60">
        <v>132</v>
      </c>
      <c r="P428" s="61">
        <v>128</v>
      </c>
      <c r="Q428" s="60">
        <v>55</v>
      </c>
      <c r="R428" s="60">
        <v>62</v>
      </c>
      <c r="S428" s="61">
        <v>58</v>
      </c>
      <c r="T428" s="60">
        <v>58</v>
      </c>
      <c r="U428" s="60">
        <v>64</v>
      </c>
      <c r="V428" s="61">
        <v>61</v>
      </c>
      <c r="Y428" s="61"/>
      <c r="AB428" s="61"/>
      <c r="AE428" s="61"/>
      <c r="AH428" s="61"/>
    </row>
    <row r="429" spans="1:34" s="60" customFormat="1" ht="10" x14ac:dyDescent="0.2">
      <c r="A429" s="58">
        <v>45421</v>
      </c>
      <c r="B429" s="59">
        <f t="shared" si="12"/>
        <v>2024</v>
      </c>
      <c r="C429" s="59"/>
      <c r="D429" s="59">
        <f t="shared" si="13"/>
        <v>5</v>
      </c>
      <c r="E429" s="60">
        <v>43</v>
      </c>
      <c r="F429" s="60">
        <v>46</v>
      </c>
      <c r="G429" s="61">
        <v>44</v>
      </c>
      <c r="H429" s="60">
        <v>59</v>
      </c>
      <c r="I429" s="60">
        <v>62</v>
      </c>
      <c r="J429" s="61">
        <v>60</v>
      </c>
      <c r="K429" s="60">
        <v>31</v>
      </c>
      <c r="L429" s="60">
        <v>34</v>
      </c>
      <c r="M429" s="61">
        <v>32</v>
      </c>
      <c r="N429" s="60">
        <v>125</v>
      </c>
      <c r="O429" s="60">
        <v>132</v>
      </c>
      <c r="P429" s="61">
        <v>128</v>
      </c>
      <c r="Q429" s="60">
        <v>55</v>
      </c>
      <c r="R429" s="60">
        <v>62</v>
      </c>
      <c r="S429" s="61">
        <v>58</v>
      </c>
      <c r="T429" s="60">
        <v>58</v>
      </c>
      <c r="U429" s="60">
        <v>64</v>
      </c>
      <c r="V429" s="61">
        <v>61</v>
      </c>
      <c r="Y429" s="61"/>
      <c r="AB429" s="61"/>
      <c r="AE429" s="61"/>
      <c r="AH429" s="61"/>
    </row>
    <row r="430" spans="1:34" s="60" customFormat="1" ht="10" x14ac:dyDescent="0.2">
      <c r="A430" s="58">
        <v>45428</v>
      </c>
      <c r="B430" s="59">
        <f t="shared" si="12"/>
        <v>2024</v>
      </c>
      <c r="C430" s="59"/>
      <c r="D430" s="59">
        <f t="shared" si="13"/>
        <v>5</v>
      </c>
      <c r="E430" s="60">
        <v>43</v>
      </c>
      <c r="F430" s="60">
        <v>46</v>
      </c>
      <c r="G430" s="61">
        <v>44</v>
      </c>
      <c r="H430" s="60">
        <v>55</v>
      </c>
      <c r="I430" s="60">
        <v>58</v>
      </c>
      <c r="J430" s="61">
        <v>56</v>
      </c>
      <c r="K430" s="60">
        <v>30</v>
      </c>
      <c r="L430" s="60">
        <v>33</v>
      </c>
      <c r="M430" s="61">
        <v>32</v>
      </c>
      <c r="N430" s="60">
        <v>127</v>
      </c>
      <c r="O430" s="60">
        <v>134</v>
      </c>
      <c r="P430" s="61">
        <v>130</v>
      </c>
      <c r="Q430" s="60">
        <v>55</v>
      </c>
      <c r="R430" s="60">
        <v>62</v>
      </c>
      <c r="S430" s="61">
        <v>58</v>
      </c>
      <c r="T430" s="60">
        <v>58</v>
      </c>
      <c r="U430" s="60">
        <v>64</v>
      </c>
      <c r="V430" s="61">
        <v>61</v>
      </c>
      <c r="Y430" s="61"/>
      <c r="AB430" s="61"/>
      <c r="AE430" s="61"/>
      <c r="AH430" s="61"/>
    </row>
    <row r="431" spans="1:34" s="60" customFormat="1" ht="10" x14ac:dyDescent="0.2">
      <c r="A431" s="58">
        <v>45435</v>
      </c>
      <c r="B431" s="59">
        <f t="shared" si="12"/>
        <v>2024</v>
      </c>
      <c r="C431" s="59"/>
      <c r="D431" s="59">
        <f t="shared" si="13"/>
        <v>5</v>
      </c>
      <c r="E431" s="60">
        <v>43</v>
      </c>
      <c r="F431" s="60">
        <v>46</v>
      </c>
      <c r="G431" s="61">
        <v>44</v>
      </c>
      <c r="H431" s="60">
        <v>55</v>
      </c>
      <c r="I431" s="60">
        <v>58</v>
      </c>
      <c r="J431" s="61">
        <v>56</v>
      </c>
      <c r="K431" s="60">
        <v>30</v>
      </c>
      <c r="L431" s="60">
        <v>33</v>
      </c>
      <c r="M431" s="61">
        <v>32</v>
      </c>
      <c r="N431" s="60">
        <v>127</v>
      </c>
      <c r="O431" s="60">
        <v>134</v>
      </c>
      <c r="P431" s="61">
        <v>130</v>
      </c>
      <c r="Q431" s="60">
        <v>55</v>
      </c>
      <c r="R431" s="60">
        <v>62</v>
      </c>
      <c r="S431" s="61">
        <v>58</v>
      </c>
      <c r="T431" s="60">
        <v>58</v>
      </c>
      <c r="U431" s="60">
        <v>64</v>
      </c>
      <c r="V431" s="61">
        <v>61</v>
      </c>
      <c r="Y431" s="61"/>
      <c r="AB431" s="61"/>
      <c r="AE431" s="61"/>
      <c r="AH431" s="61"/>
    </row>
    <row r="432" spans="1:34" s="60" customFormat="1" ht="10" x14ac:dyDescent="0.2">
      <c r="A432" s="58">
        <v>45442</v>
      </c>
      <c r="B432" s="59">
        <f t="shared" si="12"/>
        <v>2024</v>
      </c>
      <c r="C432" s="59"/>
      <c r="D432" s="59">
        <f t="shared" si="13"/>
        <v>5</v>
      </c>
      <c r="E432" s="60">
        <v>43</v>
      </c>
      <c r="F432" s="60">
        <v>46</v>
      </c>
      <c r="G432" s="61">
        <v>44</v>
      </c>
      <c r="H432" s="60">
        <v>55</v>
      </c>
      <c r="I432" s="60">
        <v>58</v>
      </c>
      <c r="J432" s="61">
        <v>56</v>
      </c>
      <c r="K432" s="60">
        <v>30</v>
      </c>
      <c r="L432" s="60">
        <v>33</v>
      </c>
      <c r="M432" s="61">
        <v>32</v>
      </c>
      <c r="N432" s="60">
        <v>127</v>
      </c>
      <c r="O432" s="60">
        <v>134</v>
      </c>
      <c r="P432" s="61">
        <v>130</v>
      </c>
      <c r="Q432" s="60">
        <v>55</v>
      </c>
      <c r="R432" s="60">
        <v>62</v>
      </c>
      <c r="S432" s="61">
        <v>58</v>
      </c>
      <c r="T432" s="60">
        <v>58</v>
      </c>
      <c r="U432" s="60">
        <v>64</v>
      </c>
      <c r="V432" s="61">
        <v>61</v>
      </c>
      <c r="Y432" s="61"/>
      <c r="AB432" s="61"/>
      <c r="AE432" s="61"/>
      <c r="AH432" s="61"/>
    </row>
    <row r="433" spans="1:34" s="60" customFormat="1" ht="10" x14ac:dyDescent="0.2">
      <c r="A433" s="58">
        <v>45449</v>
      </c>
      <c r="B433" s="59">
        <f t="shared" si="12"/>
        <v>2024</v>
      </c>
      <c r="C433" s="59"/>
      <c r="D433" s="59">
        <f t="shared" si="13"/>
        <v>6</v>
      </c>
      <c r="E433" s="60">
        <v>43</v>
      </c>
      <c r="F433" s="60">
        <v>46</v>
      </c>
      <c r="G433" s="61">
        <v>44</v>
      </c>
      <c r="H433" s="60">
        <v>55</v>
      </c>
      <c r="I433" s="60">
        <v>58</v>
      </c>
      <c r="J433" s="61">
        <v>56</v>
      </c>
      <c r="K433" s="60">
        <v>30</v>
      </c>
      <c r="L433" s="60">
        <v>33</v>
      </c>
      <c r="M433" s="61">
        <v>32</v>
      </c>
      <c r="N433" s="60">
        <v>127</v>
      </c>
      <c r="O433" s="60">
        <v>134</v>
      </c>
      <c r="P433" s="61">
        <v>130</v>
      </c>
      <c r="Q433" s="60">
        <v>55</v>
      </c>
      <c r="R433" s="60">
        <v>62</v>
      </c>
      <c r="S433" s="61">
        <v>58</v>
      </c>
      <c r="T433" s="60">
        <v>58</v>
      </c>
      <c r="U433" s="60">
        <v>64</v>
      </c>
      <c r="V433" s="61">
        <v>61</v>
      </c>
      <c r="Y433" s="61"/>
      <c r="AB433" s="61"/>
      <c r="AE433" s="61"/>
      <c r="AH433" s="61"/>
    </row>
    <row r="434" spans="1:34" s="60" customFormat="1" ht="10" x14ac:dyDescent="0.2">
      <c r="A434" s="58">
        <v>45456</v>
      </c>
      <c r="B434" s="59">
        <f t="shared" si="12"/>
        <v>2024</v>
      </c>
      <c r="C434" s="59"/>
      <c r="D434" s="59">
        <f t="shared" si="13"/>
        <v>6</v>
      </c>
      <c r="E434" s="60">
        <v>42</v>
      </c>
      <c r="F434" s="60">
        <v>45</v>
      </c>
      <c r="G434" s="61">
        <v>44</v>
      </c>
      <c r="H434" s="60">
        <v>54</v>
      </c>
      <c r="I434" s="60">
        <v>57</v>
      </c>
      <c r="J434" s="61">
        <v>56</v>
      </c>
      <c r="K434" s="60">
        <v>30</v>
      </c>
      <c r="L434" s="60">
        <v>33</v>
      </c>
      <c r="M434" s="61">
        <v>32</v>
      </c>
      <c r="N434" s="60">
        <v>127</v>
      </c>
      <c r="O434" s="60">
        <v>134</v>
      </c>
      <c r="P434" s="61">
        <v>130</v>
      </c>
      <c r="Q434" s="60">
        <v>55</v>
      </c>
      <c r="R434" s="60">
        <v>62</v>
      </c>
      <c r="S434" s="61">
        <v>58</v>
      </c>
      <c r="T434" s="60">
        <v>58</v>
      </c>
      <c r="U434" s="60">
        <v>64</v>
      </c>
      <c r="V434" s="61">
        <v>61</v>
      </c>
      <c r="Y434" s="61"/>
      <c r="AB434" s="61"/>
      <c r="AE434" s="61"/>
      <c r="AH434" s="61"/>
    </row>
    <row r="435" spans="1:34" s="60" customFormat="1" ht="10" x14ac:dyDescent="0.2">
      <c r="A435" s="58">
        <v>45463</v>
      </c>
      <c r="B435" s="59">
        <f t="shared" si="12"/>
        <v>2024</v>
      </c>
      <c r="C435" s="59"/>
      <c r="D435" s="59">
        <f t="shared" si="13"/>
        <v>6</v>
      </c>
      <c r="E435" s="60">
        <v>40</v>
      </c>
      <c r="F435" s="60">
        <v>43</v>
      </c>
      <c r="G435" s="61">
        <v>42</v>
      </c>
      <c r="H435" s="60">
        <v>53</v>
      </c>
      <c r="I435" s="60">
        <v>56</v>
      </c>
      <c r="J435" s="61">
        <v>54</v>
      </c>
      <c r="K435" s="60">
        <v>30</v>
      </c>
      <c r="L435" s="60">
        <v>33</v>
      </c>
      <c r="M435" s="61">
        <v>32</v>
      </c>
      <c r="N435" s="60">
        <v>127</v>
      </c>
      <c r="O435" s="60">
        <v>134</v>
      </c>
      <c r="P435" s="61">
        <v>130</v>
      </c>
      <c r="Q435" s="60">
        <v>55</v>
      </c>
      <c r="R435" s="60">
        <v>62</v>
      </c>
      <c r="S435" s="61">
        <v>58</v>
      </c>
      <c r="T435" s="60">
        <v>58</v>
      </c>
      <c r="U435" s="60">
        <v>64</v>
      </c>
      <c r="V435" s="61">
        <v>61</v>
      </c>
      <c r="Y435" s="61"/>
      <c r="AB435" s="61"/>
      <c r="AE435" s="61"/>
      <c r="AH435" s="61"/>
    </row>
    <row r="436" spans="1:34" s="60" customFormat="1" ht="10" x14ac:dyDescent="0.2">
      <c r="A436" s="58">
        <v>45470</v>
      </c>
      <c r="B436" s="59">
        <f t="shared" si="12"/>
        <v>2024</v>
      </c>
      <c r="C436" s="59"/>
      <c r="D436" s="59">
        <f t="shared" si="13"/>
        <v>6</v>
      </c>
      <c r="E436" s="60">
        <v>40</v>
      </c>
      <c r="F436" s="60">
        <v>43</v>
      </c>
      <c r="G436" s="61">
        <v>42</v>
      </c>
      <c r="H436" s="60">
        <v>53</v>
      </c>
      <c r="I436" s="60">
        <v>56</v>
      </c>
      <c r="J436" s="61">
        <v>54</v>
      </c>
      <c r="K436" s="60">
        <v>30</v>
      </c>
      <c r="L436" s="60">
        <v>33</v>
      </c>
      <c r="M436" s="61">
        <v>32</v>
      </c>
      <c r="N436" s="60">
        <v>127</v>
      </c>
      <c r="O436" s="60">
        <v>134</v>
      </c>
      <c r="P436" s="61">
        <v>130</v>
      </c>
      <c r="Q436" s="60">
        <v>55</v>
      </c>
      <c r="R436" s="60">
        <v>62</v>
      </c>
      <c r="S436" s="61">
        <v>58</v>
      </c>
      <c r="T436" s="60">
        <v>58</v>
      </c>
      <c r="U436" s="60">
        <v>64</v>
      </c>
      <c r="V436" s="61">
        <v>61</v>
      </c>
      <c r="Y436" s="61"/>
      <c r="AB436" s="61"/>
      <c r="AE436" s="61"/>
      <c r="AH436" s="61"/>
    </row>
    <row r="437" spans="1:34" s="60" customFormat="1" ht="10" x14ac:dyDescent="0.2">
      <c r="A437" s="58">
        <v>45477</v>
      </c>
      <c r="B437" s="59">
        <f t="shared" si="12"/>
        <v>2024</v>
      </c>
      <c r="C437" s="59"/>
      <c r="D437" s="59">
        <f t="shared" si="13"/>
        <v>7</v>
      </c>
      <c r="E437" s="60">
        <v>39</v>
      </c>
      <c r="F437" s="60">
        <v>42</v>
      </c>
      <c r="G437" s="61">
        <v>40</v>
      </c>
      <c r="H437" s="60">
        <v>52</v>
      </c>
      <c r="I437" s="60">
        <v>55</v>
      </c>
      <c r="J437" s="61">
        <v>54</v>
      </c>
      <c r="K437" s="60">
        <v>29</v>
      </c>
      <c r="L437" s="60">
        <v>32</v>
      </c>
      <c r="M437" s="61">
        <v>30</v>
      </c>
      <c r="N437" s="60">
        <v>126</v>
      </c>
      <c r="O437" s="60">
        <v>133</v>
      </c>
      <c r="P437" s="61">
        <v>130</v>
      </c>
      <c r="Q437" s="60">
        <v>54</v>
      </c>
      <c r="R437" s="60">
        <v>61</v>
      </c>
      <c r="S437" s="61">
        <v>58</v>
      </c>
      <c r="T437" s="60">
        <v>57</v>
      </c>
      <c r="U437" s="60">
        <v>63</v>
      </c>
      <c r="V437" s="61">
        <v>60</v>
      </c>
      <c r="Y437" s="61"/>
      <c r="AB437" s="61"/>
      <c r="AE437" s="61"/>
      <c r="AH437" s="61"/>
    </row>
    <row r="438" spans="1:34" s="60" customFormat="1" ht="10" x14ac:dyDescent="0.2">
      <c r="A438" s="58">
        <v>45484</v>
      </c>
      <c r="B438" s="59">
        <f t="shared" si="12"/>
        <v>2024</v>
      </c>
      <c r="C438" s="59"/>
      <c r="D438" s="59">
        <f t="shared" si="13"/>
        <v>7</v>
      </c>
      <c r="E438" s="60">
        <v>39</v>
      </c>
      <c r="F438" s="60">
        <v>42</v>
      </c>
      <c r="G438" s="61">
        <v>40</v>
      </c>
      <c r="H438" s="60">
        <v>52</v>
      </c>
      <c r="I438" s="60">
        <v>55</v>
      </c>
      <c r="J438" s="61">
        <v>54</v>
      </c>
      <c r="K438" s="60">
        <v>29</v>
      </c>
      <c r="L438" s="60">
        <v>32</v>
      </c>
      <c r="M438" s="61">
        <v>30</v>
      </c>
      <c r="N438" s="60">
        <v>126</v>
      </c>
      <c r="O438" s="60">
        <v>133</v>
      </c>
      <c r="P438" s="61">
        <v>130</v>
      </c>
      <c r="Q438" s="60">
        <v>54</v>
      </c>
      <c r="R438" s="60">
        <v>61</v>
      </c>
      <c r="S438" s="61">
        <v>58</v>
      </c>
      <c r="T438" s="60">
        <v>57</v>
      </c>
      <c r="U438" s="60">
        <v>63</v>
      </c>
      <c r="V438" s="61">
        <v>60</v>
      </c>
      <c r="Y438" s="61"/>
      <c r="AB438" s="61"/>
      <c r="AE438" s="61"/>
      <c r="AH438" s="61"/>
    </row>
    <row r="439" spans="1:34" s="60" customFormat="1" ht="10" x14ac:dyDescent="0.2">
      <c r="A439" s="58">
        <v>45491</v>
      </c>
      <c r="B439" s="59">
        <f t="shared" si="12"/>
        <v>2024</v>
      </c>
      <c r="C439" s="59"/>
      <c r="D439" s="59">
        <f t="shared" si="13"/>
        <v>7</v>
      </c>
      <c r="E439" s="60">
        <v>39</v>
      </c>
      <c r="F439" s="60">
        <v>42</v>
      </c>
      <c r="G439" s="61">
        <v>40</v>
      </c>
      <c r="H439" s="60">
        <v>52</v>
      </c>
      <c r="I439" s="60">
        <v>55</v>
      </c>
      <c r="J439" s="61">
        <v>54</v>
      </c>
      <c r="K439" s="60">
        <v>29</v>
      </c>
      <c r="L439" s="60">
        <v>32</v>
      </c>
      <c r="M439" s="61">
        <v>30</v>
      </c>
      <c r="N439" s="60">
        <v>126</v>
      </c>
      <c r="O439" s="60">
        <v>133</v>
      </c>
      <c r="P439" s="61">
        <v>130</v>
      </c>
      <c r="Q439" s="60">
        <v>54</v>
      </c>
      <c r="R439" s="60">
        <v>61</v>
      </c>
      <c r="S439" s="61">
        <v>58</v>
      </c>
      <c r="T439" s="60">
        <v>57</v>
      </c>
      <c r="U439" s="60">
        <v>63</v>
      </c>
      <c r="V439" s="61">
        <v>60</v>
      </c>
      <c r="Y439" s="61"/>
      <c r="AB439" s="61"/>
      <c r="AE439" s="61"/>
      <c r="AH439" s="61"/>
    </row>
    <row r="440" spans="1:34" s="60" customFormat="1" ht="10" x14ac:dyDescent="0.2">
      <c r="A440" s="58">
        <v>45498</v>
      </c>
      <c r="B440" s="59">
        <f t="shared" si="12"/>
        <v>2024</v>
      </c>
      <c r="C440" s="59"/>
      <c r="D440" s="59">
        <f t="shared" si="13"/>
        <v>7</v>
      </c>
      <c r="E440" s="60">
        <v>39</v>
      </c>
      <c r="F440" s="60">
        <v>42</v>
      </c>
      <c r="G440" s="61">
        <v>40</v>
      </c>
      <c r="H440" s="60">
        <v>52</v>
      </c>
      <c r="I440" s="60">
        <v>55</v>
      </c>
      <c r="J440" s="61">
        <v>54</v>
      </c>
      <c r="K440" s="60">
        <v>29</v>
      </c>
      <c r="L440" s="60">
        <v>32</v>
      </c>
      <c r="M440" s="61">
        <v>30</v>
      </c>
      <c r="N440" s="60">
        <v>126</v>
      </c>
      <c r="O440" s="60">
        <v>133</v>
      </c>
      <c r="P440" s="61">
        <v>130</v>
      </c>
      <c r="Q440" s="60">
        <v>54</v>
      </c>
      <c r="R440" s="60">
        <v>61</v>
      </c>
      <c r="S440" s="61">
        <v>58</v>
      </c>
      <c r="T440" s="60">
        <v>57</v>
      </c>
      <c r="U440" s="60">
        <v>63</v>
      </c>
      <c r="V440" s="61">
        <v>60</v>
      </c>
      <c r="Y440" s="61"/>
      <c r="AB440" s="61"/>
      <c r="AE440" s="61"/>
      <c r="AH440" s="61"/>
    </row>
    <row r="441" spans="1:34" s="60" customFormat="1" ht="10" x14ac:dyDescent="0.2">
      <c r="A441" s="58">
        <v>45505</v>
      </c>
      <c r="B441" s="59">
        <f t="shared" si="12"/>
        <v>2024</v>
      </c>
      <c r="C441" s="59"/>
      <c r="D441" s="59">
        <f t="shared" si="13"/>
        <v>8</v>
      </c>
      <c r="E441" s="60">
        <v>39</v>
      </c>
      <c r="F441" s="60">
        <v>42</v>
      </c>
      <c r="G441" s="61">
        <v>40</v>
      </c>
      <c r="H441" s="60">
        <v>52</v>
      </c>
      <c r="I441" s="60">
        <v>55</v>
      </c>
      <c r="J441" s="61">
        <v>54</v>
      </c>
      <c r="K441" s="60">
        <v>29</v>
      </c>
      <c r="L441" s="60">
        <v>32</v>
      </c>
      <c r="M441" s="61">
        <v>30</v>
      </c>
      <c r="N441" s="60">
        <v>126</v>
      </c>
      <c r="O441" s="60">
        <v>133</v>
      </c>
      <c r="P441" s="61">
        <v>130</v>
      </c>
      <c r="Q441" s="60">
        <v>54</v>
      </c>
      <c r="R441" s="60">
        <v>61</v>
      </c>
      <c r="S441" s="61">
        <v>58</v>
      </c>
      <c r="T441" s="60">
        <v>57</v>
      </c>
      <c r="U441" s="60">
        <v>63</v>
      </c>
      <c r="V441" s="61">
        <v>60</v>
      </c>
      <c r="Y441" s="61"/>
      <c r="AB441" s="61"/>
      <c r="AE441" s="61"/>
      <c r="AH441" s="61"/>
    </row>
    <row r="442" spans="1:34" s="60" customFormat="1" ht="10" x14ac:dyDescent="0.2">
      <c r="A442" s="58">
        <v>45512</v>
      </c>
      <c r="B442" s="59">
        <f t="shared" si="12"/>
        <v>2024</v>
      </c>
      <c r="C442" s="59"/>
      <c r="D442" s="59">
        <f t="shared" si="13"/>
        <v>8</v>
      </c>
      <c r="E442" s="60">
        <v>38</v>
      </c>
      <c r="F442" s="60">
        <v>41</v>
      </c>
      <c r="G442" s="61">
        <v>40</v>
      </c>
      <c r="H442" s="60">
        <v>51</v>
      </c>
      <c r="I442" s="60">
        <v>54</v>
      </c>
      <c r="J442" s="61">
        <v>52</v>
      </c>
      <c r="K442" s="60">
        <v>28</v>
      </c>
      <c r="L442" s="60">
        <v>31</v>
      </c>
      <c r="M442" s="61">
        <v>30</v>
      </c>
      <c r="N442" s="60">
        <v>125</v>
      </c>
      <c r="O442" s="60">
        <v>132</v>
      </c>
      <c r="P442" s="61">
        <v>128</v>
      </c>
      <c r="Q442" s="60">
        <v>53</v>
      </c>
      <c r="R442" s="60">
        <v>60</v>
      </c>
      <c r="S442" s="61">
        <v>56</v>
      </c>
      <c r="T442" s="60">
        <v>56</v>
      </c>
      <c r="U442" s="60">
        <v>62</v>
      </c>
      <c r="V442" s="61">
        <v>59</v>
      </c>
      <c r="Y442" s="61"/>
      <c r="AB442" s="61"/>
      <c r="AE442" s="61"/>
      <c r="AH442" s="61"/>
    </row>
    <row r="443" spans="1:34" s="60" customFormat="1" ht="10" x14ac:dyDescent="0.2">
      <c r="A443" s="58">
        <v>45519</v>
      </c>
      <c r="B443" s="59">
        <f t="shared" si="12"/>
        <v>2024</v>
      </c>
      <c r="C443" s="59"/>
      <c r="D443" s="59">
        <f t="shared" si="13"/>
        <v>8</v>
      </c>
      <c r="E443" s="60">
        <v>38</v>
      </c>
      <c r="F443" s="60">
        <v>41</v>
      </c>
      <c r="G443" s="61">
        <v>40</v>
      </c>
      <c r="H443" s="60">
        <v>51</v>
      </c>
      <c r="I443" s="60">
        <v>54</v>
      </c>
      <c r="J443" s="61">
        <v>52</v>
      </c>
      <c r="K443" s="60">
        <v>28</v>
      </c>
      <c r="L443" s="60">
        <v>31</v>
      </c>
      <c r="M443" s="61">
        <v>30</v>
      </c>
      <c r="N443" s="60">
        <v>125</v>
      </c>
      <c r="O443" s="60">
        <v>132</v>
      </c>
      <c r="P443" s="61">
        <v>128</v>
      </c>
      <c r="Q443" s="60">
        <v>53</v>
      </c>
      <c r="R443" s="60">
        <v>60</v>
      </c>
      <c r="S443" s="61">
        <v>56</v>
      </c>
      <c r="T443" s="60">
        <v>56</v>
      </c>
      <c r="U443" s="60">
        <v>62</v>
      </c>
      <c r="V443" s="61">
        <v>59</v>
      </c>
      <c r="Y443" s="61"/>
      <c r="AB443" s="61"/>
      <c r="AE443" s="61"/>
      <c r="AH443" s="61"/>
    </row>
    <row r="444" spans="1:34" s="60" customFormat="1" ht="10" x14ac:dyDescent="0.2">
      <c r="A444" s="58">
        <v>45526</v>
      </c>
      <c r="B444" s="59">
        <f t="shared" si="12"/>
        <v>2024</v>
      </c>
      <c r="C444" s="59"/>
      <c r="D444" s="59">
        <f t="shared" si="13"/>
        <v>8</v>
      </c>
      <c r="E444" s="60">
        <v>38</v>
      </c>
      <c r="F444" s="60">
        <v>41</v>
      </c>
      <c r="G444" s="61">
        <v>40</v>
      </c>
      <c r="H444" s="60">
        <v>51</v>
      </c>
      <c r="I444" s="60">
        <v>54</v>
      </c>
      <c r="J444" s="61">
        <v>52</v>
      </c>
      <c r="K444" s="60">
        <v>28</v>
      </c>
      <c r="L444" s="60">
        <v>31</v>
      </c>
      <c r="M444" s="61">
        <v>30</v>
      </c>
      <c r="N444" s="60">
        <v>125</v>
      </c>
      <c r="O444" s="60">
        <v>135</v>
      </c>
      <c r="P444" s="61">
        <v>130</v>
      </c>
      <c r="Q444" s="60">
        <v>27</v>
      </c>
      <c r="R444" s="60">
        <v>34</v>
      </c>
      <c r="S444" s="61">
        <v>30</v>
      </c>
      <c r="T444" s="60">
        <v>55</v>
      </c>
      <c r="U444" s="60">
        <v>62</v>
      </c>
      <c r="V444" s="61">
        <v>58</v>
      </c>
      <c r="Y444" s="61"/>
      <c r="AB444" s="61"/>
      <c r="AE444" s="61"/>
      <c r="AH444" s="61"/>
    </row>
    <row r="445" spans="1:34" s="60" customFormat="1" ht="10" x14ac:dyDescent="0.2">
      <c r="A445" s="58">
        <v>45533</v>
      </c>
      <c r="B445" s="59">
        <f t="shared" si="12"/>
        <v>2024</v>
      </c>
      <c r="C445" s="59"/>
      <c r="D445" s="59">
        <f t="shared" si="13"/>
        <v>8</v>
      </c>
      <c r="E445" s="60">
        <v>38</v>
      </c>
      <c r="F445" s="60">
        <v>41</v>
      </c>
      <c r="G445" s="61">
        <v>40</v>
      </c>
      <c r="H445" s="60">
        <v>51</v>
      </c>
      <c r="I445" s="60">
        <v>54</v>
      </c>
      <c r="J445" s="61">
        <v>52</v>
      </c>
      <c r="K445" s="60">
        <v>28</v>
      </c>
      <c r="L445" s="60">
        <v>31</v>
      </c>
      <c r="M445" s="61">
        <v>30</v>
      </c>
      <c r="N445" s="60">
        <v>125</v>
      </c>
      <c r="O445" s="60">
        <v>135</v>
      </c>
      <c r="P445" s="61">
        <v>130</v>
      </c>
      <c r="Q445" s="60">
        <v>27</v>
      </c>
      <c r="R445" s="60">
        <v>34</v>
      </c>
      <c r="S445" s="61">
        <v>30</v>
      </c>
      <c r="T445" s="60">
        <v>55</v>
      </c>
      <c r="U445" s="60">
        <v>62</v>
      </c>
      <c r="V445" s="61">
        <v>58</v>
      </c>
      <c r="Y445" s="61"/>
      <c r="AB445" s="61"/>
      <c r="AE445" s="61"/>
      <c r="AH445" s="61"/>
    </row>
    <row r="446" spans="1:34" s="60" customFormat="1" ht="10" x14ac:dyDescent="0.2">
      <c r="A446" s="58">
        <v>45540</v>
      </c>
      <c r="B446" s="59">
        <f t="shared" si="12"/>
        <v>2024</v>
      </c>
      <c r="C446" s="59"/>
      <c r="D446" s="59">
        <f t="shared" si="13"/>
        <v>9</v>
      </c>
      <c r="E446" s="60">
        <v>35</v>
      </c>
      <c r="F446" s="60">
        <v>38</v>
      </c>
      <c r="G446" s="61">
        <v>36</v>
      </c>
      <c r="H446" s="60">
        <v>49</v>
      </c>
      <c r="I446" s="60">
        <v>52</v>
      </c>
      <c r="J446" s="61">
        <v>50</v>
      </c>
      <c r="K446" s="60">
        <v>27</v>
      </c>
      <c r="L446" s="60">
        <v>30</v>
      </c>
      <c r="M446" s="61">
        <v>28</v>
      </c>
      <c r="N446" s="60">
        <v>123</v>
      </c>
      <c r="O446" s="60">
        <v>135</v>
      </c>
      <c r="P446" s="61">
        <v>129</v>
      </c>
      <c r="Q446" s="60">
        <v>27</v>
      </c>
      <c r="R446" s="60">
        <v>34</v>
      </c>
      <c r="S446" s="61">
        <v>30</v>
      </c>
      <c r="T446" s="60">
        <v>55</v>
      </c>
      <c r="U446" s="60">
        <v>62</v>
      </c>
      <c r="V446" s="61">
        <v>58</v>
      </c>
      <c r="Y446" s="61"/>
      <c r="AB446" s="61"/>
      <c r="AE446" s="61"/>
      <c r="AH446" s="61"/>
    </row>
    <row r="447" spans="1:34" s="60" customFormat="1" ht="10" x14ac:dyDescent="0.2">
      <c r="A447" s="58">
        <v>45547</v>
      </c>
      <c r="B447" s="59">
        <f t="shared" si="12"/>
        <v>2024</v>
      </c>
      <c r="C447" s="59"/>
      <c r="D447" s="59">
        <f t="shared" si="13"/>
        <v>9</v>
      </c>
      <c r="E447" s="60">
        <v>35</v>
      </c>
      <c r="F447" s="60">
        <v>38</v>
      </c>
      <c r="G447" s="61">
        <v>36</v>
      </c>
      <c r="H447" s="60">
        <v>49</v>
      </c>
      <c r="I447" s="60">
        <v>52</v>
      </c>
      <c r="J447" s="61">
        <v>50</v>
      </c>
      <c r="K447" s="60">
        <v>27</v>
      </c>
      <c r="L447" s="60">
        <v>30</v>
      </c>
      <c r="M447" s="61">
        <v>28</v>
      </c>
      <c r="N447" s="60">
        <v>123</v>
      </c>
      <c r="O447" s="60">
        <v>135</v>
      </c>
      <c r="P447" s="61">
        <v>129</v>
      </c>
      <c r="Q447" s="60">
        <v>27</v>
      </c>
      <c r="R447" s="60">
        <v>34</v>
      </c>
      <c r="S447" s="61">
        <v>30</v>
      </c>
      <c r="T447" s="60">
        <v>55</v>
      </c>
      <c r="U447" s="60">
        <v>62</v>
      </c>
      <c r="V447" s="61">
        <v>58</v>
      </c>
      <c r="Y447" s="61"/>
      <c r="AB447" s="61"/>
      <c r="AE447" s="61"/>
      <c r="AH447" s="61"/>
    </row>
    <row r="448" spans="1:34" s="60" customFormat="1" ht="10" x14ac:dyDescent="0.2">
      <c r="A448" s="58">
        <v>45554</v>
      </c>
      <c r="B448" s="59">
        <f t="shared" si="12"/>
        <v>2024</v>
      </c>
      <c r="C448" s="59"/>
      <c r="D448" s="59">
        <f t="shared" si="13"/>
        <v>9</v>
      </c>
      <c r="E448" s="60">
        <v>35</v>
      </c>
      <c r="F448" s="60">
        <v>38</v>
      </c>
      <c r="G448" s="61">
        <v>36</v>
      </c>
      <c r="H448" s="60">
        <v>49</v>
      </c>
      <c r="I448" s="60">
        <v>52</v>
      </c>
      <c r="J448" s="61">
        <v>50</v>
      </c>
      <c r="K448" s="60">
        <v>27</v>
      </c>
      <c r="L448" s="60">
        <v>30</v>
      </c>
      <c r="M448" s="61">
        <v>28</v>
      </c>
      <c r="N448" s="60">
        <v>123</v>
      </c>
      <c r="O448" s="60">
        <v>135</v>
      </c>
      <c r="P448" s="61">
        <v>129</v>
      </c>
      <c r="Q448" s="60">
        <v>27</v>
      </c>
      <c r="R448" s="60">
        <v>34</v>
      </c>
      <c r="S448" s="61">
        <v>30</v>
      </c>
      <c r="T448" s="60">
        <v>55</v>
      </c>
      <c r="U448" s="60">
        <v>62</v>
      </c>
      <c r="V448" s="61">
        <v>58</v>
      </c>
      <c r="Y448" s="61"/>
      <c r="AB448" s="61"/>
      <c r="AE448" s="61"/>
      <c r="AH448" s="61"/>
    </row>
    <row r="449" spans="1:34" s="60" customFormat="1" ht="10" x14ac:dyDescent="0.2">
      <c r="A449" s="58">
        <v>45561</v>
      </c>
      <c r="B449" s="59">
        <f t="shared" si="12"/>
        <v>2024</v>
      </c>
      <c r="C449" s="59"/>
      <c r="D449" s="59">
        <f t="shared" si="13"/>
        <v>9</v>
      </c>
      <c r="E449" s="60">
        <v>35</v>
      </c>
      <c r="F449" s="60">
        <v>38</v>
      </c>
      <c r="G449" s="61">
        <v>36</v>
      </c>
      <c r="H449" s="60">
        <v>49</v>
      </c>
      <c r="I449" s="60">
        <v>52</v>
      </c>
      <c r="J449" s="61">
        <v>50</v>
      </c>
      <c r="K449" s="60">
        <v>27</v>
      </c>
      <c r="L449" s="60">
        <v>30</v>
      </c>
      <c r="M449" s="61">
        <v>28</v>
      </c>
      <c r="N449" s="60">
        <v>123</v>
      </c>
      <c r="O449" s="60">
        <v>135</v>
      </c>
      <c r="P449" s="61">
        <v>129</v>
      </c>
      <c r="Q449" s="60">
        <v>27</v>
      </c>
      <c r="R449" s="60">
        <v>34</v>
      </c>
      <c r="S449" s="61">
        <v>30</v>
      </c>
      <c r="T449" s="60">
        <v>55</v>
      </c>
      <c r="U449" s="60">
        <v>62</v>
      </c>
      <c r="V449" s="61">
        <v>58</v>
      </c>
      <c r="Y449" s="61"/>
      <c r="AB449" s="61"/>
      <c r="AE449" s="61"/>
      <c r="AH449" s="61"/>
    </row>
    <row r="450" spans="1:34" s="60" customFormat="1" ht="10" x14ac:dyDescent="0.2">
      <c r="A450" s="58">
        <v>45568</v>
      </c>
      <c r="B450" s="59">
        <f t="shared" si="12"/>
        <v>2024</v>
      </c>
      <c r="C450" s="59"/>
      <c r="D450" s="59">
        <f t="shared" si="13"/>
        <v>10</v>
      </c>
      <c r="E450" s="60">
        <v>35</v>
      </c>
      <c r="F450" s="60">
        <v>38</v>
      </c>
      <c r="G450" s="61">
        <v>36</v>
      </c>
      <c r="H450" s="60">
        <v>49</v>
      </c>
      <c r="I450" s="60">
        <v>52</v>
      </c>
      <c r="J450" s="61">
        <v>50</v>
      </c>
      <c r="K450" s="60">
        <v>27</v>
      </c>
      <c r="L450" s="60">
        <v>30</v>
      </c>
      <c r="M450" s="61">
        <v>28</v>
      </c>
      <c r="N450" s="60">
        <v>123</v>
      </c>
      <c r="O450" s="60">
        <v>135</v>
      </c>
      <c r="P450" s="61">
        <v>129</v>
      </c>
      <c r="Q450" s="60">
        <v>27</v>
      </c>
      <c r="R450" s="60">
        <v>34</v>
      </c>
      <c r="S450" s="61">
        <v>30</v>
      </c>
      <c r="T450" s="60">
        <v>55</v>
      </c>
      <c r="U450" s="60">
        <v>62</v>
      </c>
      <c r="V450" s="61">
        <v>58</v>
      </c>
      <c r="Y450" s="61"/>
      <c r="AB450" s="61"/>
      <c r="AE450" s="61"/>
      <c r="AH450" s="61"/>
    </row>
    <row r="451" spans="1:34" s="60" customFormat="1" ht="10" x14ac:dyDescent="0.2">
      <c r="A451" s="58">
        <v>45575</v>
      </c>
      <c r="B451" s="59">
        <f t="shared" ref="B451:B513" si="14">YEAR(A451)</f>
        <v>2024</v>
      </c>
      <c r="C451" s="59"/>
      <c r="D451" s="59">
        <f t="shared" ref="D451:D513" si="15">MONTH(A451)</f>
        <v>10</v>
      </c>
      <c r="E451" s="60">
        <v>35</v>
      </c>
      <c r="F451" s="60">
        <v>38</v>
      </c>
      <c r="G451" s="61">
        <v>36</v>
      </c>
      <c r="H451" s="60">
        <v>49</v>
      </c>
      <c r="I451" s="60">
        <v>52</v>
      </c>
      <c r="J451" s="61">
        <v>50</v>
      </c>
      <c r="K451" s="60">
        <v>27</v>
      </c>
      <c r="L451" s="60">
        <v>30</v>
      </c>
      <c r="M451" s="61">
        <v>28</v>
      </c>
      <c r="N451" s="60">
        <v>123</v>
      </c>
      <c r="O451" s="60">
        <v>135</v>
      </c>
      <c r="P451" s="61">
        <v>129</v>
      </c>
      <c r="Q451" s="60">
        <v>27</v>
      </c>
      <c r="R451" s="60">
        <v>34</v>
      </c>
      <c r="S451" s="61">
        <v>30</v>
      </c>
      <c r="T451" s="60">
        <v>55</v>
      </c>
      <c r="U451" s="60">
        <v>62</v>
      </c>
      <c r="V451" s="61">
        <v>58</v>
      </c>
      <c r="Y451" s="61"/>
      <c r="AB451" s="61"/>
      <c r="AE451" s="61"/>
      <c r="AH451" s="61"/>
    </row>
    <row r="452" spans="1:34" s="60" customFormat="1" ht="10" x14ac:dyDescent="0.2">
      <c r="A452" s="58">
        <v>45582</v>
      </c>
      <c r="B452" s="59">
        <f t="shared" si="14"/>
        <v>2024</v>
      </c>
      <c r="C452" s="59"/>
      <c r="D452" s="59">
        <f t="shared" si="15"/>
        <v>10</v>
      </c>
      <c r="E452" s="60">
        <v>35</v>
      </c>
      <c r="F452" s="60">
        <v>38</v>
      </c>
      <c r="G452" s="61">
        <v>36</v>
      </c>
      <c r="H452" s="60">
        <v>49</v>
      </c>
      <c r="I452" s="60">
        <v>52</v>
      </c>
      <c r="J452" s="61">
        <v>50</v>
      </c>
      <c r="K452" s="60">
        <v>27</v>
      </c>
      <c r="L452" s="60">
        <v>30</v>
      </c>
      <c r="M452" s="61">
        <v>28</v>
      </c>
      <c r="N452" s="60">
        <v>123</v>
      </c>
      <c r="O452" s="60">
        <v>135</v>
      </c>
      <c r="P452" s="61">
        <v>129</v>
      </c>
      <c r="Q452" s="60">
        <v>27</v>
      </c>
      <c r="R452" s="60">
        <v>34</v>
      </c>
      <c r="S452" s="61">
        <v>30</v>
      </c>
      <c r="T452" s="60">
        <v>55</v>
      </c>
      <c r="U452" s="60">
        <v>62</v>
      </c>
      <c r="V452" s="61">
        <v>58</v>
      </c>
      <c r="Y452" s="61"/>
      <c r="AB452" s="61"/>
      <c r="AE452" s="61"/>
      <c r="AH452" s="61"/>
    </row>
    <row r="453" spans="1:34" s="60" customFormat="1" ht="10" x14ac:dyDescent="0.2">
      <c r="A453" s="58">
        <v>45589</v>
      </c>
      <c r="B453" s="59">
        <f t="shared" si="14"/>
        <v>2024</v>
      </c>
      <c r="C453" s="59"/>
      <c r="D453" s="59">
        <f t="shared" si="15"/>
        <v>10</v>
      </c>
      <c r="E453" s="60">
        <v>34</v>
      </c>
      <c r="F453" s="60">
        <v>37</v>
      </c>
      <c r="G453" s="61">
        <v>36</v>
      </c>
      <c r="H453" s="60">
        <v>48</v>
      </c>
      <c r="I453" s="60">
        <v>51</v>
      </c>
      <c r="J453" s="61">
        <v>50</v>
      </c>
      <c r="K453" s="60">
        <v>26</v>
      </c>
      <c r="L453" s="60">
        <v>29</v>
      </c>
      <c r="M453" s="61">
        <v>28</v>
      </c>
      <c r="N453" s="60">
        <v>128</v>
      </c>
      <c r="O453" s="60">
        <v>140</v>
      </c>
      <c r="P453" s="61">
        <v>134</v>
      </c>
      <c r="Q453" s="60">
        <v>27</v>
      </c>
      <c r="R453" s="60">
        <v>34</v>
      </c>
      <c r="S453" s="61">
        <v>30</v>
      </c>
      <c r="T453" s="60">
        <v>55</v>
      </c>
      <c r="U453" s="60">
        <v>62</v>
      </c>
      <c r="V453" s="61">
        <v>58</v>
      </c>
      <c r="Y453" s="61"/>
      <c r="AB453" s="61"/>
      <c r="AE453" s="61"/>
      <c r="AH453" s="61"/>
    </row>
    <row r="454" spans="1:34" s="60" customFormat="1" ht="10" x14ac:dyDescent="0.2">
      <c r="A454" s="58">
        <v>45596</v>
      </c>
      <c r="B454" s="59">
        <f t="shared" si="14"/>
        <v>2024</v>
      </c>
      <c r="C454" s="59"/>
      <c r="D454" s="59">
        <f t="shared" si="15"/>
        <v>10</v>
      </c>
      <c r="E454" s="60">
        <v>34</v>
      </c>
      <c r="F454" s="60">
        <v>37</v>
      </c>
      <c r="G454" s="61">
        <v>36</v>
      </c>
      <c r="H454" s="60">
        <v>48</v>
      </c>
      <c r="I454" s="60">
        <v>51</v>
      </c>
      <c r="J454" s="61">
        <v>50</v>
      </c>
      <c r="K454" s="60">
        <v>26</v>
      </c>
      <c r="L454" s="60">
        <v>29</v>
      </c>
      <c r="M454" s="61">
        <v>28</v>
      </c>
      <c r="N454" s="60">
        <v>128</v>
      </c>
      <c r="O454" s="60">
        <v>140</v>
      </c>
      <c r="P454" s="61">
        <v>134</v>
      </c>
      <c r="Q454" s="60">
        <v>27</v>
      </c>
      <c r="R454" s="60">
        <v>34</v>
      </c>
      <c r="S454" s="61">
        <v>30</v>
      </c>
      <c r="T454" s="60">
        <v>55</v>
      </c>
      <c r="U454" s="60">
        <v>62</v>
      </c>
      <c r="V454" s="61">
        <v>58</v>
      </c>
      <c r="Y454" s="61"/>
      <c r="AB454" s="61"/>
      <c r="AE454" s="61"/>
      <c r="AH454" s="61"/>
    </row>
    <row r="455" spans="1:34" s="60" customFormat="1" ht="10" x14ac:dyDescent="0.2">
      <c r="A455" s="58">
        <v>45603</v>
      </c>
      <c r="B455" s="59">
        <f t="shared" si="14"/>
        <v>2024</v>
      </c>
      <c r="C455" s="59"/>
      <c r="D455" s="59">
        <f t="shared" si="15"/>
        <v>11</v>
      </c>
      <c r="E455" s="60">
        <v>34</v>
      </c>
      <c r="F455" s="60">
        <v>37</v>
      </c>
      <c r="G455" s="61">
        <v>36</v>
      </c>
      <c r="H455" s="60">
        <v>48</v>
      </c>
      <c r="I455" s="60">
        <v>51</v>
      </c>
      <c r="J455" s="61">
        <v>50</v>
      </c>
      <c r="K455" s="60">
        <v>26</v>
      </c>
      <c r="L455" s="60">
        <v>29</v>
      </c>
      <c r="M455" s="61">
        <v>28</v>
      </c>
      <c r="N455" s="60">
        <v>128</v>
      </c>
      <c r="O455" s="60">
        <v>140</v>
      </c>
      <c r="P455" s="61">
        <v>134</v>
      </c>
      <c r="Q455" s="60">
        <v>27</v>
      </c>
      <c r="R455" s="60">
        <v>34</v>
      </c>
      <c r="S455" s="61">
        <v>30</v>
      </c>
      <c r="T455" s="60">
        <v>56</v>
      </c>
      <c r="U455" s="60">
        <v>63</v>
      </c>
      <c r="V455" s="61">
        <v>60</v>
      </c>
      <c r="Y455" s="61"/>
      <c r="AB455" s="61"/>
      <c r="AE455" s="61"/>
      <c r="AH455" s="61"/>
    </row>
    <row r="456" spans="1:34" s="60" customFormat="1" ht="10" x14ac:dyDescent="0.2">
      <c r="A456" s="58">
        <v>45610</v>
      </c>
      <c r="B456" s="59">
        <f t="shared" si="14"/>
        <v>2024</v>
      </c>
      <c r="C456" s="59"/>
      <c r="D456" s="59">
        <f t="shared" si="15"/>
        <v>11</v>
      </c>
      <c r="E456" s="60">
        <v>34</v>
      </c>
      <c r="F456" s="60">
        <v>37</v>
      </c>
      <c r="G456" s="61">
        <v>36</v>
      </c>
      <c r="H456" s="60">
        <v>48</v>
      </c>
      <c r="I456" s="60">
        <v>51</v>
      </c>
      <c r="J456" s="61">
        <v>50</v>
      </c>
      <c r="K456" s="60">
        <v>26</v>
      </c>
      <c r="L456" s="60">
        <v>29</v>
      </c>
      <c r="M456" s="61">
        <v>28</v>
      </c>
      <c r="N456" s="60">
        <v>128</v>
      </c>
      <c r="O456" s="60">
        <v>140</v>
      </c>
      <c r="P456" s="61">
        <v>134</v>
      </c>
      <c r="Q456" s="60">
        <v>27</v>
      </c>
      <c r="R456" s="60">
        <v>34</v>
      </c>
      <c r="S456" s="61">
        <v>30</v>
      </c>
      <c r="T456" s="60">
        <v>57</v>
      </c>
      <c r="U456" s="60">
        <v>62</v>
      </c>
      <c r="V456" s="61">
        <v>60</v>
      </c>
      <c r="Y456" s="61"/>
      <c r="AB456" s="61"/>
      <c r="AE456" s="61"/>
      <c r="AH456" s="61"/>
    </row>
    <row r="457" spans="1:34" x14ac:dyDescent="0.35">
      <c r="A457" s="58">
        <v>45617</v>
      </c>
      <c r="B457" s="59">
        <f t="shared" si="14"/>
        <v>2024</v>
      </c>
      <c r="D457" s="59">
        <f t="shared" si="15"/>
        <v>11</v>
      </c>
      <c r="E457" s="60">
        <v>34</v>
      </c>
      <c r="F457" s="60">
        <v>37</v>
      </c>
      <c r="G457" s="61">
        <v>36</v>
      </c>
      <c r="H457" s="60">
        <v>48</v>
      </c>
      <c r="I457" s="60">
        <v>51</v>
      </c>
      <c r="J457" s="61">
        <v>50</v>
      </c>
      <c r="K457" s="60">
        <v>26</v>
      </c>
      <c r="L457" s="60">
        <v>29</v>
      </c>
      <c r="M457" s="61">
        <v>28</v>
      </c>
      <c r="N457" s="60">
        <v>128</v>
      </c>
      <c r="O457" s="60">
        <v>140</v>
      </c>
      <c r="P457" s="61">
        <v>134</v>
      </c>
      <c r="Q457" s="60">
        <v>27</v>
      </c>
      <c r="R457" s="60">
        <v>34</v>
      </c>
      <c r="S457" s="61">
        <v>30</v>
      </c>
      <c r="T457" s="60">
        <v>57</v>
      </c>
      <c r="U457" s="60">
        <v>62</v>
      </c>
      <c r="V457" s="61">
        <v>60</v>
      </c>
    </row>
    <row r="458" spans="1:34" x14ac:dyDescent="0.35">
      <c r="A458" s="58">
        <v>45624</v>
      </c>
      <c r="B458" s="59">
        <f t="shared" si="14"/>
        <v>2024</v>
      </c>
      <c r="D458" s="59">
        <f t="shared" si="15"/>
        <v>11</v>
      </c>
      <c r="E458" s="60">
        <v>34</v>
      </c>
      <c r="F458" s="60">
        <v>37</v>
      </c>
      <c r="G458" s="61">
        <v>36</v>
      </c>
      <c r="H458" s="60">
        <v>49</v>
      </c>
      <c r="I458" s="60">
        <v>52</v>
      </c>
      <c r="J458" s="61">
        <v>50</v>
      </c>
      <c r="K458" s="60">
        <v>25</v>
      </c>
      <c r="L458" s="60">
        <v>28</v>
      </c>
      <c r="M458" s="61">
        <v>26</v>
      </c>
      <c r="N458" s="60">
        <v>129</v>
      </c>
      <c r="O458" s="60">
        <v>141</v>
      </c>
      <c r="P458" s="61">
        <v>135</v>
      </c>
      <c r="Q458" s="60">
        <v>27</v>
      </c>
      <c r="R458" s="60">
        <v>34</v>
      </c>
      <c r="S458" s="61">
        <v>30</v>
      </c>
      <c r="T458" s="60">
        <v>57</v>
      </c>
      <c r="U458" s="60">
        <v>64</v>
      </c>
      <c r="V458" s="61">
        <v>60</v>
      </c>
    </row>
    <row r="459" spans="1:34" x14ac:dyDescent="0.35">
      <c r="A459" s="58">
        <v>45631</v>
      </c>
      <c r="B459" s="59">
        <f t="shared" si="14"/>
        <v>2024</v>
      </c>
      <c r="D459" s="59">
        <f t="shared" si="15"/>
        <v>12</v>
      </c>
      <c r="E459" s="60">
        <v>34</v>
      </c>
      <c r="F459" s="60">
        <v>37</v>
      </c>
      <c r="G459" s="61">
        <v>36</v>
      </c>
      <c r="H459" s="60">
        <v>49</v>
      </c>
      <c r="I459" s="60">
        <v>52</v>
      </c>
      <c r="J459" s="61">
        <v>50</v>
      </c>
      <c r="K459" s="60">
        <v>25</v>
      </c>
      <c r="L459" s="60">
        <v>28</v>
      </c>
      <c r="M459" s="61">
        <v>26</v>
      </c>
      <c r="N459" s="60">
        <v>129</v>
      </c>
      <c r="O459" s="60">
        <v>141</v>
      </c>
      <c r="P459" s="61">
        <v>135</v>
      </c>
      <c r="Q459" s="60">
        <v>27</v>
      </c>
      <c r="R459" s="60">
        <v>34</v>
      </c>
      <c r="S459" s="61">
        <v>30</v>
      </c>
      <c r="T459" s="60">
        <v>57</v>
      </c>
      <c r="U459" s="60">
        <v>64</v>
      </c>
      <c r="V459" s="61">
        <v>60</v>
      </c>
    </row>
    <row r="460" spans="1:34" x14ac:dyDescent="0.35">
      <c r="A460" s="58">
        <v>45638</v>
      </c>
      <c r="B460" s="59">
        <f t="shared" si="14"/>
        <v>2024</v>
      </c>
      <c r="D460" s="59">
        <f t="shared" si="15"/>
        <v>12</v>
      </c>
      <c r="E460" s="60">
        <v>34</v>
      </c>
      <c r="F460" s="60">
        <v>37</v>
      </c>
      <c r="G460" s="61">
        <v>36</v>
      </c>
      <c r="H460" s="60">
        <v>49</v>
      </c>
      <c r="I460" s="60">
        <v>52</v>
      </c>
      <c r="J460" s="61">
        <v>50</v>
      </c>
      <c r="K460" s="60">
        <v>25</v>
      </c>
      <c r="L460" s="60">
        <v>28</v>
      </c>
      <c r="M460" s="61">
        <v>26</v>
      </c>
      <c r="N460" s="60">
        <v>129</v>
      </c>
      <c r="O460" s="60">
        <v>141</v>
      </c>
      <c r="P460" s="61">
        <v>135</v>
      </c>
      <c r="Q460" s="60">
        <v>27</v>
      </c>
      <c r="R460" s="60">
        <v>34</v>
      </c>
      <c r="S460" s="61">
        <v>30</v>
      </c>
      <c r="T460" s="60">
        <v>57</v>
      </c>
      <c r="U460" s="60">
        <v>64</v>
      </c>
      <c r="V460" s="61">
        <v>60</v>
      </c>
    </row>
    <row r="461" spans="1:34" x14ac:dyDescent="0.35">
      <c r="A461" s="58">
        <v>45645</v>
      </c>
      <c r="B461" s="59">
        <f t="shared" si="14"/>
        <v>2024</v>
      </c>
      <c r="D461" s="59">
        <f t="shared" si="15"/>
        <v>12</v>
      </c>
      <c r="E461" s="60">
        <v>33</v>
      </c>
      <c r="F461" s="60">
        <v>36</v>
      </c>
      <c r="G461" s="61">
        <v>34</v>
      </c>
      <c r="H461" s="60">
        <v>48</v>
      </c>
      <c r="I461" s="60">
        <v>51</v>
      </c>
      <c r="J461" s="61">
        <v>50</v>
      </c>
      <c r="K461" s="60">
        <v>25</v>
      </c>
      <c r="L461" s="60">
        <v>28</v>
      </c>
      <c r="M461" s="61">
        <v>26</v>
      </c>
      <c r="N461" s="60">
        <v>129</v>
      </c>
      <c r="O461" s="60">
        <v>141</v>
      </c>
      <c r="P461" s="61">
        <v>135</v>
      </c>
      <c r="T461" s="60">
        <v>57</v>
      </c>
      <c r="U461" s="60">
        <v>64</v>
      </c>
      <c r="V461" s="61">
        <v>60</v>
      </c>
    </row>
    <row r="462" spans="1:34" x14ac:dyDescent="0.35">
      <c r="A462" s="58">
        <v>45652</v>
      </c>
      <c r="B462" s="59">
        <f t="shared" si="14"/>
        <v>2024</v>
      </c>
      <c r="D462" s="59">
        <f t="shared" si="15"/>
        <v>12</v>
      </c>
    </row>
    <row r="463" spans="1:34" x14ac:dyDescent="0.35">
      <c r="A463" s="58">
        <v>45659</v>
      </c>
      <c r="B463" s="59">
        <f t="shared" si="14"/>
        <v>2025</v>
      </c>
      <c r="D463" s="59">
        <f t="shared" si="15"/>
        <v>1</v>
      </c>
      <c r="E463" s="60">
        <v>33</v>
      </c>
      <c r="F463" s="60">
        <v>36</v>
      </c>
      <c r="G463" s="61">
        <v>34</v>
      </c>
      <c r="H463" s="60">
        <v>48</v>
      </c>
      <c r="I463" s="60">
        <v>51</v>
      </c>
      <c r="J463" s="61">
        <v>50</v>
      </c>
      <c r="K463" s="60">
        <v>25</v>
      </c>
      <c r="L463" s="60">
        <v>28</v>
      </c>
      <c r="M463" s="61">
        <v>26</v>
      </c>
      <c r="N463" s="60">
        <v>129</v>
      </c>
      <c r="O463" s="60">
        <v>141</v>
      </c>
      <c r="P463" s="61">
        <v>135</v>
      </c>
      <c r="T463" s="60">
        <v>57</v>
      </c>
      <c r="U463" s="60">
        <v>64</v>
      </c>
      <c r="V463" s="61">
        <v>60</v>
      </c>
    </row>
    <row r="464" spans="1:34" x14ac:dyDescent="0.35">
      <c r="A464" s="58">
        <v>45666</v>
      </c>
      <c r="B464" s="59">
        <f t="shared" si="14"/>
        <v>2025</v>
      </c>
      <c r="D464" s="59">
        <f t="shared" si="15"/>
        <v>1</v>
      </c>
      <c r="E464" s="60">
        <v>33</v>
      </c>
      <c r="F464" s="60">
        <v>36</v>
      </c>
      <c r="G464" s="61">
        <v>34</v>
      </c>
      <c r="H464" s="60">
        <v>48</v>
      </c>
      <c r="I464" s="60">
        <v>51</v>
      </c>
      <c r="J464" s="61">
        <v>50</v>
      </c>
      <c r="K464" s="60">
        <v>25</v>
      </c>
      <c r="L464" s="60">
        <v>28</v>
      </c>
      <c r="M464" s="61">
        <v>26</v>
      </c>
      <c r="N464" s="60">
        <v>129</v>
      </c>
      <c r="O464" s="60">
        <v>141</v>
      </c>
      <c r="P464" s="61">
        <v>135</v>
      </c>
      <c r="T464" s="60">
        <v>57</v>
      </c>
      <c r="U464" s="60">
        <v>64</v>
      </c>
      <c r="V464" s="61">
        <v>60</v>
      </c>
    </row>
    <row r="465" spans="1:34" x14ac:dyDescent="0.35">
      <c r="A465" s="58">
        <v>45673</v>
      </c>
      <c r="B465" s="59">
        <f t="shared" si="14"/>
        <v>2025</v>
      </c>
      <c r="D465" s="59">
        <f t="shared" si="15"/>
        <v>1</v>
      </c>
      <c r="E465" s="60">
        <v>27</v>
      </c>
      <c r="F465" s="60">
        <v>30</v>
      </c>
      <c r="G465" s="61">
        <v>28</v>
      </c>
      <c r="H465" s="60">
        <v>47</v>
      </c>
      <c r="I465" s="60">
        <v>50</v>
      </c>
      <c r="J465" s="61">
        <v>48</v>
      </c>
      <c r="K465" s="60">
        <v>25</v>
      </c>
      <c r="L465" s="60">
        <v>28</v>
      </c>
      <c r="M465" s="61">
        <v>26</v>
      </c>
      <c r="N465" s="60">
        <v>129</v>
      </c>
      <c r="O465" s="60">
        <v>141</v>
      </c>
      <c r="P465" s="61">
        <v>135</v>
      </c>
      <c r="T465" s="60">
        <v>59</v>
      </c>
      <c r="U465" s="60">
        <v>65</v>
      </c>
      <c r="V465" s="61">
        <v>62</v>
      </c>
    </row>
    <row r="466" spans="1:34" x14ac:dyDescent="0.35">
      <c r="A466" s="58">
        <v>45680</v>
      </c>
      <c r="B466" s="59">
        <f t="shared" si="14"/>
        <v>2025</v>
      </c>
      <c r="D466" s="59">
        <f t="shared" si="15"/>
        <v>1</v>
      </c>
      <c r="E466" s="60">
        <v>27</v>
      </c>
      <c r="F466" s="60">
        <v>30</v>
      </c>
      <c r="G466" s="61">
        <v>28</v>
      </c>
      <c r="H466" s="60">
        <v>47</v>
      </c>
      <c r="I466" s="60">
        <v>50</v>
      </c>
      <c r="J466" s="61">
        <v>48</v>
      </c>
      <c r="K466" s="60">
        <v>25</v>
      </c>
      <c r="L466" s="60">
        <v>28</v>
      </c>
      <c r="M466" s="61">
        <v>26</v>
      </c>
      <c r="N466" s="60">
        <v>129</v>
      </c>
      <c r="O466" s="60">
        <v>141</v>
      </c>
      <c r="P466" s="61">
        <v>135</v>
      </c>
      <c r="T466" s="60">
        <v>59</v>
      </c>
      <c r="U466" s="60">
        <v>65</v>
      </c>
      <c r="V466" s="61">
        <v>62</v>
      </c>
    </row>
    <row r="467" spans="1:34" x14ac:dyDescent="0.35">
      <c r="A467" s="58">
        <v>45687</v>
      </c>
      <c r="B467" s="59">
        <f t="shared" si="14"/>
        <v>2025</v>
      </c>
      <c r="D467" s="59">
        <f t="shared" si="15"/>
        <v>1</v>
      </c>
      <c r="E467" s="60">
        <v>27</v>
      </c>
      <c r="F467" s="60">
        <v>30</v>
      </c>
      <c r="G467" s="61">
        <v>28</v>
      </c>
      <c r="H467" s="60">
        <v>47</v>
      </c>
      <c r="I467" s="60">
        <v>50</v>
      </c>
      <c r="J467" s="61">
        <v>48</v>
      </c>
      <c r="K467" s="60">
        <v>25</v>
      </c>
      <c r="L467" s="60">
        <v>28</v>
      </c>
      <c r="M467" s="61">
        <v>26</v>
      </c>
      <c r="N467" s="60">
        <v>119</v>
      </c>
      <c r="O467" s="60">
        <v>131</v>
      </c>
      <c r="P467" s="61">
        <v>125</v>
      </c>
      <c r="T467" s="60">
        <v>59</v>
      </c>
      <c r="U467" s="60">
        <v>65</v>
      </c>
      <c r="V467" s="61">
        <v>62</v>
      </c>
    </row>
    <row r="468" spans="1:34" x14ac:dyDescent="0.35">
      <c r="A468" s="58">
        <v>45694</v>
      </c>
      <c r="B468" s="59">
        <f t="shared" si="14"/>
        <v>2025</v>
      </c>
      <c r="D468" s="59">
        <f t="shared" si="15"/>
        <v>2</v>
      </c>
      <c r="E468" s="60">
        <v>27</v>
      </c>
      <c r="F468" s="60">
        <v>30</v>
      </c>
      <c r="G468" s="61">
        <v>28</v>
      </c>
      <c r="H468" s="60">
        <v>47</v>
      </c>
      <c r="I468" s="60">
        <v>50</v>
      </c>
      <c r="J468" s="61">
        <v>48</v>
      </c>
      <c r="K468" s="60">
        <v>25</v>
      </c>
      <c r="L468" s="60">
        <v>28</v>
      </c>
      <c r="M468" s="61">
        <v>26</v>
      </c>
      <c r="N468" s="60">
        <v>119</v>
      </c>
      <c r="O468" s="60">
        <v>131</v>
      </c>
      <c r="P468" s="61">
        <v>125</v>
      </c>
      <c r="T468" s="60">
        <v>59</v>
      </c>
      <c r="U468" s="60">
        <v>65</v>
      </c>
      <c r="V468" s="61">
        <v>62</v>
      </c>
    </row>
    <row r="469" spans="1:34" x14ac:dyDescent="0.35">
      <c r="A469" s="58">
        <v>45701</v>
      </c>
      <c r="B469" s="59">
        <f t="shared" si="14"/>
        <v>2025</v>
      </c>
      <c r="D469" s="59">
        <f t="shared" si="15"/>
        <v>2</v>
      </c>
      <c r="E469" s="60">
        <v>28</v>
      </c>
      <c r="F469" s="60">
        <v>31</v>
      </c>
      <c r="G469" s="61">
        <v>30</v>
      </c>
      <c r="H469" s="60">
        <v>47</v>
      </c>
      <c r="I469" s="60">
        <v>50</v>
      </c>
      <c r="J469" s="61">
        <v>48</v>
      </c>
      <c r="K469" s="60">
        <v>25</v>
      </c>
      <c r="L469" s="60">
        <v>28</v>
      </c>
      <c r="M469" s="61">
        <v>26</v>
      </c>
      <c r="N469" s="60">
        <v>115</v>
      </c>
      <c r="O469" s="60">
        <v>127</v>
      </c>
      <c r="P469" s="61">
        <v>121</v>
      </c>
      <c r="T469" s="60">
        <v>59</v>
      </c>
      <c r="U469" s="60">
        <v>65</v>
      </c>
      <c r="V469" s="61">
        <v>62</v>
      </c>
      <c r="W469" s="60">
        <v>73</v>
      </c>
      <c r="X469" s="60">
        <v>78</v>
      </c>
      <c r="Y469" s="61">
        <v>76</v>
      </c>
      <c r="Z469" s="60">
        <v>60</v>
      </c>
      <c r="AA469" s="60">
        <v>65</v>
      </c>
      <c r="AB469" s="61">
        <v>62</v>
      </c>
      <c r="AC469" s="60">
        <v>38</v>
      </c>
      <c r="AD469" s="60">
        <v>51</v>
      </c>
      <c r="AE469" s="61">
        <v>44</v>
      </c>
      <c r="AF469" s="60">
        <v>116</v>
      </c>
      <c r="AG469" s="60">
        <v>126</v>
      </c>
      <c r="AH469" s="61">
        <v>121</v>
      </c>
    </row>
    <row r="470" spans="1:34" x14ac:dyDescent="0.35">
      <c r="A470" s="58">
        <v>45708</v>
      </c>
      <c r="B470" s="59">
        <f t="shared" si="14"/>
        <v>2025</v>
      </c>
      <c r="D470" s="59">
        <f t="shared" si="15"/>
        <v>2</v>
      </c>
      <c r="E470" s="60">
        <v>28</v>
      </c>
      <c r="F470" s="60">
        <v>31</v>
      </c>
      <c r="G470" s="61">
        <v>30</v>
      </c>
      <c r="H470" s="60">
        <v>44</v>
      </c>
      <c r="I470" s="60">
        <v>47</v>
      </c>
      <c r="J470" s="61">
        <v>46</v>
      </c>
      <c r="K470" s="60">
        <v>22</v>
      </c>
      <c r="L470" s="60">
        <v>25</v>
      </c>
      <c r="M470" s="61">
        <v>24</v>
      </c>
      <c r="N470" s="60">
        <v>114</v>
      </c>
      <c r="O470" s="60">
        <v>126</v>
      </c>
      <c r="P470" s="61">
        <v>120</v>
      </c>
      <c r="T470" s="60">
        <v>57</v>
      </c>
      <c r="U470" s="60">
        <v>63</v>
      </c>
      <c r="V470" s="61">
        <v>60</v>
      </c>
      <c r="W470" s="60">
        <v>73</v>
      </c>
      <c r="X470" s="60">
        <v>78</v>
      </c>
      <c r="Y470" s="61">
        <v>76</v>
      </c>
      <c r="Z470" s="60">
        <v>58</v>
      </c>
      <c r="AA470" s="60">
        <v>63</v>
      </c>
      <c r="AB470" s="61">
        <v>60</v>
      </c>
      <c r="AC470" s="60">
        <v>36</v>
      </c>
      <c r="AD470" s="60">
        <v>49</v>
      </c>
      <c r="AE470" s="61">
        <v>42</v>
      </c>
      <c r="AF470" s="60">
        <v>114</v>
      </c>
      <c r="AG470" s="60">
        <v>124</v>
      </c>
      <c r="AH470" s="61">
        <v>119</v>
      </c>
    </row>
    <row r="471" spans="1:34" x14ac:dyDescent="0.35">
      <c r="A471" s="58">
        <v>45715</v>
      </c>
      <c r="B471" s="59">
        <f t="shared" si="14"/>
        <v>2025</v>
      </c>
      <c r="D471" s="59">
        <f t="shared" si="15"/>
        <v>2</v>
      </c>
      <c r="E471" s="60">
        <v>27</v>
      </c>
      <c r="F471" s="60">
        <v>30</v>
      </c>
      <c r="G471" s="61">
        <v>28</v>
      </c>
      <c r="H471" s="60">
        <v>44</v>
      </c>
      <c r="I471" s="60">
        <v>47</v>
      </c>
      <c r="J471" s="61">
        <v>46</v>
      </c>
      <c r="K471" s="60">
        <v>22</v>
      </c>
      <c r="L471" s="60">
        <v>25</v>
      </c>
      <c r="M471" s="61">
        <v>24</v>
      </c>
      <c r="N471" s="60">
        <v>114</v>
      </c>
      <c r="O471" s="60">
        <v>126</v>
      </c>
      <c r="P471" s="61">
        <v>120</v>
      </c>
      <c r="T471" s="60">
        <v>57</v>
      </c>
      <c r="U471" s="60">
        <v>63</v>
      </c>
      <c r="V471" s="61">
        <v>60</v>
      </c>
      <c r="W471" s="60">
        <v>73</v>
      </c>
      <c r="X471" s="60">
        <v>78</v>
      </c>
      <c r="Y471" s="61">
        <v>76</v>
      </c>
      <c r="Z471" s="60">
        <v>58</v>
      </c>
      <c r="AA471" s="60">
        <v>63</v>
      </c>
      <c r="AB471" s="61">
        <v>60</v>
      </c>
      <c r="AC471" s="60">
        <v>36</v>
      </c>
      <c r="AD471" s="60">
        <v>49</v>
      </c>
      <c r="AE471" s="61">
        <v>42</v>
      </c>
      <c r="AF471" s="60">
        <v>114</v>
      </c>
      <c r="AG471" s="60">
        <v>124</v>
      </c>
      <c r="AH471" s="61">
        <v>119</v>
      </c>
    </row>
    <row r="472" spans="1:34" x14ac:dyDescent="0.35">
      <c r="A472" s="58">
        <v>45722</v>
      </c>
      <c r="B472" s="59">
        <f t="shared" si="14"/>
        <v>2025</v>
      </c>
      <c r="D472" s="59">
        <f t="shared" si="15"/>
        <v>3</v>
      </c>
      <c r="E472" s="60">
        <v>27</v>
      </c>
      <c r="F472" s="60">
        <v>30</v>
      </c>
      <c r="G472" s="61">
        <v>28</v>
      </c>
      <c r="H472" s="60">
        <v>44</v>
      </c>
      <c r="I472" s="60">
        <v>47</v>
      </c>
      <c r="J472" s="61">
        <v>46</v>
      </c>
      <c r="K472" s="60">
        <v>22</v>
      </c>
      <c r="L472" s="60">
        <v>25</v>
      </c>
      <c r="M472" s="61">
        <v>24</v>
      </c>
      <c r="N472" s="60">
        <v>107</v>
      </c>
      <c r="O472" s="60">
        <v>119</v>
      </c>
      <c r="P472" s="61">
        <v>113</v>
      </c>
      <c r="T472" s="60">
        <v>55</v>
      </c>
      <c r="U472" s="60">
        <v>61</v>
      </c>
      <c r="V472" s="61">
        <v>58</v>
      </c>
      <c r="W472" s="60">
        <v>73</v>
      </c>
      <c r="X472" s="60">
        <v>78</v>
      </c>
      <c r="Y472" s="61">
        <v>76</v>
      </c>
      <c r="Z472" s="60">
        <v>56</v>
      </c>
      <c r="AA472" s="60">
        <v>61</v>
      </c>
      <c r="AB472" s="61">
        <v>58</v>
      </c>
      <c r="AC472" s="60">
        <v>35</v>
      </c>
      <c r="AD472" s="60">
        <v>48</v>
      </c>
      <c r="AE472" s="61">
        <v>42</v>
      </c>
      <c r="AF472" s="60">
        <v>105</v>
      </c>
      <c r="AG472" s="60">
        <v>115</v>
      </c>
      <c r="AH472" s="61">
        <v>110</v>
      </c>
    </row>
    <row r="473" spans="1:34" x14ac:dyDescent="0.35">
      <c r="A473" s="58">
        <v>45729</v>
      </c>
      <c r="B473" s="59">
        <f t="shared" si="14"/>
        <v>2025</v>
      </c>
      <c r="D473" s="59">
        <f t="shared" si="15"/>
        <v>3</v>
      </c>
      <c r="E473" s="60">
        <v>27</v>
      </c>
      <c r="F473" s="60">
        <v>30</v>
      </c>
      <c r="G473" s="61">
        <v>28</v>
      </c>
      <c r="H473" s="60">
        <v>44</v>
      </c>
      <c r="I473" s="60">
        <v>47</v>
      </c>
      <c r="J473" s="61">
        <v>46</v>
      </c>
      <c r="K473" s="60">
        <v>22</v>
      </c>
      <c r="L473" s="60">
        <v>25</v>
      </c>
      <c r="M473" s="61">
        <v>24</v>
      </c>
      <c r="N473" s="60">
        <v>107</v>
      </c>
      <c r="O473" s="60">
        <v>119</v>
      </c>
      <c r="P473" s="61">
        <v>113</v>
      </c>
      <c r="T473" s="60">
        <v>55</v>
      </c>
      <c r="U473" s="60">
        <v>61</v>
      </c>
      <c r="V473" s="61">
        <v>58</v>
      </c>
      <c r="W473" s="60">
        <v>73</v>
      </c>
      <c r="X473" s="60">
        <v>78</v>
      </c>
      <c r="Y473" s="61">
        <v>76</v>
      </c>
      <c r="Z473" s="60">
        <v>56</v>
      </c>
      <c r="AA473" s="60">
        <v>61</v>
      </c>
      <c r="AB473" s="61">
        <v>58</v>
      </c>
      <c r="AC473" s="60">
        <v>35</v>
      </c>
      <c r="AD473" s="60">
        <v>48</v>
      </c>
      <c r="AE473" s="61">
        <v>42</v>
      </c>
      <c r="AF473" s="60">
        <v>105</v>
      </c>
      <c r="AG473" s="60">
        <v>115</v>
      </c>
      <c r="AH473" s="61">
        <v>110</v>
      </c>
    </row>
    <row r="474" spans="1:34" x14ac:dyDescent="0.35">
      <c r="A474" s="58">
        <v>45736</v>
      </c>
      <c r="B474" s="59">
        <f t="shared" si="14"/>
        <v>2025</v>
      </c>
      <c r="D474" s="59">
        <f t="shared" si="15"/>
        <v>3</v>
      </c>
      <c r="E474" s="60">
        <v>27</v>
      </c>
      <c r="F474" s="60">
        <v>30</v>
      </c>
      <c r="G474" s="61">
        <v>28</v>
      </c>
      <c r="H474" s="60">
        <v>44</v>
      </c>
      <c r="I474" s="60">
        <v>47</v>
      </c>
      <c r="J474" s="61">
        <v>46</v>
      </c>
      <c r="K474" s="60">
        <v>22</v>
      </c>
      <c r="L474" s="60">
        <v>25</v>
      </c>
      <c r="M474" s="61">
        <v>24</v>
      </c>
      <c r="N474" s="60">
        <v>107</v>
      </c>
      <c r="O474" s="60">
        <v>119</v>
      </c>
      <c r="P474" s="61">
        <v>113</v>
      </c>
      <c r="T474" s="60">
        <v>55</v>
      </c>
      <c r="U474" s="60">
        <v>61</v>
      </c>
      <c r="V474" s="61">
        <v>58</v>
      </c>
      <c r="W474" s="60">
        <v>73</v>
      </c>
      <c r="X474" s="60">
        <v>78</v>
      </c>
      <c r="Y474" s="61">
        <v>76</v>
      </c>
      <c r="Z474" s="60">
        <v>50</v>
      </c>
      <c r="AA474" s="60">
        <v>55</v>
      </c>
      <c r="AB474" s="61">
        <v>52</v>
      </c>
      <c r="AC474" s="60">
        <v>35</v>
      </c>
      <c r="AD474" s="60">
        <v>48</v>
      </c>
      <c r="AE474" s="61">
        <v>42</v>
      </c>
      <c r="AF474" s="60">
        <v>105</v>
      </c>
      <c r="AG474" s="60">
        <v>115</v>
      </c>
      <c r="AH474" s="61">
        <v>110</v>
      </c>
    </row>
    <row r="475" spans="1:34" x14ac:dyDescent="0.35">
      <c r="A475" s="58">
        <v>45743</v>
      </c>
      <c r="B475" s="59">
        <f t="shared" si="14"/>
        <v>2025</v>
      </c>
      <c r="D475" s="59">
        <f t="shared" si="15"/>
        <v>3</v>
      </c>
      <c r="E475" s="60">
        <v>27</v>
      </c>
      <c r="F475" s="60">
        <v>30</v>
      </c>
      <c r="G475" s="61">
        <v>28</v>
      </c>
      <c r="H475" s="60">
        <v>44</v>
      </c>
      <c r="I475" s="60">
        <v>47</v>
      </c>
      <c r="J475" s="61">
        <v>46</v>
      </c>
      <c r="K475" s="60">
        <v>22</v>
      </c>
      <c r="L475" s="60">
        <v>25</v>
      </c>
      <c r="M475" s="61">
        <v>24</v>
      </c>
      <c r="N475" s="60">
        <v>107</v>
      </c>
      <c r="O475" s="60">
        <v>119</v>
      </c>
      <c r="P475" s="61">
        <v>113</v>
      </c>
      <c r="T475" s="60">
        <v>55</v>
      </c>
      <c r="U475" s="60">
        <v>61</v>
      </c>
      <c r="V475" s="61">
        <v>58</v>
      </c>
      <c r="W475" s="60">
        <v>73</v>
      </c>
      <c r="X475" s="60">
        <v>78</v>
      </c>
      <c r="Y475" s="61">
        <v>76</v>
      </c>
      <c r="Z475" s="60">
        <v>50</v>
      </c>
      <c r="AA475" s="60">
        <v>55</v>
      </c>
      <c r="AB475" s="61">
        <v>52</v>
      </c>
      <c r="AC475" s="60">
        <v>35</v>
      </c>
      <c r="AD475" s="60">
        <v>48</v>
      </c>
      <c r="AE475" s="61">
        <v>42</v>
      </c>
      <c r="AF475" s="60">
        <v>105</v>
      </c>
      <c r="AG475" s="60">
        <v>115</v>
      </c>
      <c r="AH475" s="61">
        <v>110</v>
      </c>
    </row>
    <row r="476" spans="1:34" x14ac:dyDescent="0.35">
      <c r="A476" s="58">
        <v>45750</v>
      </c>
      <c r="B476" s="59">
        <f t="shared" si="14"/>
        <v>2025</v>
      </c>
      <c r="D476" s="59">
        <f t="shared" si="15"/>
        <v>4</v>
      </c>
      <c r="E476" s="60">
        <v>27</v>
      </c>
      <c r="F476" s="60">
        <v>30</v>
      </c>
      <c r="G476" s="61">
        <v>28</v>
      </c>
      <c r="H476" s="60">
        <v>44</v>
      </c>
      <c r="I476" s="60">
        <v>47</v>
      </c>
      <c r="J476" s="61">
        <v>46</v>
      </c>
      <c r="K476" s="60">
        <v>22</v>
      </c>
      <c r="L476" s="60">
        <v>25</v>
      </c>
      <c r="M476" s="61">
        <v>24</v>
      </c>
      <c r="N476" s="60">
        <v>107</v>
      </c>
      <c r="O476" s="60">
        <v>119</v>
      </c>
      <c r="P476" s="61">
        <v>113</v>
      </c>
      <c r="T476" s="60">
        <v>55</v>
      </c>
      <c r="U476" s="60">
        <v>61</v>
      </c>
      <c r="V476" s="61">
        <v>58</v>
      </c>
      <c r="W476" s="60">
        <v>73</v>
      </c>
      <c r="X476" s="60">
        <v>78</v>
      </c>
      <c r="Y476" s="61">
        <v>76</v>
      </c>
      <c r="Z476" s="60">
        <v>50</v>
      </c>
      <c r="AA476" s="60">
        <v>55</v>
      </c>
      <c r="AB476" s="61">
        <v>52</v>
      </c>
      <c r="AC476" s="60">
        <v>35</v>
      </c>
      <c r="AD476" s="60">
        <v>48</v>
      </c>
      <c r="AE476" s="61">
        <v>42</v>
      </c>
      <c r="AF476" s="60">
        <v>105</v>
      </c>
      <c r="AG476" s="60">
        <v>115</v>
      </c>
      <c r="AH476" s="61">
        <v>110</v>
      </c>
    </row>
    <row r="477" spans="1:34" x14ac:dyDescent="0.35">
      <c r="A477" s="58">
        <v>45757</v>
      </c>
      <c r="B477" s="59">
        <f t="shared" si="14"/>
        <v>2025</v>
      </c>
      <c r="D477" s="59">
        <f t="shared" si="15"/>
        <v>4</v>
      </c>
      <c r="E477" s="60">
        <v>27</v>
      </c>
      <c r="F477" s="60">
        <v>30</v>
      </c>
      <c r="G477" s="61">
        <v>28</v>
      </c>
      <c r="H477" s="60">
        <v>44</v>
      </c>
      <c r="I477" s="60">
        <v>47</v>
      </c>
      <c r="J477" s="61">
        <v>46</v>
      </c>
      <c r="K477" s="60">
        <v>22</v>
      </c>
      <c r="L477" s="60">
        <v>25</v>
      </c>
      <c r="M477" s="61">
        <v>24</v>
      </c>
      <c r="N477" s="60">
        <v>105</v>
      </c>
      <c r="O477" s="60">
        <v>117</v>
      </c>
      <c r="P477" s="61">
        <v>111</v>
      </c>
      <c r="T477" s="60">
        <v>53</v>
      </c>
      <c r="U477" s="60">
        <v>59</v>
      </c>
      <c r="V477" s="61">
        <v>56</v>
      </c>
      <c r="W477" s="60">
        <v>73</v>
      </c>
      <c r="X477" s="60">
        <v>78</v>
      </c>
      <c r="Y477" s="61">
        <v>76</v>
      </c>
      <c r="Z477" s="60">
        <v>50</v>
      </c>
      <c r="AA477" s="60">
        <v>55</v>
      </c>
      <c r="AB477" s="61">
        <v>52</v>
      </c>
      <c r="AC477" s="60">
        <v>35</v>
      </c>
      <c r="AD477" s="60">
        <v>48</v>
      </c>
      <c r="AE477" s="61">
        <v>42</v>
      </c>
      <c r="AF477" s="60">
        <v>105</v>
      </c>
      <c r="AG477" s="60">
        <v>115</v>
      </c>
      <c r="AH477" s="61">
        <v>110</v>
      </c>
    </row>
    <row r="478" spans="1:34" x14ac:dyDescent="0.35">
      <c r="A478" s="58">
        <v>45764</v>
      </c>
      <c r="B478" s="59">
        <f t="shared" si="14"/>
        <v>2025</v>
      </c>
      <c r="D478" s="59">
        <f t="shared" si="15"/>
        <v>4</v>
      </c>
      <c r="E478" s="60">
        <v>27</v>
      </c>
      <c r="F478" s="60">
        <v>30</v>
      </c>
      <c r="G478" s="61">
        <v>28</v>
      </c>
      <c r="H478" s="60">
        <v>44</v>
      </c>
      <c r="I478" s="60">
        <v>47</v>
      </c>
      <c r="J478" s="61">
        <v>46</v>
      </c>
      <c r="K478" s="60">
        <v>22</v>
      </c>
      <c r="L478" s="60">
        <v>25</v>
      </c>
      <c r="M478" s="61">
        <v>24</v>
      </c>
      <c r="N478" s="60">
        <v>105</v>
      </c>
      <c r="O478" s="60">
        <v>117</v>
      </c>
      <c r="P478" s="61">
        <v>111</v>
      </c>
      <c r="T478" s="60">
        <v>53</v>
      </c>
      <c r="U478" s="60">
        <v>59</v>
      </c>
      <c r="V478" s="61">
        <v>56</v>
      </c>
      <c r="W478" s="60">
        <v>73</v>
      </c>
      <c r="X478" s="60">
        <v>78</v>
      </c>
      <c r="Y478" s="61">
        <v>76</v>
      </c>
      <c r="Z478" s="60">
        <v>50</v>
      </c>
      <c r="AA478" s="60">
        <v>55</v>
      </c>
      <c r="AB478" s="61">
        <v>52</v>
      </c>
      <c r="AC478" s="60">
        <v>35</v>
      </c>
      <c r="AD478" s="60">
        <v>48</v>
      </c>
      <c r="AE478" s="61">
        <v>42</v>
      </c>
      <c r="AF478" s="60">
        <v>105</v>
      </c>
      <c r="AG478" s="60">
        <v>115</v>
      </c>
      <c r="AH478" s="61">
        <v>110</v>
      </c>
    </row>
    <row r="479" spans="1:34" x14ac:dyDescent="0.35">
      <c r="A479" s="58">
        <v>45771</v>
      </c>
      <c r="B479" s="59">
        <f t="shared" si="14"/>
        <v>2025</v>
      </c>
      <c r="D479" s="59">
        <f t="shared" si="15"/>
        <v>4</v>
      </c>
      <c r="E479" s="60">
        <v>27</v>
      </c>
      <c r="F479" s="60">
        <v>30</v>
      </c>
      <c r="G479" s="61">
        <v>28</v>
      </c>
      <c r="H479" s="60">
        <v>44</v>
      </c>
      <c r="I479" s="60">
        <v>47</v>
      </c>
      <c r="J479" s="61">
        <v>46</v>
      </c>
      <c r="K479" s="60">
        <v>22</v>
      </c>
      <c r="L479" s="60">
        <v>25</v>
      </c>
      <c r="M479" s="61">
        <v>24</v>
      </c>
      <c r="N479" s="60">
        <v>105</v>
      </c>
      <c r="O479" s="60">
        <v>117</v>
      </c>
      <c r="P479" s="61">
        <v>111</v>
      </c>
      <c r="T479" s="60">
        <v>53</v>
      </c>
      <c r="U479" s="60">
        <v>59</v>
      </c>
      <c r="V479" s="61">
        <v>56</v>
      </c>
      <c r="W479" s="60">
        <v>73</v>
      </c>
      <c r="X479" s="60">
        <v>78</v>
      </c>
      <c r="Y479" s="61">
        <v>76</v>
      </c>
      <c r="Z479" s="60">
        <v>50</v>
      </c>
      <c r="AA479" s="60">
        <v>55</v>
      </c>
      <c r="AB479" s="61">
        <v>52</v>
      </c>
      <c r="AC479" s="60">
        <v>35</v>
      </c>
      <c r="AD479" s="60">
        <v>48</v>
      </c>
      <c r="AE479" s="61">
        <v>42</v>
      </c>
      <c r="AF479" s="60">
        <v>105</v>
      </c>
      <c r="AG479" s="60">
        <v>115</v>
      </c>
      <c r="AH479" s="61">
        <v>110</v>
      </c>
    </row>
    <row r="480" spans="1:34" x14ac:dyDescent="0.35">
      <c r="A480" s="58">
        <v>45778</v>
      </c>
      <c r="B480" s="59">
        <f t="shared" si="14"/>
        <v>2025</v>
      </c>
      <c r="D480" s="59">
        <f t="shared" si="15"/>
        <v>5</v>
      </c>
      <c r="E480" s="60">
        <v>27</v>
      </c>
      <c r="F480" s="60">
        <v>30</v>
      </c>
      <c r="G480" s="61">
        <v>28</v>
      </c>
      <c r="H480" s="60">
        <v>44</v>
      </c>
      <c r="I480" s="60">
        <v>47</v>
      </c>
      <c r="J480" s="61">
        <v>46</v>
      </c>
      <c r="K480" s="60">
        <v>22</v>
      </c>
      <c r="L480" s="60">
        <v>25</v>
      </c>
      <c r="M480" s="61">
        <v>24</v>
      </c>
      <c r="N480" s="60">
        <v>105</v>
      </c>
      <c r="O480" s="60">
        <v>117</v>
      </c>
      <c r="P480" s="61">
        <v>111</v>
      </c>
      <c r="T480" s="60">
        <v>53</v>
      </c>
      <c r="U480" s="60">
        <v>59</v>
      </c>
      <c r="V480" s="61">
        <v>56</v>
      </c>
      <c r="W480" s="60">
        <v>73</v>
      </c>
      <c r="X480" s="60">
        <v>78</v>
      </c>
      <c r="Y480" s="61">
        <v>76</v>
      </c>
      <c r="Z480" s="60">
        <v>50</v>
      </c>
      <c r="AA480" s="60">
        <v>55</v>
      </c>
      <c r="AB480" s="61">
        <v>52</v>
      </c>
      <c r="AC480" s="60">
        <v>35</v>
      </c>
      <c r="AD480" s="60">
        <v>48</v>
      </c>
      <c r="AE480" s="61">
        <v>42</v>
      </c>
      <c r="AF480" s="60">
        <v>105</v>
      </c>
      <c r="AG480" s="60">
        <v>115</v>
      </c>
      <c r="AH480" s="61">
        <v>110</v>
      </c>
    </row>
    <row r="481" spans="1:34" x14ac:dyDescent="0.35">
      <c r="A481" s="58">
        <v>45785</v>
      </c>
      <c r="B481" s="59">
        <f t="shared" si="14"/>
        <v>2025</v>
      </c>
      <c r="D481" s="59">
        <f t="shared" si="15"/>
        <v>5</v>
      </c>
      <c r="E481" s="60">
        <v>26</v>
      </c>
      <c r="F481" s="60">
        <v>29</v>
      </c>
      <c r="G481" s="61">
        <v>28</v>
      </c>
      <c r="H481" s="60">
        <v>44</v>
      </c>
      <c r="I481" s="60">
        <v>47</v>
      </c>
      <c r="J481" s="61">
        <v>46</v>
      </c>
      <c r="K481" s="60">
        <v>22</v>
      </c>
      <c r="L481" s="60">
        <v>25</v>
      </c>
      <c r="M481" s="61">
        <v>24</v>
      </c>
      <c r="N481" s="60">
        <v>105</v>
      </c>
      <c r="O481" s="60">
        <v>117</v>
      </c>
      <c r="P481" s="61">
        <v>111</v>
      </c>
      <c r="T481" s="60">
        <v>53</v>
      </c>
      <c r="U481" s="60">
        <v>59</v>
      </c>
      <c r="V481" s="61">
        <v>56</v>
      </c>
      <c r="W481" s="60">
        <v>72</v>
      </c>
      <c r="X481" s="60">
        <v>77</v>
      </c>
      <c r="Y481" s="61">
        <v>74</v>
      </c>
      <c r="Z481" s="60">
        <v>50</v>
      </c>
      <c r="AA481" s="60">
        <v>55</v>
      </c>
      <c r="AB481" s="61">
        <v>52</v>
      </c>
      <c r="AC481" s="60">
        <v>35</v>
      </c>
      <c r="AD481" s="60">
        <v>48</v>
      </c>
      <c r="AE481" s="61">
        <v>42</v>
      </c>
      <c r="AF481" s="60">
        <v>105</v>
      </c>
      <c r="AG481" s="60">
        <v>115</v>
      </c>
      <c r="AH481" s="61">
        <v>110</v>
      </c>
    </row>
    <row r="482" spans="1:34" x14ac:dyDescent="0.35">
      <c r="A482" s="58">
        <v>45792</v>
      </c>
      <c r="B482" s="59">
        <f t="shared" si="14"/>
        <v>2025</v>
      </c>
      <c r="D482" s="59">
        <f t="shared" si="15"/>
        <v>5</v>
      </c>
      <c r="E482" s="60">
        <v>26</v>
      </c>
      <c r="F482" s="60">
        <v>29</v>
      </c>
      <c r="G482" s="61">
        <v>28</v>
      </c>
      <c r="H482" s="60">
        <v>44</v>
      </c>
      <c r="I482" s="60">
        <v>47</v>
      </c>
      <c r="J482" s="61">
        <v>46</v>
      </c>
      <c r="K482" s="60">
        <v>22</v>
      </c>
      <c r="L482" s="60">
        <v>25</v>
      </c>
      <c r="M482" s="61">
        <v>24</v>
      </c>
      <c r="N482" s="60">
        <v>105</v>
      </c>
      <c r="O482" s="60">
        <v>117</v>
      </c>
      <c r="P482" s="61">
        <v>111</v>
      </c>
      <c r="T482" s="60">
        <v>53</v>
      </c>
      <c r="U482" s="60">
        <v>59</v>
      </c>
      <c r="V482" s="61">
        <v>56</v>
      </c>
      <c r="W482" s="60">
        <v>72</v>
      </c>
      <c r="X482" s="60">
        <v>77</v>
      </c>
      <c r="Y482" s="61">
        <v>74</v>
      </c>
      <c r="Z482" s="60">
        <v>50</v>
      </c>
      <c r="AA482" s="60">
        <v>55</v>
      </c>
      <c r="AB482" s="61">
        <v>52</v>
      </c>
      <c r="AC482" s="60">
        <v>35</v>
      </c>
      <c r="AD482" s="60">
        <v>48</v>
      </c>
      <c r="AE482" s="61">
        <v>42</v>
      </c>
      <c r="AF482" s="60">
        <v>105</v>
      </c>
      <c r="AG482" s="60">
        <v>115</v>
      </c>
      <c r="AH482" s="61">
        <v>110</v>
      </c>
    </row>
    <row r="483" spans="1:34" x14ac:dyDescent="0.35">
      <c r="A483" s="58">
        <v>45799</v>
      </c>
      <c r="B483" s="59">
        <f t="shared" si="14"/>
        <v>2025</v>
      </c>
      <c r="D483" s="59">
        <f t="shared" si="15"/>
        <v>5</v>
      </c>
      <c r="E483" s="60">
        <v>26</v>
      </c>
      <c r="F483" s="60">
        <v>29</v>
      </c>
      <c r="G483" s="61">
        <v>28</v>
      </c>
      <c r="H483" s="60">
        <v>44</v>
      </c>
      <c r="I483" s="60">
        <v>47</v>
      </c>
      <c r="J483" s="61">
        <v>46</v>
      </c>
      <c r="K483" s="60">
        <v>22</v>
      </c>
      <c r="L483" s="60">
        <v>25</v>
      </c>
      <c r="M483" s="61">
        <v>24</v>
      </c>
      <c r="N483" s="60">
        <v>105</v>
      </c>
      <c r="O483" s="60">
        <v>117</v>
      </c>
      <c r="P483" s="61">
        <v>111</v>
      </c>
      <c r="T483" s="60">
        <v>53</v>
      </c>
      <c r="U483" s="60">
        <v>59</v>
      </c>
      <c r="V483" s="61">
        <v>56</v>
      </c>
      <c r="W483" s="60">
        <v>72</v>
      </c>
      <c r="X483" s="60">
        <v>77</v>
      </c>
      <c r="Y483" s="61">
        <v>74</v>
      </c>
      <c r="Z483" s="60">
        <v>50</v>
      </c>
      <c r="AA483" s="60">
        <v>55</v>
      </c>
      <c r="AB483" s="61">
        <v>52</v>
      </c>
      <c r="AC483" s="60">
        <v>35</v>
      </c>
      <c r="AD483" s="60">
        <v>48</v>
      </c>
      <c r="AE483" s="61">
        <v>42</v>
      </c>
      <c r="AF483" s="60">
        <v>105</v>
      </c>
      <c r="AG483" s="60">
        <v>115</v>
      </c>
      <c r="AH483" s="61">
        <v>110</v>
      </c>
    </row>
    <row r="484" spans="1:34" x14ac:dyDescent="0.35">
      <c r="A484" s="58">
        <v>45806</v>
      </c>
      <c r="B484" s="59">
        <f t="shared" si="14"/>
        <v>2025</v>
      </c>
      <c r="D484" s="59">
        <f t="shared" si="15"/>
        <v>5</v>
      </c>
      <c r="E484" s="60">
        <v>26</v>
      </c>
      <c r="F484" s="60">
        <v>29</v>
      </c>
      <c r="G484" s="61">
        <v>28</v>
      </c>
      <c r="H484" s="60">
        <v>44</v>
      </c>
      <c r="I484" s="60">
        <v>47</v>
      </c>
      <c r="J484" s="61">
        <v>46</v>
      </c>
      <c r="K484" s="60">
        <v>22</v>
      </c>
      <c r="L484" s="60">
        <v>25</v>
      </c>
      <c r="M484" s="61">
        <v>24</v>
      </c>
      <c r="N484" s="60">
        <v>100</v>
      </c>
      <c r="O484" s="60">
        <v>112</v>
      </c>
      <c r="P484" s="61">
        <v>106</v>
      </c>
      <c r="T484" s="60">
        <v>50</v>
      </c>
      <c r="U484" s="60">
        <v>56</v>
      </c>
      <c r="V484" s="61">
        <v>53</v>
      </c>
      <c r="W484" s="60">
        <v>72</v>
      </c>
      <c r="X484" s="60">
        <v>77</v>
      </c>
      <c r="Y484" s="61">
        <v>74</v>
      </c>
      <c r="Z484" s="60">
        <v>45</v>
      </c>
      <c r="AA484" s="60">
        <v>50</v>
      </c>
      <c r="AB484" s="61">
        <v>48</v>
      </c>
      <c r="AC484" s="60">
        <v>30</v>
      </c>
      <c r="AD484" s="60">
        <v>40</v>
      </c>
      <c r="AE484" s="61">
        <v>35</v>
      </c>
      <c r="AF484" s="60">
        <v>95</v>
      </c>
      <c r="AG484" s="60">
        <v>105</v>
      </c>
      <c r="AH484" s="61">
        <v>100</v>
      </c>
    </row>
    <row r="485" spans="1:34" x14ac:dyDescent="0.35">
      <c r="A485" s="58">
        <v>45813</v>
      </c>
      <c r="B485" s="59">
        <f t="shared" si="14"/>
        <v>2025</v>
      </c>
      <c r="D485" s="59">
        <f t="shared" si="15"/>
        <v>6</v>
      </c>
      <c r="E485" s="60">
        <v>26</v>
      </c>
      <c r="F485" s="60">
        <v>29</v>
      </c>
      <c r="G485" s="61">
        <v>28</v>
      </c>
      <c r="H485" s="60">
        <v>44</v>
      </c>
      <c r="I485" s="60">
        <v>47</v>
      </c>
      <c r="J485" s="61">
        <v>46</v>
      </c>
      <c r="K485" s="60">
        <v>22</v>
      </c>
      <c r="L485" s="60">
        <v>25</v>
      </c>
      <c r="M485" s="61">
        <v>24</v>
      </c>
      <c r="N485" s="60">
        <v>100</v>
      </c>
      <c r="O485" s="60">
        <v>112</v>
      </c>
      <c r="P485" s="61">
        <v>106</v>
      </c>
      <c r="T485" s="60">
        <v>50</v>
      </c>
      <c r="U485" s="60">
        <v>56</v>
      </c>
      <c r="V485" s="61">
        <v>53</v>
      </c>
      <c r="W485" s="60">
        <v>72</v>
      </c>
      <c r="X485" s="60">
        <v>77</v>
      </c>
      <c r="Y485" s="61">
        <v>74</v>
      </c>
      <c r="Z485" s="60">
        <v>45</v>
      </c>
      <c r="AA485" s="60">
        <v>50</v>
      </c>
      <c r="AB485" s="61">
        <v>48</v>
      </c>
      <c r="AC485" s="60">
        <v>30</v>
      </c>
      <c r="AD485" s="60">
        <v>40</v>
      </c>
      <c r="AE485" s="61">
        <v>35</v>
      </c>
      <c r="AF485" s="60">
        <v>95</v>
      </c>
      <c r="AG485" s="60">
        <v>105</v>
      </c>
      <c r="AH485" s="61">
        <v>100</v>
      </c>
    </row>
    <row r="486" spans="1:34" x14ac:dyDescent="0.35">
      <c r="A486" s="58">
        <v>45820</v>
      </c>
      <c r="B486" s="59">
        <f t="shared" si="14"/>
        <v>2025</v>
      </c>
      <c r="D486" s="59">
        <f t="shared" si="15"/>
        <v>6</v>
      </c>
      <c r="E486" s="60">
        <v>26</v>
      </c>
      <c r="F486" s="60">
        <v>29</v>
      </c>
      <c r="G486" s="61">
        <v>28</v>
      </c>
      <c r="H486" s="60">
        <v>41</v>
      </c>
      <c r="I486" s="60">
        <v>44</v>
      </c>
      <c r="J486" s="61">
        <v>42</v>
      </c>
      <c r="K486" s="60">
        <v>20</v>
      </c>
      <c r="L486" s="60">
        <v>23</v>
      </c>
      <c r="M486" s="61">
        <v>22</v>
      </c>
      <c r="N486" s="60">
        <v>97</v>
      </c>
      <c r="O486" s="60">
        <v>109</v>
      </c>
      <c r="P486" s="61">
        <v>103</v>
      </c>
      <c r="T486" s="60">
        <v>50</v>
      </c>
      <c r="U486" s="60">
        <v>56</v>
      </c>
      <c r="V486" s="61">
        <v>53</v>
      </c>
      <c r="W486" s="60">
        <v>70</v>
      </c>
      <c r="X486" s="60">
        <v>75</v>
      </c>
      <c r="Y486" s="61">
        <v>72</v>
      </c>
      <c r="Z486" s="60">
        <v>45</v>
      </c>
      <c r="AA486" s="60">
        <v>50</v>
      </c>
      <c r="AB486" s="61">
        <v>48</v>
      </c>
      <c r="AC486" s="60">
        <v>30</v>
      </c>
      <c r="AD486" s="60">
        <v>40</v>
      </c>
      <c r="AE486" s="61">
        <v>35</v>
      </c>
      <c r="AF486" s="60">
        <v>92</v>
      </c>
      <c r="AG486" s="60">
        <v>102</v>
      </c>
      <c r="AH486" s="61">
        <v>97</v>
      </c>
    </row>
    <row r="487" spans="1:34" x14ac:dyDescent="0.35">
      <c r="A487" s="58">
        <v>45827</v>
      </c>
      <c r="B487" s="59">
        <f t="shared" si="14"/>
        <v>2025</v>
      </c>
      <c r="D487" s="59">
        <f t="shared" si="15"/>
        <v>6</v>
      </c>
      <c r="E487" s="60">
        <v>26</v>
      </c>
      <c r="F487" s="60">
        <v>29</v>
      </c>
      <c r="G487" s="61">
        <v>28</v>
      </c>
      <c r="H487" s="60">
        <v>41</v>
      </c>
      <c r="I487" s="60">
        <v>44</v>
      </c>
      <c r="J487" s="61">
        <v>42</v>
      </c>
      <c r="K487" s="60">
        <v>20</v>
      </c>
      <c r="L487" s="60">
        <v>23</v>
      </c>
      <c r="M487" s="61">
        <v>22</v>
      </c>
      <c r="N487" s="60">
        <v>97</v>
      </c>
      <c r="O487" s="60">
        <v>109</v>
      </c>
      <c r="P487" s="61">
        <v>103</v>
      </c>
      <c r="T487" s="60">
        <v>50</v>
      </c>
      <c r="U487" s="60">
        <v>56</v>
      </c>
      <c r="V487" s="61">
        <v>53</v>
      </c>
      <c r="W487" s="60">
        <v>70</v>
      </c>
      <c r="X487" s="60">
        <v>75</v>
      </c>
      <c r="Y487" s="61">
        <v>72</v>
      </c>
      <c r="Z487" s="60">
        <v>45</v>
      </c>
      <c r="AA487" s="60">
        <v>50</v>
      </c>
      <c r="AB487" s="61">
        <v>48</v>
      </c>
      <c r="AC487" s="60">
        <v>30</v>
      </c>
      <c r="AD487" s="60">
        <v>40</v>
      </c>
      <c r="AE487" s="61">
        <v>35</v>
      </c>
      <c r="AF487" s="60">
        <v>92</v>
      </c>
      <c r="AG487" s="60">
        <v>102</v>
      </c>
      <c r="AH487" s="61">
        <v>97</v>
      </c>
    </row>
    <row r="488" spans="1:34" x14ac:dyDescent="0.35">
      <c r="A488" s="58">
        <v>45834</v>
      </c>
      <c r="B488" s="59">
        <f t="shared" si="14"/>
        <v>2025</v>
      </c>
      <c r="D488" s="59">
        <f t="shared" si="15"/>
        <v>6</v>
      </c>
      <c r="E488" s="60">
        <v>26</v>
      </c>
      <c r="F488" s="60">
        <v>29</v>
      </c>
      <c r="G488" s="61">
        <v>28</v>
      </c>
      <c r="H488" s="60">
        <v>41</v>
      </c>
      <c r="I488" s="60">
        <v>44</v>
      </c>
      <c r="J488" s="61">
        <v>42</v>
      </c>
      <c r="K488" s="60">
        <v>20</v>
      </c>
      <c r="L488" s="60">
        <v>23</v>
      </c>
      <c r="M488" s="61">
        <v>22</v>
      </c>
      <c r="N488" s="60">
        <v>97</v>
      </c>
      <c r="O488" s="60">
        <v>109</v>
      </c>
      <c r="P488" s="61">
        <v>103</v>
      </c>
      <c r="T488" s="60">
        <v>50</v>
      </c>
      <c r="U488" s="60">
        <v>56</v>
      </c>
      <c r="V488" s="61">
        <v>53</v>
      </c>
      <c r="W488" s="60">
        <v>70</v>
      </c>
      <c r="X488" s="60">
        <v>75</v>
      </c>
      <c r="Y488" s="61">
        <v>72</v>
      </c>
      <c r="Z488" s="60">
        <v>45</v>
      </c>
      <c r="AA488" s="60">
        <v>50</v>
      </c>
      <c r="AB488" s="61">
        <v>48</v>
      </c>
      <c r="AC488" s="60">
        <v>30</v>
      </c>
      <c r="AD488" s="60">
        <v>40</v>
      </c>
      <c r="AE488" s="61">
        <v>35</v>
      </c>
      <c r="AF488" s="60">
        <v>92</v>
      </c>
      <c r="AG488" s="60">
        <v>102</v>
      </c>
      <c r="AH488" s="61">
        <v>97</v>
      </c>
    </row>
    <row r="489" spans="1:34" x14ac:dyDescent="0.35">
      <c r="A489" s="58">
        <v>45841</v>
      </c>
      <c r="B489" s="59">
        <f t="shared" si="14"/>
        <v>2025</v>
      </c>
      <c r="D489" s="59">
        <f t="shared" si="15"/>
        <v>7</v>
      </c>
      <c r="E489" s="60">
        <v>26</v>
      </c>
      <c r="F489" s="60">
        <v>29</v>
      </c>
      <c r="G489" s="61">
        <v>28</v>
      </c>
      <c r="H489" s="60">
        <v>41</v>
      </c>
      <c r="I489" s="60">
        <v>44</v>
      </c>
      <c r="J489" s="61">
        <v>42</v>
      </c>
      <c r="K489" s="60">
        <v>20</v>
      </c>
      <c r="L489" s="60">
        <v>23</v>
      </c>
      <c r="M489" s="61">
        <v>22</v>
      </c>
      <c r="N489" s="60">
        <v>97</v>
      </c>
      <c r="O489" s="60">
        <v>109</v>
      </c>
      <c r="P489" s="61">
        <v>103</v>
      </c>
      <c r="T489" s="60">
        <v>50</v>
      </c>
      <c r="U489" s="60">
        <v>56</v>
      </c>
      <c r="V489" s="61">
        <v>53</v>
      </c>
      <c r="W489" s="60">
        <v>70</v>
      </c>
      <c r="X489" s="60">
        <v>75</v>
      </c>
      <c r="Y489" s="61">
        <v>72</v>
      </c>
      <c r="Z489" s="60">
        <v>45</v>
      </c>
      <c r="AA489" s="60">
        <v>50</v>
      </c>
      <c r="AB489" s="61">
        <v>48</v>
      </c>
      <c r="AC489" s="60">
        <v>30</v>
      </c>
      <c r="AD489" s="60">
        <v>40</v>
      </c>
      <c r="AE489" s="61">
        <v>35</v>
      </c>
      <c r="AF489" s="60">
        <v>92</v>
      </c>
      <c r="AG489" s="60">
        <v>102</v>
      </c>
      <c r="AH489" s="61">
        <v>97</v>
      </c>
    </row>
    <row r="490" spans="1:34" x14ac:dyDescent="0.35">
      <c r="A490" s="58">
        <v>45848</v>
      </c>
      <c r="B490" s="59">
        <f t="shared" si="14"/>
        <v>2025</v>
      </c>
      <c r="D490" s="59">
        <f t="shared" si="15"/>
        <v>7</v>
      </c>
      <c r="E490" s="60">
        <v>26</v>
      </c>
      <c r="F490" s="60">
        <v>29</v>
      </c>
      <c r="G490" s="61">
        <v>28</v>
      </c>
      <c r="H490" s="60">
        <v>41</v>
      </c>
      <c r="I490" s="60">
        <v>44</v>
      </c>
      <c r="J490" s="61">
        <v>42</v>
      </c>
      <c r="K490" s="60">
        <v>20</v>
      </c>
      <c r="L490" s="60">
        <v>23</v>
      </c>
      <c r="M490" s="61">
        <v>22</v>
      </c>
      <c r="N490" s="60">
        <v>97</v>
      </c>
      <c r="O490" s="60">
        <v>109</v>
      </c>
      <c r="P490" s="61">
        <v>103</v>
      </c>
      <c r="T490" s="60">
        <v>50</v>
      </c>
      <c r="U490" s="60">
        <v>56</v>
      </c>
      <c r="V490" s="61">
        <v>53</v>
      </c>
      <c r="W490" s="60">
        <v>70</v>
      </c>
      <c r="X490" s="60">
        <v>75</v>
      </c>
      <c r="Y490" s="61">
        <v>72</v>
      </c>
      <c r="Z490" s="60">
        <v>45</v>
      </c>
      <c r="AA490" s="60">
        <v>50</v>
      </c>
      <c r="AB490" s="61">
        <v>48</v>
      </c>
      <c r="AC490" s="60">
        <v>30</v>
      </c>
      <c r="AD490" s="60">
        <v>40</v>
      </c>
      <c r="AE490" s="61">
        <v>35</v>
      </c>
      <c r="AF490" s="60">
        <v>92</v>
      </c>
      <c r="AG490" s="60">
        <v>102</v>
      </c>
      <c r="AH490" s="61">
        <v>97</v>
      </c>
    </row>
    <row r="491" spans="1:34" x14ac:dyDescent="0.35">
      <c r="A491" s="58">
        <v>45855</v>
      </c>
      <c r="B491" s="59">
        <f t="shared" si="14"/>
        <v>2025</v>
      </c>
      <c r="D491" s="59">
        <f t="shared" si="15"/>
        <v>7</v>
      </c>
      <c r="E491" s="60">
        <v>26</v>
      </c>
      <c r="F491" s="60">
        <v>29</v>
      </c>
      <c r="G491" s="61">
        <v>28</v>
      </c>
      <c r="H491" s="60">
        <v>41</v>
      </c>
      <c r="I491" s="60">
        <v>44</v>
      </c>
      <c r="J491" s="61">
        <v>42</v>
      </c>
      <c r="K491" s="60">
        <v>20</v>
      </c>
      <c r="L491" s="60">
        <v>23</v>
      </c>
      <c r="M491" s="61">
        <v>22</v>
      </c>
      <c r="N491" s="60">
        <v>97</v>
      </c>
      <c r="O491" s="60">
        <v>109</v>
      </c>
      <c r="P491" s="61">
        <v>103</v>
      </c>
      <c r="T491" s="60">
        <v>50</v>
      </c>
      <c r="U491" s="60">
        <v>56</v>
      </c>
      <c r="V491" s="61">
        <v>53</v>
      </c>
      <c r="W491" s="60">
        <v>70</v>
      </c>
      <c r="X491" s="60">
        <v>75</v>
      </c>
      <c r="Y491" s="61">
        <v>72</v>
      </c>
      <c r="Z491" s="60">
        <v>45</v>
      </c>
      <c r="AA491" s="60">
        <v>50</v>
      </c>
      <c r="AB491" s="61">
        <v>48</v>
      </c>
      <c r="AC491" s="60">
        <v>30</v>
      </c>
      <c r="AD491" s="60">
        <v>40</v>
      </c>
      <c r="AE491" s="61">
        <v>35</v>
      </c>
      <c r="AF491" s="60">
        <v>92</v>
      </c>
      <c r="AG491" s="60">
        <v>102</v>
      </c>
      <c r="AH491" s="61">
        <v>97</v>
      </c>
    </row>
    <row r="492" spans="1:34" x14ac:dyDescent="0.35">
      <c r="A492" s="58">
        <v>45862</v>
      </c>
      <c r="B492" s="59">
        <f t="shared" si="14"/>
        <v>2025</v>
      </c>
      <c r="D492" s="59">
        <f t="shared" si="15"/>
        <v>7</v>
      </c>
      <c r="E492" s="60">
        <v>26</v>
      </c>
      <c r="F492" s="60">
        <v>29</v>
      </c>
      <c r="G492" s="61">
        <v>28</v>
      </c>
      <c r="H492" s="60">
        <v>37</v>
      </c>
      <c r="I492" s="60">
        <v>40</v>
      </c>
      <c r="J492" s="61">
        <v>38</v>
      </c>
      <c r="K492" s="60">
        <v>20</v>
      </c>
      <c r="L492" s="60">
        <v>23</v>
      </c>
      <c r="M492" s="61">
        <v>22</v>
      </c>
      <c r="N492" s="60">
        <v>93</v>
      </c>
      <c r="O492" s="60">
        <v>105</v>
      </c>
      <c r="P492" s="61">
        <v>99</v>
      </c>
      <c r="T492" s="60">
        <v>47</v>
      </c>
      <c r="U492" s="60">
        <v>53</v>
      </c>
      <c r="V492" s="61">
        <v>50</v>
      </c>
      <c r="W492" s="60">
        <v>65</v>
      </c>
      <c r="X492" s="60">
        <v>70</v>
      </c>
      <c r="Y492" s="61">
        <v>68</v>
      </c>
      <c r="Z492" s="60">
        <v>44</v>
      </c>
      <c r="AA492" s="60">
        <v>49</v>
      </c>
      <c r="AB492" s="61">
        <v>46</v>
      </c>
      <c r="AC492" s="60">
        <v>29</v>
      </c>
      <c r="AD492" s="60">
        <v>39</v>
      </c>
      <c r="AE492" s="61">
        <v>34</v>
      </c>
      <c r="AF492" s="60">
        <v>89</v>
      </c>
      <c r="AG492" s="60">
        <v>99</v>
      </c>
      <c r="AH492" s="61">
        <v>94</v>
      </c>
    </row>
    <row r="493" spans="1:34" x14ac:dyDescent="0.35">
      <c r="A493" s="58">
        <v>45869</v>
      </c>
      <c r="B493" s="59">
        <f t="shared" si="14"/>
        <v>2025</v>
      </c>
      <c r="D493" s="59">
        <f t="shared" si="15"/>
        <v>7</v>
      </c>
      <c r="E493" s="60">
        <v>26</v>
      </c>
      <c r="F493" s="60">
        <v>29</v>
      </c>
      <c r="G493" s="61">
        <v>28</v>
      </c>
      <c r="H493" s="60">
        <v>37</v>
      </c>
      <c r="I493" s="60">
        <v>40</v>
      </c>
      <c r="J493" s="61">
        <v>38</v>
      </c>
      <c r="K493" s="60">
        <v>20</v>
      </c>
      <c r="L493" s="60">
        <v>23</v>
      </c>
      <c r="M493" s="61">
        <v>22</v>
      </c>
      <c r="N493" s="60">
        <v>93</v>
      </c>
      <c r="O493" s="60">
        <v>105</v>
      </c>
      <c r="P493" s="61">
        <v>99</v>
      </c>
      <c r="T493" s="60">
        <v>47</v>
      </c>
      <c r="U493" s="60">
        <v>53</v>
      </c>
      <c r="V493" s="61">
        <v>50</v>
      </c>
      <c r="W493" s="60">
        <v>65</v>
      </c>
      <c r="X493" s="60">
        <v>70</v>
      </c>
      <c r="Y493" s="61">
        <v>68</v>
      </c>
      <c r="Z493" s="60">
        <v>44</v>
      </c>
      <c r="AA493" s="60">
        <v>49</v>
      </c>
      <c r="AB493" s="61">
        <v>46</v>
      </c>
      <c r="AC493" s="60">
        <v>29</v>
      </c>
      <c r="AD493" s="60">
        <v>39</v>
      </c>
      <c r="AE493" s="61">
        <v>34</v>
      </c>
      <c r="AF493" s="60">
        <v>89</v>
      </c>
      <c r="AG493" s="60">
        <v>99</v>
      </c>
      <c r="AH493" s="61">
        <v>94</v>
      </c>
    </row>
    <row r="494" spans="1:34" x14ac:dyDescent="0.35">
      <c r="A494" s="58">
        <v>45876</v>
      </c>
      <c r="B494" s="59">
        <f t="shared" si="14"/>
        <v>2025</v>
      </c>
      <c r="D494" s="59">
        <f t="shared" si="15"/>
        <v>8</v>
      </c>
      <c r="E494" s="60">
        <v>26</v>
      </c>
      <c r="F494" s="60">
        <v>29</v>
      </c>
      <c r="G494" s="61">
        <v>28</v>
      </c>
      <c r="H494" s="60">
        <v>37</v>
      </c>
      <c r="I494" s="60">
        <v>40</v>
      </c>
      <c r="J494" s="61">
        <v>38</v>
      </c>
      <c r="K494" s="60">
        <v>20</v>
      </c>
      <c r="L494" s="60">
        <v>23</v>
      </c>
      <c r="M494" s="61">
        <v>22</v>
      </c>
      <c r="N494" s="60">
        <v>93</v>
      </c>
      <c r="O494" s="60">
        <v>105</v>
      </c>
      <c r="P494" s="61">
        <v>99</v>
      </c>
      <c r="T494" s="60">
        <v>44</v>
      </c>
      <c r="U494" s="60">
        <v>50</v>
      </c>
      <c r="V494" s="61">
        <v>47</v>
      </c>
      <c r="W494" s="60">
        <v>65</v>
      </c>
      <c r="X494" s="60">
        <v>70</v>
      </c>
      <c r="Y494" s="61">
        <v>68</v>
      </c>
      <c r="Z494" s="60">
        <v>42</v>
      </c>
      <c r="AA494" s="60">
        <v>47</v>
      </c>
      <c r="AB494" s="61">
        <v>44</v>
      </c>
      <c r="AC494" s="60">
        <v>29</v>
      </c>
      <c r="AD494" s="60">
        <v>39</v>
      </c>
      <c r="AE494" s="61">
        <v>34</v>
      </c>
      <c r="AF494" s="60">
        <v>91</v>
      </c>
      <c r="AG494" s="60">
        <v>101</v>
      </c>
      <c r="AH494" s="61">
        <v>96</v>
      </c>
    </row>
    <row r="495" spans="1:34" x14ac:dyDescent="0.35">
      <c r="A495" s="58">
        <v>45883</v>
      </c>
      <c r="B495" s="59">
        <f t="shared" si="14"/>
        <v>2025</v>
      </c>
      <c r="D495" s="59">
        <f t="shared" si="15"/>
        <v>8</v>
      </c>
      <c r="E495" s="60">
        <v>26</v>
      </c>
      <c r="F495" s="60">
        <v>29</v>
      </c>
      <c r="G495" s="61">
        <v>28</v>
      </c>
      <c r="H495" s="60">
        <v>37</v>
      </c>
      <c r="I495" s="60">
        <v>40</v>
      </c>
      <c r="J495" s="61">
        <v>38</v>
      </c>
      <c r="K495" s="60">
        <v>20</v>
      </c>
      <c r="L495" s="60">
        <v>23</v>
      </c>
      <c r="M495" s="61">
        <v>22</v>
      </c>
      <c r="N495" s="60">
        <v>93</v>
      </c>
      <c r="O495" s="60">
        <v>105</v>
      </c>
      <c r="P495" s="61">
        <v>99</v>
      </c>
      <c r="T495" s="60">
        <v>44</v>
      </c>
      <c r="U495" s="60">
        <v>50</v>
      </c>
      <c r="V495" s="61">
        <v>47</v>
      </c>
      <c r="W495" s="60">
        <v>63</v>
      </c>
      <c r="X495" s="60">
        <v>68</v>
      </c>
      <c r="Y495" s="61">
        <v>66</v>
      </c>
      <c r="Z495" s="60">
        <v>42</v>
      </c>
      <c r="AA495" s="60">
        <v>47</v>
      </c>
      <c r="AB495" s="61">
        <v>44</v>
      </c>
      <c r="AC495" s="60">
        <v>29</v>
      </c>
      <c r="AD495" s="60">
        <v>39</v>
      </c>
      <c r="AE495" s="61">
        <v>34</v>
      </c>
      <c r="AF495" s="60">
        <v>91</v>
      </c>
      <c r="AG495" s="60">
        <v>101</v>
      </c>
      <c r="AH495" s="61">
        <v>96</v>
      </c>
    </row>
    <row r="496" spans="1:34" x14ac:dyDescent="0.35">
      <c r="A496" s="58">
        <v>45890</v>
      </c>
      <c r="B496" s="59">
        <f t="shared" si="14"/>
        <v>2025</v>
      </c>
      <c r="D496" s="59">
        <f t="shared" si="15"/>
        <v>8</v>
      </c>
      <c r="E496" s="60">
        <v>26</v>
      </c>
      <c r="F496" s="60">
        <v>29</v>
      </c>
      <c r="G496" s="61">
        <v>28</v>
      </c>
      <c r="H496" s="60">
        <v>37</v>
      </c>
      <c r="I496" s="60">
        <v>40</v>
      </c>
      <c r="J496" s="61">
        <v>38</v>
      </c>
      <c r="K496" s="60">
        <v>20</v>
      </c>
      <c r="L496" s="60">
        <v>23</v>
      </c>
      <c r="M496" s="61">
        <v>22</v>
      </c>
      <c r="N496" s="60">
        <v>93</v>
      </c>
      <c r="O496" s="60">
        <v>105</v>
      </c>
      <c r="P496" s="61">
        <v>99</v>
      </c>
      <c r="T496" s="60">
        <v>44</v>
      </c>
      <c r="U496" s="60">
        <v>50</v>
      </c>
      <c r="V496" s="61">
        <v>47</v>
      </c>
      <c r="W496" s="60">
        <v>63</v>
      </c>
      <c r="X496" s="60">
        <v>68</v>
      </c>
      <c r="Y496" s="61">
        <v>66</v>
      </c>
      <c r="Z496" s="60">
        <v>42</v>
      </c>
      <c r="AA496" s="60">
        <v>47</v>
      </c>
      <c r="AB496" s="61">
        <v>44</v>
      </c>
      <c r="AC496" s="60">
        <v>29</v>
      </c>
      <c r="AD496" s="60">
        <v>39</v>
      </c>
      <c r="AE496" s="61">
        <v>34</v>
      </c>
      <c r="AF496" s="60">
        <v>91</v>
      </c>
      <c r="AG496" s="60">
        <v>101</v>
      </c>
      <c r="AH496" s="61">
        <v>96</v>
      </c>
    </row>
    <row r="497" spans="1:34" x14ac:dyDescent="0.35">
      <c r="A497" s="58">
        <v>45897</v>
      </c>
      <c r="B497" s="59">
        <f t="shared" si="14"/>
        <v>2025</v>
      </c>
      <c r="D497" s="59">
        <f t="shared" si="15"/>
        <v>8</v>
      </c>
      <c r="E497" s="60">
        <v>26</v>
      </c>
      <c r="F497" s="60">
        <v>29</v>
      </c>
      <c r="G497" s="61">
        <v>28</v>
      </c>
      <c r="H497" s="60">
        <v>37</v>
      </c>
      <c r="I497" s="60">
        <v>40</v>
      </c>
      <c r="J497" s="61">
        <v>38</v>
      </c>
      <c r="K497" s="60">
        <v>20</v>
      </c>
      <c r="L497" s="60">
        <v>23</v>
      </c>
      <c r="M497" s="61">
        <v>22</v>
      </c>
      <c r="N497" s="60">
        <v>93</v>
      </c>
      <c r="O497" s="60">
        <v>105</v>
      </c>
      <c r="P497" s="61">
        <v>99</v>
      </c>
      <c r="T497" s="60">
        <v>44</v>
      </c>
      <c r="U497" s="60">
        <v>50</v>
      </c>
      <c r="V497" s="61">
        <v>47</v>
      </c>
      <c r="W497" s="60">
        <v>63</v>
      </c>
      <c r="X497" s="60">
        <v>68</v>
      </c>
      <c r="Y497" s="61">
        <v>66</v>
      </c>
      <c r="Z497" s="60">
        <v>42</v>
      </c>
      <c r="AA497" s="60">
        <v>47</v>
      </c>
      <c r="AB497" s="61">
        <v>44</v>
      </c>
      <c r="AC497" s="60">
        <v>29</v>
      </c>
      <c r="AD497" s="60">
        <v>39</v>
      </c>
      <c r="AE497" s="61">
        <v>34</v>
      </c>
      <c r="AF497" s="60">
        <v>91</v>
      </c>
      <c r="AG497" s="60">
        <v>101</v>
      </c>
      <c r="AH497" s="61">
        <v>96</v>
      </c>
    </row>
    <row r="498" spans="1:34" x14ac:dyDescent="0.35">
      <c r="A498" s="58">
        <v>45904</v>
      </c>
      <c r="B498" s="59">
        <f t="shared" si="14"/>
        <v>2025</v>
      </c>
      <c r="D498" s="59">
        <f t="shared" si="15"/>
        <v>9</v>
      </c>
      <c r="E498" s="60">
        <v>26</v>
      </c>
      <c r="F498" s="60">
        <v>29</v>
      </c>
      <c r="G498" s="61">
        <v>28</v>
      </c>
      <c r="H498" s="60">
        <v>37</v>
      </c>
      <c r="I498" s="60">
        <v>40</v>
      </c>
      <c r="J498" s="61">
        <v>38</v>
      </c>
      <c r="K498" s="60">
        <v>20</v>
      </c>
      <c r="L498" s="60">
        <v>23</v>
      </c>
      <c r="M498" s="61">
        <v>22</v>
      </c>
      <c r="N498" s="60">
        <v>93</v>
      </c>
      <c r="O498" s="60">
        <v>105</v>
      </c>
      <c r="P498" s="61">
        <v>99</v>
      </c>
      <c r="T498" s="60">
        <v>44</v>
      </c>
      <c r="U498" s="60">
        <v>50</v>
      </c>
      <c r="V498" s="61">
        <v>47</v>
      </c>
      <c r="W498" s="60">
        <v>63</v>
      </c>
      <c r="X498" s="60">
        <v>68</v>
      </c>
      <c r="Y498" s="61">
        <v>66</v>
      </c>
      <c r="Z498" s="60">
        <v>42</v>
      </c>
      <c r="AA498" s="60">
        <v>47</v>
      </c>
      <c r="AB498" s="61">
        <v>44</v>
      </c>
      <c r="AC498" s="60">
        <v>29</v>
      </c>
      <c r="AD498" s="60">
        <v>39</v>
      </c>
      <c r="AE498" s="61">
        <v>34</v>
      </c>
      <c r="AF498" s="60">
        <v>91</v>
      </c>
      <c r="AG498" s="60">
        <v>101</v>
      </c>
      <c r="AH498" s="61">
        <v>96</v>
      </c>
    </row>
    <row r="499" spans="1:34" x14ac:dyDescent="0.35">
      <c r="A499" s="58">
        <v>45911</v>
      </c>
      <c r="B499" s="59">
        <f t="shared" si="14"/>
        <v>2025</v>
      </c>
      <c r="D499" s="59">
        <f t="shared" si="15"/>
        <v>9</v>
      </c>
      <c r="E499" s="60">
        <v>26</v>
      </c>
      <c r="F499" s="60">
        <v>29</v>
      </c>
      <c r="G499" s="61">
        <v>28</v>
      </c>
      <c r="H499" s="60">
        <v>37</v>
      </c>
      <c r="I499" s="60">
        <v>40</v>
      </c>
      <c r="J499" s="61">
        <v>38</v>
      </c>
      <c r="K499" s="60">
        <v>20</v>
      </c>
      <c r="L499" s="60">
        <v>23</v>
      </c>
      <c r="M499" s="61">
        <v>22</v>
      </c>
      <c r="N499" s="60">
        <v>93</v>
      </c>
      <c r="O499" s="60">
        <v>105</v>
      </c>
      <c r="P499" s="61">
        <v>99</v>
      </c>
      <c r="T499" s="60">
        <v>44</v>
      </c>
      <c r="U499" s="60">
        <v>50</v>
      </c>
      <c r="V499" s="61">
        <v>47</v>
      </c>
      <c r="W499" s="60">
        <v>63</v>
      </c>
      <c r="X499" s="60">
        <v>68</v>
      </c>
      <c r="Y499" s="61">
        <v>66</v>
      </c>
      <c r="Z499" s="60">
        <v>42</v>
      </c>
      <c r="AA499" s="60">
        <v>47</v>
      </c>
      <c r="AB499" s="61">
        <v>44</v>
      </c>
      <c r="AC499" s="60">
        <v>29</v>
      </c>
      <c r="AD499" s="60">
        <v>39</v>
      </c>
      <c r="AE499" s="61">
        <v>34</v>
      </c>
      <c r="AF499" s="60">
        <v>91</v>
      </c>
      <c r="AG499" s="60">
        <v>101</v>
      </c>
      <c r="AH499" s="61">
        <v>96</v>
      </c>
    </row>
    <row r="500" spans="1:34" x14ac:dyDescent="0.35">
      <c r="A500" s="58">
        <v>45918</v>
      </c>
      <c r="B500" s="59">
        <f t="shared" si="14"/>
        <v>2025</v>
      </c>
      <c r="D500" s="59">
        <f t="shared" si="15"/>
        <v>9</v>
      </c>
      <c r="E500" s="60">
        <v>26</v>
      </c>
      <c r="F500" s="60">
        <v>29</v>
      </c>
      <c r="G500" s="61">
        <v>28</v>
      </c>
      <c r="H500" s="60">
        <v>37</v>
      </c>
      <c r="I500" s="60">
        <v>40</v>
      </c>
      <c r="J500" s="61">
        <v>38</v>
      </c>
      <c r="K500" s="60">
        <v>20</v>
      </c>
      <c r="L500" s="60">
        <v>23</v>
      </c>
      <c r="M500" s="61">
        <v>22</v>
      </c>
      <c r="N500" s="60">
        <v>93</v>
      </c>
      <c r="O500" s="60">
        <v>105</v>
      </c>
      <c r="P500" s="61">
        <v>99</v>
      </c>
      <c r="T500" s="60">
        <v>44</v>
      </c>
      <c r="U500" s="60">
        <v>50</v>
      </c>
      <c r="V500" s="61">
        <v>47</v>
      </c>
      <c r="W500" s="60">
        <v>63</v>
      </c>
      <c r="X500" s="60">
        <v>68</v>
      </c>
      <c r="Y500" s="61">
        <v>66</v>
      </c>
      <c r="Z500" s="60">
        <v>42</v>
      </c>
      <c r="AA500" s="60">
        <v>47</v>
      </c>
      <c r="AB500" s="61">
        <v>44</v>
      </c>
      <c r="AC500" s="60">
        <v>29</v>
      </c>
      <c r="AD500" s="60">
        <v>39</v>
      </c>
      <c r="AE500" s="61">
        <v>34</v>
      </c>
      <c r="AF500" s="60">
        <v>91</v>
      </c>
      <c r="AG500" s="60">
        <v>101</v>
      </c>
      <c r="AH500" s="61">
        <v>96</v>
      </c>
    </row>
    <row r="501" spans="1:34" x14ac:dyDescent="0.35">
      <c r="A501" s="58">
        <v>45925</v>
      </c>
      <c r="B501" s="59">
        <f t="shared" si="14"/>
        <v>2025</v>
      </c>
      <c r="D501" s="59">
        <f t="shared" si="15"/>
        <v>9</v>
      </c>
      <c r="E501" s="60">
        <v>26</v>
      </c>
      <c r="F501" s="60">
        <v>29</v>
      </c>
      <c r="G501" s="61">
        <v>28</v>
      </c>
      <c r="H501" s="60">
        <v>37</v>
      </c>
      <c r="I501" s="60">
        <v>40</v>
      </c>
      <c r="J501" s="61">
        <v>38</v>
      </c>
      <c r="K501" s="60">
        <v>20</v>
      </c>
      <c r="L501" s="60">
        <v>23</v>
      </c>
      <c r="M501" s="61">
        <v>22</v>
      </c>
      <c r="N501" s="60">
        <v>93</v>
      </c>
      <c r="O501" s="60">
        <v>105</v>
      </c>
      <c r="P501" s="61">
        <v>99</v>
      </c>
      <c r="T501" s="60">
        <v>44</v>
      </c>
      <c r="U501" s="60">
        <v>50</v>
      </c>
      <c r="V501" s="61">
        <v>47</v>
      </c>
      <c r="W501" s="60">
        <v>63</v>
      </c>
      <c r="X501" s="60">
        <v>68</v>
      </c>
      <c r="Y501" s="61">
        <v>66</v>
      </c>
      <c r="Z501" s="60">
        <v>42</v>
      </c>
      <c r="AA501" s="60">
        <v>47</v>
      </c>
      <c r="AB501" s="61">
        <v>44</v>
      </c>
      <c r="AC501" s="60">
        <v>29</v>
      </c>
      <c r="AD501" s="60">
        <v>39</v>
      </c>
      <c r="AE501" s="61">
        <v>34</v>
      </c>
      <c r="AF501" s="60">
        <v>91</v>
      </c>
      <c r="AG501" s="60">
        <v>101</v>
      </c>
      <c r="AH501" s="61">
        <v>96</v>
      </c>
    </row>
    <row r="502" spans="1:34" x14ac:dyDescent="0.35">
      <c r="A502" s="58">
        <v>45932</v>
      </c>
      <c r="B502" s="59">
        <f t="shared" si="14"/>
        <v>2025</v>
      </c>
      <c r="D502" s="59">
        <f t="shared" si="15"/>
        <v>10</v>
      </c>
      <c r="E502" s="60">
        <v>26</v>
      </c>
      <c r="F502" s="60">
        <v>29</v>
      </c>
      <c r="G502" s="61">
        <v>28</v>
      </c>
      <c r="H502" s="60">
        <v>37</v>
      </c>
      <c r="I502" s="60">
        <v>40</v>
      </c>
      <c r="J502" s="61">
        <v>38</v>
      </c>
      <c r="K502" s="60">
        <v>20</v>
      </c>
      <c r="L502" s="60">
        <v>23</v>
      </c>
      <c r="M502" s="61">
        <v>22</v>
      </c>
      <c r="N502" s="60">
        <v>93</v>
      </c>
      <c r="O502" s="60">
        <v>105</v>
      </c>
      <c r="P502" s="61">
        <v>99</v>
      </c>
      <c r="T502" s="60">
        <v>44</v>
      </c>
      <c r="U502" s="60">
        <v>50</v>
      </c>
      <c r="V502" s="61">
        <v>47</v>
      </c>
      <c r="W502" s="60">
        <v>63</v>
      </c>
      <c r="X502" s="60">
        <v>68</v>
      </c>
      <c r="Y502" s="61">
        <v>66</v>
      </c>
      <c r="Z502" s="60">
        <v>42</v>
      </c>
      <c r="AA502" s="60">
        <v>47</v>
      </c>
      <c r="AB502" s="61">
        <v>44</v>
      </c>
      <c r="AC502" s="60">
        <v>29</v>
      </c>
      <c r="AD502" s="60">
        <v>39</v>
      </c>
      <c r="AE502" s="61">
        <v>34</v>
      </c>
      <c r="AF502" s="60">
        <v>91</v>
      </c>
      <c r="AG502" s="60">
        <v>101</v>
      </c>
      <c r="AH502" s="61">
        <v>96</v>
      </c>
    </row>
    <row r="503" spans="1:34" x14ac:dyDescent="0.35">
      <c r="A503" s="58">
        <v>45939</v>
      </c>
      <c r="B503" s="59">
        <f t="shared" si="14"/>
        <v>2025</v>
      </c>
      <c r="D503" s="59">
        <f t="shared" si="15"/>
        <v>10</v>
      </c>
      <c r="E503" s="60">
        <v>26</v>
      </c>
      <c r="F503" s="60">
        <v>29</v>
      </c>
      <c r="G503" s="61">
        <v>28</v>
      </c>
      <c r="H503" s="60">
        <v>37</v>
      </c>
      <c r="I503" s="60">
        <v>40</v>
      </c>
      <c r="J503" s="61">
        <v>38</v>
      </c>
      <c r="K503" s="60">
        <v>19</v>
      </c>
      <c r="L503" s="60">
        <v>22</v>
      </c>
      <c r="M503" s="61">
        <v>20</v>
      </c>
      <c r="N503" s="60">
        <v>93</v>
      </c>
      <c r="O503" s="60">
        <v>105</v>
      </c>
      <c r="P503" s="61">
        <v>99</v>
      </c>
      <c r="T503" s="60">
        <v>44</v>
      </c>
      <c r="U503" s="60">
        <v>50</v>
      </c>
      <c r="V503" s="61">
        <v>47</v>
      </c>
      <c r="W503" s="60">
        <v>63</v>
      </c>
      <c r="X503" s="60">
        <v>68</v>
      </c>
      <c r="Y503" s="61">
        <v>66</v>
      </c>
      <c r="Z503" s="60">
        <v>42</v>
      </c>
      <c r="AA503" s="60">
        <v>47</v>
      </c>
      <c r="AB503" s="61">
        <v>44</v>
      </c>
      <c r="AC503" s="60">
        <v>29</v>
      </c>
      <c r="AD503" s="60">
        <v>39</v>
      </c>
      <c r="AE503" s="61">
        <v>34</v>
      </c>
      <c r="AF503" s="60">
        <v>91</v>
      </c>
      <c r="AG503" s="60">
        <v>101</v>
      </c>
      <c r="AH503" s="61">
        <v>96</v>
      </c>
    </row>
    <row r="504" spans="1:34" x14ac:dyDescent="0.35">
      <c r="A504" s="58">
        <v>45946</v>
      </c>
      <c r="B504" s="59">
        <f t="shared" si="14"/>
        <v>2025</v>
      </c>
      <c r="D504" s="59">
        <f t="shared" si="15"/>
        <v>10</v>
      </c>
      <c r="E504" s="60">
        <v>26</v>
      </c>
      <c r="F504" s="60">
        <v>29</v>
      </c>
      <c r="G504" s="61">
        <v>28</v>
      </c>
      <c r="H504" s="60">
        <v>37</v>
      </c>
      <c r="I504" s="60">
        <v>40</v>
      </c>
      <c r="J504" s="61">
        <v>38</v>
      </c>
      <c r="K504" s="60">
        <v>19</v>
      </c>
      <c r="L504" s="60">
        <v>22</v>
      </c>
      <c r="M504" s="61">
        <v>20</v>
      </c>
      <c r="N504" s="60">
        <v>93</v>
      </c>
      <c r="O504" s="60">
        <v>105</v>
      </c>
      <c r="P504" s="61">
        <v>99</v>
      </c>
      <c r="T504" s="60">
        <v>44</v>
      </c>
      <c r="U504" s="60">
        <v>50</v>
      </c>
      <c r="V504" s="61">
        <v>47</v>
      </c>
      <c r="W504" s="60">
        <v>63</v>
      </c>
      <c r="X504" s="60">
        <v>68</v>
      </c>
      <c r="Y504" s="61">
        <v>66</v>
      </c>
      <c r="Z504" s="60">
        <v>42</v>
      </c>
      <c r="AA504" s="60">
        <v>47</v>
      </c>
      <c r="AB504" s="61">
        <v>44</v>
      </c>
      <c r="AC504" s="60">
        <v>29</v>
      </c>
      <c r="AD504" s="60">
        <v>39</v>
      </c>
      <c r="AE504" s="61">
        <v>34</v>
      </c>
      <c r="AF504" s="60">
        <v>91</v>
      </c>
      <c r="AG504" s="60">
        <v>101</v>
      </c>
      <c r="AH504" s="61">
        <v>96</v>
      </c>
    </row>
    <row r="505" spans="1:34" x14ac:dyDescent="0.35">
      <c r="A505" s="58">
        <v>45953</v>
      </c>
      <c r="B505" s="59">
        <f t="shared" si="14"/>
        <v>2025</v>
      </c>
      <c r="D505" s="59">
        <f t="shared" si="15"/>
        <v>10</v>
      </c>
      <c r="E505" s="60">
        <v>26</v>
      </c>
      <c r="F505" s="60">
        <v>29</v>
      </c>
      <c r="G505" s="61">
        <v>28</v>
      </c>
      <c r="H505" s="60">
        <v>37</v>
      </c>
      <c r="I505" s="60">
        <v>40</v>
      </c>
      <c r="J505" s="61">
        <v>38</v>
      </c>
      <c r="K505" s="60">
        <v>19</v>
      </c>
      <c r="L505" s="60">
        <v>22</v>
      </c>
      <c r="M505" s="61">
        <v>20</v>
      </c>
      <c r="N505" s="60">
        <v>93</v>
      </c>
      <c r="O505" s="60">
        <v>105</v>
      </c>
      <c r="P505" s="61">
        <v>99</v>
      </c>
      <c r="T505" s="60">
        <v>44</v>
      </c>
      <c r="U505" s="60">
        <v>50</v>
      </c>
      <c r="V505" s="61">
        <v>47</v>
      </c>
      <c r="W505" s="60">
        <v>63</v>
      </c>
      <c r="X505" s="60">
        <v>68</v>
      </c>
      <c r="Y505" s="61">
        <v>66</v>
      </c>
      <c r="Z505" s="60">
        <v>42</v>
      </c>
      <c r="AA505" s="60">
        <v>47</v>
      </c>
      <c r="AB505" s="61">
        <v>44</v>
      </c>
      <c r="AC505" s="60">
        <v>29</v>
      </c>
      <c r="AD505" s="60">
        <v>39</v>
      </c>
      <c r="AE505" s="61">
        <v>34</v>
      </c>
      <c r="AF505" s="60">
        <v>91</v>
      </c>
      <c r="AG505" s="60">
        <v>101</v>
      </c>
      <c r="AH505" s="61">
        <v>96</v>
      </c>
    </row>
    <row r="506" spans="1:34" x14ac:dyDescent="0.35">
      <c r="A506" s="58">
        <v>45960</v>
      </c>
      <c r="B506" s="59">
        <f t="shared" si="14"/>
        <v>2025</v>
      </c>
      <c r="D506" s="59">
        <f t="shared" si="15"/>
        <v>10</v>
      </c>
      <c r="E506" s="60">
        <v>26</v>
      </c>
      <c r="F506" s="60">
        <v>29</v>
      </c>
      <c r="G506" s="61">
        <v>28</v>
      </c>
      <c r="H506" s="60">
        <v>37</v>
      </c>
      <c r="I506" s="60">
        <v>40</v>
      </c>
      <c r="J506" s="61">
        <v>38</v>
      </c>
      <c r="K506" s="60">
        <v>19</v>
      </c>
      <c r="L506" s="60">
        <v>22</v>
      </c>
      <c r="M506" s="61">
        <v>20</v>
      </c>
      <c r="N506" s="60">
        <v>93</v>
      </c>
      <c r="O506" s="60">
        <v>105</v>
      </c>
      <c r="P506" s="61">
        <v>99</v>
      </c>
      <c r="T506" s="60">
        <v>44</v>
      </c>
      <c r="U506" s="60">
        <v>50</v>
      </c>
      <c r="V506" s="61">
        <v>47</v>
      </c>
      <c r="W506" s="60">
        <v>63</v>
      </c>
      <c r="X506" s="60">
        <v>68</v>
      </c>
      <c r="Y506" s="61">
        <v>66</v>
      </c>
      <c r="Z506" s="60">
        <v>42</v>
      </c>
      <c r="AA506" s="60">
        <v>47</v>
      </c>
      <c r="AB506" s="61">
        <v>44</v>
      </c>
      <c r="AC506" s="60">
        <v>29</v>
      </c>
      <c r="AD506" s="60">
        <v>39</v>
      </c>
      <c r="AE506" s="61">
        <v>34</v>
      </c>
      <c r="AF506" s="60">
        <v>91</v>
      </c>
      <c r="AG506" s="60">
        <v>101</v>
      </c>
      <c r="AH506" s="61">
        <v>96</v>
      </c>
    </row>
    <row r="507" spans="1:34" x14ac:dyDescent="0.35">
      <c r="A507" s="58">
        <v>45967</v>
      </c>
      <c r="B507" s="59">
        <f t="shared" si="14"/>
        <v>2025</v>
      </c>
      <c r="D507" s="59">
        <f t="shared" si="15"/>
        <v>11</v>
      </c>
      <c r="E507" s="60">
        <v>29</v>
      </c>
      <c r="F507" s="60">
        <v>32</v>
      </c>
      <c r="G507" s="61">
        <v>30</v>
      </c>
      <c r="H507" s="60">
        <v>40</v>
      </c>
      <c r="I507" s="60">
        <v>43</v>
      </c>
      <c r="J507" s="61">
        <v>42</v>
      </c>
      <c r="K507" s="60">
        <v>20</v>
      </c>
      <c r="L507" s="60">
        <v>23</v>
      </c>
      <c r="M507" s="61">
        <v>22</v>
      </c>
      <c r="N507" s="60">
        <v>93</v>
      </c>
      <c r="O507" s="60">
        <v>105</v>
      </c>
      <c r="P507" s="61">
        <v>99</v>
      </c>
      <c r="T507" s="60">
        <v>44</v>
      </c>
      <c r="U507" s="60">
        <v>50</v>
      </c>
      <c r="V507" s="61">
        <v>47</v>
      </c>
      <c r="W507" s="60">
        <v>62</v>
      </c>
      <c r="X507" s="60">
        <v>67</v>
      </c>
      <c r="Y507" s="61">
        <v>64</v>
      </c>
      <c r="Z507" s="60">
        <v>42</v>
      </c>
      <c r="AA507" s="60">
        <v>47</v>
      </c>
      <c r="AB507" s="61">
        <v>44</v>
      </c>
      <c r="AC507" s="60">
        <v>29</v>
      </c>
      <c r="AD507" s="60">
        <v>39</v>
      </c>
      <c r="AE507" s="61">
        <v>34</v>
      </c>
      <c r="AF507" s="60">
        <v>91</v>
      </c>
      <c r="AG507" s="60">
        <v>101</v>
      </c>
      <c r="AH507" s="61">
        <v>96</v>
      </c>
    </row>
    <row r="508" spans="1:34" x14ac:dyDescent="0.35">
      <c r="A508" s="58">
        <v>45974</v>
      </c>
      <c r="B508" s="59">
        <f t="shared" si="14"/>
        <v>2025</v>
      </c>
      <c r="D508" s="59">
        <f t="shared" si="15"/>
        <v>11</v>
      </c>
      <c r="E508" s="60">
        <v>29</v>
      </c>
      <c r="F508" s="60">
        <v>32</v>
      </c>
      <c r="G508" s="61">
        <v>30</v>
      </c>
      <c r="H508" s="60">
        <v>40</v>
      </c>
      <c r="I508" s="60">
        <v>43</v>
      </c>
      <c r="J508" s="61">
        <v>42</v>
      </c>
      <c r="K508" s="60">
        <v>20</v>
      </c>
      <c r="L508" s="60">
        <v>23</v>
      </c>
      <c r="M508" s="61">
        <v>22</v>
      </c>
      <c r="N508" s="60">
        <v>93</v>
      </c>
      <c r="O508" s="60">
        <v>105</v>
      </c>
      <c r="P508" s="61">
        <v>99</v>
      </c>
      <c r="T508" s="60">
        <v>44</v>
      </c>
      <c r="U508" s="60">
        <v>50</v>
      </c>
      <c r="V508" s="61">
        <v>47</v>
      </c>
      <c r="W508" s="60">
        <v>62</v>
      </c>
      <c r="X508" s="60">
        <v>67</v>
      </c>
      <c r="Y508" s="61">
        <v>64</v>
      </c>
      <c r="Z508" s="60">
        <v>42</v>
      </c>
      <c r="AA508" s="60">
        <v>47</v>
      </c>
      <c r="AB508" s="61">
        <v>44</v>
      </c>
      <c r="AC508" s="60">
        <v>29</v>
      </c>
      <c r="AD508" s="60">
        <v>39</v>
      </c>
      <c r="AE508" s="61">
        <v>34</v>
      </c>
      <c r="AF508" s="60">
        <v>91</v>
      </c>
      <c r="AG508" s="60">
        <v>101</v>
      </c>
      <c r="AH508" s="61">
        <v>96</v>
      </c>
    </row>
    <row r="509" spans="1:34" x14ac:dyDescent="0.35">
      <c r="A509" s="58">
        <v>45981</v>
      </c>
      <c r="B509" s="59">
        <f t="shared" si="14"/>
        <v>2025</v>
      </c>
      <c r="D509" s="59">
        <f t="shared" si="15"/>
        <v>11</v>
      </c>
      <c r="E509" s="60">
        <v>29</v>
      </c>
      <c r="F509" s="60">
        <v>32</v>
      </c>
      <c r="G509" s="61">
        <v>30</v>
      </c>
      <c r="H509" s="60">
        <v>40</v>
      </c>
      <c r="I509" s="60">
        <v>43</v>
      </c>
      <c r="J509" s="61">
        <v>42</v>
      </c>
      <c r="K509" s="60">
        <v>20</v>
      </c>
      <c r="L509" s="60">
        <v>23</v>
      </c>
      <c r="M509" s="61">
        <v>22</v>
      </c>
      <c r="N509" s="60">
        <v>93</v>
      </c>
      <c r="O509" s="60">
        <v>105</v>
      </c>
      <c r="P509" s="61">
        <v>99</v>
      </c>
      <c r="T509" s="60">
        <v>44</v>
      </c>
      <c r="U509" s="60">
        <v>50</v>
      </c>
      <c r="V509" s="61">
        <v>47</v>
      </c>
      <c r="W509" s="60">
        <v>62</v>
      </c>
      <c r="X509" s="60">
        <v>67</v>
      </c>
      <c r="Y509" s="61">
        <v>64</v>
      </c>
      <c r="Z509" s="60">
        <v>42</v>
      </c>
      <c r="AA509" s="60">
        <v>47</v>
      </c>
      <c r="AB509" s="61">
        <v>44</v>
      </c>
      <c r="AC509" s="60">
        <v>29</v>
      </c>
      <c r="AD509" s="60">
        <v>39</v>
      </c>
      <c r="AE509" s="61">
        <v>34</v>
      </c>
      <c r="AF509" s="60">
        <v>91</v>
      </c>
      <c r="AG509" s="60">
        <v>101</v>
      </c>
      <c r="AH509" s="61">
        <v>96</v>
      </c>
    </row>
    <row r="510" spans="1:34" x14ac:dyDescent="0.35">
      <c r="A510" s="58">
        <v>45988</v>
      </c>
      <c r="B510" s="59">
        <f t="shared" si="14"/>
        <v>2025</v>
      </c>
      <c r="D510" s="59">
        <f t="shared" si="15"/>
        <v>11</v>
      </c>
      <c r="E510" s="60">
        <v>30</v>
      </c>
      <c r="F510" s="60">
        <v>32</v>
      </c>
      <c r="G510" s="61">
        <v>31</v>
      </c>
      <c r="H510" s="60">
        <v>42</v>
      </c>
      <c r="I510" s="60">
        <v>45</v>
      </c>
      <c r="J510" s="61">
        <v>44</v>
      </c>
      <c r="K510" s="60">
        <v>21</v>
      </c>
      <c r="L510" s="60">
        <v>24</v>
      </c>
      <c r="M510" s="61">
        <v>22</v>
      </c>
      <c r="N510" s="60">
        <v>93</v>
      </c>
      <c r="O510" s="60">
        <v>105</v>
      </c>
      <c r="P510" s="61">
        <v>99</v>
      </c>
      <c r="T510" s="60">
        <v>44</v>
      </c>
      <c r="U510" s="60">
        <v>50</v>
      </c>
      <c r="V510" s="61">
        <v>47</v>
      </c>
      <c r="W510" s="60">
        <v>69</v>
      </c>
      <c r="X510" s="60">
        <v>74</v>
      </c>
      <c r="Y510" s="61">
        <v>72</v>
      </c>
      <c r="Z510" s="60">
        <v>43</v>
      </c>
      <c r="AA510" s="60">
        <v>48</v>
      </c>
      <c r="AB510" s="61">
        <v>46</v>
      </c>
      <c r="AC510" s="60">
        <v>29</v>
      </c>
      <c r="AD510" s="60">
        <v>39</v>
      </c>
      <c r="AE510" s="61">
        <v>34</v>
      </c>
      <c r="AF510" s="60">
        <v>93</v>
      </c>
      <c r="AG510" s="60">
        <v>103</v>
      </c>
      <c r="AH510" s="61">
        <v>98</v>
      </c>
    </row>
    <row r="511" spans="1:34" x14ac:dyDescent="0.35">
      <c r="A511" s="58">
        <v>45995</v>
      </c>
      <c r="B511" s="59">
        <f t="shared" si="14"/>
        <v>2025</v>
      </c>
      <c r="D511" s="59">
        <f t="shared" si="15"/>
        <v>12</v>
      </c>
      <c r="E511" s="60">
        <v>30</v>
      </c>
      <c r="F511" s="60">
        <v>33</v>
      </c>
      <c r="G511" s="61">
        <v>32</v>
      </c>
      <c r="H511" s="60">
        <v>42</v>
      </c>
      <c r="I511" s="60">
        <v>45</v>
      </c>
      <c r="J511" s="61">
        <v>44</v>
      </c>
      <c r="K511" s="60">
        <v>21</v>
      </c>
      <c r="L511" s="60">
        <v>24</v>
      </c>
      <c r="M511" s="61">
        <v>22</v>
      </c>
      <c r="N511" s="60">
        <v>93</v>
      </c>
      <c r="O511" s="60">
        <v>105</v>
      </c>
      <c r="P511" s="61">
        <v>99</v>
      </c>
      <c r="T511" s="60">
        <v>44</v>
      </c>
      <c r="U511" s="60">
        <v>50</v>
      </c>
      <c r="V511" s="61">
        <v>47</v>
      </c>
      <c r="W511" s="60">
        <v>69</v>
      </c>
      <c r="X511" s="60">
        <v>74</v>
      </c>
      <c r="Y511" s="61">
        <v>72</v>
      </c>
      <c r="Z511" s="60">
        <v>43</v>
      </c>
      <c r="AA511" s="60">
        <v>48</v>
      </c>
      <c r="AB511" s="61">
        <v>46</v>
      </c>
      <c r="AC511" s="60">
        <v>29</v>
      </c>
      <c r="AD511" s="60">
        <v>39</v>
      </c>
      <c r="AE511" s="61">
        <v>34</v>
      </c>
      <c r="AF511" s="60">
        <v>93</v>
      </c>
      <c r="AG511" s="60">
        <v>103</v>
      </c>
      <c r="AH511" s="61">
        <v>98</v>
      </c>
    </row>
    <row r="512" spans="1:34" x14ac:dyDescent="0.35">
      <c r="A512" s="58">
        <v>46002</v>
      </c>
      <c r="B512" s="59">
        <f t="shared" si="14"/>
        <v>2025</v>
      </c>
      <c r="D512" s="59">
        <f t="shared" si="15"/>
        <v>12</v>
      </c>
      <c r="E512" s="60">
        <v>30</v>
      </c>
      <c r="F512" s="60">
        <v>33</v>
      </c>
      <c r="G512" s="61">
        <v>32</v>
      </c>
      <c r="H512" s="60">
        <v>42</v>
      </c>
      <c r="I512" s="60">
        <v>45</v>
      </c>
      <c r="J512" s="61">
        <v>44</v>
      </c>
      <c r="K512" s="60">
        <v>21</v>
      </c>
      <c r="L512" s="60">
        <v>24</v>
      </c>
      <c r="M512" s="61">
        <v>22</v>
      </c>
      <c r="N512" s="60">
        <v>93</v>
      </c>
      <c r="O512" s="60">
        <v>105</v>
      </c>
      <c r="P512" s="61">
        <v>99</v>
      </c>
      <c r="T512" s="60">
        <v>44</v>
      </c>
      <c r="U512" s="60">
        <v>50</v>
      </c>
      <c r="V512" s="61">
        <v>47</v>
      </c>
      <c r="W512" s="60">
        <v>69</v>
      </c>
      <c r="X512" s="60">
        <v>74</v>
      </c>
      <c r="Y512" s="61">
        <v>72</v>
      </c>
      <c r="Z512" s="60">
        <v>43</v>
      </c>
      <c r="AA512" s="60">
        <v>48</v>
      </c>
      <c r="AB512" s="61">
        <v>46</v>
      </c>
      <c r="AC512" s="60">
        <v>29</v>
      </c>
      <c r="AD512" s="60">
        <v>39</v>
      </c>
      <c r="AE512" s="61">
        <v>34</v>
      </c>
      <c r="AF512" s="60">
        <v>93</v>
      </c>
      <c r="AG512" s="60">
        <v>103</v>
      </c>
      <c r="AH512" s="61">
        <v>98</v>
      </c>
    </row>
    <row r="513" spans="1:34" x14ac:dyDescent="0.35">
      <c r="A513" s="58">
        <v>46009</v>
      </c>
      <c r="B513" s="59">
        <f t="shared" si="14"/>
        <v>2025</v>
      </c>
      <c r="D513" s="59">
        <f t="shared" si="15"/>
        <v>12</v>
      </c>
      <c r="E513" s="60">
        <v>30</v>
      </c>
      <c r="F513" s="60">
        <v>33</v>
      </c>
      <c r="G513" s="61">
        <v>32</v>
      </c>
      <c r="H513" s="60">
        <v>42</v>
      </c>
      <c r="I513" s="60">
        <v>45</v>
      </c>
      <c r="J513" s="61">
        <v>44</v>
      </c>
      <c r="K513" s="60">
        <v>21</v>
      </c>
      <c r="L513" s="60">
        <v>24</v>
      </c>
      <c r="M513" s="61">
        <v>22</v>
      </c>
      <c r="N513" s="60">
        <v>93</v>
      </c>
      <c r="O513" s="60">
        <v>105</v>
      </c>
      <c r="P513" s="61">
        <v>99</v>
      </c>
      <c r="T513" s="60">
        <v>44</v>
      </c>
      <c r="U513" s="60">
        <v>50</v>
      </c>
      <c r="V513" s="61">
        <v>47</v>
      </c>
      <c r="W513" s="60">
        <v>69</v>
      </c>
      <c r="X513" s="60">
        <v>74</v>
      </c>
      <c r="Y513" s="61">
        <v>72</v>
      </c>
      <c r="Z513" s="60">
        <v>43</v>
      </c>
      <c r="AA513" s="60">
        <v>48</v>
      </c>
      <c r="AB513" s="61">
        <v>46</v>
      </c>
      <c r="AC513" s="60">
        <v>29</v>
      </c>
      <c r="AD513" s="60">
        <v>39</v>
      </c>
      <c r="AE513" s="61">
        <v>34</v>
      </c>
      <c r="AF513" s="60">
        <v>93</v>
      </c>
      <c r="AG513" s="60">
        <v>103</v>
      </c>
      <c r="AH513" s="61">
        <v>98</v>
      </c>
    </row>
  </sheetData>
  <mergeCells count="10">
    <mergeCell ref="W1:Y1"/>
    <mergeCell ref="Z1:AB1"/>
    <mergeCell ref="AC1:AE1"/>
    <mergeCell ref="AF1:AH1"/>
    <mergeCell ref="E1:G1"/>
    <mergeCell ref="H1:J1"/>
    <mergeCell ref="K1:M1"/>
    <mergeCell ref="N1:P1"/>
    <mergeCell ref="Q1:S1"/>
    <mergeCell ref="T1:V1"/>
  </mergeCells>
  <hyperlinks>
    <hyperlink ref="A1" location="'Table of Contents'!A1" display="Back to Contents" xr:uid="{CBA762C1-EFA4-47B5-B6F2-B4E5F3B708A8}"/>
  </hyperlinks>
  <pageMargins left="0.7" right="0.7" top="0.75" bottom="0.75" header="0.3" footer="0.3"/>
  <headerFooter>
    <oddFooter>&amp;L_x000D_&amp;1#&amp;"Calibri"&amp;11&amp;K0000FF THIS DOCUMENT IS CONFIDENTIAL TO CRU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1B05-1CF7-407F-ACF7-41184B73CF1F}">
  <dimension ref="A1:J1976"/>
  <sheetViews>
    <sheetView topLeftCell="A1165" workbookViewId="0">
      <selection activeCell="E2" sqref="E2"/>
    </sheetView>
  </sheetViews>
  <sheetFormatPr baseColWidth="10" defaultRowHeight="14.5" x14ac:dyDescent="0.35"/>
  <cols>
    <col min="1" max="1" width="12.81640625" style="58" bestFit="1" customWidth="1"/>
    <col min="2" max="4" width="12.81640625" style="59" customWidth="1"/>
    <col min="5" max="6" width="4.453125" style="60" customWidth="1"/>
    <col min="7" max="7" width="4.453125" style="61" customWidth="1"/>
    <col min="8" max="9" width="8.453125" style="60" customWidth="1"/>
    <col min="10" max="10" width="8.453125" style="61" customWidth="1"/>
  </cols>
  <sheetData>
    <row r="1" spans="1:10" ht="48.5" customHeight="1" x14ac:dyDescent="0.35">
      <c r="A1" s="52"/>
      <c r="B1" s="53"/>
      <c r="C1" s="53"/>
      <c r="D1" s="53"/>
      <c r="E1" s="72" t="s">
        <v>62</v>
      </c>
      <c r="F1" s="72"/>
      <c r="G1" s="73"/>
      <c r="H1" s="72" t="s">
        <v>63</v>
      </c>
      <c r="I1" s="72"/>
      <c r="J1" s="73"/>
    </row>
    <row r="2" spans="1:10" x14ac:dyDescent="0.35">
      <c r="A2" s="54"/>
      <c r="B2" s="55" t="s">
        <v>64</v>
      </c>
      <c r="C2" s="55" t="s">
        <v>55</v>
      </c>
      <c r="D2" s="55" t="s">
        <v>56</v>
      </c>
      <c r="E2" s="56" t="s">
        <v>57</v>
      </c>
      <c r="F2" s="56" t="s">
        <v>58</v>
      </c>
      <c r="G2" s="57" t="s">
        <v>59</v>
      </c>
      <c r="H2" s="56" t="s">
        <v>57</v>
      </c>
      <c r="I2" s="56" t="s">
        <v>58</v>
      </c>
      <c r="J2" s="57" t="s">
        <v>59</v>
      </c>
    </row>
    <row r="3" spans="1:10" x14ac:dyDescent="0.35">
      <c r="A3" s="54">
        <v>31897</v>
      </c>
      <c r="B3" s="55">
        <f>YEAR(A3)</f>
        <v>1987</v>
      </c>
      <c r="C3" s="55"/>
      <c r="D3" s="55">
        <f>MONTH(A3)</f>
        <v>4</v>
      </c>
    </row>
    <row r="4" spans="1:10" x14ac:dyDescent="0.35">
      <c r="A4" s="58">
        <v>31904</v>
      </c>
      <c r="B4" s="55">
        <f t="shared" ref="B4:B67" si="0">YEAR(A4)</f>
        <v>1987</v>
      </c>
      <c r="C4" s="55"/>
      <c r="D4" s="55">
        <f t="shared" ref="D4:D67" si="1">MONTH(A4)</f>
        <v>5</v>
      </c>
    </row>
    <row r="5" spans="1:10" x14ac:dyDescent="0.35">
      <c r="A5" s="58">
        <v>31911</v>
      </c>
      <c r="B5" s="55">
        <f t="shared" si="0"/>
        <v>1987</v>
      </c>
      <c r="C5" s="55"/>
      <c r="D5" s="55">
        <f t="shared" si="1"/>
        <v>5</v>
      </c>
    </row>
    <row r="6" spans="1:10" x14ac:dyDescent="0.35">
      <c r="A6" s="58">
        <v>31918</v>
      </c>
      <c r="B6" s="55">
        <f t="shared" si="0"/>
        <v>1987</v>
      </c>
      <c r="C6" s="55"/>
      <c r="D6" s="55">
        <f t="shared" si="1"/>
        <v>5</v>
      </c>
    </row>
    <row r="7" spans="1:10" x14ac:dyDescent="0.35">
      <c r="A7" s="58">
        <v>31925</v>
      </c>
      <c r="B7" s="55">
        <f t="shared" si="0"/>
        <v>1987</v>
      </c>
      <c r="C7" s="55"/>
      <c r="D7" s="55">
        <f t="shared" si="1"/>
        <v>5</v>
      </c>
    </row>
    <row r="8" spans="1:10" x14ac:dyDescent="0.35">
      <c r="A8" s="58">
        <v>31932</v>
      </c>
      <c r="B8" s="55">
        <f t="shared" si="0"/>
        <v>1987</v>
      </c>
      <c r="C8" s="55"/>
      <c r="D8" s="55">
        <f t="shared" si="1"/>
        <v>6</v>
      </c>
    </row>
    <row r="9" spans="1:10" x14ac:dyDescent="0.35">
      <c r="A9" s="58">
        <v>31939</v>
      </c>
      <c r="B9" s="55">
        <f t="shared" si="0"/>
        <v>1987</v>
      </c>
      <c r="C9" s="55"/>
      <c r="D9" s="55">
        <f t="shared" si="1"/>
        <v>6</v>
      </c>
    </row>
    <row r="10" spans="1:10" x14ac:dyDescent="0.35">
      <c r="A10" s="58">
        <v>31946</v>
      </c>
      <c r="B10" s="55">
        <f t="shared" si="0"/>
        <v>1987</v>
      </c>
      <c r="C10" s="55"/>
      <c r="D10" s="55">
        <f t="shared" si="1"/>
        <v>6</v>
      </c>
    </row>
    <row r="11" spans="1:10" x14ac:dyDescent="0.35">
      <c r="A11" s="58">
        <v>31953</v>
      </c>
      <c r="B11" s="55">
        <f t="shared" si="0"/>
        <v>1987</v>
      </c>
      <c r="C11" s="55"/>
      <c r="D11" s="55">
        <f t="shared" si="1"/>
        <v>6</v>
      </c>
    </row>
    <row r="12" spans="1:10" x14ac:dyDescent="0.35">
      <c r="A12" s="58">
        <v>31960</v>
      </c>
      <c r="B12" s="55">
        <f t="shared" si="0"/>
        <v>1987</v>
      </c>
      <c r="C12" s="55"/>
      <c r="D12" s="55">
        <f t="shared" si="1"/>
        <v>7</v>
      </c>
    </row>
    <row r="13" spans="1:10" x14ac:dyDescent="0.35">
      <c r="A13" s="58">
        <v>31967</v>
      </c>
      <c r="B13" s="55">
        <f t="shared" si="0"/>
        <v>1987</v>
      </c>
      <c r="C13" s="55"/>
      <c r="D13" s="55">
        <f t="shared" si="1"/>
        <v>7</v>
      </c>
    </row>
    <row r="14" spans="1:10" x14ac:dyDescent="0.35">
      <c r="A14" s="58">
        <v>31974</v>
      </c>
      <c r="B14" s="55">
        <f t="shared" si="0"/>
        <v>1987</v>
      </c>
      <c r="C14" s="55"/>
      <c r="D14" s="55">
        <f t="shared" si="1"/>
        <v>7</v>
      </c>
    </row>
    <row r="15" spans="1:10" x14ac:dyDescent="0.35">
      <c r="A15" s="58">
        <v>31981</v>
      </c>
      <c r="B15" s="55">
        <f t="shared" si="0"/>
        <v>1987</v>
      </c>
      <c r="C15" s="55"/>
      <c r="D15" s="55">
        <f t="shared" si="1"/>
        <v>7</v>
      </c>
    </row>
    <row r="16" spans="1:10" x14ac:dyDescent="0.35">
      <c r="A16" s="58">
        <v>31988</v>
      </c>
      <c r="B16" s="55">
        <f t="shared" si="0"/>
        <v>1987</v>
      </c>
      <c r="C16" s="55"/>
      <c r="D16" s="55">
        <f t="shared" si="1"/>
        <v>7</v>
      </c>
    </row>
    <row r="17" spans="1:4" x14ac:dyDescent="0.35">
      <c r="A17" s="58">
        <v>31995</v>
      </c>
      <c r="B17" s="55">
        <f t="shared" si="0"/>
        <v>1987</v>
      </c>
      <c r="C17" s="55"/>
      <c r="D17" s="55">
        <f t="shared" si="1"/>
        <v>8</v>
      </c>
    </row>
    <row r="18" spans="1:4" x14ac:dyDescent="0.35">
      <c r="A18" s="58">
        <v>32002</v>
      </c>
      <c r="B18" s="55">
        <f t="shared" si="0"/>
        <v>1987</v>
      </c>
      <c r="C18" s="55"/>
      <c r="D18" s="55">
        <f t="shared" si="1"/>
        <v>8</v>
      </c>
    </row>
    <row r="19" spans="1:4" x14ac:dyDescent="0.35">
      <c r="A19" s="58">
        <v>32009</v>
      </c>
      <c r="B19" s="55">
        <f t="shared" si="0"/>
        <v>1987</v>
      </c>
      <c r="C19" s="55"/>
      <c r="D19" s="55">
        <f t="shared" si="1"/>
        <v>8</v>
      </c>
    </row>
    <row r="20" spans="1:4" x14ac:dyDescent="0.35">
      <c r="A20" s="58">
        <v>32016</v>
      </c>
      <c r="B20" s="55">
        <f t="shared" si="0"/>
        <v>1987</v>
      </c>
      <c r="C20" s="55"/>
      <c r="D20" s="55">
        <f t="shared" si="1"/>
        <v>8</v>
      </c>
    </row>
    <row r="21" spans="1:4" x14ac:dyDescent="0.35">
      <c r="A21" s="58">
        <v>32023</v>
      </c>
      <c r="B21" s="55">
        <f t="shared" si="0"/>
        <v>1987</v>
      </c>
      <c r="C21" s="55"/>
      <c r="D21" s="55">
        <f t="shared" si="1"/>
        <v>9</v>
      </c>
    </row>
    <row r="22" spans="1:4" x14ac:dyDescent="0.35">
      <c r="A22" s="58">
        <v>32030</v>
      </c>
      <c r="B22" s="55">
        <f t="shared" si="0"/>
        <v>1987</v>
      </c>
      <c r="C22" s="55"/>
      <c r="D22" s="55">
        <f t="shared" si="1"/>
        <v>9</v>
      </c>
    </row>
    <row r="23" spans="1:4" x14ac:dyDescent="0.35">
      <c r="A23" s="58">
        <v>32037</v>
      </c>
      <c r="B23" s="55">
        <f t="shared" si="0"/>
        <v>1987</v>
      </c>
      <c r="C23" s="55"/>
      <c r="D23" s="55">
        <f t="shared" si="1"/>
        <v>9</v>
      </c>
    </row>
    <row r="24" spans="1:4" x14ac:dyDescent="0.35">
      <c r="A24" s="58">
        <v>32044</v>
      </c>
      <c r="B24" s="55">
        <f t="shared" si="0"/>
        <v>1987</v>
      </c>
      <c r="C24" s="55"/>
      <c r="D24" s="55">
        <f t="shared" si="1"/>
        <v>9</v>
      </c>
    </row>
    <row r="25" spans="1:4" x14ac:dyDescent="0.35">
      <c r="A25" s="58">
        <v>32051</v>
      </c>
      <c r="B25" s="55">
        <f t="shared" si="0"/>
        <v>1987</v>
      </c>
      <c r="C25" s="55"/>
      <c r="D25" s="55">
        <f t="shared" si="1"/>
        <v>10</v>
      </c>
    </row>
    <row r="26" spans="1:4" x14ac:dyDescent="0.35">
      <c r="A26" s="58">
        <v>32058</v>
      </c>
      <c r="B26" s="55">
        <f t="shared" si="0"/>
        <v>1987</v>
      </c>
      <c r="C26" s="55"/>
      <c r="D26" s="55">
        <f t="shared" si="1"/>
        <v>10</v>
      </c>
    </row>
    <row r="27" spans="1:4" x14ac:dyDescent="0.35">
      <c r="A27" s="58">
        <v>32065</v>
      </c>
      <c r="B27" s="55">
        <f t="shared" si="0"/>
        <v>1987</v>
      </c>
      <c r="C27" s="55"/>
      <c r="D27" s="55">
        <f t="shared" si="1"/>
        <v>10</v>
      </c>
    </row>
    <row r="28" spans="1:4" x14ac:dyDescent="0.35">
      <c r="A28" s="58">
        <v>32072</v>
      </c>
      <c r="B28" s="55">
        <f t="shared" si="0"/>
        <v>1987</v>
      </c>
      <c r="C28" s="55"/>
      <c r="D28" s="55">
        <f t="shared" si="1"/>
        <v>10</v>
      </c>
    </row>
    <row r="29" spans="1:4" x14ac:dyDescent="0.35">
      <c r="A29" s="58">
        <v>32079</v>
      </c>
      <c r="B29" s="55">
        <f t="shared" si="0"/>
        <v>1987</v>
      </c>
      <c r="C29" s="55"/>
      <c r="D29" s="55">
        <f t="shared" si="1"/>
        <v>10</v>
      </c>
    </row>
    <row r="30" spans="1:4" x14ac:dyDescent="0.35">
      <c r="A30" s="58">
        <v>32086</v>
      </c>
      <c r="B30" s="55">
        <f t="shared" si="0"/>
        <v>1987</v>
      </c>
      <c r="C30" s="55"/>
      <c r="D30" s="55">
        <f t="shared" si="1"/>
        <v>11</v>
      </c>
    </row>
    <row r="31" spans="1:4" x14ac:dyDescent="0.35">
      <c r="A31" s="58">
        <v>32093</v>
      </c>
      <c r="B31" s="55">
        <f t="shared" si="0"/>
        <v>1987</v>
      </c>
      <c r="C31" s="55"/>
      <c r="D31" s="55">
        <f t="shared" si="1"/>
        <v>11</v>
      </c>
    </row>
    <row r="32" spans="1:4" x14ac:dyDescent="0.35">
      <c r="A32" s="58">
        <v>32100</v>
      </c>
      <c r="B32" s="55">
        <f t="shared" si="0"/>
        <v>1987</v>
      </c>
      <c r="C32" s="55"/>
      <c r="D32" s="55">
        <f t="shared" si="1"/>
        <v>11</v>
      </c>
    </row>
    <row r="33" spans="1:4" x14ac:dyDescent="0.35">
      <c r="A33" s="58">
        <v>32107</v>
      </c>
      <c r="B33" s="55">
        <f t="shared" si="0"/>
        <v>1987</v>
      </c>
      <c r="C33" s="55"/>
      <c r="D33" s="55">
        <f t="shared" si="1"/>
        <v>11</v>
      </c>
    </row>
    <row r="34" spans="1:4" x14ac:dyDescent="0.35">
      <c r="A34" s="58">
        <v>32114</v>
      </c>
      <c r="B34" s="55">
        <f t="shared" si="0"/>
        <v>1987</v>
      </c>
      <c r="C34" s="55"/>
      <c r="D34" s="55">
        <f t="shared" si="1"/>
        <v>12</v>
      </c>
    </row>
    <row r="35" spans="1:4" x14ac:dyDescent="0.35">
      <c r="A35" s="58">
        <v>32121</v>
      </c>
      <c r="B35" s="55">
        <f t="shared" si="0"/>
        <v>1987</v>
      </c>
      <c r="C35" s="55"/>
      <c r="D35" s="55">
        <f t="shared" si="1"/>
        <v>12</v>
      </c>
    </row>
    <row r="36" spans="1:4" x14ac:dyDescent="0.35">
      <c r="A36" s="58">
        <v>32128</v>
      </c>
      <c r="B36" s="55">
        <f t="shared" si="0"/>
        <v>1987</v>
      </c>
      <c r="C36" s="55"/>
      <c r="D36" s="55">
        <f t="shared" si="1"/>
        <v>12</v>
      </c>
    </row>
    <row r="37" spans="1:4" x14ac:dyDescent="0.35">
      <c r="A37" s="58">
        <v>32134</v>
      </c>
      <c r="B37" s="55">
        <f t="shared" si="0"/>
        <v>1987</v>
      </c>
      <c r="C37" s="55"/>
      <c r="D37" s="55">
        <f t="shared" si="1"/>
        <v>12</v>
      </c>
    </row>
    <row r="38" spans="1:4" x14ac:dyDescent="0.35">
      <c r="A38" s="58">
        <v>32149</v>
      </c>
      <c r="B38" s="55">
        <f t="shared" si="0"/>
        <v>1988</v>
      </c>
      <c r="C38" s="55"/>
      <c r="D38" s="55">
        <f t="shared" si="1"/>
        <v>1</v>
      </c>
    </row>
    <row r="39" spans="1:4" x14ac:dyDescent="0.35">
      <c r="A39" s="58">
        <v>32156</v>
      </c>
      <c r="B39" s="55">
        <f t="shared" si="0"/>
        <v>1988</v>
      </c>
      <c r="C39" s="55"/>
      <c r="D39" s="55">
        <f t="shared" si="1"/>
        <v>1</v>
      </c>
    </row>
    <row r="40" spans="1:4" x14ac:dyDescent="0.35">
      <c r="A40" s="58">
        <v>32163</v>
      </c>
      <c r="B40" s="55">
        <f t="shared" si="0"/>
        <v>1988</v>
      </c>
      <c r="C40" s="55"/>
      <c r="D40" s="55">
        <f t="shared" si="1"/>
        <v>1</v>
      </c>
    </row>
    <row r="41" spans="1:4" x14ac:dyDescent="0.35">
      <c r="A41" s="58">
        <v>32170</v>
      </c>
      <c r="B41" s="55">
        <f t="shared" si="0"/>
        <v>1988</v>
      </c>
      <c r="C41" s="55"/>
      <c r="D41" s="55">
        <f t="shared" si="1"/>
        <v>1</v>
      </c>
    </row>
    <row r="42" spans="1:4" x14ac:dyDescent="0.35">
      <c r="A42" s="58">
        <v>32177</v>
      </c>
      <c r="B42" s="55">
        <f t="shared" si="0"/>
        <v>1988</v>
      </c>
      <c r="C42" s="55"/>
      <c r="D42" s="55">
        <f t="shared" si="1"/>
        <v>2</v>
      </c>
    </row>
    <row r="43" spans="1:4" x14ac:dyDescent="0.35">
      <c r="A43" s="58">
        <v>32184</v>
      </c>
      <c r="B43" s="55">
        <f t="shared" si="0"/>
        <v>1988</v>
      </c>
      <c r="C43" s="55"/>
      <c r="D43" s="55">
        <f t="shared" si="1"/>
        <v>2</v>
      </c>
    </row>
    <row r="44" spans="1:4" x14ac:dyDescent="0.35">
      <c r="A44" s="58">
        <v>32191</v>
      </c>
      <c r="B44" s="55">
        <f t="shared" si="0"/>
        <v>1988</v>
      </c>
      <c r="C44" s="55"/>
      <c r="D44" s="55">
        <f t="shared" si="1"/>
        <v>2</v>
      </c>
    </row>
    <row r="45" spans="1:4" x14ac:dyDescent="0.35">
      <c r="A45" s="58">
        <v>32198</v>
      </c>
      <c r="B45" s="55">
        <f t="shared" si="0"/>
        <v>1988</v>
      </c>
      <c r="C45" s="55"/>
      <c r="D45" s="55">
        <f t="shared" si="1"/>
        <v>2</v>
      </c>
    </row>
    <row r="46" spans="1:4" x14ac:dyDescent="0.35">
      <c r="A46" s="58">
        <v>32205</v>
      </c>
      <c r="B46" s="55">
        <f t="shared" si="0"/>
        <v>1988</v>
      </c>
      <c r="C46" s="55"/>
      <c r="D46" s="55">
        <f t="shared" si="1"/>
        <v>3</v>
      </c>
    </row>
    <row r="47" spans="1:4" x14ac:dyDescent="0.35">
      <c r="A47" s="58">
        <v>32212</v>
      </c>
      <c r="B47" s="55">
        <f t="shared" si="0"/>
        <v>1988</v>
      </c>
      <c r="C47" s="55"/>
      <c r="D47" s="55">
        <f t="shared" si="1"/>
        <v>3</v>
      </c>
    </row>
    <row r="48" spans="1:4" x14ac:dyDescent="0.35">
      <c r="A48" s="58">
        <v>32219</v>
      </c>
      <c r="B48" s="55">
        <f t="shared" si="0"/>
        <v>1988</v>
      </c>
      <c r="C48" s="55"/>
      <c r="D48" s="55">
        <f t="shared" si="1"/>
        <v>3</v>
      </c>
    </row>
    <row r="49" spans="1:4" x14ac:dyDescent="0.35">
      <c r="A49" s="58">
        <v>32226</v>
      </c>
      <c r="B49" s="55">
        <f t="shared" si="0"/>
        <v>1988</v>
      </c>
      <c r="C49" s="55"/>
      <c r="D49" s="55">
        <f t="shared" si="1"/>
        <v>3</v>
      </c>
    </row>
    <row r="50" spans="1:4" x14ac:dyDescent="0.35">
      <c r="A50" s="58">
        <v>32233</v>
      </c>
      <c r="B50" s="55">
        <f t="shared" si="0"/>
        <v>1988</v>
      </c>
      <c r="C50" s="55"/>
      <c r="D50" s="55">
        <f t="shared" si="1"/>
        <v>3</v>
      </c>
    </row>
    <row r="51" spans="1:4" x14ac:dyDescent="0.35">
      <c r="A51" s="58">
        <v>32240</v>
      </c>
      <c r="B51" s="55">
        <f t="shared" si="0"/>
        <v>1988</v>
      </c>
      <c r="C51" s="55"/>
      <c r="D51" s="55">
        <f t="shared" si="1"/>
        <v>4</v>
      </c>
    </row>
    <row r="52" spans="1:4" x14ac:dyDescent="0.35">
      <c r="A52" s="58">
        <v>32247</v>
      </c>
      <c r="B52" s="55">
        <f t="shared" si="0"/>
        <v>1988</v>
      </c>
      <c r="C52" s="55"/>
      <c r="D52" s="55">
        <f t="shared" si="1"/>
        <v>4</v>
      </c>
    </row>
    <row r="53" spans="1:4" x14ac:dyDescent="0.35">
      <c r="A53" s="58">
        <v>32254</v>
      </c>
      <c r="B53" s="55">
        <f t="shared" si="0"/>
        <v>1988</v>
      </c>
      <c r="C53" s="55"/>
      <c r="D53" s="55">
        <f t="shared" si="1"/>
        <v>4</v>
      </c>
    </row>
    <row r="54" spans="1:4" x14ac:dyDescent="0.35">
      <c r="A54" s="58">
        <v>32261</v>
      </c>
      <c r="B54" s="55">
        <f t="shared" si="0"/>
        <v>1988</v>
      </c>
      <c r="C54" s="55"/>
      <c r="D54" s="55">
        <f t="shared" si="1"/>
        <v>4</v>
      </c>
    </row>
    <row r="55" spans="1:4" x14ac:dyDescent="0.35">
      <c r="A55" s="58">
        <v>32268</v>
      </c>
      <c r="B55" s="55">
        <f t="shared" si="0"/>
        <v>1988</v>
      </c>
      <c r="C55" s="55"/>
      <c r="D55" s="55">
        <f t="shared" si="1"/>
        <v>5</v>
      </c>
    </row>
    <row r="56" spans="1:4" x14ac:dyDescent="0.35">
      <c r="A56" s="58">
        <v>32275</v>
      </c>
      <c r="B56" s="55">
        <f t="shared" si="0"/>
        <v>1988</v>
      </c>
      <c r="C56" s="55"/>
      <c r="D56" s="55">
        <f t="shared" si="1"/>
        <v>5</v>
      </c>
    </row>
    <row r="57" spans="1:4" x14ac:dyDescent="0.35">
      <c r="A57" s="58">
        <v>32282</v>
      </c>
      <c r="B57" s="55">
        <f t="shared" si="0"/>
        <v>1988</v>
      </c>
      <c r="C57" s="55"/>
      <c r="D57" s="55">
        <f t="shared" si="1"/>
        <v>5</v>
      </c>
    </row>
    <row r="58" spans="1:4" x14ac:dyDescent="0.35">
      <c r="A58" s="58">
        <v>32289</v>
      </c>
      <c r="B58" s="55">
        <f t="shared" si="0"/>
        <v>1988</v>
      </c>
      <c r="C58" s="55"/>
      <c r="D58" s="55">
        <f t="shared" si="1"/>
        <v>5</v>
      </c>
    </row>
    <row r="59" spans="1:4" x14ac:dyDescent="0.35">
      <c r="A59" s="58">
        <v>32296</v>
      </c>
      <c r="B59" s="55">
        <f t="shared" si="0"/>
        <v>1988</v>
      </c>
      <c r="C59" s="55"/>
      <c r="D59" s="55">
        <f t="shared" si="1"/>
        <v>6</v>
      </c>
    </row>
    <row r="60" spans="1:4" x14ac:dyDescent="0.35">
      <c r="A60" s="58">
        <v>32303</v>
      </c>
      <c r="B60" s="55">
        <f t="shared" si="0"/>
        <v>1988</v>
      </c>
      <c r="C60" s="55"/>
      <c r="D60" s="55">
        <f t="shared" si="1"/>
        <v>6</v>
      </c>
    </row>
    <row r="61" spans="1:4" x14ac:dyDescent="0.35">
      <c r="A61" s="58">
        <v>32310</v>
      </c>
      <c r="B61" s="55">
        <f t="shared" si="0"/>
        <v>1988</v>
      </c>
      <c r="C61" s="55"/>
      <c r="D61" s="55">
        <f t="shared" si="1"/>
        <v>6</v>
      </c>
    </row>
    <row r="62" spans="1:4" x14ac:dyDescent="0.35">
      <c r="A62" s="58">
        <v>32317</v>
      </c>
      <c r="B62" s="55">
        <f t="shared" si="0"/>
        <v>1988</v>
      </c>
      <c r="C62" s="55"/>
      <c r="D62" s="55">
        <f t="shared" si="1"/>
        <v>6</v>
      </c>
    </row>
    <row r="63" spans="1:4" x14ac:dyDescent="0.35">
      <c r="A63" s="58">
        <v>32324</v>
      </c>
      <c r="B63" s="55">
        <f t="shared" si="0"/>
        <v>1988</v>
      </c>
      <c r="C63" s="55"/>
      <c r="D63" s="55">
        <f t="shared" si="1"/>
        <v>6</v>
      </c>
    </row>
    <row r="64" spans="1:4" x14ac:dyDescent="0.35">
      <c r="A64" s="58">
        <v>32331</v>
      </c>
      <c r="B64" s="55">
        <f t="shared" si="0"/>
        <v>1988</v>
      </c>
      <c r="C64" s="55"/>
      <c r="D64" s="55">
        <f t="shared" si="1"/>
        <v>7</v>
      </c>
    </row>
    <row r="65" spans="1:4" x14ac:dyDescent="0.35">
      <c r="A65" s="58">
        <v>32338</v>
      </c>
      <c r="B65" s="55">
        <f t="shared" si="0"/>
        <v>1988</v>
      </c>
      <c r="C65" s="55"/>
      <c r="D65" s="55">
        <f t="shared" si="1"/>
        <v>7</v>
      </c>
    </row>
    <row r="66" spans="1:4" x14ac:dyDescent="0.35">
      <c r="A66" s="58">
        <v>32345</v>
      </c>
      <c r="B66" s="55">
        <f t="shared" si="0"/>
        <v>1988</v>
      </c>
      <c r="C66" s="55"/>
      <c r="D66" s="55">
        <f t="shared" si="1"/>
        <v>7</v>
      </c>
    </row>
    <row r="67" spans="1:4" x14ac:dyDescent="0.35">
      <c r="A67" s="58">
        <v>32352</v>
      </c>
      <c r="B67" s="55">
        <f t="shared" si="0"/>
        <v>1988</v>
      </c>
      <c r="C67" s="55"/>
      <c r="D67" s="55">
        <f t="shared" si="1"/>
        <v>7</v>
      </c>
    </row>
    <row r="68" spans="1:4" x14ac:dyDescent="0.35">
      <c r="A68" s="58">
        <v>32359</v>
      </c>
      <c r="B68" s="55">
        <f t="shared" ref="B68:B131" si="2">YEAR(A68)</f>
        <v>1988</v>
      </c>
      <c r="C68" s="55"/>
      <c r="D68" s="55">
        <f t="shared" ref="D68:D131" si="3">MONTH(A68)</f>
        <v>8</v>
      </c>
    </row>
    <row r="69" spans="1:4" x14ac:dyDescent="0.35">
      <c r="A69" s="58">
        <v>32366</v>
      </c>
      <c r="B69" s="55">
        <f t="shared" si="2"/>
        <v>1988</v>
      </c>
      <c r="C69" s="55"/>
      <c r="D69" s="55">
        <f t="shared" si="3"/>
        <v>8</v>
      </c>
    </row>
    <row r="70" spans="1:4" x14ac:dyDescent="0.35">
      <c r="A70" s="58">
        <v>32373</v>
      </c>
      <c r="B70" s="55">
        <f t="shared" si="2"/>
        <v>1988</v>
      </c>
      <c r="C70" s="55"/>
      <c r="D70" s="55">
        <f t="shared" si="3"/>
        <v>8</v>
      </c>
    </row>
    <row r="71" spans="1:4" x14ac:dyDescent="0.35">
      <c r="A71" s="58">
        <v>32380</v>
      </c>
      <c r="B71" s="55">
        <f t="shared" si="2"/>
        <v>1988</v>
      </c>
      <c r="C71" s="55"/>
      <c r="D71" s="55">
        <f t="shared" si="3"/>
        <v>8</v>
      </c>
    </row>
    <row r="72" spans="1:4" x14ac:dyDescent="0.35">
      <c r="A72" s="58">
        <v>32387</v>
      </c>
      <c r="B72" s="55">
        <f t="shared" si="2"/>
        <v>1988</v>
      </c>
      <c r="C72" s="55"/>
      <c r="D72" s="55">
        <f t="shared" si="3"/>
        <v>9</v>
      </c>
    </row>
    <row r="73" spans="1:4" x14ac:dyDescent="0.35">
      <c r="A73" s="58">
        <v>32394</v>
      </c>
      <c r="B73" s="55">
        <f t="shared" si="2"/>
        <v>1988</v>
      </c>
      <c r="C73" s="55"/>
      <c r="D73" s="55">
        <f t="shared" si="3"/>
        <v>9</v>
      </c>
    </row>
    <row r="74" spans="1:4" x14ac:dyDescent="0.35">
      <c r="A74" s="58">
        <v>32401</v>
      </c>
      <c r="B74" s="55">
        <f t="shared" si="2"/>
        <v>1988</v>
      </c>
      <c r="C74" s="55"/>
      <c r="D74" s="55">
        <f t="shared" si="3"/>
        <v>9</v>
      </c>
    </row>
    <row r="75" spans="1:4" x14ac:dyDescent="0.35">
      <c r="A75" s="58">
        <v>32408</v>
      </c>
      <c r="B75" s="55">
        <f t="shared" si="2"/>
        <v>1988</v>
      </c>
      <c r="C75" s="55"/>
      <c r="D75" s="55">
        <f t="shared" si="3"/>
        <v>9</v>
      </c>
    </row>
    <row r="76" spans="1:4" x14ac:dyDescent="0.35">
      <c r="A76" s="58">
        <v>32415</v>
      </c>
      <c r="B76" s="55">
        <f t="shared" si="2"/>
        <v>1988</v>
      </c>
      <c r="C76" s="55"/>
      <c r="D76" s="55">
        <f t="shared" si="3"/>
        <v>9</v>
      </c>
    </row>
    <row r="77" spans="1:4" x14ac:dyDescent="0.35">
      <c r="A77" s="58">
        <v>32422</v>
      </c>
      <c r="B77" s="55">
        <f t="shared" si="2"/>
        <v>1988</v>
      </c>
      <c r="C77" s="55"/>
      <c r="D77" s="55">
        <f t="shared" si="3"/>
        <v>10</v>
      </c>
    </row>
    <row r="78" spans="1:4" x14ac:dyDescent="0.35">
      <c r="A78" s="58">
        <v>32429</v>
      </c>
      <c r="B78" s="55">
        <f t="shared" si="2"/>
        <v>1988</v>
      </c>
      <c r="C78" s="55"/>
      <c r="D78" s="55">
        <f t="shared" si="3"/>
        <v>10</v>
      </c>
    </row>
    <row r="79" spans="1:4" x14ac:dyDescent="0.35">
      <c r="A79" s="58">
        <v>32436</v>
      </c>
      <c r="B79" s="55">
        <f t="shared" si="2"/>
        <v>1988</v>
      </c>
      <c r="C79" s="55"/>
      <c r="D79" s="55">
        <f t="shared" si="3"/>
        <v>10</v>
      </c>
    </row>
    <row r="80" spans="1:4" x14ac:dyDescent="0.35">
      <c r="A80" s="58">
        <v>32443</v>
      </c>
      <c r="B80" s="55">
        <f t="shared" si="2"/>
        <v>1988</v>
      </c>
      <c r="C80" s="55"/>
      <c r="D80" s="55">
        <f t="shared" si="3"/>
        <v>10</v>
      </c>
    </row>
    <row r="81" spans="1:4" x14ac:dyDescent="0.35">
      <c r="A81" s="58">
        <v>32450</v>
      </c>
      <c r="B81" s="55">
        <f t="shared" si="2"/>
        <v>1988</v>
      </c>
      <c r="C81" s="55"/>
      <c r="D81" s="55">
        <f t="shared" si="3"/>
        <v>11</v>
      </c>
    </row>
    <row r="82" spans="1:4" x14ac:dyDescent="0.35">
      <c r="A82" s="58">
        <v>32457</v>
      </c>
      <c r="B82" s="55">
        <f t="shared" si="2"/>
        <v>1988</v>
      </c>
      <c r="C82" s="55"/>
      <c r="D82" s="55">
        <f t="shared" si="3"/>
        <v>11</v>
      </c>
    </row>
    <row r="83" spans="1:4" x14ac:dyDescent="0.35">
      <c r="A83" s="58">
        <v>32464</v>
      </c>
      <c r="B83" s="55">
        <f t="shared" si="2"/>
        <v>1988</v>
      </c>
      <c r="C83" s="55"/>
      <c r="D83" s="55">
        <f t="shared" si="3"/>
        <v>11</v>
      </c>
    </row>
    <row r="84" spans="1:4" x14ac:dyDescent="0.35">
      <c r="A84" s="58">
        <v>32471</v>
      </c>
      <c r="B84" s="55">
        <f t="shared" si="2"/>
        <v>1988</v>
      </c>
      <c r="C84" s="55"/>
      <c r="D84" s="55">
        <f t="shared" si="3"/>
        <v>11</v>
      </c>
    </row>
    <row r="85" spans="1:4" x14ac:dyDescent="0.35">
      <c r="A85" s="58">
        <v>32478</v>
      </c>
      <c r="B85" s="55">
        <f t="shared" si="2"/>
        <v>1988</v>
      </c>
      <c r="C85" s="55"/>
      <c r="D85" s="55">
        <f t="shared" si="3"/>
        <v>12</v>
      </c>
    </row>
    <row r="86" spans="1:4" x14ac:dyDescent="0.35">
      <c r="A86" s="58">
        <v>32485</v>
      </c>
      <c r="B86" s="55">
        <f t="shared" si="2"/>
        <v>1988</v>
      </c>
      <c r="C86" s="55"/>
      <c r="D86" s="55">
        <f t="shared" si="3"/>
        <v>12</v>
      </c>
    </row>
    <row r="87" spans="1:4" x14ac:dyDescent="0.35">
      <c r="A87" s="58">
        <v>32492</v>
      </c>
      <c r="B87" s="55">
        <f t="shared" si="2"/>
        <v>1988</v>
      </c>
      <c r="C87" s="55"/>
      <c r="D87" s="55">
        <f t="shared" si="3"/>
        <v>12</v>
      </c>
    </row>
    <row r="88" spans="1:4" x14ac:dyDescent="0.35">
      <c r="A88" s="58">
        <v>32499</v>
      </c>
      <c r="B88" s="55">
        <f t="shared" si="2"/>
        <v>1988</v>
      </c>
      <c r="C88" s="55"/>
      <c r="D88" s="55">
        <f t="shared" si="3"/>
        <v>12</v>
      </c>
    </row>
    <row r="89" spans="1:4" x14ac:dyDescent="0.35">
      <c r="A89" s="58">
        <v>32513</v>
      </c>
      <c r="B89" s="55">
        <f t="shared" si="2"/>
        <v>1989</v>
      </c>
      <c r="C89" s="55"/>
      <c r="D89" s="55">
        <f t="shared" si="3"/>
        <v>1</v>
      </c>
    </row>
    <row r="90" spans="1:4" x14ac:dyDescent="0.35">
      <c r="A90" s="58">
        <v>32520</v>
      </c>
      <c r="B90" s="55">
        <f t="shared" si="2"/>
        <v>1989</v>
      </c>
      <c r="C90" s="55"/>
      <c r="D90" s="55">
        <f t="shared" si="3"/>
        <v>1</v>
      </c>
    </row>
    <row r="91" spans="1:4" x14ac:dyDescent="0.35">
      <c r="A91" s="58">
        <v>32527</v>
      </c>
      <c r="B91" s="55">
        <f t="shared" si="2"/>
        <v>1989</v>
      </c>
      <c r="C91" s="55"/>
      <c r="D91" s="55">
        <f t="shared" si="3"/>
        <v>1</v>
      </c>
    </row>
    <row r="92" spans="1:4" x14ac:dyDescent="0.35">
      <c r="A92" s="58">
        <v>32534</v>
      </c>
      <c r="B92" s="55">
        <f t="shared" si="2"/>
        <v>1989</v>
      </c>
      <c r="C92" s="55"/>
      <c r="D92" s="55">
        <f t="shared" si="3"/>
        <v>1</v>
      </c>
    </row>
    <row r="93" spans="1:4" x14ac:dyDescent="0.35">
      <c r="A93" s="58">
        <v>32541</v>
      </c>
      <c r="B93" s="55">
        <f t="shared" si="2"/>
        <v>1989</v>
      </c>
      <c r="C93" s="55"/>
      <c r="D93" s="55">
        <f t="shared" si="3"/>
        <v>2</v>
      </c>
    </row>
    <row r="94" spans="1:4" x14ac:dyDescent="0.35">
      <c r="A94" s="58">
        <v>32548</v>
      </c>
      <c r="B94" s="55">
        <f t="shared" si="2"/>
        <v>1989</v>
      </c>
      <c r="C94" s="55"/>
      <c r="D94" s="55">
        <f t="shared" si="3"/>
        <v>2</v>
      </c>
    </row>
    <row r="95" spans="1:4" x14ac:dyDescent="0.35">
      <c r="A95" s="58">
        <v>32555</v>
      </c>
      <c r="B95" s="55">
        <f t="shared" si="2"/>
        <v>1989</v>
      </c>
      <c r="C95" s="55"/>
      <c r="D95" s="55">
        <f t="shared" si="3"/>
        <v>2</v>
      </c>
    </row>
    <row r="96" spans="1:4" x14ac:dyDescent="0.35">
      <c r="A96" s="58">
        <v>32562</v>
      </c>
      <c r="B96" s="55">
        <f t="shared" si="2"/>
        <v>1989</v>
      </c>
      <c r="C96" s="55"/>
      <c r="D96" s="55">
        <f t="shared" si="3"/>
        <v>2</v>
      </c>
    </row>
    <row r="97" spans="1:4" x14ac:dyDescent="0.35">
      <c r="A97" s="58">
        <v>32569</v>
      </c>
      <c r="B97" s="55">
        <f t="shared" si="2"/>
        <v>1989</v>
      </c>
      <c r="C97" s="55"/>
      <c r="D97" s="55">
        <f t="shared" si="3"/>
        <v>3</v>
      </c>
    </row>
    <row r="98" spans="1:4" x14ac:dyDescent="0.35">
      <c r="A98" s="58">
        <v>32576</v>
      </c>
      <c r="B98" s="55">
        <f t="shared" si="2"/>
        <v>1989</v>
      </c>
      <c r="C98" s="55"/>
      <c r="D98" s="55">
        <f t="shared" si="3"/>
        <v>3</v>
      </c>
    </row>
    <row r="99" spans="1:4" x14ac:dyDescent="0.35">
      <c r="A99" s="58">
        <v>32583</v>
      </c>
      <c r="B99" s="55">
        <f t="shared" si="2"/>
        <v>1989</v>
      </c>
      <c r="C99" s="55"/>
      <c r="D99" s="55">
        <f t="shared" si="3"/>
        <v>3</v>
      </c>
    </row>
    <row r="100" spans="1:4" x14ac:dyDescent="0.35">
      <c r="A100" s="58">
        <v>32590</v>
      </c>
      <c r="B100" s="55">
        <f t="shared" si="2"/>
        <v>1989</v>
      </c>
      <c r="C100" s="55"/>
      <c r="D100" s="55">
        <f t="shared" si="3"/>
        <v>3</v>
      </c>
    </row>
    <row r="101" spans="1:4" x14ac:dyDescent="0.35">
      <c r="A101" s="58">
        <v>32597</v>
      </c>
      <c r="B101" s="55">
        <f t="shared" si="2"/>
        <v>1989</v>
      </c>
      <c r="C101" s="55"/>
      <c r="D101" s="55">
        <f t="shared" si="3"/>
        <v>3</v>
      </c>
    </row>
    <row r="102" spans="1:4" x14ac:dyDescent="0.35">
      <c r="A102" s="58">
        <v>32604</v>
      </c>
      <c r="B102" s="55">
        <f t="shared" si="2"/>
        <v>1989</v>
      </c>
      <c r="C102" s="55"/>
      <c r="D102" s="55">
        <f t="shared" si="3"/>
        <v>4</v>
      </c>
    </row>
    <row r="103" spans="1:4" x14ac:dyDescent="0.35">
      <c r="A103" s="58">
        <v>32611</v>
      </c>
      <c r="B103" s="55">
        <f t="shared" si="2"/>
        <v>1989</v>
      </c>
      <c r="C103" s="55"/>
      <c r="D103" s="55">
        <f t="shared" si="3"/>
        <v>4</v>
      </c>
    </row>
    <row r="104" spans="1:4" x14ac:dyDescent="0.35">
      <c r="A104" s="58">
        <v>32618</v>
      </c>
      <c r="B104" s="55">
        <f t="shared" si="2"/>
        <v>1989</v>
      </c>
      <c r="C104" s="55"/>
      <c r="D104" s="55">
        <f t="shared" si="3"/>
        <v>4</v>
      </c>
    </row>
    <row r="105" spans="1:4" x14ac:dyDescent="0.35">
      <c r="A105" s="58">
        <v>32625</v>
      </c>
      <c r="B105" s="55">
        <f t="shared" si="2"/>
        <v>1989</v>
      </c>
      <c r="C105" s="55"/>
      <c r="D105" s="55">
        <f t="shared" si="3"/>
        <v>4</v>
      </c>
    </row>
    <row r="106" spans="1:4" x14ac:dyDescent="0.35">
      <c r="A106" s="58">
        <v>32632</v>
      </c>
      <c r="B106" s="55">
        <f t="shared" si="2"/>
        <v>1989</v>
      </c>
      <c r="C106" s="55"/>
      <c r="D106" s="55">
        <f t="shared" si="3"/>
        <v>5</v>
      </c>
    </row>
    <row r="107" spans="1:4" x14ac:dyDescent="0.35">
      <c r="A107" s="58">
        <v>32646</v>
      </c>
      <c r="B107" s="55">
        <f t="shared" si="2"/>
        <v>1989</v>
      </c>
      <c r="C107" s="55"/>
      <c r="D107" s="55">
        <f t="shared" si="3"/>
        <v>5</v>
      </c>
    </row>
    <row r="108" spans="1:4" x14ac:dyDescent="0.35">
      <c r="A108" s="58">
        <v>32653</v>
      </c>
      <c r="B108" s="55">
        <f t="shared" si="2"/>
        <v>1989</v>
      </c>
      <c r="C108" s="55"/>
      <c r="D108" s="55">
        <f t="shared" si="3"/>
        <v>5</v>
      </c>
    </row>
    <row r="109" spans="1:4" x14ac:dyDescent="0.35">
      <c r="A109" s="58">
        <v>32660</v>
      </c>
      <c r="B109" s="55">
        <f t="shared" si="2"/>
        <v>1989</v>
      </c>
      <c r="C109" s="55"/>
      <c r="D109" s="55">
        <f t="shared" si="3"/>
        <v>6</v>
      </c>
    </row>
    <row r="110" spans="1:4" x14ac:dyDescent="0.35">
      <c r="A110" s="58">
        <v>32667</v>
      </c>
      <c r="B110" s="55">
        <f t="shared" si="2"/>
        <v>1989</v>
      </c>
      <c r="C110" s="55"/>
      <c r="D110" s="55">
        <f t="shared" si="3"/>
        <v>6</v>
      </c>
    </row>
    <row r="111" spans="1:4" x14ac:dyDescent="0.35">
      <c r="A111" s="58">
        <v>32674</v>
      </c>
      <c r="B111" s="55">
        <f t="shared" si="2"/>
        <v>1989</v>
      </c>
      <c r="C111" s="55"/>
      <c r="D111" s="55">
        <f t="shared" si="3"/>
        <v>6</v>
      </c>
    </row>
    <row r="112" spans="1:4" x14ac:dyDescent="0.35">
      <c r="A112" s="58">
        <v>32681</v>
      </c>
      <c r="B112" s="55">
        <f t="shared" si="2"/>
        <v>1989</v>
      </c>
      <c r="C112" s="55"/>
      <c r="D112" s="55">
        <f t="shared" si="3"/>
        <v>6</v>
      </c>
    </row>
    <row r="113" spans="1:4" x14ac:dyDescent="0.35">
      <c r="A113" s="58">
        <v>32688</v>
      </c>
      <c r="B113" s="55">
        <f t="shared" si="2"/>
        <v>1989</v>
      </c>
      <c r="C113" s="55"/>
      <c r="D113" s="55">
        <f t="shared" si="3"/>
        <v>6</v>
      </c>
    </row>
    <row r="114" spans="1:4" x14ac:dyDescent="0.35">
      <c r="A114" s="58">
        <v>32695</v>
      </c>
      <c r="B114" s="55">
        <f t="shared" si="2"/>
        <v>1989</v>
      </c>
      <c r="C114" s="55"/>
      <c r="D114" s="55">
        <f t="shared" si="3"/>
        <v>7</v>
      </c>
    </row>
    <row r="115" spans="1:4" x14ac:dyDescent="0.35">
      <c r="A115" s="58">
        <v>32702</v>
      </c>
      <c r="B115" s="55">
        <f t="shared" si="2"/>
        <v>1989</v>
      </c>
      <c r="C115" s="55"/>
      <c r="D115" s="55">
        <f t="shared" si="3"/>
        <v>7</v>
      </c>
    </row>
    <row r="116" spans="1:4" x14ac:dyDescent="0.35">
      <c r="A116" s="58">
        <v>32709</v>
      </c>
      <c r="B116" s="55">
        <f t="shared" si="2"/>
        <v>1989</v>
      </c>
      <c r="C116" s="55"/>
      <c r="D116" s="55">
        <f t="shared" si="3"/>
        <v>7</v>
      </c>
    </row>
    <row r="117" spans="1:4" x14ac:dyDescent="0.35">
      <c r="A117" s="58">
        <v>32716</v>
      </c>
      <c r="B117" s="55">
        <f t="shared" si="2"/>
        <v>1989</v>
      </c>
      <c r="C117" s="55"/>
      <c r="D117" s="55">
        <f t="shared" si="3"/>
        <v>7</v>
      </c>
    </row>
    <row r="118" spans="1:4" x14ac:dyDescent="0.35">
      <c r="A118" s="58">
        <v>32723</v>
      </c>
      <c r="B118" s="55">
        <f t="shared" si="2"/>
        <v>1989</v>
      </c>
      <c r="C118" s="55"/>
      <c r="D118" s="55">
        <f t="shared" si="3"/>
        <v>8</v>
      </c>
    </row>
    <row r="119" spans="1:4" x14ac:dyDescent="0.35">
      <c r="A119" s="58">
        <v>32730</v>
      </c>
      <c r="B119" s="55">
        <f t="shared" si="2"/>
        <v>1989</v>
      </c>
      <c r="C119" s="55"/>
      <c r="D119" s="55">
        <f t="shared" si="3"/>
        <v>8</v>
      </c>
    </row>
    <row r="120" spans="1:4" x14ac:dyDescent="0.35">
      <c r="A120" s="58">
        <v>32737</v>
      </c>
      <c r="B120" s="55">
        <f t="shared" si="2"/>
        <v>1989</v>
      </c>
      <c r="C120" s="55"/>
      <c r="D120" s="55">
        <f t="shared" si="3"/>
        <v>8</v>
      </c>
    </row>
    <row r="121" spans="1:4" x14ac:dyDescent="0.35">
      <c r="A121" s="58">
        <v>32744</v>
      </c>
      <c r="B121" s="55">
        <f t="shared" si="2"/>
        <v>1989</v>
      </c>
      <c r="C121" s="55"/>
      <c r="D121" s="55">
        <f t="shared" si="3"/>
        <v>8</v>
      </c>
    </row>
    <row r="122" spans="1:4" x14ac:dyDescent="0.35">
      <c r="A122" s="58">
        <v>32751</v>
      </c>
      <c r="B122" s="55">
        <f t="shared" si="2"/>
        <v>1989</v>
      </c>
      <c r="C122" s="55"/>
      <c r="D122" s="55">
        <f t="shared" si="3"/>
        <v>8</v>
      </c>
    </row>
    <row r="123" spans="1:4" x14ac:dyDescent="0.35">
      <c r="A123" s="58">
        <v>32758</v>
      </c>
      <c r="B123" s="55">
        <f t="shared" si="2"/>
        <v>1989</v>
      </c>
      <c r="C123" s="55"/>
      <c r="D123" s="55">
        <f t="shared" si="3"/>
        <v>9</v>
      </c>
    </row>
    <row r="124" spans="1:4" x14ac:dyDescent="0.35">
      <c r="A124" s="58">
        <v>32765</v>
      </c>
      <c r="B124" s="55">
        <f t="shared" si="2"/>
        <v>1989</v>
      </c>
      <c r="C124" s="55"/>
      <c r="D124" s="55">
        <f t="shared" si="3"/>
        <v>9</v>
      </c>
    </row>
    <row r="125" spans="1:4" x14ac:dyDescent="0.35">
      <c r="A125" s="58">
        <v>32772</v>
      </c>
      <c r="B125" s="55">
        <f t="shared" si="2"/>
        <v>1989</v>
      </c>
      <c r="C125" s="55"/>
      <c r="D125" s="55">
        <f t="shared" si="3"/>
        <v>9</v>
      </c>
    </row>
    <row r="126" spans="1:4" x14ac:dyDescent="0.35">
      <c r="A126" s="58">
        <v>32779</v>
      </c>
      <c r="B126" s="55">
        <f t="shared" si="2"/>
        <v>1989</v>
      </c>
      <c r="C126" s="55"/>
      <c r="D126" s="55">
        <f t="shared" si="3"/>
        <v>9</v>
      </c>
    </row>
    <row r="127" spans="1:4" x14ac:dyDescent="0.35">
      <c r="A127" s="58">
        <v>32786</v>
      </c>
      <c r="B127" s="55">
        <f t="shared" si="2"/>
        <v>1989</v>
      </c>
      <c r="C127" s="55"/>
      <c r="D127" s="55">
        <f t="shared" si="3"/>
        <v>10</v>
      </c>
    </row>
    <row r="128" spans="1:4" x14ac:dyDescent="0.35">
      <c r="A128" s="58">
        <v>32793</v>
      </c>
      <c r="B128" s="55">
        <f t="shared" si="2"/>
        <v>1989</v>
      </c>
      <c r="C128" s="55"/>
      <c r="D128" s="55">
        <f t="shared" si="3"/>
        <v>10</v>
      </c>
    </row>
    <row r="129" spans="1:4" x14ac:dyDescent="0.35">
      <c r="A129" s="58">
        <v>32800</v>
      </c>
      <c r="B129" s="55">
        <f t="shared" si="2"/>
        <v>1989</v>
      </c>
      <c r="C129" s="55"/>
      <c r="D129" s="55">
        <f t="shared" si="3"/>
        <v>10</v>
      </c>
    </row>
    <row r="130" spans="1:4" x14ac:dyDescent="0.35">
      <c r="A130" s="58">
        <v>32807</v>
      </c>
      <c r="B130" s="55">
        <f t="shared" si="2"/>
        <v>1989</v>
      </c>
      <c r="C130" s="55"/>
      <c r="D130" s="55">
        <f t="shared" si="3"/>
        <v>10</v>
      </c>
    </row>
    <row r="131" spans="1:4" x14ac:dyDescent="0.35">
      <c r="A131" s="58">
        <v>32814</v>
      </c>
      <c r="B131" s="55">
        <f t="shared" si="2"/>
        <v>1989</v>
      </c>
      <c r="C131" s="55"/>
      <c r="D131" s="55">
        <f t="shared" si="3"/>
        <v>11</v>
      </c>
    </row>
    <row r="132" spans="1:4" x14ac:dyDescent="0.35">
      <c r="A132" s="58">
        <v>32821</v>
      </c>
      <c r="B132" s="55">
        <f t="shared" ref="B132:B195" si="4">YEAR(A132)</f>
        <v>1989</v>
      </c>
      <c r="C132" s="55"/>
      <c r="D132" s="55">
        <f t="shared" ref="D132:D195" si="5">MONTH(A132)</f>
        <v>11</v>
      </c>
    </row>
    <row r="133" spans="1:4" x14ac:dyDescent="0.35">
      <c r="A133" s="58">
        <v>32828</v>
      </c>
      <c r="B133" s="55">
        <f t="shared" si="4"/>
        <v>1989</v>
      </c>
      <c r="C133" s="55"/>
      <c r="D133" s="55">
        <f t="shared" si="5"/>
        <v>11</v>
      </c>
    </row>
    <row r="134" spans="1:4" x14ac:dyDescent="0.35">
      <c r="A134" s="58">
        <v>32835</v>
      </c>
      <c r="B134" s="55">
        <f t="shared" si="4"/>
        <v>1989</v>
      </c>
      <c r="C134" s="55"/>
      <c r="D134" s="55">
        <f t="shared" si="5"/>
        <v>11</v>
      </c>
    </row>
    <row r="135" spans="1:4" x14ac:dyDescent="0.35">
      <c r="A135" s="58">
        <v>32842</v>
      </c>
      <c r="B135" s="55">
        <f t="shared" si="4"/>
        <v>1989</v>
      </c>
      <c r="C135" s="55"/>
      <c r="D135" s="55">
        <f t="shared" si="5"/>
        <v>11</v>
      </c>
    </row>
    <row r="136" spans="1:4" x14ac:dyDescent="0.35">
      <c r="A136" s="58">
        <v>32849</v>
      </c>
      <c r="B136" s="55">
        <f t="shared" si="4"/>
        <v>1989</v>
      </c>
      <c r="C136" s="55"/>
      <c r="D136" s="55">
        <f t="shared" si="5"/>
        <v>12</v>
      </c>
    </row>
    <row r="137" spans="1:4" x14ac:dyDescent="0.35">
      <c r="A137" s="58">
        <v>32856</v>
      </c>
      <c r="B137" s="55">
        <f t="shared" si="4"/>
        <v>1989</v>
      </c>
      <c r="C137" s="55"/>
      <c r="D137" s="55">
        <f t="shared" si="5"/>
        <v>12</v>
      </c>
    </row>
    <row r="138" spans="1:4" x14ac:dyDescent="0.35">
      <c r="A138" s="58">
        <v>32863</v>
      </c>
      <c r="B138" s="55">
        <f t="shared" si="4"/>
        <v>1989</v>
      </c>
      <c r="C138" s="55"/>
      <c r="D138" s="55">
        <f t="shared" si="5"/>
        <v>12</v>
      </c>
    </row>
    <row r="139" spans="1:4" x14ac:dyDescent="0.35">
      <c r="A139" s="58">
        <v>32877</v>
      </c>
      <c r="B139" s="55">
        <f t="shared" si="4"/>
        <v>1990</v>
      </c>
      <c r="C139" s="55"/>
      <c r="D139" s="55">
        <f t="shared" si="5"/>
        <v>1</v>
      </c>
    </row>
    <row r="140" spans="1:4" x14ac:dyDescent="0.35">
      <c r="A140" s="58">
        <v>32884</v>
      </c>
      <c r="B140" s="55">
        <f t="shared" si="4"/>
        <v>1990</v>
      </c>
      <c r="C140" s="55"/>
      <c r="D140" s="55">
        <f t="shared" si="5"/>
        <v>1</v>
      </c>
    </row>
    <row r="141" spans="1:4" x14ac:dyDescent="0.35">
      <c r="A141" s="58">
        <v>32891</v>
      </c>
      <c r="B141" s="55">
        <f t="shared" si="4"/>
        <v>1990</v>
      </c>
      <c r="C141" s="55"/>
      <c r="D141" s="55">
        <f t="shared" si="5"/>
        <v>1</v>
      </c>
    </row>
    <row r="142" spans="1:4" x14ac:dyDescent="0.35">
      <c r="A142" s="58">
        <v>32898</v>
      </c>
      <c r="B142" s="55">
        <f t="shared" si="4"/>
        <v>1990</v>
      </c>
      <c r="C142" s="55"/>
      <c r="D142" s="55">
        <f t="shared" si="5"/>
        <v>1</v>
      </c>
    </row>
    <row r="143" spans="1:4" x14ac:dyDescent="0.35">
      <c r="A143" s="58">
        <v>32905</v>
      </c>
      <c r="B143" s="55">
        <f t="shared" si="4"/>
        <v>1990</v>
      </c>
      <c r="C143" s="55"/>
      <c r="D143" s="55">
        <f t="shared" si="5"/>
        <v>2</v>
      </c>
    </row>
    <row r="144" spans="1:4" x14ac:dyDescent="0.35">
      <c r="A144" s="58">
        <v>32912</v>
      </c>
      <c r="B144" s="55">
        <f t="shared" si="4"/>
        <v>1990</v>
      </c>
      <c r="C144" s="55"/>
      <c r="D144" s="55">
        <f t="shared" si="5"/>
        <v>2</v>
      </c>
    </row>
    <row r="145" spans="1:4" x14ac:dyDescent="0.35">
      <c r="A145" s="58">
        <v>32919</v>
      </c>
      <c r="B145" s="55">
        <f t="shared" si="4"/>
        <v>1990</v>
      </c>
      <c r="C145" s="55"/>
      <c r="D145" s="55">
        <f t="shared" si="5"/>
        <v>2</v>
      </c>
    </row>
    <row r="146" spans="1:4" x14ac:dyDescent="0.35">
      <c r="A146" s="58">
        <v>32926</v>
      </c>
      <c r="B146" s="55">
        <f t="shared" si="4"/>
        <v>1990</v>
      </c>
      <c r="C146" s="55"/>
      <c r="D146" s="55">
        <f t="shared" si="5"/>
        <v>2</v>
      </c>
    </row>
    <row r="147" spans="1:4" x14ac:dyDescent="0.35">
      <c r="A147" s="58">
        <v>32933</v>
      </c>
      <c r="B147" s="55">
        <f t="shared" si="4"/>
        <v>1990</v>
      </c>
      <c r="C147" s="55"/>
      <c r="D147" s="55">
        <f t="shared" si="5"/>
        <v>3</v>
      </c>
    </row>
    <row r="148" spans="1:4" x14ac:dyDescent="0.35">
      <c r="A148" s="58">
        <v>32940</v>
      </c>
      <c r="B148" s="55">
        <f t="shared" si="4"/>
        <v>1990</v>
      </c>
      <c r="C148" s="55"/>
      <c r="D148" s="55">
        <f t="shared" si="5"/>
        <v>3</v>
      </c>
    </row>
    <row r="149" spans="1:4" x14ac:dyDescent="0.35">
      <c r="A149" s="58">
        <v>32947</v>
      </c>
      <c r="B149" s="55">
        <f t="shared" si="4"/>
        <v>1990</v>
      </c>
      <c r="C149" s="55"/>
      <c r="D149" s="55">
        <f t="shared" si="5"/>
        <v>3</v>
      </c>
    </row>
    <row r="150" spans="1:4" x14ac:dyDescent="0.35">
      <c r="A150" s="58">
        <v>32954</v>
      </c>
      <c r="B150" s="55">
        <f t="shared" si="4"/>
        <v>1990</v>
      </c>
      <c r="C150" s="55"/>
      <c r="D150" s="55">
        <f t="shared" si="5"/>
        <v>3</v>
      </c>
    </row>
    <row r="151" spans="1:4" x14ac:dyDescent="0.35">
      <c r="A151" s="58">
        <v>32961</v>
      </c>
      <c r="B151" s="55">
        <f t="shared" si="4"/>
        <v>1990</v>
      </c>
      <c r="C151" s="55"/>
      <c r="D151" s="55">
        <f t="shared" si="5"/>
        <v>3</v>
      </c>
    </row>
    <row r="152" spans="1:4" x14ac:dyDescent="0.35">
      <c r="A152" s="58">
        <v>32968</v>
      </c>
      <c r="B152" s="55">
        <f t="shared" si="4"/>
        <v>1990</v>
      </c>
      <c r="C152" s="55"/>
      <c r="D152" s="55">
        <f t="shared" si="5"/>
        <v>4</v>
      </c>
    </row>
    <row r="153" spans="1:4" x14ac:dyDescent="0.35">
      <c r="A153" s="58">
        <v>32975</v>
      </c>
      <c r="B153" s="55">
        <f t="shared" si="4"/>
        <v>1990</v>
      </c>
      <c r="C153" s="55"/>
      <c r="D153" s="55">
        <f t="shared" si="5"/>
        <v>4</v>
      </c>
    </row>
    <row r="154" spans="1:4" x14ac:dyDescent="0.35">
      <c r="A154" s="58">
        <v>32982</v>
      </c>
      <c r="B154" s="55">
        <f t="shared" si="4"/>
        <v>1990</v>
      </c>
      <c r="C154" s="55"/>
      <c r="D154" s="55">
        <f t="shared" si="5"/>
        <v>4</v>
      </c>
    </row>
    <row r="155" spans="1:4" x14ac:dyDescent="0.35">
      <c r="A155" s="58">
        <v>32989</v>
      </c>
      <c r="B155" s="55">
        <f t="shared" si="4"/>
        <v>1990</v>
      </c>
      <c r="C155" s="55"/>
      <c r="D155" s="55">
        <f t="shared" si="5"/>
        <v>4</v>
      </c>
    </row>
    <row r="156" spans="1:4" x14ac:dyDescent="0.35">
      <c r="A156" s="58">
        <v>32996</v>
      </c>
      <c r="B156" s="55">
        <f t="shared" si="4"/>
        <v>1990</v>
      </c>
      <c r="C156" s="55"/>
      <c r="D156" s="55">
        <f t="shared" si="5"/>
        <v>5</v>
      </c>
    </row>
    <row r="157" spans="1:4" x14ac:dyDescent="0.35">
      <c r="A157" s="58">
        <v>33003</v>
      </c>
      <c r="B157" s="55">
        <f t="shared" si="4"/>
        <v>1990</v>
      </c>
      <c r="C157" s="55"/>
      <c r="D157" s="55">
        <f t="shared" si="5"/>
        <v>5</v>
      </c>
    </row>
    <row r="158" spans="1:4" x14ac:dyDescent="0.35">
      <c r="A158" s="58">
        <v>33017</v>
      </c>
      <c r="B158" s="55">
        <f t="shared" si="4"/>
        <v>1990</v>
      </c>
      <c r="C158" s="55"/>
      <c r="D158" s="55">
        <f t="shared" si="5"/>
        <v>5</v>
      </c>
    </row>
    <row r="159" spans="1:4" x14ac:dyDescent="0.35">
      <c r="A159" s="58">
        <v>33024</v>
      </c>
      <c r="B159" s="55">
        <f t="shared" si="4"/>
        <v>1990</v>
      </c>
      <c r="C159" s="55"/>
      <c r="D159" s="55">
        <f t="shared" si="5"/>
        <v>5</v>
      </c>
    </row>
    <row r="160" spans="1:4" x14ac:dyDescent="0.35">
      <c r="A160" s="58">
        <v>33031</v>
      </c>
      <c r="B160" s="55">
        <f t="shared" si="4"/>
        <v>1990</v>
      </c>
      <c r="C160" s="55"/>
      <c r="D160" s="55">
        <f t="shared" si="5"/>
        <v>6</v>
      </c>
    </row>
    <row r="161" spans="1:4" x14ac:dyDescent="0.35">
      <c r="A161" s="58">
        <v>33038</v>
      </c>
      <c r="B161" s="55">
        <f t="shared" si="4"/>
        <v>1990</v>
      </c>
      <c r="C161" s="55"/>
      <c r="D161" s="55">
        <f t="shared" si="5"/>
        <v>6</v>
      </c>
    </row>
    <row r="162" spans="1:4" x14ac:dyDescent="0.35">
      <c r="A162" s="58">
        <v>33045</v>
      </c>
      <c r="B162" s="55">
        <f t="shared" si="4"/>
        <v>1990</v>
      </c>
      <c r="C162" s="55"/>
      <c r="D162" s="55">
        <f t="shared" si="5"/>
        <v>6</v>
      </c>
    </row>
    <row r="163" spans="1:4" x14ac:dyDescent="0.35">
      <c r="A163" s="58">
        <v>33052</v>
      </c>
      <c r="B163" s="55">
        <f t="shared" si="4"/>
        <v>1990</v>
      </c>
      <c r="C163" s="55"/>
      <c r="D163" s="55">
        <f t="shared" si="5"/>
        <v>6</v>
      </c>
    </row>
    <row r="164" spans="1:4" x14ac:dyDescent="0.35">
      <c r="A164" s="58">
        <v>33059</v>
      </c>
      <c r="B164" s="55">
        <f t="shared" si="4"/>
        <v>1990</v>
      </c>
      <c r="C164" s="55"/>
      <c r="D164" s="55">
        <f t="shared" si="5"/>
        <v>7</v>
      </c>
    </row>
    <row r="165" spans="1:4" x14ac:dyDescent="0.35">
      <c r="A165" s="58">
        <v>33066</v>
      </c>
      <c r="B165" s="55">
        <f t="shared" si="4"/>
        <v>1990</v>
      </c>
      <c r="C165" s="55"/>
      <c r="D165" s="55">
        <f t="shared" si="5"/>
        <v>7</v>
      </c>
    </row>
    <row r="166" spans="1:4" x14ac:dyDescent="0.35">
      <c r="A166" s="58">
        <v>33073</v>
      </c>
      <c r="B166" s="55">
        <f t="shared" si="4"/>
        <v>1990</v>
      </c>
      <c r="C166" s="55"/>
      <c r="D166" s="55">
        <f t="shared" si="5"/>
        <v>7</v>
      </c>
    </row>
    <row r="167" spans="1:4" x14ac:dyDescent="0.35">
      <c r="A167" s="58">
        <v>33080</v>
      </c>
      <c r="B167" s="55">
        <f t="shared" si="4"/>
        <v>1990</v>
      </c>
      <c r="C167" s="55"/>
      <c r="D167" s="55">
        <f t="shared" si="5"/>
        <v>7</v>
      </c>
    </row>
    <row r="168" spans="1:4" x14ac:dyDescent="0.35">
      <c r="A168" s="58">
        <v>33087</v>
      </c>
      <c r="B168" s="55">
        <f t="shared" si="4"/>
        <v>1990</v>
      </c>
      <c r="C168" s="55"/>
      <c r="D168" s="55">
        <f t="shared" si="5"/>
        <v>8</v>
      </c>
    </row>
    <row r="169" spans="1:4" x14ac:dyDescent="0.35">
      <c r="A169" s="58">
        <v>33094</v>
      </c>
      <c r="B169" s="55">
        <f t="shared" si="4"/>
        <v>1990</v>
      </c>
      <c r="C169" s="55"/>
      <c r="D169" s="55">
        <f t="shared" si="5"/>
        <v>8</v>
      </c>
    </row>
    <row r="170" spans="1:4" x14ac:dyDescent="0.35">
      <c r="A170" s="58">
        <v>33101</v>
      </c>
      <c r="B170" s="55">
        <f t="shared" si="4"/>
        <v>1990</v>
      </c>
      <c r="C170" s="55"/>
      <c r="D170" s="55">
        <f t="shared" si="5"/>
        <v>8</v>
      </c>
    </row>
    <row r="171" spans="1:4" x14ac:dyDescent="0.35">
      <c r="A171" s="58">
        <v>33108</v>
      </c>
      <c r="B171" s="55">
        <f t="shared" si="4"/>
        <v>1990</v>
      </c>
      <c r="C171" s="55"/>
      <c r="D171" s="55">
        <f t="shared" si="5"/>
        <v>8</v>
      </c>
    </row>
    <row r="172" spans="1:4" x14ac:dyDescent="0.35">
      <c r="A172" s="58">
        <v>33115</v>
      </c>
      <c r="B172" s="55">
        <f t="shared" si="4"/>
        <v>1990</v>
      </c>
      <c r="C172" s="55"/>
      <c r="D172" s="55">
        <f t="shared" si="5"/>
        <v>8</v>
      </c>
    </row>
    <row r="173" spans="1:4" x14ac:dyDescent="0.35">
      <c r="A173" s="58">
        <v>33122</v>
      </c>
      <c r="B173" s="55">
        <f t="shared" si="4"/>
        <v>1990</v>
      </c>
      <c r="C173" s="55"/>
      <c r="D173" s="55">
        <f t="shared" si="5"/>
        <v>9</v>
      </c>
    </row>
    <row r="174" spans="1:4" x14ac:dyDescent="0.35">
      <c r="A174" s="58">
        <v>33129</v>
      </c>
      <c r="B174" s="55">
        <f t="shared" si="4"/>
        <v>1990</v>
      </c>
      <c r="C174" s="55"/>
      <c r="D174" s="55">
        <f t="shared" si="5"/>
        <v>9</v>
      </c>
    </row>
    <row r="175" spans="1:4" x14ac:dyDescent="0.35">
      <c r="A175" s="58">
        <v>33136</v>
      </c>
      <c r="B175" s="55">
        <f t="shared" si="4"/>
        <v>1990</v>
      </c>
      <c r="C175" s="55"/>
      <c r="D175" s="55">
        <f t="shared" si="5"/>
        <v>9</v>
      </c>
    </row>
    <row r="176" spans="1:4" x14ac:dyDescent="0.35">
      <c r="A176" s="58">
        <v>33143</v>
      </c>
      <c r="B176" s="55">
        <f t="shared" si="4"/>
        <v>1990</v>
      </c>
      <c r="C176" s="55"/>
      <c r="D176" s="55">
        <f t="shared" si="5"/>
        <v>9</v>
      </c>
    </row>
    <row r="177" spans="1:4" x14ac:dyDescent="0.35">
      <c r="A177" s="58">
        <v>33150</v>
      </c>
      <c r="B177" s="55">
        <f t="shared" si="4"/>
        <v>1990</v>
      </c>
      <c r="C177" s="55"/>
      <c r="D177" s="55">
        <f t="shared" si="5"/>
        <v>10</v>
      </c>
    </row>
    <row r="178" spans="1:4" x14ac:dyDescent="0.35">
      <c r="A178" s="58">
        <v>33157</v>
      </c>
      <c r="B178" s="55">
        <f t="shared" si="4"/>
        <v>1990</v>
      </c>
      <c r="C178" s="55"/>
      <c r="D178" s="55">
        <f t="shared" si="5"/>
        <v>10</v>
      </c>
    </row>
    <row r="179" spans="1:4" x14ac:dyDescent="0.35">
      <c r="A179" s="58">
        <v>33164</v>
      </c>
      <c r="B179" s="55">
        <f t="shared" si="4"/>
        <v>1990</v>
      </c>
      <c r="C179" s="55"/>
      <c r="D179" s="55">
        <f t="shared" si="5"/>
        <v>10</v>
      </c>
    </row>
    <row r="180" spans="1:4" x14ac:dyDescent="0.35">
      <c r="A180" s="58">
        <v>33171</v>
      </c>
      <c r="B180" s="55">
        <f t="shared" si="4"/>
        <v>1990</v>
      </c>
      <c r="C180" s="55"/>
      <c r="D180" s="55">
        <f t="shared" si="5"/>
        <v>10</v>
      </c>
    </row>
    <row r="181" spans="1:4" x14ac:dyDescent="0.35">
      <c r="A181" s="58">
        <v>33178</v>
      </c>
      <c r="B181" s="55">
        <f t="shared" si="4"/>
        <v>1990</v>
      </c>
      <c r="C181" s="55"/>
      <c r="D181" s="55">
        <f t="shared" si="5"/>
        <v>11</v>
      </c>
    </row>
    <row r="182" spans="1:4" x14ac:dyDescent="0.35">
      <c r="A182" s="58">
        <v>33185</v>
      </c>
      <c r="B182" s="55">
        <f t="shared" si="4"/>
        <v>1990</v>
      </c>
      <c r="C182" s="55"/>
      <c r="D182" s="55">
        <f t="shared" si="5"/>
        <v>11</v>
      </c>
    </row>
    <row r="183" spans="1:4" x14ac:dyDescent="0.35">
      <c r="A183" s="58">
        <v>33192</v>
      </c>
      <c r="B183" s="55">
        <f t="shared" si="4"/>
        <v>1990</v>
      </c>
      <c r="C183" s="55"/>
      <c r="D183" s="55">
        <f t="shared" si="5"/>
        <v>11</v>
      </c>
    </row>
    <row r="184" spans="1:4" x14ac:dyDescent="0.35">
      <c r="A184" s="58">
        <v>33199</v>
      </c>
      <c r="B184" s="55">
        <f t="shared" si="4"/>
        <v>1990</v>
      </c>
      <c r="C184" s="55"/>
      <c r="D184" s="55">
        <f t="shared" si="5"/>
        <v>11</v>
      </c>
    </row>
    <row r="185" spans="1:4" x14ac:dyDescent="0.35">
      <c r="A185" s="58">
        <v>33206</v>
      </c>
      <c r="B185" s="55">
        <f t="shared" si="4"/>
        <v>1990</v>
      </c>
      <c r="C185" s="55"/>
      <c r="D185" s="55">
        <f t="shared" si="5"/>
        <v>11</v>
      </c>
    </row>
    <row r="186" spans="1:4" x14ac:dyDescent="0.35">
      <c r="A186" s="58">
        <v>33213</v>
      </c>
      <c r="B186" s="55">
        <f t="shared" si="4"/>
        <v>1990</v>
      </c>
      <c r="C186" s="55"/>
      <c r="D186" s="55">
        <f t="shared" si="5"/>
        <v>12</v>
      </c>
    </row>
    <row r="187" spans="1:4" x14ac:dyDescent="0.35">
      <c r="A187" s="58">
        <v>33220</v>
      </c>
      <c r="B187" s="55">
        <f t="shared" si="4"/>
        <v>1990</v>
      </c>
      <c r="C187" s="55"/>
      <c r="D187" s="55">
        <f t="shared" si="5"/>
        <v>12</v>
      </c>
    </row>
    <row r="188" spans="1:4" x14ac:dyDescent="0.35">
      <c r="A188" s="58">
        <v>33227</v>
      </c>
      <c r="B188" s="55">
        <f t="shared" si="4"/>
        <v>1990</v>
      </c>
      <c r="C188" s="55"/>
      <c r="D188" s="55">
        <f t="shared" si="5"/>
        <v>12</v>
      </c>
    </row>
    <row r="189" spans="1:4" x14ac:dyDescent="0.35">
      <c r="A189" s="58">
        <v>33241</v>
      </c>
      <c r="B189" s="55">
        <f t="shared" si="4"/>
        <v>1991</v>
      </c>
      <c r="C189" s="55"/>
      <c r="D189" s="55">
        <f t="shared" si="5"/>
        <v>1</v>
      </c>
    </row>
    <row r="190" spans="1:4" x14ac:dyDescent="0.35">
      <c r="A190" s="58">
        <v>33248</v>
      </c>
      <c r="B190" s="55">
        <f t="shared" si="4"/>
        <v>1991</v>
      </c>
      <c r="C190" s="55"/>
      <c r="D190" s="55">
        <f t="shared" si="5"/>
        <v>1</v>
      </c>
    </row>
    <row r="191" spans="1:4" x14ac:dyDescent="0.35">
      <c r="A191" s="58">
        <v>33255</v>
      </c>
      <c r="B191" s="55">
        <f t="shared" si="4"/>
        <v>1991</v>
      </c>
      <c r="C191" s="55"/>
      <c r="D191" s="55">
        <f t="shared" si="5"/>
        <v>1</v>
      </c>
    </row>
    <row r="192" spans="1:4" x14ac:dyDescent="0.35">
      <c r="A192" s="58">
        <v>33262</v>
      </c>
      <c r="B192" s="55">
        <f t="shared" si="4"/>
        <v>1991</v>
      </c>
      <c r="C192" s="55"/>
      <c r="D192" s="55">
        <f t="shared" si="5"/>
        <v>1</v>
      </c>
    </row>
    <row r="193" spans="1:4" x14ac:dyDescent="0.35">
      <c r="A193" s="58">
        <v>33269</v>
      </c>
      <c r="B193" s="55">
        <f t="shared" si="4"/>
        <v>1991</v>
      </c>
      <c r="C193" s="55"/>
      <c r="D193" s="55">
        <f t="shared" si="5"/>
        <v>1</v>
      </c>
    </row>
    <row r="194" spans="1:4" x14ac:dyDescent="0.35">
      <c r="A194" s="58">
        <v>33276</v>
      </c>
      <c r="B194" s="55">
        <f t="shared" si="4"/>
        <v>1991</v>
      </c>
      <c r="C194" s="55"/>
      <c r="D194" s="55">
        <f t="shared" si="5"/>
        <v>2</v>
      </c>
    </row>
    <row r="195" spans="1:4" x14ac:dyDescent="0.35">
      <c r="A195" s="58">
        <v>33283</v>
      </c>
      <c r="B195" s="55">
        <f t="shared" si="4"/>
        <v>1991</v>
      </c>
      <c r="C195" s="55"/>
      <c r="D195" s="55">
        <f t="shared" si="5"/>
        <v>2</v>
      </c>
    </row>
    <row r="196" spans="1:4" x14ac:dyDescent="0.35">
      <c r="A196" s="58">
        <v>33290</v>
      </c>
      <c r="B196" s="55">
        <f t="shared" ref="B196:B259" si="6">YEAR(A196)</f>
        <v>1991</v>
      </c>
      <c r="C196" s="55"/>
      <c r="D196" s="55">
        <f t="shared" ref="D196:D259" si="7">MONTH(A196)</f>
        <v>2</v>
      </c>
    </row>
    <row r="197" spans="1:4" x14ac:dyDescent="0.35">
      <c r="A197" s="58">
        <v>33297</v>
      </c>
      <c r="B197" s="55">
        <f t="shared" si="6"/>
        <v>1991</v>
      </c>
      <c r="C197" s="55"/>
      <c r="D197" s="55">
        <f t="shared" si="7"/>
        <v>2</v>
      </c>
    </row>
    <row r="198" spans="1:4" x14ac:dyDescent="0.35">
      <c r="A198" s="58">
        <v>33304</v>
      </c>
      <c r="B198" s="55">
        <f t="shared" si="6"/>
        <v>1991</v>
      </c>
      <c r="C198" s="55"/>
      <c r="D198" s="55">
        <f t="shared" si="7"/>
        <v>3</v>
      </c>
    </row>
    <row r="199" spans="1:4" x14ac:dyDescent="0.35">
      <c r="A199" s="58">
        <v>33311</v>
      </c>
      <c r="B199" s="55">
        <f t="shared" si="6"/>
        <v>1991</v>
      </c>
      <c r="C199" s="55"/>
      <c r="D199" s="55">
        <f t="shared" si="7"/>
        <v>3</v>
      </c>
    </row>
    <row r="200" spans="1:4" x14ac:dyDescent="0.35">
      <c r="A200" s="58">
        <v>33318</v>
      </c>
      <c r="B200" s="55">
        <f t="shared" si="6"/>
        <v>1991</v>
      </c>
      <c r="C200" s="55"/>
      <c r="D200" s="55">
        <f t="shared" si="7"/>
        <v>3</v>
      </c>
    </row>
    <row r="201" spans="1:4" x14ac:dyDescent="0.35">
      <c r="A201" s="58">
        <v>33325</v>
      </c>
      <c r="B201" s="55">
        <f t="shared" si="6"/>
        <v>1991</v>
      </c>
      <c r="C201" s="55"/>
      <c r="D201" s="55">
        <f t="shared" si="7"/>
        <v>3</v>
      </c>
    </row>
    <row r="202" spans="1:4" x14ac:dyDescent="0.35">
      <c r="A202" s="58">
        <v>33332</v>
      </c>
      <c r="B202" s="55">
        <f t="shared" si="6"/>
        <v>1991</v>
      </c>
      <c r="C202" s="55"/>
      <c r="D202" s="55">
        <f t="shared" si="7"/>
        <v>4</v>
      </c>
    </row>
    <row r="203" spans="1:4" x14ac:dyDescent="0.35">
      <c r="A203" s="58">
        <v>33339</v>
      </c>
      <c r="B203" s="55">
        <f t="shared" si="6"/>
        <v>1991</v>
      </c>
      <c r="C203" s="55"/>
      <c r="D203" s="55">
        <f t="shared" si="7"/>
        <v>4</v>
      </c>
    </row>
    <row r="204" spans="1:4" x14ac:dyDescent="0.35">
      <c r="A204" s="58">
        <v>33346</v>
      </c>
      <c r="B204" s="55">
        <f t="shared" si="6"/>
        <v>1991</v>
      </c>
      <c r="C204" s="55"/>
      <c r="D204" s="55">
        <f t="shared" si="7"/>
        <v>4</v>
      </c>
    </row>
    <row r="205" spans="1:4" x14ac:dyDescent="0.35">
      <c r="A205" s="58">
        <v>33353</v>
      </c>
      <c r="B205" s="55">
        <f t="shared" si="6"/>
        <v>1991</v>
      </c>
      <c r="C205" s="55"/>
      <c r="D205" s="55">
        <f t="shared" si="7"/>
        <v>4</v>
      </c>
    </row>
    <row r="206" spans="1:4" x14ac:dyDescent="0.35">
      <c r="A206" s="58">
        <v>33360</v>
      </c>
      <c r="B206" s="55">
        <f t="shared" si="6"/>
        <v>1991</v>
      </c>
      <c r="C206" s="55"/>
      <c r="D206" s="55">
        <f t="shared" si="7"/>
        <v>5</v>
      </c>
    </row>
    <row r="207" spans="1:4" x14ac:dyDescent="0.35">
      <c r="A207" s="58">
        <v>33367</v>
      </c>
      <c r="B207" s="55">
        <f t="shared" si="6"/>
        <v>1991</v>
      </c>
      <c r="C207" s="55"/>
      <c r="D207" s="55">
        <f t="shared" si="7"/>
        <v>5</v>
      </c>
    </row>
    <row r="208" spans="1:4" x14ac:dyDescent="0.35">
      <c r="A208" s="58">
        <v>33381</v>
      </c>
      <c r="B208" s="55">
        <f t="shared" si="6"/>
        <v>1991</v>
      </c>
      <c r="C208" s="55"/>
      <c r="D208" s="55">
        <f t="shared" si="7"/>
        <v>5</v>
      </c>
    </row>
    <row r="209" spans="1:4" x14ac:dyDescent="0.35">
      <c r="A209" s="58">
        <v>33388</v>
      </c>
      <c r="B209" s="55">
        <f t="shared" si="6"/>
        <v>1991</v>
      </c>
      <c r="C209" s="55"/>
      <c r="D209" s="55">
        <f t="shared" si="7"/>
        <v>5</v>
      </c>
    </row>
    <row r="210" spans="1:4" x14ac:dyDescent="0.35">
      <c r="A210" s="58">
        <v>33395</v>
      </c>
      <c r="B210" s="55">
        <f t="shared" si="6"/>
        <v>1991</v>
      </c>
      <c r="C210" s="55"/>
      <c r="D210" s="55">
        <f t="shared" si="7"/>
        <v>6</v>
      </c>
    </row>
    <row r="211" spans="1:4" x14ac:dyDescent="0.35">
      <c r="A211" s="58">
        <v>33402</v>
      </c>
      <c r="B211" s="55">
        <f t="shared" si="6"/>
        <v>1991</v>
      </c>
      <c r="C211" s="55"/>
      <c r="D211" s="55">
        <f t="shared" si="7"/>
        <v>6</v>
      </c>
    </row>
    <row r="212" spans="1:4" x14ac:dyDescent="0.35">
      <c r="A212" s="58">
        <v>33409</v>
      </c>
      <c r="B212" s="55">
        <f t="shared" si="6"/>
        <v>1991</v>
      </c>
      <c r="C212" s="55"/>
      <c r="D212" s="55">
        <f t="shared" si="7"/>
        <v>6</v>
      </c>
    </row>
    <row r="213" spans="1:4" x14ac:dyDescent="0.35">
      <c r="A213" s="58">
        <v>33416</v>
      </c>
      <c r="B213" s="55">
        <f t="shared" si="6"/>
        <v>1991</v>
      </c>
      <c r="C213" s="55"/>
      <c r="D213" s="55">
        <f t="shared" si="7"/>
        <v>6</v>
      </c>
    </row>
    <row r="214" spans="1:4" x14ac:dyDescent="0.35">
      <c r="A214" s="58">
        <v>33423</v>
      </c>
      <c r="B214" s="55">
        <f t="shared" si="6"/>
        <v>1991</v>
      </c>
      <c r="C214" s="55"/>
      <c r="D214" s="55">
        <f t="shared" si="7"/>
        <v>7</v>
      </c>
    </row>
    <row r="215" spans="1:4" x14ac:dyDescent="0.35">
      <c r="A215" s="58">
        <v>33430</v>
      </c>
      <c r="B215" s="55">
        <f t="shared" si="6"/>
        <v>1991</v>
      </c>
      <c r="C215" s="55"/>
      <c r="D215" s="55">
        <f t="shared" si="7"/>
        <v>7</v>
      </c>
    </row>
    <row r="216" spans="1:4" x14ac:dyDescent="0.35">
      <c r="A216" s="58">
        <v>33437</v>
      </c>
      <c r="B216" s="55">
        <f t="shared" si="6"/>
        <v>1991</v>
      </c>
      <c r="C216" s="55"/>
      <c r="D216" s="55">
        <f t="shared" si="7"/>
        <v>7</v>
      </c>
    </row>
    <row r="217" spans="1:4" x14ac:dyDescent="0.35">
      <c r="A217" s="58">
        <v>33444</v>
      </c>
      <c r="B217" s="55">
        <f t="shared" si="6"/>
        <v>1991</v>
      </c>
      <c r="C217" s="55"/>
      <c r="D217" s="55">
        <f t="shared" si="7"/>
        <v>7</v>
      </c>
    </row>
    <row r="218" spans="1:4" x14ac:dyDescent="0.35">
      <c r="A218" s="58">
        <v>33451</v>
      </c>
      <c r="B218" s="55">
        <f t="shared" si="6"/>
        <v>1991</v>
      </c>
      <c r="C218" s="55"/>
      <c r="D218" s="55">
        <f t="shared" si="7"/>
        <v>8</v>
      </c>
    </row>
    <row r="219" spans="1:4" x14ac:dyDescent="0.35">
      <c r="A219" s="58">
        <v>33458</v>
      </c>
      <c r="B219" s="55">
        <f t="shared" si="6"/>
        <v>1991</v>
      </c>
      <c r="C219" s="55"/>
      <c r="D219" s="55">
        <f t="shared" si="7"/>
        <v>8</v>
      </c>
    </row>
    <row r="220" spans="1:4" x14ac:dyDescent="0.35">
      <c r="A220" s="58">
        <v>33465</v>
      </c>
      <c r="B220" s="55">
        <f t="shared" si="6"/>
        <v>1991</v>
      </c>
      <c r="C220" s="55"/>
      <c r="D220" s="55">
        <f t="shared" si="7"/>
        <v>8</v>
      </c>
    </row>
    <row r="221" spans="1:4" x14ac:dyDescent="0.35">
      <c r="A221" s="58">
        <v>33472</v>
      </c>
      <c r="B221" s="55">
        <f t="shared" si="6"/>
        <v>1991</v>
      </c>
      <c r="C221" s="55"/>
      <c r="D221" s="55">
        <f t="shared" si="7"/>
        <v>8</v>
      </c>
    </row>
    <row r="222" spans="1:4" x14ac:dyDescent="0.35">
      <c r="A222" s="58">
        <v>33479</v>
      </c>
      <c r="B222" s="55">
        <f t="shared" si="6"/>
        <v>1991</v>
      </c>
      <c r="C222" s="55"/>
      <c r="D222" s="55">
        <f t="shared" si="7"/>
        <v>8</v>
      </c>
    </row>
    <row r="223" spans="1:4" x14ac:dyDescent="0.35">
      <c r="A223" s="58">
        <v>33486</v>
      </c>
      <c r="B223" s="55">
        <f t="shared" si="6"/>
        <v>1991</v>
      </c>
      <c r="C223" s="55"/>
      <c r="D223" s="55">
        <f t="shared" si="7"/>
        <v>9</v>
      </c>
    </row>
    <row r="224" spans="1:4" x14ac:dyDescent="0.35">
      <c r="A224" s="58">
        <v>33493</v>
      </c>
      <c r="B224" s="55">
        <f t="shared" si="6"/>
        <v>1991</v>
      </c>
      <c r="C224" s="55"/>
      <c r="D224" s="55">
        <f t="shared" si="7"/>
        <v>9</v>
      </c>
    </row>
    <row r="225" spans="1:4" x14ac:dyDescent="0.35">
      <c r="A225" s="58">
        <v>33500</v>
      </c>
      <c r="B225" s="55">
        <f t="shared" si="6"/>
        <v>1991</v>
      </c>
      <c r="C225" s="55"/>
      <c r="D225" s="55">
        <f t="shared" si="7"/>
        <v>9</v>
      </c>
    </row>
    <row r="226" spans="1:4" x14ac:dyDescent="0.35">
      <c r="A226" s="58">
        <v>33507</v>
      </c>
      <c r="B226" s="55">
        <f t="shared" si="6"/>
        <v>1991</v>
      </c>
      <c r="C226" s="55"/>
      <c r="D226" s="55">
        <f t="shared" si="7"/>
        <v>9</v>
      </c>
    </row>
    <row r="227" spans="1:4" x14ac:dyDescent="0.35">
      <c r="A227" s="58">
        <v>33514</v>
      </c>
      <c r="B227" s="55">
        <f t="shared" si="6"/>
        <v>1991</v>
      </c>
      <c r="C227" s="55"/>
      <c r="D227" s="55">
        <f t="shared" si="7"/>
        <v>10</v>
      </c>
    </row>
    <row r="228" spans="1:4" x14ac:dyDescent="0.35">
      <c r="A228" s="58">
        <v>33521</v>
      </c>
      <c r="B228" s="55">
        <f t="shared" si="6"/>
        <v>1991</v>
      </c>
      <c r="C228" s="55"/>
      <c r="D228" s="55">
        <f t="shared" si="7"/>
        <v>10</v>
      </c>
    </row>
    <row r="229" spans="1:4" x14ac:dyDescent="0.35">
      <c r="A229" s="58">
        <v>33528</v>
      </c>
      <c r="B229" s="55">
        <f t="shared" si="6"/>
        <v>1991</v>
      </c>
      <c r="C229" s="55"/>
      <c r="D229" s="55">
        <f t="shared" si="7"/>
        <v>10</v>
      </c>
    </row>
    <row r="230" spans="1:4" x14ac:dyDescent="0.35">
      <c r="A230" s="58">
        <v>33535</v>
      </c>
      <c r="B230" s="55">
        <f t="shared" si="6"/>
        <v>1991</v>
      </c>
      <c r="C230" s="55"/>
      <c r="D230" s="55">
        <f t="shared" si="7"/>
        <v>10</v>
      </c>
    </row>
    <row r="231" spans="1:4" x14ac:dyDescent="0.35">
      <c r="A231" s="58">
        <v>33542</v>
      </c>
      <c r="B231" s="55">
        <f t="shared" si="6"/>
        <v>1991</v>
      </c>
      <c r="C231" s="55"/>
      <c r="D231" s="55">
        <f t="shared" si="7"/>
        <v>10</v>
      </c>
    </row>
    <row r="232" spans="1:4" x14ac:dyDescent="0.35">
      <c r="A232" s="58">
        <v>33549</v>
      </c>
      <c r="B232" s="55">
        <f t="shared" si="6"/>
        <v>1991</v>
      </c>
      <c r="C232" s="55"/>
      <c r="D232" s="55">
        <f t="shared" si="7"/>
        <v>11</v>
      </c>
    </row>
    <row r="233" spans="1:4" x14ac:dyDescent="0.35">
      <c r="A233" s="58">
        <v>33556</v>
      </c>
      <c r="B233" s="55">
        <f t="shared" si="6"/>
        <v>1991</v>
      </c>
      <c r="C233" s="55"/>
      <c r="D233" s="55">
        <f t="shared" si="7"/>
        <v>11</v>
      </c>
    </row>
    <row r="234" spans="1:4" x14ac:dyDescent="0.35">
      <c r="A234" s="58">
        <v>33563</v>
      </c>
      <c r="B234" s="55">
        <f t="shared" si="6"/>
        <v>1991</v>
      </c>
      <c r="C234" s="55"/>
      <c r="D234" s="55">
        <f t="shared" si="7"/>
        <v>11</v>
      </c>
    </row>
    <row r="235" spans="1:4" x14ac:dyDescent="0.35">
      <c r="A235" s="58">
        <v>33570</v>
      </c>
      <c r="B235" s="55">
        <f t="shared" si="6"/>
        <v>1991</v>
      </c>
      <c r="C235" s="55"/>
      <c r="D235" s="55">
        <f t="shared" si="7"/>
        <v>11</v>
      </c>
    </row>
    <row r="236" spans="1:4" x14ac:dyDescent="0.35">
      <c r="A236" s="58">
        <v>33577</v>
      </c>
      <c r="B236" s="55">
        <f t="shared" si="6"/>
        <v>1991</v>
      </c>
      <c r="C236" s="55"/>
      <c r="D236" s="55">
        <f t="shared" si="7"/>
        <v>12</v>
      </c>
    </row>
    <row r="237" spans="1:4" x14ac:dyDescent="0.35">
      <c r="A237" s="58">
        <v>33584</v>
      </c>
      <c r="B237" s="55">
        <f t="shared" si="6"/>
        <v>1991</v>
      </c>
      <c r="C237" s="55"/>
      <c r="D237" s="55">
        <f t="shared" si="7"/>
        <v>12</v>
      </c>
    </row>
    <row r="238" spans="1:4" x14ac:dyDescent="0.35">
      <c r="A238" s="58">
        <v>33591</v>
      </c>
      <c r="B238" s="55">
        <f t="shared" si="6"/>
        <v>1991</v>
      </c>
      <c r="C238" s="55"/>
      <c r="D238" s="55">
        <f t="shared" si="7"/>
        <v>12</v>
      </c>
    </row>
    <row r="239" spans="1:4" x14ac:dyDescent="0.35">
      <c r="A239" s="58">
        <v>33605</v>
      </c>
      <c r="B239" s="55">
        <f t="shared" si="6"/>
        <v>1992</v>
      </c>
      <c r="C239" s="55"/>
      <c r="D239" s="55">
        <f t="shared" si="7"/>
        <v>1</v>
      </c>
    </row>
    <row r="240" spans="1:4" x14ac:dyDescent="0.35">
      <c r="A240" s="58">
        <v>33612</v>
      </c>
      <c r="B240" s="55">
        <f t="shared" si="6"/>
        <v>1992</v>
      </c>
      <c r="C240" s="55"/>
      <c r="D240" s="55">
        <f t="shared" si="7"/>
        <v>1</v>
      </c>
    </row>
    <row r="241" spans="1:4" x14ac:dyDescent="0.35">
      <c r="A241" s="58">
        <v>33619</v>
      </c>
      <c r="B241" s="55">
        <f t="shared" si="6"/>
        <v>1992</v>
      </c>
      <c r="C241" s="55"/>
      <c r="D241" s="55">
        <f t="shared" si="7"/>
        <v>1</v>
      </c>
    </row>
    <row r="242" spans="1:4" x14ac:dyDescent="0.35">
      <c r="A242" s="58">
        <v>33626</v>
      </c>
      <c r="B242" s="55">
        <f t="shared" si="6"/>
        <v>1992</v>
      </c>
      <c r="C242" s="55"/>
      <c r="D242" s="55">
        <f t="shared" si="7"/>
        <v>1</v>
      </c>
    </row>
    <row r="243" spans="1:4" x14ac:dyDescent="0.35">
      <c r="A243" s="58">
        <v>33633</v>
      </c>
      <c r="B243" s="55">
        <f t="shared" si="6"/>
        <v>1992</v>
      </c>
      <c r="C243" s="55"/>
      <c r="D243" s="55">
        <f t="shared" si="7"/>
        <v>1</v>
      </c>
    </row>
    <row r="244" spans="1:4" x14ac:dyDescent="0.35">
      <c r="A244" s="58">
        <v>33640</v>
      </c>
      <c r="B244" s="55">
        <f t="shared" si="6"/>
        <v>1992</v>
      </c>
      <c r="C244" s="55"/>
      <c r="D244" s="55">
        <f t="shared" si="7"/>
        <v>2</v>
      </c>
    </row>
    <row r="245" spans="1:4" x14ac:dyDescent="0.35">
      <c r="A245" s="58">
        <v>33647</v>
      </c>
      <c r="B245" s="55">
        <f t="shared" si="6"/>
        <v>1992</v>
      </c>
      <c r="C245" s="55"/>
      <c r="D245" s="55">
        <f t="shared" si="7"/>
        <v>2</v>
      </c>
    </row>
    <row r="246" spans="1:4" x14ac:dyDescent="0.35">
      <c r="A246" s="58">
        <v>33654</v>
      </c>
      <c r="B246" s="55">
        <f t="shared" si="6"/>
        <v>1992</v>
      </c>
      <c r="C246" s="55"/>
      <c r="D246" s="55">
        <f t="shared" si="7"/>
        <v>2</v>
      </c>
    </row>
    <row r="247" spans="1:4" x14ac:dyDescent="0.35">
      <c r="A247" s="58">
        <v>33661</v>
      </c>
      <c r="B247" s="55">
        <f t="shared" si="6"/>
        <v>1992</v>
      </c>
      <c r="C247" s="55"/>
      <c r="D247" s="55">
        <f t="shared" si="7"/>
        <v>2</v>
      </c>
    </row>
    <row r="248" spans="1:4" x14ac:dyDescent="0.35">
      <c r="A248" s="58">
        <v>33668</v>
      </c>
      <c r="B248" s="55">
        <f t="shared" si="6"/>
        <v>1992</v>
      </c>
      <c r="C248" s="55"/>
      <c r="D248" s="55">
        <f t="shared" si="7"/>
        <v>3</v>
      </c>
    </row>
    <row r="249" spans="1:4" x14ac:dyDescent="0.35">
      <c r="A249" s="58">
        <v>33675</v>
      </c>
      <c r="B249" s="55">
        <f t="shared" si="6"/>
        <v>1992</v>
      </c>
      <c r="C249" s="55"/>
      <c r="D249" s="55">
        <f t="shared" si="7"/>
        <v>3</v>
      </c>
    </row>
    <row r="250" spans="1:4" x14ac:dyDescent="0.35">
      <c r="A250" s="58">
        <v>33682</v>
      </c>
      <c r="B250" s="55">
        <f t="shared" si="6"/>
        <v>1992</v>
      </c>
      <c r="C250" s="55"/>
      <c r="D250" s="55">
        <f t="shared" si="7"/>
        <v>3</v>
      </c>
    </row>
    <row r="251" spans="1:4" x14ac:dyDescent="0.35">
      <c r="A251" s="58">
        <v>33689</v>
      </c>
      <c r="B251" s="55">
        <f t="shared" si="6"/>
        <v>1992</v>
      </c>
      <c r="C251" s="55"/>
      <c r="D251" s="55">
        <f t="shared" si="7"/>
        <v>3</v>
      </c>
    </row>
    <row r="252" spans="1:4" x14ac:dyDescent="0.35">
      <c r="A252" s="58">
        <v>33696</v>
      </c>
      <c r="B252" s="55">
        <f t="shared" si="6"/>
        <v>1992</v>
      </c>
      <c r="C252" s="55"/>
      <c r="D252" s="55">
        <f t="shared" si="7"/>
        <v>4</v>
      </c>
    </row>
    <row r="253" spans="1:4" x14ac:dyDescent="0.35">
      <c r="A253" s="58">
        <v>33703</v>
      </c>
      <c r="B253" s="55">
        <f t="shared" si="6"/>
        <v>1992</v>
      </c>
      <c r="C253" s="55"/>
      <c r="D253" s="55">
        <f t="shared" si="7"/>
        <v>4</v>
      </c>
    </row>
    <row r="254" spans="1:4" x14ac:dyDescent="0.35">
      <c r="A254" s="58">
        <v>33710</v>
      </c>
      <c r="B254" s="55">
        <f t="shared" si="6"/>
        <v>1992</v>
      </c>
      <c r="C254" s="55"/>
      <c r="D254" s="55">
        <f t="shared" si="7"/>
        <v>4</v>
      </c>
    </row>
    <row r="255" spans="1:4" x14ac:dyDescent="0.35">
      <c r="A255" s="58">
        <v>33717</v>
      </c>
      <c r="B255" s="55">
        <f t="shared" si="6"/>
        <v>1992</v>
      </c>
      <c r="C255" s="55"/>
      <c r="D255" s="55">
        <f t="shared" si="7"/>
        <v>4</v>
      </c>
    </row>
    <row r="256" spans="1:4" x14ac:dyDescent="0.35">
      <c r="A256" s="58">
        <v>33724</v>
      </c>
      <c r="B256" s="55">
        <f t="shared" si="6"/>
        <v>1992</v>
      </c>
      <c r="C256" s="55"/>
      <c r="D256" s="55">
        <f t="shared" si="7"/>
        <v>4</v>
      </c>
    </row>
    <row r="257" spans="1:4" x14ac:dyDescent="0.35">
      <c r="A257" s="58">
        <v>33731</v>
      </c>
      <c r="B257" s="55">
        <f t="shared" si="6"/>
        <v>1992</v>
      </c>
      <c r="C257" s="55"/>
      <c r="D257" s="55">
        <f t="shared" si="7"/>
        <v>5</v>
      </c>
    </row>
    <row r="258" spans="1:4" x14ac:dyDescent="0.35">
      <c r="A258" s="58">
        <v>33738</v>
      </c>
      <c r="B258" s="55">
        <f t="shared" si="6"/>
        <v>1992</v>
      </c>
      <c r="C258" s="55"/>
      <c r="D258" s="55">
        <f t="shared" si="7"/>
        <v>5</v>
      </c>
    </row>
    <row r="259" spans="1:4" x14ac:dyDescent="0.35">
      <c r="A259" s="58">
        <v>33745</v>
      </c>
      <c r="B259" s="55">
        <f t="shared" si="6"/>
        <v>1992</v>
      </c>
      <c r="C259" s="55"/>
      <c r="D259" s="55">
        <f t="shared" si="7"/>
        <v>5</v>
      </c>
    </row>
    <row r="260" spans="1:4" x14ac:dyDescent="0.35">
      <c r="A260" s="58">
        <v>33759</v>
      </c>
      <c r="B260" s="55">
        <f t="shared" ref="B260:B323" si="8">YEAR(A260)</f>
        <v>1992</v>
      </c>
      <c r="C260" s="55"/>
      <c r="D260" s="55">
        <f t="shared" ref="D260:D323" si="9">MONTH(A260)</f>
        <v>6</v>
      </c>
    </row>
    <row r="261" spans="1:4" x14ac:dyDescent="0.35">
      <c r="A261" s="58">
        <v>33766</v>
      </c>
      <c r="B261" s="55">
        <f t="shared" si="8"/>
        <v>1992</v>
      </c>
      <c r="C261" s="55"/>
      <c r="D261" s="55">
        <f t="shared" si="9"/>
        <v>6</v>
      </c>
    </row>
    <row r="262" spans="1:4" x14ac:dyDescent="0.35">
      <c r="A262" s="58">
        <v>33773</v>
      </c>
      <c r="B262" s="55">
        <f t="shared" si="8"/>
        <v>1992</v>
      </c>
      <c r="C262" s="55"/>
      <c r="D262" s="55">
        <f t="shared" si="9"/>
        <v>6</v>
      </c>
    </row>
    <row r="263" spans="1:4" x14ac:dyDescent="0.35">
      <c r="A263" s="58">
        <v>33780</v>
      </c>
      <c r="B263" s="55">
        <f t="shared" si="8"/>
        <v>1992</v>
      </c>
      <c r="C263" s="55"/>
      <c r="D263" s="55">
        <f t="shared" si="9"/>
        <v>6</v>
      </c>
    </row>
    <row r="264" spans="1:4" x14ac:dyDescent="0.35">
      <c r="A264" s="58">
        <v>33787</v>
      </c>
      <c r="B264" s="55">
        <f t="shared" si="8"/>
        <v>1992</v>
      </c>
      <c r="C264" s="55"/>
      <c r="D264" s="55">
        <f t="shared" si="9"/>
        <v>7</v>
      </c>
    </row>
    <row r="265" spans="1:4" x14ac:dyDescent="0.35">
      <c r="A265" s="58">
        <v>33794</v>
      </c>
      <c r="B265" s="55">
        <f t="shared" si="8"/>
        <v>1992</v>
      </c>
      <c r="C265" s="55"/>
      <c r="D265" s="55">
        <f t="shared" si="9"/>
        <v>7</v>
      </c>
    </row>
    <row r="266" spans="1:4" x14ac:dyDescent="0.35">
      <c r="A266" s="58">
        <v>33801</v>
      </c>
      <c r="B266" s="55">
        <f t="shared" si="8"/>
        <v>1992</v>
      </c>
      <c r="C266" s="55"/>
      <c r="D266" s="55">
        <f t="shared" si="9"/>
        <v>7</v>
      </c>
    </row>
    <row r="267" spans="1:4" x14ac:dyDescent="0.35">
      <c r="A267" s="58">
        <v>33808</v>
      </c>
      <c r="B267" s="55">
        <f t="shared" si="8"/>
        <v>1992</v>
      </c>
      <c r="C267" s="55"/>
      <c r="D267" s="55">
        <f t="shared" si="9"/>
        <v>7</v>
      </c>
    </row>
    <row r="268" spans="1:4" x14ac:dyDescent="0.35">
      <c r="A268" s="58">
        <v>33815</v>
      </c>
      <c r="B268" s="55">
        <f t="shared" si="8"/>
        <v>1992</v>
      </c>
      <c r="C268" s="55"/>
      <c r="D268" s="55">
        <f t="shared" si="9"/>
        <v>7</v>
      </c>
    </row>
    <row r="269" spans="1:4" x14ac:dyDescent="0.35">
      <c r="A269" s="58">
        <v>33822</v>
      </c>
      <c r="B269" s="55">
        <f t="shared" si="8"/>
        <v>1992</v>
      </c>
      <c r="C269" s="55"/>
      <c r="D269" s="55">
        <f t="shared" si="9"/>
        <v>8</v>
      </c>
    </row>
    <row r="270" spans="1:4" x14ac:dyDescent="0.35">
      <c r="A270" s="58">
        <v>33829</v>
      </c>
      <c r="B270" s="55">
        <f t="shared" si="8"/>
        <v>1992</v>
      </c>
      <c r="C270" s="55"/>
      <c r="D270" s="55">
        <f t="shared" si="9"/>
        <v>8</v>
      </c>
    </row>
    <row r="271" spans="1:4" x14ac:dyDescent="0.35">
      <c r="A271" s="58">
        <v>33836</v>
      </c>
      <c r="B271" s="55">
        <f t="shared" si="8"/>
        <v>1992</v>
      </c>
      <c r="C271" s="55"/>
      <c r="D271" s="55">
        <f t="shared" si="9"/>
        <v>8</v>
      </c>
    </row>
    <row r="272" spans="1:4" x14ac:dyDescent="0.35">
      <c r="A272" s="58">
        <v>33843</v>
      </c>
      <c r="B272" s="55">
        <f t="shared" si="8"/>
        <v>1992</v>
      </c>
      <c r="C272" s="55"/>
      <c r="D272" s="55">
        <f t="shared" si="9"/>
        <v>8</v>
      </c>
    </row>
    <row r="273" spans="1:4" x14ac:dyDescent="0.35">
      <c r="A273" s="58">
        <v>33850</v>
      </c>
      <c r="B273" s="55">
        <f t="shared" si="8"/>
        <v>1992</v>
      </c>
      <c r="C273" s="55"/>
      <c r="D273" s="55">
        <f t="shared" si="9"/>
        <v>9</v>
      </c>
    </row>
    <row r="274" spans="1:4" x14ac:dyDescent="0.35">
      <c r="A274" s="58">
        <v>33857</v>
      </c>
      <c r="B274" s="55">
        <f t="shared" si="8"/>
        <v>1992</v>
      </c>
      <c r="C274" s="55"/>
      <c r="D274" s="55">
        <f t="shared" si="9"/>
        <v>9</v>
      </c>
    </row>
    <row r="275" spans="1:4" x14ac:dyDescent="0.35">
      <c r="A275" s="58">
        <v>33864</v>
      </c>
      <c r="B275" s="55">
        <f t="shared" si="8"/>
        <v>1992</v>
      </c>
      <c r="C275" s="55"/>
      <c r="D275" s="55">
        <f t="shared" si="9"/>
        <v>9</v>
      </c>
    </row>
    <row r="276" spans="1:4" x14ac:dyDescent="0.35">
      <c r="A276" s="58">
        <v>33871</v>
      </c>
      <c r="B276" s="55">
        <f t="shared" si="8"/>
        <v>1992</v>
      </c>
      <c r="C276" s="55"/>
      <c r="D276" s="55">
        <f t="shared" si="9"/>
        <v>9</v>
      </c>
    </row>
    <row r="277" spans="1:4" x14ac:dyDescent="0.35">
      <c r="A277" s="58">
        <v>33878</v>
      </c>
      <c r="B277" s="55">
        <f t="shared" si="8"/>
        <v>1992</v>
      </c>
      <c r="C277" s="55"/>
      <c r="D277" s="55">
        <f t="shared" si="9"/>
        <v>10</v>
      </c>
    </row>
    <row r="278" spans="1:4" x14ac:dyDescent="0.35">
      <c r="A278" s="58">
        <v>33885</v>
      </c>
      <c r="B278" s="55">
        <f t="shared" si="8"/>
        <v>1992</v>
      </c>
      <c r="C278" s="55"/>
      <c r="D278" s="55">
        <f t="shared" si="9"/>
        <v>10</v>
      </c>
    </row>
    <row r="279" spans="1:4" x14ac:dyDescent="0.35">
      <c r="A279" s="58">
        <v>33892</v>
      </c>
      <c r="B279" s="55">
        <f t="shared" si="8"/>
        <v>1992</v>
      </c>
      <c r="C279" s="55"/>
      <c r="D279" s="55">
        <f t="shared" si="9"/>
        <v>10</v>
      </c>
    </row>
    <row r="280" spans="1:4" x14ac:dyDescent="0.35">
      <c r="A280" s="58">
        <v>33899</v>
      </c>
      <c r="B280" s="55">
        <f t="shared" si="8"/>
        <v>1992</v>
      </c>
      <c r="C280" s="55"/>
      <c r="D280" s="55">
        <f t="shared" si="9"/>
        <v>10</v>
      </c>
    </row>
    <row r="281" spans="1:4" x14ac:dyDescent="0.35">
      <c r="A281" s="58">
        <v>33906</v>
      </c>
      <c r="B281" s="55">
        <f t="shared" si="8"/>
        <v>1992</v>
      </c>
      <c r="C281" s="55"/>
      <c r="D281" s="55">
        <f t="shared" si="9"/>
        <v>10</v>
      </c>
    </row>
    <row r="282" spans="1:4" x14ac:dyDescent="0.35">
      <c r="A282" s="58">
        <v>33913</v>
      </c>
      <c r="B282" s="55">
        <f t="shared" si="8"/>
        <v>1992</v>
      </c>
      <c r="C282" s="55"/>
      <c r="D282" s="55">
        <f t="shared" si="9"/>
        <v>11</v>
      </c>
    </row>
    <row r="283" spans="1:4" x14ac:dyDescent="0.35">
      <c r="A283" s="58">
        <v>33920</v>
      </c>
      <c r="B283" s="55">
        <f t="shared" si="8"/>
        <v>1992</v>
      </c>
      <c r="C283" s="55"/>
      <c r="D283" s="55">
        <f t="shared" si="9"/>
        <v>11</v>
      </c>
    </row>
    <row r="284" spans="1:4" x14ac:dyDescent="0.35">
      <c r="A284" s="58">
        <v>33927</v>
      </c>
      <c r="B284" s="55">
        <f t="shared" si="8"/>
        <v>1992</v>
      </c>
      <c r="C284" s="55"/>
      <c r="D284" s="55">
        <f t="shared" si="9"/>
        <v>11</v>
      </c>
    </row>
    <row r="285" spans="1:4" x14ac:dyDescent="0.35">
      <c r="A285" s="58">
        <v>33934</v>
      </c>
      <c r="B285" s="55">
        <f t="shared" si="8"/>
        <v>1992</v>
      </c>
      <c r="C285" s="55"/>
      <c r="D285" s="55">
        <f t="shared" si="9"/>
        <v>11</v>
      </c>
    </row>
    <row r="286" spans="1:4" x14ac:dyDescent="0.35">
      <c r="A286" s="58">
        <v>33941</v>
      </c>
      <c r="B286" s="55">
        <f t="shared" si="8"/>
        <v>1992</v>
      </c>
      <c r="C286" s="55"/>
      <c r="D286" s="55">
        <f t="shared" si="9"/>
        <v>12</v>
      </c>
    </row>
    <row r="287" spans="1:4" x14ac:dyDescent="0.35">
      <c r="A287" s="58">
        <v>33948</v>
      </c>
      <c r="B287" s="55">
        <f t="shared" si="8"/>
        <v>1992</v>
      </c>
      <c r="C287" s="55"/>
      <c r="D287" s="55">
        <f t="shared" si="9"/>
        <v>12</v>
      </c>
    </row>
    <row r="288" spans="1:4" x14ac:dyDescent="0.35">
      <c r="A288" s="58">
        <v>33955</v>
      </c>
      <c r="B288" s="55">
        <f t="shared" si="8"/>
        <v>1992</v>
      </c>
      <c r="C288" s="55"/>
      <c r="D288" s="55">
        <f t="shared" si="9"/>
        <v>12</v>
      </c>
    </row>
    <row r="289" spans="1:4" x14ac:dyDescent="0.35">
      <c r="A289" s="58">
        <v>33962</v>
      </c>
      <c r="B289" s="55">
        <f t="shared" si="8"/>
        <v>1992</v>
      </c>
      <c r="C289" s="55"/>
      <c r="D289" s="55">
        <f t="shared" si="9"/>
        <v>12</v>
      </c>
    </row>
    <row r="290" spans="1:4" x14ac:dyDescent="0.35">
      <c r="A290" s="58">
        <v>33976</v>
      </c>
      <c r="B290" s="55">
        <f t="shared" si="8"/>
        <v>1993</v>
      </c>
      <c r="C290" s="55"/>
      <c r="D290" s="55">
        <f t="shared" si="9"/>
        <v>1</v>
      </c>
    </row>
    <row r="291" spans="1:4" x14ac:dyDescent="0.35">
      <c r="A291" s="58">
        <v>33983</v>
      </c>
      <c r="B291" s="55">
        <f t="shared" si="8"/>
        <v>1993</v>
      </c>
      <c r="C291" s="55"/>
      <c r="D291" s="55">
        <f t="shared" si="9"/>
        <v>1</v>
      </c>
    </row>
    <row r="292" spans="1:4" x14ac:dyDescent="0.35">
      <c r="A292" s="58">
        <v>33990</v>
      </c>
      <c r="B292" s="55">
        <f t="shared" si="8"/>
        <v>1993</v>
      </c>
      <c r="C292" s="55"/>
      <c r="D292" s="55">
        <f t="shared" si="9"/>
        <v>1</v>
      </c>
    </row>
    <row r="293" spans="1:4" x14ac:dyDescent="0.35">
      <c r="A293" s="58">
        <v>33997</v>
      </c>
      <c r="B293" s="55">
        <f t="shared" si="8"/>
        <v>1993</v>
      </c>
      <c r="C293" s="55"/>
      <c r="D293" s="55">
        <f t="shared" si="9"/>
        <v>1</v>
      </c>
    </row>
    <row r="294" spans="1:4" x14ac:dyDescent="0.35">
      <c r="A294" s="58">
        <v>34004</v>
      </c>
      <c r="B294" s="55">
        <f t="shared" si="8"/>
        <v>1993</v>
      </c>
      <c r="C294" s="55"/>
      <c r="D294" s="55">
        <f t="shared" si="9"/>
        <v>2</v>
      </c>
    </row>
    <row r="295" spans="1:4" x14ac:dyDescent="0.35">
      <c r="A295" s="58">
        <v>34011</v>
      </c>
      <c r="B295" s="55">
        <f t="shared" si="8"/>
        <v>1993</v>
      </c>
      <c r="C295" s="55"/>
      <c r="D295" s="55">
        <f t="shared" si="9"/>
        <v>2</v>
      </c>
    </row>
    <row r="296" spans="1:4" x14ac:dyDescent="0.35">
      <c r="A296" s="58">
        <v>34018</v>
      </c>
      <c r="B296" s="55">
        <f t="shared" si="8"/>
        <v>1993</v>
      </c>
      <c r="C296" s="55"/>
      <c r="D296" s="55">
        <f t="shared" si="9"/>
        <v>2</v>
      </c>
    </row>
    <row r="297" spans="1:4" x14ac:dyDescent="0.35">
      <c r="A297" s="58">
        <v>34025</v>
      </c>
      <c r="B297" s="55">
        <f t="shared" si="8"/>
        <v>1993</v>
      </c>
      <c r="C297" s="55"/>
      <c r="D297" s="55">
        <f t="shared" si="9"/>
        <v>2</v>
      </c>
    </row>
    <row r="298" spans="1:4" x14ac:dyDescent="0.35">
      <c r="A298" s="58">
        <v>34032</v>
      </c>
      <c r="B298" s="55">
        <f t="shared" si="8"/>
        <v>1993</v>
      </c>
      <c r="C298" s="55"/>
      <c r="D298" s="55">
        <f t="shared" si="9"/>
        <v>3</v>
      </c>
    </row>
    <row r="299" spans="1:4" x14ac:dyDescent="0.35">
      <c r="A299" s="58">
        <v>34039</v>
      </c>
      <c r="B299" s="55">
        <f t="shared" si="8"/>
        <v>1993</v>
      </c>
      <c r="C299" s="55"/>
      <c r="D299" s="55">
        <f t="shared" si="9"/>
        <v>3</v>
      </c>
    </row>
    <row r="300" spans="1:4" x14ac:dyDescent="0.35">
      <c r="A300" s="58">
        <v>34046</v>
      </c>
      <c r="B300" s="55">
        <f t="shared" si="8"/>
        <v>1993</v>
      </c>
      <c r="C300" s="55"/>
      <c r="D300" s="55">
        <f t="shared" si="9"/>
        <v>3</v>
      </c>
    </row>
    <row r="301" spans="1:4" x14ac:dyDescent="0.35">
      <c r="A301" s="58">
        <v>34053</v>
      </c>
      <c r="B301" s="55">
        <f t="shared" si="8"/>
        <v>1993</v>
      </c>
      <c r="C301" s="55"/>
      <c r="D301" s="55">
        <f t="shared" si="9"/>
        <v>3</v>
      </c>
    </row>
    <row r="302" spans="1:4" x14ac:dyDescent="0.35">
      <c r="A302" s="58">
        <v>34060</v>
      </c>
      <c r="B302" s="55">
        <f t="shared" si="8"/>
        <v>1993</v>
      </c>
      <c r="C302" s="55"/>
      <c r="D302" s="55">
        <f t="shared" si="9"/>
        <v>4</v>
      </c>
    </row>
    <row r="303" spans="1:4" x14ac:dyDescent="0.35">
      <c r="A303" s="58">
        <v>34067</v>
      </c>
      <c r="B303" s="55">
        <f t="shared" si="8"/>
        <v>1993</v>
      </c>
      <c r="C303" s="55"/>
      <c r="D303" s="55">
        <f t="shared" si="9"/>
        <v>4</v>
      </c>
    </row>
    <row r="304" spans="1:4" x14ac:dyDescent="0.35">
      <c r="A304" s="58">
        <v>34074</v>
      </c>
      <c r="B304" s="55">
        <f t="shared" si="8"/>
        <v>1993</v>
      </c>
      <c r="C304" s="55"/>
      <c r="D304" s="55">
        <f t="shared" si="9"/>
        <v>4</v>
      </c>
    </row>
    <row r="305" spans="1:4" x14ac:dyDescent="0.35">
      <c r="A305" s="58">
        <v>34081</v>
      </c>
      <c r="B305" s="55">
        <f t="shared" si="8"/>
        <v>1993</v>
      </c>
      <c r="C305" s="55"/>
      <c r="D305" s="55">
        <f t="shared" si="9"/>
        <v>4</v>
      </c>
    </row>
    <row r="306" spans="1:4" x14ac:dyDescent="0.35">
      <c r="A306" s="58">
        <v>34088</v>
      </c>
      <c r="B306" s="55">
        <f t="shared" si="8"/>
        <v>1993</v>
      </c>
      <c r="C306" s="55"/>
      <c r="D306" s="55">
        <f t="shared" si="9"/>
        <v>4</v>
      </c>
    </row>
    <row r="307" spans="1:4" x14ac:dyDescent="0.35">
      <c r="A307" s="58">
        <v>34095</v>
      </c>
      <c r="B307" s="55">
        <f t="shared" si="8"/>
        <v>1993</v>
      </c>
      <c r="C307" s="55"/>
      <c r="D307" s="55">
        <f t="shared" si="9"/>
        <v>5</v>
      </c>
    </row>
    <row r="308" spans="1:4" x14ac:dyDescent="0.35">
      <c r="A308" s="58">
        <v>34102</v>
      </c>
      <c r="B308" s="55">
        <f t="shared" si="8"/>
        <v>1993</v>
      </c>
      <c r="C308" s="55"/>
      <c r="D308" s="55">
        <f t="shared" si="9"/>
        <v>5</v>
      </c>
    </row>
    <row r="309" spans="1:4" x14ac:dyDescent="0.35">
      <c r="A309" s="58">
        <v>34109</v>
      </c>
      <c r="B309" s="55">
        <f t="shared" si="8"/>
        <v>1993</v>
      </c>
      <c r="C309" s="55"/>
      <c r="D309" s="55">
        <f t="shared" si="9"/>
        <v>5</v>
      </c>
    </row>
    <row r="310" spans="1:4" x14ac:dyDescent="0.35">
      <c r="A310" s="58">
        <v>34123</v>
      </c>
      <c r="B310" s="55">
        <f t="shared" si="8"/>
        <v>1993</v>
      </c>
      <c r="C310" s="55"/>
      <c r="D310" s="55">
        <f t="shared" si="9"/>
        <v>6</v>
      </c>
    </row>
    <row r="311" spans="1:4" x14ac:dyDescent="0.35">
      <c r="A311" s="58">
        <v>34130</v>
      </c>
      <c r="B311" s="55">
        <f t="shared" si="8"/>
        <v>1993</v>
      </c>
      <c r="C311" s="55"/>
      <c r="D311" s="55">
        <f t="shared" si="9"/>
        <v>6</v>
      </c>
    </row>
    <row r="312" spans="1:4" x14ac:dyDescent="0.35">
      <c r="A312" s="58">
        <v>34137</v>
      </c>
      <c r="B312" s="55">
        <f t="shared" si="8"/>
        <v>1993</v>
      </c>
      <c r="C312" s="55"/>
      <c r="D312" s="55">
        <f t="shared" si="9"/>
        <v>6</v>
      </c>
    </row>
    <row r="313" spans="1:4" x14ac:dyDescent="0.35">
      <c r="A313" s="58">
        <v>34144</v>
      </c>
      <c r="B313" s="55">
        <f t="shared" si="8"/>
        <v>1993</v>
      </c>
      <c r="C313" s="55"/>
      <c r="D313" s="55">
        <f t="shared" si="9"/>
        <v>6</v>
      </c>
    </row>
    <row r="314" spans="1:4" x14ac:dyDescent="0.35">
      <c r="A314" s="58">
        <v>34151</v>
      </c>
      <c r="B314" s="55">
        <f t="shared" si="8"/>
        <v>1993</v>
      </c>
      <c r="C314" s="55"/>
      <c r="D314" s="55">
        <f t="shared" si="9"/>
        <v>7</v>
      </c>
    </row>
    <row r="315" spans="1:4" x14ac:dyDescent="0.35">
      <c r="A315" s="58">
        <v>34158</v>
      </c>
      <c r="B315" s="55">
        <f t="shared" si="8"/>
        <v>1993</v>
      </c>
      <c r="C315" s="55"/>
      <c r="D315" s="55">
        <f t="shared" si="9"/>
        <v>7</v>
      </c>
    </row>
    <row r="316" spans="1:4" x14ac:dyDescent="0.35">
      <c r="A316" s="58">
        <v>34165</v>
      </c>
      <c r="B316" s="55">
        <f t="shared" si="8"/>
        <v>1993</v>
      </c>
      <c r="C316" s="55"/>
      <c r="D316" s="55">
        <f t="shared" si="9"/>
        <v>7</v>
      </c>
    </row>
    <row r="317" spans="1:4" x14ac:dyDescent="0.35">
      <c r="A317" s="58">
        <v>34172</v>
      </c>
      <c r="B317" s="55">
        <f t="shared" si="8"/>
        <v>1993</v>
      </c>
      <c r="C317" s="55"/>
      <c r="D317" s="55">
        <f t="shared" si="9"/>
        <v>7</v>
      </c>
    </row>
    <row r="318" spans="1:4" x14ac:dyDescent="0.35">
      <c r="A318" s="58">
        <v>34179</v>
      </c>
      <c r="B318" s="55">
        <f t="shared" si="8"/>
        <v>1993</v>
      </c>
      <c r="C318" s="55"/>
      <c r="D318" s="55">
        <f t="shared" si="9"/>
        <v>7</v>
      </c>
    </row>
    <row r="319" spans="1:4" x14ac:dyDescent="0.35">
      <c r="A319" s="58">
        <v>34186</v>
      </c>
      <c r="B319" s="55">
        <f t="shared" si="8"/>
        <v>1993</v>
      </c>
      <c r="C319" s="55"/>
      <c r="D319" s="55">
        <f t="shared" si="9"/>
        <v>8</v>
      </c>
    </row>
    <row r="320" spans="1:4" x14ac:dyDescent="0.35">
      <c r="A320" s="58">
        <v>34193</v>
      </c>
      <c r="B320" s="55">
        <f t="shared" si="8"/>
        <v>1993</v>
      </c>
      <c r="C320" s="55"/>
      <c r="D320" s="55">
        <f t="shared" si="9"/>
        <v>8</v>
      </c>
    </row>
    <row r="321" spans="1:4" x14ac:dyDescent="0.35">
      <c r="A321" s="58">
        <v>34200</v>
      </c>
      <c r="B321" s="55">
        <f t="shared" si="8"/>
        <v>1993</v>
      </c>
      <c r="C321" s="55"/>
      <c r="D321" s="55">
        <f t="shared" si="9"/>
        <v>8</v>
      </c>
    </row>
    <row r="322" spans="1:4" x14ac:dyDescent="0.35">
      <c r="A322" s="58">
        <v>34207</v>
      </c>
      <c r="B322" s="55">
        <f t="shared" si="8"/>
        <v>1993</v>
      </c>
      <c r="C322" s="55"/>
      <c r="D322" s="55">
        <f t="shared" si="9"/>
        <v>8</v>
      </c>
    </row>
    <row r="323" spans="1:4" x14ac:dyDescent="0.35">
      <c r="A323" s="58">
        <v>34214</v>
      </c>
      <c r="B323" s="55">
        <f t="shared" si="8"/>
        <v>1993</v>
      </c>
      <c r="C323" s="55"/>
      <c r="D323" s="55">
        <f t="shared" si="9"/>
        <v>9</v>
      </c>
    </row>
    <row r="324" spans="1:4" x14ac:dyDescent="0.35">
      <c r="A324" s="58">
        <v>34221</v>
      </c>
      <c r="B324" s="55">
        <f t="shared" ref="B324:B387" si="10">YEAR(A324)</f>
        <v>1993</v>
      </c>
      <c r="C324" s="55"/>
      <c r="D324" s="55">
        <f t="shared" ref="D324:D387" si="11">MONTH(A324)</f>
        <v>9</v>
      </c>
    </row>
    <row r="325" spans="1:4" x14ac:dyDescent="0.35">
      <c r="A325" s="58">
        <v>34228</v>
      </c>
      <c r="B325" s="55">
        <f t="shared" si="10"/>
        <v>1993</v>
      </c>
      <c r="C325" s="55"/>
      <c r="D325" s="55">
        <f t="shared" si="11"/>
        <v>9</v>
      </c>
    </row>
    <row r="326" spans="1:4" x14ac:dyDescent="0.35">
      <c r="A326" s="58">
        <v>34235</v>
      </c>
      <c r="B326" s="55">
        <f t="shared" si="10"/>
        <v>1993</v>
      </c>
      <c r="C326" s="55"/>
      <c r="D326" s="55">
        <f t="shared" si="11"/>
        <v>9</v>
      </c>
    </row>
    <row r="327" spans="1:4" x14ac:dyDescent="0.35">
      <c r="A327" s="58">
        <v>34242</v>
      </c>
      <c r="B327" s="55">
        <f t="shared" si="10"/>
        <v>1993</v>
      </c>
      <c r="C327" s="55"/>
      <c r="D327" s="55">
        <f t="shared" si="11"/>
        <v>9</v>
      </c>
    </row>
    <row r="328" spans="1:4" x14ac:dyDescent="0.35">
      <c r="A328" s="58">
        <v>34249</v>
      </c>
      <c r="B328" s="55">
        <f t="shared" si="10"/>
        <v>1993</v>
      </c>
      <c r="C328" s="55"/>
      <c r="D328" s="55">
        <f t="shared" si="11"/>
        <v>10</v>
      </c>
    </row>
    <row r="329" spans="1:4" x14ac:dyDescent="0.35">
      <c r="A329" s="58">
        <v>34256</v>
      </c>
      <c r="B329" s="55">
        <f t="shared" si="10"/>
        <v>1993</v>
      </c>
      <c r="C329" s="55"/>
      <c r="D329" s="55">
        <f t="shared" si="11"/>
        <v>10</v>
      </c>
    </row>
    <row r="330" spans="1:4" x14ac:dyDescent="0.35">
      <c r="A330" s="58">
        <v>34263</v>
      </c>
      <c r="B330" s="55">
        <f t="shared" si="10"/>
        <v>1993</v>
      </c>
      <c r="C330" s="55"/>
      <c r="D330" s="55">
        <f t="shared" si="11"/>
        <v>10</v>
      </c>
    </row>
    <row r="331" spans="1:4" x14ac:dyDescent="0.35">
      <c r="A331" s="58">
        <v>34270</v>
      </c>
      <c r="B331" s="55">
        <f t="shared" si="10"/>
        <v>1993</v>
      </c>
      <c r="C331" s="55"/>
      <c r="D331" s="55">
        <f t="shared" si="11"/>
        <v>10</v>
      </c>
    </row>
    <row r="332" spans="1:4" x14ac:dyDescent="0.35">
      <c r="A332" s="58">
        <v>34277</v>
      </c>
      <c r="B332" s="55">
        <f t="shared" si="10"/>
        <v>1993</v>
      </c>
      <c r="C332" s="55"/>
      <c r="D332" s="55">
        <f t="shared" si="11"/>
        <v>11</v>
      </c>
    </row>
    <row r="333" spans="1:4" x14ac:dyDescent="0.35">
      <c r="A333" s="58">
        <v>34284</v>
      </c>
      <c r="B333" s="55">
        <f t="shared" si="10"/>
        <v>1993</v>
      </c>
      <c r="C333" s="55"/>
      <c r="D333" s="55">
        <f t="shared" si="11"/>
        <v>11</v>
      </c>
    </row>
    <row r="334" spans="1:4" x14ac:dyDescent="0.35">
      <c r="A334" s="58">
        <v>34291</v>
      </c>
      <c r="B334" s="55">
        <f t="shared" si="10"/>
        <v>1993</v>
      </c>
      <c r="C334" s="55"/>
      <c r="D334" s="55">
        <f t="shared" si="11"/>
        <v>11</v>
      </c>
    </row>
    <row r="335" spans="1:4" x14ac:dyDescent="0.35">
      <c r="A335" s="58">
        <v>34298</v>
      </c>
      <c r="B335" s="55">
        <f t="shared" si="10"/>
        <v>1993</v>
      </c>
      <c r="C335" s="55"/>
      <c r="D335" s="55">
        <f t="shared" si="11"/>
        <v>11</v>
      </c>
    </row>
    <row r="336" spans="1:4" x14ac:dyDescent="0.35">
      <c r="A336" s="58">
        <v>34305</v>
      </c>
      <c r="B336" s="55">
        <f t="shared" si="10"/>
        <v>1993</v>
      </c>
      <c r="C336" s="55"/>
      <c r="D336" s="55">
        <f t="shared" si="11"/>
        <v>12</v>
      </c>
    </row>
    <row r="337" spans="1:4" x14ac:dyDescent="0.35">
      <c r="A337" s="58">
        <v>34312</v>
      </c>
      <c r="B337" s="55">
        <f t="shared" si="10"/>
        <v>1993</v>
      </c>
      <c r="C337" s="55"/>
      <c r="D337" s="55">
        <f t="shared" si="11"/>
        <v>12</v>
      </c>
    </row>
    <row r="338" spans="1:4" x14ac:dyDescent="0.35">
      <c r="A338" s="58">
        <v>34319</v>
      </c>
      <c r="B338" s="55">
        <f t="shared" si="10"/>
        <v>1993</v>
      </c>
      <c r="C338" s="55"/>
      <c r="D338" s="55">
        <f t="shared" si="11"/>
        <v>12</v>
      </c>
    </row>
    <row r="339" spans="1:4" x14ac:dyDescent="0.35">
      <c r="A339" s="58">
        <v>34326</v>
      </c>
      <c r="B339" s="55">
        <f t="shared" si="10"/>
        <v>1993</v>
      </c>
      <c r="C339" s="55"/>
      <c r="D339" s="55">
        <f t="shared" si="11"/>
        <v>12</v>
      </c>
    </row>
    <row r="340" spans="1:4" x14ac:dyDescent="0.35">
      <c r="A340" s="58">
        <v>34340</v>
      </c>
      <c r="B340" s="55">
        <f t="shared" si="10"/>
        <v>1994</v>
      </c>
      <c r="C340" s="55"/>
      <c r="D340" s="55">
        <f t="shared" si="11"/>
        <v>1</v>
      </c>
    </row>
    <row r="341" spans="1:4" x14ac:dyDescent="0.35">
      <c r="A341" s="58">
        <v>34347</v>
      </c>
      <c r="B341" s="55">
        <f t="shared" si="10"/>
        <v>1994</v>
      </c>
      <c r="C341" s="55"/>
      <c r="D341" s="55">
        <f t="shared" si="11"/>
        <v>1</v>
      </c>
    </row>
    <row r="342" spans="1:4" x14ac:dyDescent="0.35">
      <c r="A342" s="58">
        <v>34354</v>
      </c>
      <c r="B342" s="55">
        <f t="shared" si="10"/>
        <v>1994</v>
      </c>
      <c r="C342" s="55"/>
      <c r="D342" s="55">
        <f t="shared" si="11"/>
        <v>1</v>
      </c>
    </row>
    <row r="343" spans="1:4" x14ac:dyDescent="0.35">
      <c r="A343" s="58">
        <v>34361</v>
      </c>
      <c r="B343" s="55">
        <f t="shared" si="10"/>
        <v>1994</v>
      </c>
      <c r="C343" s="55"/>
      <c r="D343" s="55">
        <f t="shared" si="11"/>
        <v>1</v>
      </c>
    </row>
    <row r="344" spans="1:4" x14ac:dyDescent="0.35">
      <c r="A344" s="58">
        <v>34368</v>
      </c>
      <c r="B344" s="55">
        <f t="shared" si="10"/>
        <v>1994</v>
      </c>
      <c r="C344" s="55"/>
      <c r="D344" s="55">
        <f t="shared" si="11"/>
        <v>2</v>
      </c>
    </row>
    <row r="345" spans="1:4" x14ac:dyDescent="0.35">
      <c r="A345" s="58">
        <v>34375</v>
      </c>
      <c r="B345" s="55">
        <f t="shared" si="10"/>
        <v>1994</v>
      </c>
      <c r="C345" s="55"/>
      <c r="D345" s="55">
        <f t="shared" si="11"/>
        <v>2</v>
      </c>
    </row>
    <row r="346" spans="1:4" x14ac:dyDescent="0.35">
      <c r="A346" s="58">
        <v>34382</v>
      </c>
      <c r="B346" s="55">
        <f t="shared" si="10"/>
        <v>1994</v>
      </c>
      <c r="C346" s="55"/>
      <c r="D346" s="55">
        <f t="shared" si="11"/>
        <v>2</v>
      </c>
    </row>
    <row r="347" spans="1:4" x14ac:dyDescent="0.35">
      <c r="A347" s="58">
        <v>34389</v>
      </c>
      <c r="B347" s="55">
        <f t="shared" si="10"/>
        <v>1994</v>
      </c>
      <c r="C347" s="55"/>
      <c r="D347" s="55">
        <f t="shared" si="11"/>
        <v>2</v>
      </c>
    </row>
    <row r="348" spans="1:4" x14ac:dyDescent="0.35">
      <c r="A348" s="58">
        <v>34396</v>
      </c>
      <c r="B348" s="55">
        <f t="shared" si="10"/>
        <v>1994</v>
      </c>
      <c r="C348" s="55"/>
      <c r="D348" s="55">
        <f t="shared" si="11"/>
        <v>3</v>
      </c>
    </row>
    <row r="349" spans="1:4" x14ac:dyDescent="0.35">
      <c r="A349" s="58">
        <v>34403</v>
      </c>
      <c r="B349" s="55">
        <f t="shared" si="10"/>
        <v>1994</v>
      </c>
      <c r="C349" s="55"/>
      <c r="D349" s="55">
        <f t="shared" si="11"/>
        <v>3</v>
      </c>
    </row>
    <row r="350" spans="1:4" x14ac:dyDescent="0.35">
      <c r="A350" s="58">
        <v>34410</v>
      </c>
      <c r="B350" s="55">
        <f t="shared" si="10"/>
        <v>1994</v>
      </c>
      <c r="C350" s="55"/>
      <c r="D350" s="55">
        <f t="shared" si="11"/>
        <v>3</v>
      </c>
    </row>
    <row r="351" spans="1:4" x14ac:dyDescent="0.35">
      <c r="A351" s="58">
        <v>34417</v>
      </c>
      <c r="B351" s="55">
        <f t="shared" si="10"/>
        <v>1994</v>
      </c>
      <c r="C351" s="55"/>
      <c r="D351" s="55">
        <f t="shared" si="11"/>
        <v>3</v>
      </c>
    </row>
    <row r="352" spans="1:4" x14ac:dyDescent="0.35">
      <c r="A352" s="58">
        <v>34424</v>
      </c>
      <c r="B352" s="55">
        <f t="shared" si="10"/>
        <v>1994</v>
      </c>
      <c r="C352" s="55"/>
      <c r="D352" s="55">
        <f t="shared" si="11"/>
        <v>3</v>
      </c>
    </row>
    <row r="353" spans="1:4" x14ac:dyDescent="0.35">
      <c r="A353" s="58">
        <v>34431</v>
      </c>
      <c r="B353" s="55">
        <f t="shared" si="10"/>
        <v>1994</v>
      </c>
      <c r="C353" s="55"/>
      <c r="D353" s="55">
        <f t="shared" si="11"/>
        <v>4</v>
      </c>
    </row>
    <row r="354" spans="1:4" x14ac:dyDescent="0.35">
      <c r="A354" s="58">
        <v>34438</v>
      </c>
      <c r="B354" s="55">
        <f t="shared" si="10"/>
        <v>1994</v>
      </c>
      <c r="C354" s="55"/>
      <c r="D354" s="55">
        <f t="shared" si="11"/>
        <v>4</v>
      </c>
    </row>
    <row r="355" spans="1:4" x14ac:dyDescent="0.35">
      <c r="A355" s="58">
        <v>34445</v>
      </c>
      <c r="B355" s="55">
        <f t="shared" si="10"/>
        <v>1994</v>
      </c>
      <c r="C355" s="55"/>
      <c r="D355" s="55">
        <f t="shared" si="11"/>
        <v>4</v>
      </c>
    </row>
    <row r="356" spans="1:4" x14ac:dyDescent="0.35">
      <c r="A356" s="58">
        <v>34452</v>
      </c>
      <c r="B356" s="55">
        <f t="shared" si="10"/>
        <v>1994</v>
      </c>
      <c r="C356" s="55"/>
      <c r="D356" s="55">
        <f t="shared" si="11"/>
        <v>4</v>
      </c>
    </row>
    <row r="357" spans="1:4" x14ac:dyDescent="0.35">
      <c r="A357" s="58">
        <v>34459</v>
      </c>
      <c r="B357" s="55">
        <f t="shared" si="10"/>
        <v>1994</v>
      </c>
      <c r="C357" s="55"/>
      <c r="D357" s="55">
        <f t="shared" si="11"/>
        <v>5</v>
      </c>
    </row>
    <row r="358" spans="1:4" x14ac:dyDescent="0.35">
      <c r="A358" s="58">
        <v>34473</v>
      </c>
      <c r="B358" s="55">
        <f t="shared" si="10"/>
        <v>1994</v>
      </c>
      <c r="C358" s="55"/>
      <c r="D358" s="55">
        <f t="shared" si="11"/>
        <v>5</v>
      </c>
    </row>
    <row r="359" spans="1:4" x14ac:dyDescent="0.35">
      <c r="A359" s="58">
        <v>34480</v>
      </c>
      <c r="B359" s="55">
        <f t="shared" si="10"/>
        <v>1994</v>
      </c>
      <c r="C359" s="55"/>
      <c r="D359" s="55">
        <f t="shared" si="11"/>
        <v>5</v>
      </c>
    </row>
    <row r="360" spans="1:4" x14ac:dyDescent="0.35">
      <c r="A360" s="58">
        <v>34487</v>
      </c>
      <c r="B360" s="55">
        <f t="shared" si="10"/>
        <v>1994</v>
      </c>
      <c r="C360" s="55"/>
      <c r="D360" s="55">
        <f t="shared" si="11"/>
        <v>6</v>
      </c>
    </row>
    <row r="361" spans="1:4" x14ac:dyDescent="0.35">
      <c r="A361" s="58">
        <v>34494</v>
      </c>
      <c r="B361" s="55">
        <f t="shared" si="10"/>
        <v>1994</v>
      </c>
      <c r="C361" s="55"/>
      <c r="D361" s="55">
        <f t="shared" si="11"/>
        <v>6</v>
      </c>
    </row>
    <row r="362" spans="1:4" x14ac:dyDescent="0.35">
      <c r="A362" s="58">
        <v>34501</v>
      </c>
      <c r="B362" s="55">
        <f t="shared" si="10"/>
        <v>1994</v>
      </c>
      <c r="C362" s="55"/>
      <c r="D362" s="55">
        <f t="shared" si="11"/>
        <v>6</v>
      </c>
    </row>
    <row r="363" spans="1:4" x14ac:dyDescent="0.35">
      <c r="A363" s="58">
        <v>34508</v>
      </c>
      <c r="B363" s="55">
        <f t="shared" si="10"/>
        <v>1994</v>
      </c>
      <c r="C363" s="55"/>
      <c r="D363" s="55">
        <f t="shared" si="11"/>
        <v>6</v>
      </c>
    </row>
    <row r="364" spans="1:4" x14ac:dyDescent="0.35">
      <c r="A364" s="58">
        <v>34515</v>
      </c>
      <c r="B364" s="55">
        <f t="shared" si="10"/>
        <v>1994</v>
      </c>
      <c r="C364" s="55"/>
      <c r="D364" s="55">
        <f t="shared" si="11"/>
        <v>6</v>
      </c>
    </row>
    <row r="365" spans="1:4" x14ac:dyDescent="0.35">
      <c r="A365" s="58">
        <v>34522</v>
      </c>
      <c r="B365" s="55">
        <f t="shared" si="10"/>
        <v>1994</v>
      </c>
      <c r="C365" s="55"/>
      <c r="D365" s="55">
        <f t="shared" si="11"/>
        <v>7</v>
      </c>
    </row>
    <row r="366" spans="1:4" x14ac:dyDescent="0.35">
      <c r="A366" s="58">
        <v>34529</v>
      </c>
      <c r="B366" s="55">
        <f t="shared" si="10"/>
        <v>1994</v>
      </c>
      <c r="C366" s="55"/>
      <c r="D366" s="55">
        <f t="shared" si="11"/>
        <v>7</v>
      </c>
    </row>
    <row r="367" spans="1:4" x14ac:dyDescent="0.35">
      <c r="A367" s="58">
        <v>34536</v>
      </c>
      <c r="B367" s="55">
        <f t="shared" si="10"/>
        <v>1994</v>
      </c>
      <c r="C367" s="55"/>
      <c r="D367" s="55">
        <f t="shared" si="11"/>
        <v>7</v>
      </c>
    </row>
    <row r="368" spans="1:4" x14ac:dyDescent="0.35">
      <c r="A368" s="58">
        <v>34543</v>
      </c>
      <c r="B368" s="55">
        <f t="shared" si="10"/>
        <v>1994</v>
      </c>
      <c r="C368" s="55"/>
      <c r="D368" s="55">
        <f t="shared" si="11"/>
        <v>7</v>
      </c>
    </row>
    <row r="369" spans="1:4" x14ac:dyDescent="0.35">
      <c r="A369" s="58">
        <v>34550</v>
      </c>
      <c r="B369" s="55">
        <f t="shared" si="10"/>
        <v>1994</v>
      </c>
      <c r="C369" s="55"/>
      <c r="D369" s="55">
        <f t="shared" si="11"/>
        <v>8</v>
      </c>
    </row>
    <row r="370" spans="1:4" x14ac:dyDescent="0.35">
      <c r="A370" s="58">
        <v>34558</v>
      </c>
      <c r="B370" s="55">
        <f t="shared" si="10"/>
        <v>1994</v>
      </c>
      <c r="C370" s="55"/>
      <c r="D370" s="55">
        <f t="shared" si="11"/>
        <v>8</v>
      </c>
    </row>
    <row r="371" spans="1:4" x14ac:dyDescent="0.35">
      <c r="A371" s="58">
        <v>34564</v>
      </c>
      <c r="B371" s="55">
        <f t="shared" si="10"/>
        <v>1994</v>
      </c>
      <c r="C371" s="55"/>
      <c r="D371" s="55">
        <f t="shared" si="11"/>
        <v>8</v>
      </c>
    </row>
    <row r="372" spans="1:4" x14ac:dyDescent="0.35">
      <c r="A372" s="58">
        <v>34571</v>
      </c>
      <c r="B372" s="55">
        <f t="shared" si="10"/>
        <v>1994</v>
      </c>
      <c r="C372" s="55"/>
      <c r="D372" s="55">
        <f t="shared" si="11"/>
        <v>8</v>
      </c>
    </row>
    <row r="373" spans="1:4" x14ac:dyDescent="0.35">
      <c r="A373" s="58">
        <v>34578</v>
      </c>
      <c r="B373" s="55">
        <f t="shared" si="10"/>
        <v>1994</v>
      </c>
      <c r="C373" s="55"/>
      <c r="D373" s="55">
        <f t="shared" si="11"/>
        <v>9</v>
      </c>
    </row>
    <row r="374" spans="1:4" x14ac:dyDescent="0.35">
      <c r="A374" s="58">
        <v>34585</v>
      </c>
      <c r="B374" s="55">
        <f t="shared" si="10"/>
        <v>1994</v>
      </c>
      <c r="C374" s="55"/>
      <c r="D374" s="55">
        <f t="shared" si="11"/>
        <v>9</v>
      </c>
    </row>
    <row r="375" spans="1:4" x14ac:dyDescent="0.35">
      <c r="A375" s="58">
        <v>34592</v>
      </c>
      <c r="B375" s="55">
        <f t="shared" si="10"/>
        <v>1994</v>
      </c>
      <c r="C375" s="55"/>
      <c r="D375" s="55">
        <f t="shared" si="11"/>
        <v>9</v>
      </c>
    </row>
    <row r="376" spans="1:4" x14ac:dyDescent="0.35">
      <c r="A376" s="58">
        <v>34599</v>
      </c>
      <c r="B376" s="55">
        <f t="shared" si="10"/>
        <v>1994</v>
      </c>
      <c r="C376" s="55"/>
      <c r="D376" s="55">
        <f t="shared" si="11"/>
        <v>9</v>
      </c>
    </row>
    <row r="377" spans="1:4" x14ac:dyDescent="0.35">
      <c r="A377" s="58">
        <v>34606</v>
      </c>
      <c r="B377" s="55">
        <f t="shared" si="10"/>
        <v>1994</v>
      </c>
      <c r="C377" s="55"/>
      <c r="D377" s="55">
        <f t="shared" si="11"/>
        <v>9</v>
      </c>
    </row>
    <row r="378" spans="1:4" x14ac:dyDescent="0.35">
      <c r="A378" s="58">
        <v>34613</v>
      </c>
      <c r="B378" s="55">
        <f t="shared" si="10"/>
        <v>1994</v>
      </c>
      <c r="C378" s="55"/>
      <c r="D378" s="55">
        <f t="shared" si="11"/>
        <v>10</v>
      </c>
    </row>
    <row r="379" spans="1:4" x14ac:dyDescent="0.35">
      <c r="A379" s="58">
        <v>34620</v>
      </c>
      <c r="B379" s="55">
        <f t="shared" si="10"/>
        <v>1994</v>
      </c>
      <c r="C379" s="55"/>
      <c r="D379" s="55">
        <f t="shared" si="11"/>
        <v>10</v>
      </c>
    </row>
    <row r="380" spans="1:4" x14ac:dyDescent="0.35">
      <c r="A380" s="58">
        <v>34627</v>
      </c>
      <c r="B380" s="55">
        <f t="shared" si="10"/>
        <v>1994</v>
      </c>
      <c r="C380" s="55"/>
      <c r="D380" s="55">
        <f t="shared" si="11"/>
        <v>10</v>
      </c>
    </row>
    <row r="381" spans="1:4" x14ac:dyDescent="0.35">
      <c r="A381" s="58">
        <v>34634</v>
      </c>
      <c r="B381" s="55">
        <f t="shared" si="10"/>
        <v>1994</v>
      </c>
      <c r="C381" s="55"/>
      <c r="D381" s="55">
        <f t="shared" si="11"/>
        <v>10</v>
      </c>
    </row>
    <row r="382" spans="1:4" x14ac:dyDescent="0.35">
      <c r="A382" s="58">
        <v>34641</v>
      </c>
      <c r="B382" s="55">
        <f t="shared" si="10"/>
        <v>1994</v>
      </c>
      <c r="C382" s="55"/>
      <c r="D382" s="55">
        <f t="shared" si="11"/>
        <v>11</v>
      </c>
    </row>
    <row r="383" spans="1:4" x14ac:dyDescent="0.35">
      <c r="A383" s="58">
        <v>34648</v>
      </c>
      <c r="B383" s="55">
        <f t="shared" si="10"/>
        <v>1994</v>
      </c>
      <c r="C383" s="55"/>
      <c r="D383" s="55">
        <f t="shared" si="11"/>
        <v>11</v>
      </c>
    </row>
    <row r="384" spans="1:4" x14ac:dyDescent="0.35">
      <c r="A384" s="58">
        <v>34655</v>
      </c>
      <c r="B384" s="55">
        <f t="shared" si="10"/>
        <v>1994</v>
      </c>
      <c r="C384" s="55"/>
      <c r="D384" s="55">
        <f t="shared" si="11"/>
        <v>11</v>
      </c>
    </row>
    <row r="385" spans="1:4" x14ac:dyDescent="0.35">
      <c r="A385" s="58">
        <v>34662</v>
      </c>
      <c r="B385" s="55">
        <f t="shared" si="10"/>
        <v>1994</v>
      </c>
      <c r="C385" s="55"/>
      <c r="D385" s="55">
        <f t="shared" si="11"/>
        <v>11</v>
      </c>
    </row>
    <row r="386" spans="1:4" x14ac:dyDescent="0.35">
      <c r="A386" s="58">
        <v>34669</v>
      </c>
      <c r="B386" s="55">
        <f t="shared" si="10"/>
        <v>1994</v>
      </c>
      <c r="C386" s="55"/>
      <c r="D386" s="55">
        <f t="shared" si="11"/>
        <v>12</v>
      </c>
    </row>
    <row r="387" spans="1:4" x14ac:dyDescent="0.35">
      <c r="A387" s="58">
        <v>34676</v>
      </c>
      <c r="B387" s="55">
        <f t="shared" si="10"/>
        <v>1994</v>
      </c>
      <c r="C387" s="55"/>
      <c r="D387" s="55">
        <f t="shared" si="11"/>
        <v>12</v>
      </c>
    </row>
    <row r="388" spans="1:4" x14ac:dyDescent="0.35">
      <c r="A388" s="58">
        <v>34683</v>
      </c>
      <c r="B388" s="55">
        <f t="shared" ref="B388:B451" si="12">YEAR(A388)</f>
        <v>1994</v>
      </c>
      <c r="C388" s="55"/>
      <c r="D388" s="55">
        <f t="shared" ref="D388:D451" si="13">MONTH(A388)</f>
        <v>12</v>
      </c>
    </row>
    <row r="389" spans="1:4" x14ac:dyDescent="0.35">
      <c r="A389" s="58">
        <v>34690</v>
      </c>
      <c r="B389" s="55">
        <f t="shared" si="12"/>
        <v>1994</v>
      </c>
      <c r="C389" s="55"/>
      <c r="D389" s="55">
        <f t="shared" si="13"/>
        <v>12</v>
      </c>
    </row>
    <row r="390" spans="1:4" x14ac:dyDescent="0.35">
      <c r="A390" s="58">
        <v>34704</v>
      </c>
      <c r="B390" s="55">
        <f t="shared" si="12"/>
        <v>1995</v>
      </c>
      <c r="C390" s="55"/>
      <c r="D390" s="55">
        <f t="shared" si="13"/>
        <v>1</v>
      </c>
    </row>
    <row r="391" spans="1:4" x14ac:dyDescent="0.35">
      <c r="A391" s="58">
        <v>34711</v>
      </c>
      <c r="B391" s="55">
        <f t="shared" si="12"/>
        <v>1995</v>
      </c>
      <c r="C391" s="55"/>
      <c r="D391" s="55">
        <f t="shared" si="13"/>
        <v>1</v>
      </c>
    </row>
    <row r="392" spans="1:4" x14ac:dyDescent="0.35">
      <c r="A392" s="58">
        <v>34718</v>
      </c>
      <c r="B392" s="55">
        <f t="shared" si="12"/>
        <v>1995</v>
      </c>
      <c r="C392" s="55"/>
      <c r="D392" s="55">
        <f t="shared" si="13"/>
        <v>1</v>
      </c>
    </row>
    <row r="393" spans="1:4" x14ac:dyDescent="0.35">
      <c r="A393" s="58">
        <v>34725</v>
      </c>
      <c r="B393" s="55">
        <f t="shared" si="12"/>
        <v>1995</v>
      </c>
      <c r="C393" s="55"/>
      <c r="D393" s="55">
        <f t="shared" si="13"/>
        <v>1</v>
      </c>
    </row>
    <row r="394" spans="1:4" x14ac:dyDescent="0.35">
      <c r="A394" s="58">
        <v>34732</v>
      </c>
      <c r="B394" s="55">
        <f t="shared" si="12"/>
        <v>1995</v>
      </c>
      <c r="C394" s="55"/>
      <c r="D394" s="55">
        <f t="shared" si="13"/>
        <v>2</v>
      </c>
    </row>
    <row r="395" spans="1:4" x14ac:dyDescent="0.35">
      <c r="A395" s="58">
        <v>34739</v>
      </c>
      <c r="B395" s="55">
        <f t="shared" si="12"/>
        <v>1995</v>
      </c>
      <c r="C395" s="55"/>
      <c r="D395" s="55">
        <f t="shared" si="13"/>
        <v>2</v>
      </c>
    </row>
    <row r="396" spans="1:4" x14ac:dyDescent="0.35">
      <c r="A396" s="58">
        <v>34746</v>
      </c>
      <c r="B396" s="55">
        <f t="shared" si="12"/>
        <v>1995</v>
      </c>
      <c r="C396" s="55"/>
      <c r="D396" s="55">
        <f t="shared" si="13"/>
        <v>2</v>
      </c>
    </row>
    <row r="397" spans="1:4" x14ac:dyDescent="0.35">
      <c r="A397" s="58">
        <v>34753</v>
      </c>
      <c r="B397" s="55">
        <f t="shared" si="12"/>
        <v>1995</v>
      </c>
      <c r="C397" s="55"/>
      <c r="D397" s="55">
        <f t="shared" si="13"/>
        <v>2</v>
      </c>
    </row>
    <row r="398" spans="1:4" x14ac:dyDescent="0.35">
      <c r="A398" s="58">
        <v>34760</v>
      </c>
      <c r="B398" s="55">
        <f t="shared" si="12"/>
        <v>1995</v>
      </c>
      <c r="C398" s="55"/>
      <c r="D398" s="55">
        <f t="shared" si="13"/>
        <v>3</v>
      </c>
    </row>
    <row r="399" spans="1:4" x14ac:dyDescent="0.35">
      <c r="A399" s="58">
        <v>34767</v>
      </c>
      <c r="B399" s="55">
        <f t="shared" si="12"/>
        <v>1995</v>
      </c>
      <c r="C399" s="55"/>
      <c r="D399" s="55">
        <f t="shared" si="13"/>
        <v>3</v>
      </c>
    </row>
    <row r="400" spans="1:4" x14ac:dyDescent="0.35">
      <c r="A400" s="58">
        <v>34774</v>
      </c>
      <c r="B400" s="55">
        <f t="shared" si="12"/>
        <v>1995</v>
      </c>
      <c r="C400" s="55"/>
      <c r="D400" s="55">
        <f t="shared" si="13"/>
        <v>3</v>
      </c>
    </row>
    <row r="401" spans="1:4" x14ac:dyDescent="0.35">
      <c r="A401" s="58">
        <v>34781</v>
      </c>
      <c r="B401" s="55">
        <f t="shared" si="12"/>
        <v>1995</v>
      </c>
      <c r="C401" s="55"/>
      <c r="D401" s="55">
        <f t="shared" si="13"/>
        <v>3</v>
      </c>
    </row>
    <row r="402" spans="1:4" x14ac:dyDescent="0.35">
      <c r="A402" s="58">
        <v>34788</v>
      </c>
      <c r="B402" s="55">
        <f t="shared" si="12"/>
        <v>1995</v>
      </c>
      <c r="C402" s="55"/>
      <c r="D402" s="55">
        <f t="shared" si="13"/>
        <v>3</v>
      </c>
    </row>
    <row r="403" spans="1:4" x14ac:dyDescent="0.35">
      <c r="A403" s="58">
        <v>34795</v>
      </c>
      <c r="B403" s="55">
        <f t="shared" si="12"/>
        <v>1995</v>
      </c>
      <c r="C403" s="55"/>
      <c r="D403" s="55">
        <f t="shared" si="13"/>
        <v>4</v>
      </c>
    </row>
    <row r="404" spans="1:4" x14ac:dyDescent="0.35">
      <c r="A404" s="58">
        <v>34802</v>
      </c>
      <c r="B404" s="55">
        <f t="shared" si="12"/>
        <v>1995</v>
      </c>
      <c r="C404" s="55"/>
      <c r="D404" s="55">
        <f t="shared" si="13"/>
        <v>4</v>
      </c>
    </row>
    <row r="405" spans="1:4" x14ac:dyDescent="0.35">
      <c r="A405" s="58">
        <v>34809</v>
      </c>
      <c r="B405" s="55">
        <f t="shared" si="12"/>
        <v>1995</v>
      </c>
      <c r="C405" s="55"/>
      <c r="D405" s="55">
        <f t="shared" si="13"/>
        <v>4</v>
      </c>
    </row>
    <row r="406" spans="1:4" x14ac:dyDescent="0.35">
      <c r="A406" s="58">
        <v>34816</v>
      </c>
      <c r="B406" s="55">
        <f t="shared" si="12"/>
        <v>1995</v>
      </c>
      <c r="C406" s="55"/>
      <c r="D406" s="55">
        <f t="shared" si="13"/>
        <v>4</v>
      </c>
    </row>
    <row r="407" spans="1:4" x14ac:dyDescent="0.35">
      <c r="A407" s="58">
        <v>34823</v>
      </c>
      <c r="B407" s="55">
        <f t="shared" si="12"/>
        <v>1995</v>
      </c>
      <c r="C407" s="55"/>
      <c r="D407" s="55">
        <f t="shared" si="13"/>
        <v>5</v>
      </c>
    </row>
    <row r="408" spans="1:4" x14ac:dyDescent="0.35">
      <c r="A408" s="58">
        <v>34830</v>
      </c>
      <c r="B408" s="55">
        <f t="shared" si="12"/>
        <v>1995</v>
      </c>
      <c r="C408" s="55"/>
      <c r="D408" s="55">
        <f t="shared" si="13"/>
        <v>5</v>
      </c>
    </row>
    <row r="409" spans="1:4" x14ac:dyDescent="0.35">
      <c r="A409" s="58">
        <v>34837</v>
      </c>
      <c r="B409" s="55">
        <f t="shared" si="12"/>
        <v>1995</v>
      </c>
      <c r="C409" s="55"/>
      <c r="D409" s="55">
        <f t="shared" si="13"/>
        <v>5</v>
      </c>
    </row>
    <row r="410" spans="1:4" x14ac:dyDescent="0.35">
      <c r="A410" s="58">
        <v>34851</v>
      </c>
      <c r="B410" s="55">
        <f t="shared" si="12"/>
        <v>1995</v>
      </c>
      <c r="C410" s="55"/>
      <c r="D410" s="55">
        <f t="shared" si="13"/>
        <v>6</v>
      </c>
    </row>
    <row r="411" spans="1:4" x14ac:dyDescent="0.35">
      <c r="A411" s="58">
        <v>34858</v>
      </c>
      <c r="B411" s="55">
        <f t="shared" si="12"/>
        <v>1995</v>
      </c>
      <c r="C411" s="55"/>
      <c r="D411" s="55">
        <f t="shared" si="13"/>
        <v>6</v>
      </c>
    </row>
    <row r="412" spans="1:4" x14ac:dyDescent="0.35">
      <c r="A412" s="58">
        <v>34865</v>
      </c>
      <c r="B412" s="55">
        <f t="shared" si="12"/>
        <v>1995</v>
      </c>
      <c r="C412" s="55"/>
      <c r="D412" s="55">
        <f t="shared" si="13"/>
        <v>6</v>
      </c>
    </row>
    <row r="413" spans="1:4" x14ac:dyDescent="0.35">
      <c r="A413" s="58">
        <v>34872</v>
      </c>
      <c r="B413" s="55">
        <f t="shared" si="12"/>
        <v>1995</v>
      </c>
      <c r="C413" s="55"/>
      <c r="D413" s="55">
        <f t="shared" si="13"/>
        <v>6</v>
      </c>
    </row>
    <row r="414" spans="1:4" x14ac:dyDescent="0.35">
      <c r="A414" s="58">
        <v>34879</v>
      </c>
      <c r="B414" s="55">
        <f t="shared" si="12"/>
        <v>1995</v>
      </c>
      <c r="C414" s="55"/>
      <c r="D414" s="55">
        <f t="shared" si="13"/>
        <v>6</v>
      </c>
    </row>
    <row r="415" spans="1:4" x14ac:dyDescent="0.35">
      <c r="A415" s="58">
        <v>34886</v>
      </c>
      <c r="B415" s="55">
        <f t="shared" si="12"/>
        <v>1995</v>
      </c>
      <c r="C415" s="55"/>
      <c r="D415" s="55">
        <f t="shared" si="13"/>
        <v>7</v>
      </c>
    </row>
    <row r="416" spans="1:4" x14ac:dyDescent="0.35">
      <c r="A416" s="58">
        <v>34893</v>
      </c>
      <c r="B416" s="55">
        <f t="shared" si="12"/>
        <v>1995</v>
      </c>
      <c r="C416" s="55"/>
      <c r="D416" s="55">
        <f t="shared" si="13"/>
        <v>7</v>
      </c>
    </row>
    <row r="417" spans="1:4" x14ac:dyDescent="0.35">
      <c r="A417" s="58">
        <v>34900</v>
      </c>
      <c r="B417" s="55">
        <f t="shared" si="12"/>
        <v>1995</v>
      </c>
      <c r="C417" s="55"/>
      <c r="D417" s="55">
        <f t="shared" si="13"/>
        <v>7</v>
      </c>
    </row>
    <row r="418" spans="1:4" x14ac:dyDescent="0.35">
      <c r="A418" s="58">
        <v>34907</v>
      </c>
      <c r="B418" s="55">
        <f t="shared" si="12"/>
        <v>1995</v>
      </c>
      <c r="C418" s="55"/>
      <c r="D418" s="55">
        <f t="shared" si="13"/>
        <v>7</v>
      </c>
    </row>
    <row r="419" spans="1:4" x14ac:dyDescent="0.35">
      <c r="A419" s="58">
        <v>34914</v>
      </c>
      <c r="B419" s="55">
        <f t="shared" si="12"/>
        <v>1995</v>
      </c>
      <c r="C419" s="55"/>
      <c r="D419" s="55">
        <f t="shared" si="13"/>
        <v>8</v>
      </c>
    </row>
    <row r="420" spans="1:4" x14ac:dyDescent="0.35">
      <c r="A420" s="58">
        <v>34921</v>
      </c>
      <c r="B420" s="55">
        <f t="shared" si="12"/>
        <v>1995</v>
      </c>
      <c r="C420" s="55"/>
      <c r="D420" s="55">
        <f t="shared" si="13"/>
        <v>8</v>
      </c>
    </row>
    <row r="421" spans="1:4" x14ac:dyDescent="0.35">
      <c r="A421" s="58">
        <v>34928</v>
      </c>
      <c r="B421" s="55">
        <f t="shared" si="12"/>
        <v>1995</v>
      </c>
      <c r="C421" s="55"/>
      <c r="D421" s="55">
        <f t="shared" si="13"/>
        <v>8</v>
      </c>
    </row>
    <row r="422" spans="1:4" x14ac:dyDescent="0.35">
      <c r="A422" s="58">
        <v>34935</v>
      </c>
      <c r="B422" s="55">
        <f t="shared" si="12"/>
        <v>1995</v>
      </c>
      <c r="C422" s="55"/>
      <c r="D422" s="55">
        <f t="shared" si="13"/>
        <v>8</v>
      </c>
    </row>
    <row r="423" spans="1:4" x14ac:dyDescent="0.35">
      <c r="A423" s="58">
        <v>34942</v>
      </c>
      <c r="B423" s="55">
        <f t="shared" si="12"/>
        <v>1995</v>
      </c>
      <c r="C423" s="55"/>
      <c r="D423" s="55">
        <f t="shared" si="13"/>
        <v>8</v>
      </c>
    </row>
    <row r="424" spans="1:4" x14ac:dyDescent="0.35">
      <c r="A424" s="58">
        <v>34949</v>
      </c>
      <c r="B424" s="55">
        <f t="shared" si="12"/>
        <v>1995</v>
      </c>
      <c r="C424" s="55"/>
      <c r="D424" s="55">
        <f t="shared" si="13"/>
        <v>9</v>
      </c>
    </row>
    <row r="425" spans="1:4" x14ac:dyDescent="0.35">
      <c r="A425" s="58">
        <v>34956</v>
      </c>
      <c r="B425" s="55">
        <f t="shared" si="12"/>
        <v>1995</v>
      </c>
      <c r="C425" s="55"/>
      <c r="D425" s="55">
        <f t="shared" si="13"/>
        <v>9</v>
      </c>
    </row>
    <row r="426" spans="1:4" x14ac:dyDescent="0.35">
      <c r="A426" s="58">
        <v>34963</v>
      </c>
      <c r="B426" s="55">
        <f t="shared" si="12"/>
        <v>1995</v>
      </c>
      <c r="C426" s="55"/>
      <c r="D426" s="55">
        <f t="shared" si="13"/>
        <v>9</v>
      </c>
    </row>
    <row r="427" spans="1:4" x14ac:dyDescent="0.35">
      <c r="A427" s="58">
        <v>34970</v>
      </c>
      <c r="B427" s="55">
        <f t="shared" si="12"/>
        <v>1995</v>
      </c>
      <c r="C427" s="55"/>
      <c r="D427" s="55">
        <f t="shared" si="13"/>
        <v>9</v>
      </c>
    </row>
    <row r="428" spans="1:4" x14ac:dyDescent="0.35">
      <c r="A428" s="58">
        <v>34977</v>
      </c>
      <c r="B428" s="55">
        <f t="shared" si="12"/>
        <v>1995</v>
      </c>
      <c r="C428" s="55"/>
      <c r="D428" s="55">
        <f t="shared" si="13"/>
        <v>10</v>
      </c>
    </row>
    <row r="429" spans="1:4" x14ac:dyDescent="0.35">
      <c r="A429" s="58">
        <v>34984</v>
      </c>
      <c r="B429" s="55">
        <f t="shared" si="12"/>
        <v>1995</v>
      </c>
      <c r="C429" s="55"/>
      <c r="D429" s="55">
        <f t="shared" si="13"/>
        <v>10</v>
      </c>
    </row>
    <row r="430" spans="1:4" x14ac:dyDescent="0.35">
      <c r="A430" s="58">
        <v>34991</v>
      </c>
      <c r="B430" s="55">
        <f t="shared" si="12"/>
        <v>1995</v>
      </c>
      <c r="C430" s="55"/>
      <c r="D430" s="55">
        <f t="shared" si="13"/>
        <v>10</v>
      </c>
    </row>
    <row r="431" spans="1:4" x14ac:dyDescent="0.35">
      <c r="A431" s="58">
        <v>34998</v>
      </c>
      <c r="B431" s="55">
        <f t="shared" si="12"/>
        <v>1995</v>
      </c>
      <c r="C431" s="55"/>
      <c r="D431" s="55">
        <f t="shared" si="13"/>
        <v>10</v>
      </c>
    </row>
    <row r="432" spans="1:4" x14ac:dyDescent="0.35">
      <c r="A432" s="58">
        <v>35005</v>
      </c>
      <c r="B432" s="55">
        <f t="shared" si="12"/>
        <v>1995</v>
      </c>
      <c r="C432" s="55"/>
      <c r="D432" s="55">
        <f t="shared" si="13"/>
        <v>11</v>
      </c>
    </row>
    <row r="433" spans="1:4" x14ac:dyDescent="0.35">
      <c r="A433" s="58">
        <v>35012</v>
      </c>
      <c r="B433" s="55">
        <f t="shared" si="12"/>
        <v>1995</v>
      </c>
      <c r="C433" s="55"/>
      <c r="D433" s="55">
        <f t="shared" si="13"/>
        <v>11</v>
      </c>
    </row>
    <row r="434" spans="1:4" x14ac:dyDescent="0.35">
      <c r="A434" s="58">
        <v>35019</v>
      </c>
      <c r="B434" s="55">
        <f t="shared" si="12"/>
        <v>1995</v>
      </c>
      <c r="C434" s="55"/>
      <c r="D434" s="55">
        <f t="shared" si="13"/>
        <v>11</v>
      </c>
    </row>
    <row r="435" spans="1:4" x14ac:dyDescent="0.35">
      <c r="A435" s="58">
        <v>35026</v>
      </c>
      <c r="B435" s="55">
        <f t="shared" si="12"/>
        <v>1995</v>
      </c>
      <c r="C435" s="55"/>
      <c r="D435" s="55">
        <f t="shared" si="13"/>
        <v>11</v>
      </c>
    </row>
    <row r="436" spans="1:4" x14ac:dyDescent="0.35">
      <c r="A436" s="58">
        <v>35033</v>
      </c>
      <c r="B436" s="55">
        <f t="shared" si="12"/>
        <v>1995</v>
      </c>
      <c r="C436" s="55"/>
      <c r="D436" s="55">
        <f t="shared" si="13"/>
        <v>11</v>
      </c>
    </row>
    <row r="437" spans="1:4" x14ac:dyDescent="0.35">
      <c r="A437" s="58">
        <v>35040</v>
      </c>
      <c r="B437" s="55">
        <f t="shared" si="12"/>
        <v>1995</v>
      </c>
      <c r="C437" s="55"/>
      <c r="D437" s="55">
        <f t="shared" si="13"/>
        <v>12</v>
      </c>
    </row>
    <row r="438" spans="1:4" x14ac:dyDescent="0.35">
      <c r="A438" s="58">
        <v>35047</v>
      </c>
      <c r="B438" s="55">
        <f t="shared" si="12"/>
        <v>1995</v>
      </c>
      <c r="C438" s="55"/>
      <c r="D438" s="55">
        <f t="shared" si="13"/>
        <v>12</v>
      </c>
    </row>
    <row r="439" spans="1:4" x14ac:dyDescent="0.35">
      <c r="A439" s="58">
        <v>35054</v>
      </c>
      <c r="B439" s="55">
        <f t="shared" si="12"/>
        <v>1995</v>
      </c>
      <c r="C439" s="55"/>
      <c r="D439" s="55">
        <f t="shared" si="13"/>
        <v>12</v>
      </c>
    </row>
    <row r="440" spans="1:4" x14ac:dyDescent="0.35">
      <c r="A440" s="58">
        <v>35068</v>
      </c>
      <c r="B440" s="55">
        <f t="shared" si="12"/>
        <v>1996</v>
      </c>
      <c r="C440" s="55"/>
      <c r="D440" s="55">
        <f t="shared" si="13"/>
        <v>1</v>
      </c>
    </row>
    <row r="441" spans="1:4" x14ac:dyDescent="0.35">
      <c r="A441" s="58">
        <v>35075</v>
      </c>
      <c r="B441" s="55">
        <f t="shared" si="12"/>
        <v>1996</v>
      </c>
      <c r="C441" s="55"/>
      <c r="D441" s="55">
        <f t="shared" si="13"/>
        <v>1</v>
      </c>
    </row>
    <row r="442" spans="1:4" x14ac:dyDescent="0.35">
      <c r="A442" s="58">
        <v>35082</v>
      </c>
      <c r="B442" s="55">
        <f t="shared" si="12"/>
        <v>1996</v>
      </c>
      <c r="C442" s="55"/>
      <c r="D442" s="55">
        <f t="shared" si="13"/>
        <v>1</v>
      </c>
    </row>
    <row r="443" spans="1:4" x14ac:dyDescent="0.35">
      <c r="A443" s="58">
        <v>35089</v>
      </c>
      <c r="B443" s="55">
        <f t="shared" si="12"/>
        <v>1996</v>
      </c>
      <c r="C443" s="55"/>
      <c r="D443" s="55">
        <f t="shared" si="13"/>
        <v>1</v>
      </c>
    </row>
    <row r="444" spans="1:4" x14ac:dyDescent="0.35">
      <c r="A444" s="58">
        <v>35096</v>
      </c>
      <c r="B444" s="55">
        <f t="shared" si="12"/>
        <v>1996</v>
      </c>
      <c r="C444" s="55"/>
      <c r="D444" s="55">
        <f t="shared" si="13"/>
        <v>2</v>
      </c>
    </row>
    <row r="445" spans="1:4" x14ac:dyDescent="0.35">
      <c r="A445" s="58">
        <v>35103</v>
      </c>
      <c r="B445" s="55">
        <f t="shared" si="12"/>
        <v>1996</v>
      </c>
      <c r="C445" s="55"/>
      <c r="D445" s="55">
        <f t="shared" si="13"/>
        <v>2</v>
      </c>
    </row>
    <row r="446" spans="1:4" x14ac:dyDescent="0.35">
      <c r="A446" s="58">
        <v>35110</v>
      </c>
      <c r="B446" s="55">
        <f t="shared" si="12"/>
        <v>1996</v>
      </c>
      <c r="C446" s="55"/>
      <c r="D446" s="55">
        <f t="shared" si="13"/>
        <v>2</v>
      </c>
    </row>
    <row r="447" spans="1:4" x14ac:dyDescent="0.35">
      <c r="A447" s="58">
        <v>35117</v>
      </c>
      <c r="B447" s="55">
        <f t="shared" si="12"/>
        <v>1996</v>
      </c>
      <c r="C447" s="55"/>
      <c r="D447" s="55">
        <f t="shared" si="13"/>
        <v>2</v>
      </c>
    </row>
    <row r="448" spans="1:4" x14ac:dyDescent="0.35">
      <c r="A448" s="58">
        <v>35124</v>
      </c>
      <c r="B448" s="55">
        <f t="shared" si="12"/>
        <v>1996</v>
      </c>
      <c r="C448" s="55"/>
      <c r="D448" s="55">
        <f t="shared" si="13"/>
        <v>2</v>
      </c>
    </row>
    <row r="449" spans="1:4" x14ac:dyDescent="0.35">
      <c r="A449" s="58">
        <v>35131</v>
      </c>
      <c r="B449" s="55">
        <f t="shared" si="12"/>
        <v>1996</v>
      </c>
      <c r="C449" s="55"/>
      <c r="D449" s="55">
        <f t="shared" si="13"/>
        <v>3</v>
      </c>
    </row>
    <row r="450" spans="1:4" x14ac:dyDescent="0.35">
      <c r="A450" s="58">
        <v>35138</v>
      </c>
      <c r="B450" s="55">
        <f t="shared" si="12"/>
        <v>1996</v>
      </c>
      <c r="C450" s="55"/>
      <c r="D450" s="55">
        <f t="shared" si="13"/>
        <v>3</v>
      </c>
    </row>
    <row r="451" spans="1:4" x14ac:dyDescent="0.35">
      <c r="A451" s="58">
        <v>35145</v>
      </c>
      <c r="B451" s="55">
        <f t="shared" si="12"/>
        <v>1996</v>
      </c>
      <c r="C451" s="55"/>
      <c r="D451" s="55">
        <f t="shared" si="13"/>
        <v>3</v>
      </c>
    </row>
    <row r="452" spans="1:4" x14ac:dyDescent="0.35">
      <c r="A452" s="58">
        <v>35152</v>
      </c>
      <c r="B452" s="55">
        <f t="shared" ref="B452:B515" si="14">YEAR(A452)</f>
        <v>1996</v>
      </c>
      <c r="C452" s="55"/>
      <c r="D452" s="55">
        <f t="shared" ref="D452:D515" si="15">MONTH(A452)</f>
        <v>3</v>
      </c>
    </row>
    <row r="453" spans="1:4" x14ac:dyDescent="0.35">
      <c r="A453" s="58">
        <v>35159</v>
      </c>
      <c r="B453" s="55">
        <f t="shared" si="14"/>
        <v>1996</v>
      </c>
      <c r="C453" s="55"/>
      <c r="D453" s="55">
        <f t="shared" si="15"/>
        <v>4</v>
      </c>
    </row>
    <row r="454" spans="1:4" x14ac:dyDescent="0.35">
      <c r="A454" s="58">
        <v>35166</v>
      </c>
      <c r="B454" s="55">
        <f t="shared" si="14"/>
        <v>1996</v>
      </c>
      <c r="C454" s="55"/>
      <c r="D454" s="55">
        <f t="shared" si="15"/>
        <v>4</v>
      </c>
    </row>
    <row r="455" spans="1:4" x14ac:dyDescent="0.35">
      <c r="A455" s="58">
        <v>35173</v>
      </c>
      <c r="B455" s="55">
        <f t="shared" si="14"/>
        <v>1996</v>
      </c>
      <c r="C455" s="55"/>
      <c r="D455" s="55">
        <f t="shared" si="15"/>
        <v>4</v>
      </c>
    </row>
    <row r="456" spans="1:4" x14ac:dyDescent="0.35">
      <c r="A456" s="58">
        <v>35180</v>
      </c>
      <c r="B456" s="55">
        <f t="shared" si="14"/>
        <v>1996</v>
      </c>
      <c r="C456" s="55"/>
      <c r="D456" s="55">
        <f t="shared" si="15"/>
        <v>4</v>
      </c>
    </row>
    <row r="457" spans="1:4" x14ac:dyDescent="0.35">
      <c r="A457" s="58">
        <v>35187</v>
      </c>
      <c r="B457" s="55">
        <f t="shared" si="14"/>
        <v>1996</v>
      </c>
      <c r="C457" s="55"/>
      <c r="D457" s="55">
        <f t="shared" si="15"/>
        <v>5</v>
      </c>
    </row>
    <row r="458" spans="1:4" x14ac:dyDescent="0.35">
      <c r="A458" s="58">
        <v>35194</v>
      </c>
      <c r="B458" s="55">
        <f t="shared" si="14"/>
        <v>1996</v>
      </c>
      <c r="C458" s="55"/>
      <c r="D458" s="55">
        <f t="shared" si="15"/>
        <v>5</v>
      </c>
    </row>
    <row r="459" spans="1:4" x14ac:dyDescent="0.35">
      <c r="A459" s="58">
        <v>35201</v>
      </c>
      <c r="B459" s="55">
        <f t="shared" si="14"/>
        <v>1996</v>
      </c>
      <c r="C459" s="55"/>
      <c r="D459" s="55">
        <f t="shared" si="15"/>
        <v>5</v>
      </c>
    </row>
    <row r="460" spans="1:4" x14ac:dyDescent="0.35">
      <c r="A460" s="58">
        <v>35215</v>
      </c>
      <c r="B460" s="55">
        <f t="shared" si="14"/>
        <v>1996</v>
      </c>
      <c r="C460" s="55"/>
      <c r="D460" s="55">
        <f t="shared" si="15"/>
        <v>5</v>
      </c>
    </row>
    <row r="461" spans="1:4" x14ac:dyDescent="0.35">
      <c r="A461" s="58">
        <v>35222</v>
      </c>
      <c r="B461" s="55">
        <f t="shared" si="14"/>
        <v>1996</v>
      </c>
      <c r="C461" s="55"/>
      <c r="D461" s="55">
        <f t="shared" si="15"/>
        <v>6</v>
      </c>
    </row>
    <row r="462" spans="1:4" x14ac:dyDescent="0.35">
      <c r="A462" s="58">
        <v>35229</v>
      </c>
      <c r="B462" s="55">
        <f t="shared" si="14"/>
        <v>1996</v>
      </c>
      <c r="C462" s="55"/>
      <c r="D462" s="55">
        <f t="shared" si="15"/>
        <v>6</v>
      </c>
    </row>
    <row r="463" spans="1:4" x14ac:dyDescent="0.35">
      <c r="A463" s="58">
        <v>35236</v>
      </c>
      <c r="B463" s="55">
        <f t="shared" si="14"/>
        <v>1996</v>
      </c>
      <c r="C463" s="55"/>
      <c r="D463" s="55">
        <f t="shared" si="15"/>
        <v>6</v>
      </c>
    </row>
    <row r="464" spans="1:4" x14ac:dyDescent="0.35">
      <c r="A464" s="58">
        <v>35243</v>
      </c>
      <c r="B464" s="55">
        <f t="shared" si="14"/>
        <v>1996</v>
      </c>
      <c r="C464" s="55"/>
      <c r="D464" s="55">
        <f t="shared" si="15"/>
        <v>6</v>
      </c>
    </row>
    <row r="465" spans="1:4" x14ac:dyDescent="0.35">
      <c r="A465" s="58">
        <v>35250</v>
      </c>
      <c r="B465" s="55">
        <f t="shared" si="14"/>
        <v>1996</v>
      </c>
      <c r="C465" s="55"/>
      <c r="D465" s="55">
        <f t="shared" si="15"/>
        <v>7</v>
      </c>
    </row>
    <row r="466" spans="1:4" x14ac:dyDescent="0.35">
      <c r="A466" s="58">
        <v>35257</v>
      </c>
      <c r="B466" s="55">
        <f t="shared" si="14"/>
        <v>1996</v>
      </c>
      <c r="C466" s="55"/>
      <c r="D466" s="55">
        <f t="shared" si="15"/>
        <v>7</v>
      </c>
    </row>
    <row r="467" spans="1:4" x14ac:dyDescent="0.35">
      <c r="A467" s="58">
        <v>35264</v>
      </c>
      <c r="B467" s="55">
        <f t="shared" si="14"/>
        <v>1996</v>
      </c>
      <c r="C467" s="55"/>
      <c r="D467" s="55">
        <f t="shared" si="15"/>
        <v>7</v>
      </c>
    </row>
    <row r="468" spans="1:4" x14ac:dyDescent="0.35">
      <c r="A468" s="58">
        <v>35271</v>
      </c>
      <c r="B468" s="55">
        <f t="shared" si="14"/>
        <v>1996</v>
      </c>
      <c r="C468" s="55"/>
      <c r="D468" s="55">
        <f t="shared" si="15"/>
        <v>7</v>
      </c>
    </row>
    <row r="469" spans="1:4" x14ac:dyDescent="0.35">
      <c r="A469" s="58">
        <v>35278</v>
      </c>
      <c r="B469" s="55">
        <f t="shared" si="14"/>
        <v>1996</v>
      </c>
      <c r="C469" s="55"/>
      <c r="D469" s="55">
        <f t="shared" si="15"/>
        <v>8</v>
      </c>
    </row>
    <row r="470" spans="1:4" x14ac:dyDescent="0.35">
      <c r="A470" s="58">
        <v>35285</v>
      </c>
      <c r="B470" s="55">
        <f t="shared" si="14"/>
        <v>1996</v>
      </c>
      <c r="C470" s="55"/>
      <c r="D470" s="55">
        <f t="shared" si="15"/>
        <v>8</v>
      </c>
    </row>
    <row r="471" spans="1:4" x14ac:dyDescent="0.35">
      <c r="A471" s="58">
        <v>35292</v>
      </c>
      <c r="B471" s="55">
        <f t="shared" si="14"/>
        <v>1996</v>
      </c>
      <c r="C471" s="55"/>
      <c r="D471" s="55">
        <f t="shared" si="15"/>
        <v>8</v>
      </c>
    </row>
    <row r="472" spans="1:4" x14ac:dyDescent="0.35">
      <c r="A472" s="58">
        <v>35299</v>
      </c>
      <c r="B472" s="55">
        <f t="shared" si="14"/>
        <v>1996</v>
      </c>
      <c r="C472" s="55"/>
      <c r="D472" s="55">
        <f t="shared" si="15"/>
        <v>8</v>
      </c>
    </row>
    <row r="473" spans="1:4" x14ac:dyDescent="0.35">
      <c r="A473" s="58">
        <v>35306</v>
      </c>
      <c r="B473" s="55">
        <f t="shared" si="14"/>
        <v>1996</v>
      </c>
      <c r="C473" s="55"/>
      <c r="D473" s="55">
        <f t="shared" si="15"/>
        <v>8</v>
      </c>
    </row>
    <row r="474" spans="1:4" x14ac:dyDescent="0.35">
      <c r="A474" s="58">
        <v>35313</v>
      </c>
      <c r="B474" s="55">
        <f t="shared" si="14"/>
        <v>1996</v>
      </c>
      <c r="C474" s="55"/>
      <c r="D474" s="55">
        <f t="shared" si="15"/>
        <v>9</v>
      </c>
    </row>
    <row r="475" spans="1:4" x14ac:dyDescent="0.35">
      <c r="A475" s="58">
        <v>35320</v>
      </c>
      <c r="B475" s="55">
        <f t="shared" si="14"/>
        <v>1996</v>
      </c>
      <c r="C475" s="55"/>
      <c r="D475" s="55">
        <f t="shared" si="15"/>
        <v>9</v>
      </c>
    </row>
    <row r="476" spans="1:4" x14ac:dyDescent="0.35">
      <c r="A476" s="58">
        <v>35327</v>
      </c>
      <c r="B476" s="55">
        <f t="shared" si="14"/>
        <v>1996</v>
      </c>
      <c r="C476" s="55"/>
      <c r="D476" s="55">
        <f t="shared" si="15"/>
        <v>9</v>
      </c>
    </row>
    <row r="477" spans="1:4" x14ac:dyDescent="0.35">
      <c r="A477" s="58">
        <v>35334</v>
      </c>
      <c r="B477" s="55">
        <f t="shared" si="14"/>
        <v>1996</v>
      </c>
      <c r="C477" s="55"/>
      <c r="D477" s="55">
        <f t="shared" si="15"/>
        <v>9</v>
      </c>
    </row>
    <row r="478" spans="1:4" x14ac:dyDescent="0.35">
      <c r="A478" s="58">
        <v>35341</v>
      </c>
      <c r="B478" s="55">
        <f t="shared" si="14"/>
        <v>1996</v>
      </c>
      <c r="C478" s="55"/>
      <c r="D478" s="55">
        <f t="shared" si="15"/>
        <v>10</v>
      </c>
    </row>
    <row r="479" spans="1:4" x14ac:dyDescent="0.35">
      <c r="A479" s="58">
        <v>35348</v>
      </c>
      <c r="B479" s="55">
        <f t="shared" si="14"/>
        <v>1996</v>
      </c>
      <c r="C479" s="55"/>
      <c r="D479" s="55">
        <f t="shared" si="15"/>
        <v>10</v>
      </c>
    </row>
    <row r="480" spans="1:4" x14ac:dyDescent="0.35">
      <c r="A480" s="58">
        <v>35355</v>
      </c>
      <c r="B480" s="55">
        <f t="shared" si="14"/>
        <v>1996</v>
      </c>
      <c r="C480" s="55"/>
      <c r="D480" s="55">
        <f t="shared" si="15"/>
        <v>10</v>
      </c>
    </row>
    <row r="481" spans="1:4" x14ac:dyDescent="0.35">
      <c r="A481" s="58">
        <v>35362</v>
      </c>
      <c r="B481" s="55">
        <f t="shared" si="14"/>
        <v>1996</v>
      </c>
      <c r="C481" s="55"/>
      <c r="D481" s="55">
        <f t="shared" si="15"/>
        <v>10</v>
      </c>
    </row>
    <row r="482" spans="1:4" x14ac:dyDescent="0.35">
      <c r="A482" s="58">
        <v>35369</v>
      </c>
      <c r="B482" s="55">
        <f t="shared" si="14"/>
        <v>1996</v>
      </c>
      <c r="C482" s="55"/>
      <c r="D482" s="55">
        <f t="shared" si="15"/>
        <v>10</v>
      </c>
    </row>
    <row r="483" spans="1:4" x14ac:dyDescent="0.35">
      <c r="A483" s="58">
        <v>35376</v>
      </c>
      <c r="B483" s="55">
        <f t="shared" si="14"/>
        <v>1996</v>
      </c>
      <c r="C483" s="55"/>
      <c r="D483" s="55">
        <f t="shared" si="15"/>
        <v>11</v>
      </c>
    </row>
    <row r="484" spans="1:4" x14ac:dyDescent="0.35">
      <c r="A484" s="58">
        <v>35383</v>
      </c>
      <c r="B484" s="55">
        <f t="shared" si="14"/>
        <v>1996</v>
      </c>
      <c r="C484" s="55"/>
      <c r="D484" s="55">
        <f t="shared" si="15"/>
        <v>11</v>
      </c>
    </row>
    <row r="485" spans="1:4" x14ac:dyDescent="0.35">
      <c r="A485" s="58">
        <v>35390</v>
      </c>
      <c r="B485" s="55">
        <f t="shared" si="14"/>
        <v>1996</v>
      </c>
      <c r="C485" s="55"/>
      <c r="D485" s="55">
        <f t="shared" si="15"/>
        <v>11</v>
      </c>
    </row>
    <row r="486" spans="1:4" x14ac:dyDescent="0.35">
      <c r="A486" s="58">
        <v>35397</v>
      </c>
      <c r="B486" s="55">
        <f t="shared" si="14"/>
        <v>1996</v>
      </c>
      <c r="C486" s="55"/>
      <c r="D486" s="55">
        <f t="shared" si="15"/>
        <v>11</v>
      </c>
    </row>
    <row r="487" spans="1:4" x14ac:dyDescent="0.35">
      <c r="A487" s="58">
        <v>35404</v>
      </c>
      <c r="B487" s="55">
        <f t="shared" si="14"/>
        <v>1996</v>
      </c>
      <c r="C487" s="55"/>
      <c r="D487" s="55">
        <f t="shared" si="15"/>
        <v>12</v>
      </c>
    </row>
    <row r="488" spans="1:4" x14ac:dyDescent="0.35">
      <c r="A488" s="58">
        <v>35411</v>
      </c>
      <c r="B488" s="55">
        <f t="shared" si="14"/>
        <v>1996</v>
      </c>
      <c r="C488" s="55"/>
      <c r="D488" s="55">
        <f t="shared" si="15"/>
        <v>12</v>
      </c>
    </row>
    <row r="489" spans="1:4" x14ac:dyDescent="0.35">
      <c r="A489" s="58">
        <v>35418</v>
      </c>
      <c r="B489" s="55">
        <f t="shared" si="14"/>
        <v>1996</v>
      </c>
      <c r="C489" s="55"/>
      <c r="D489" s="55">
        <f t="shared" si="15"/>
        <v>12</v>
      </c>
    </row>
    <row r="490" spans="1:4" x14ac:dyDescent="0.35">
      <c r="A490" s="58">
        <v>35432</v>
      </c>
      <c r="B490" s="55">
        <f t="shared" si="14"/>
        <v>1997</v>
      </c>
      <c r="C490" s="55"/>
      <c r="D490" s="55">
        <f t="shared" si="15"/>
        <v>1</v>
      </c>
    </row>
    <row r="491" spans="1:4" x14ac:dyDescent="0.35">
      <c r="A491" s="58">
        <v>35439</v>
      </c>
      <c r="B491" s="55">
        <f t="shared" si="14"/>
        <v>1997</v>
      </c>
      <c r="C491" s="55"/>
      <c r="D491" s="55">
        <f t="shared" si="15"/>
        <v>1</v>
      </c>
    </row>
    <row r="492" spans="1:4" x14ac:dyDescent="0.35">
      <c r="A492" s="58">
        <v>35446</v>
      </c>
      <c r="B492" s="55">
        <f t="shared" si="14"/>
        <v>1997</v>
      </c>
      <c r="C492" s="55"/>
      <c r="D492" s="55">
        <f t="shared" si="15"/>
        <v>1</v>
      </c>
    </row>
    <row r="493" spans="1:4" x14ac:dyDescent="0.35">
      <c r="A493" s="58">
        <v>35453</v>
      </c>
      <c r="B493" s="55">
        <f t="shared" si="14"/>
        <v>1997</v>
      </c>
      <c r="C493" s="55"/>
      <c r="D493" s="55">
        <f t="shared" si="15"/>
        <v>1</v>
      </c>
    </row>
    <row r="494" spans="1:4" x14ac:dyDescent="0.35">
      <c r="A494" s="58">
        <v>35460</v>
      </c>
      <c r="B494" s="55">
        <f t="shared" si="14"/>
        <v>1997</v>
      </c>
      <c r="C494" s="55"/>
      <c r="D494" s="55">
        <f t="shared" si="15"/>
        <v>1</v>
      </c>
    </row>
    <row r="495" spans="1:4" x14ac:dyDescent="0.35">
      <c r="A495" s="58">
        <v>35466</v>
      </c>
      <c r="B495" s="55">
        <f t="shared" si="14"/>
        <v>1997</v>
      </c>
      <c r="C495" s="55"/>
      <c r="D495" s="55">
        <f t="shared" si="15"/>
        <v>2</v>
      </c>
    </row>
    <row r="496" spans="1:4" x14ac:dyDescent="0.35">
      <c r="A496" s="58">
        <v>35474</v>
      </c>
      <c r="B496" s="55">
        <f t="shared" si="14"/>
        <v>1997</v>
      </c>
      <c r="C496" s="55"/>
      <c r="D496" s="55">
        <f t="shared" si="15"/>
        <v>2</v>
      </c>
    </row>
    <row r="497" spans="1:4" x14ac:dyDescent="0.35">
      <c r="A497" s="58">
        <v>35481</v>
      </c>
      <c r="B497" s="55">
        <f t="shared" si="14"/>
        <v>1997</v>
      </c>
      <c r="C497" s="55"/>
      <c r="D497" s="55">
        <f t="shared" si="15"/>
        <v>2</v>
      </c>
    </row>
    <row r="498" spans="1:4" x14ac:dyDescent="0.35">
      <c r="A498" s="58">
        <v>35488</v>
      </c>
      <c r="B498" s="55">
        <f t="shared" si="14"/>
        <v>1997</v>
      </c>
      <c r="C498" s="55"/>
      <c r="D498" s="55">
        <f t="shared" si="15"/>
        <v>2</v>
      </c>
    </row>
    <row r="499" spans="1:4" x14ac:dyDescent="0.35">
      <c r="A499" s="58">
        <v>35495</v>
      </c>
      <c r="B499" s="55">
        <f t="shared" si="14"/>
        <v>1997</v>
      </c>
      <c r="C499" s="55"/>
      <c r="D499" s="55">
        <f t="shared" si="15"/>
        <v>3</v>
      </c>
    </row>
    <row r="500" spans="1:4" x14ac:dyDescent="0.35">
      <c r="A500" s="58">
        <v>35502</v>
      </c>
      <c r="B500" s="55">
        <f t="shared" si="14"/>
        <v>1997</v>
      </c>
      <c r="C500" s="55"/>
      <c r="D500" s="55">
        <f t="shared" si="15"/>
        <v>3</v>
      </c>
    </row>
    <row r="501" spans="1:4" x14ac:dyDescent="0.35">
      <c r="A501" s="58">
        <v>35509</v>
      </c>
      <c r="B501" s="55">
        <f t="shared" si="14"/>
        <v>1997</v>
      </c>
      <c r="C501" s="55"/>
      <c r="D501" s="55">
        <f t="shared" si="15"/>
        <v>3</v>
      </c>
    </row>
    <row r="502" spans="1:4" x14ac:dyDescent="0.35">
      <c r="A502" s="58">
        <v>35516</v>
      </c>
      <c r="B502" s="55">
        <f t="shared" si="14"/>
        <v>1997</v>
      </c>
      <c r="C502" s="55"/>
      <c r="D502" s="55">
        <f t="shared" si="15"/>
        <v>3</v>
      </c>
    </row>
    <row r="503" spans="1:4" x14ac:dyDescent="0.35">
      <c r="A503" s="58">
        <v>35523</v>
      </c>
      <c r="B503" s="55">
        <f t="shared" si="14"/>
        <v>1997</v>
      </c>
      <c r="C503" s="55"/>
      <c r="D503" s="55">
        <f t="shared" si="15"/>
        <v>4</v>
      </c>
    </row>
    <row r="504" spans="1:4" x14ac:dyDescent="0.35">
      <c r="A504" s="58">
        <v>35530</v>
      </c>
      <c r="B504" s="55">
        <f t="shared" si="14"/>
        <v>1997</v>
      </c>
      <c r="C504" s="55"/>
      <c r="D504" s="55">
        <f t="shared" si="15"/>
        <v>4</v>
      </c>
    </row>
    <row r="505" spans="1:4" x14ac:dyDescent="0.35">
      <c r="A505" s="58">
        <v>35537</v>
      </c>
      <c r="B505" s="55">
        <f t="shared" si="14"/>
        <v>1997</v>
      </c>
      <c r="C505" s="55"/>
      <c r="D505" s="55">
        <f t="shared" si="15"/>
        <v>4</v>
      </c>
    </row>
    <row r="506" spans="1:4" x14ac:dyDescent="0.35">
      <c r="A506" s="58">
        <v>35544</v>
      </c>
      <c r="B506" s="55">
        <f t="shared" si="14"/>
        <v>1997</v>
      </c>
      <c r="C506" s="55"/>
      <c r="D506" s="55">
        <f t="shared" si="15"/>
        <v>4</v>
      </c>
    </row>
    <row r="507" spans="1:4" x14ac:dyDescent="0.35">
      <c r="A507" s="58">
        <v>35551</v>
      </c>
      <c r="B507" s="55">
        <f t="shared" si="14"/>
        <v>1997</v>
      </c>
      <c r="C507" s="55"/>
      <c r="D507" s="55">
        <f t="shared" si="15"/>
        <v>5</v>
      </c>
    </row>
    <row r="508" spans="1:4" x14ac:dyDescent="0.35">
      <c r="A508" s="58">
        <v>35558</v>
      </c>
      <c r="B508" s="55">
        <f t="shared" si="14"/>
        <v>1997</v>
      </c>
      <c r="C508" s="55"/>
      <c r="D508" s="55">
        <f t="shared" si="15"/>
        <v>5</v>
      </c>
    </row>
    <row r="509" spans="1:4" x14ac:dyDescent="0.35">
      <c r="A509" s="58">
        <v>35565</v>
      </c>
      <c r="B509" s="55">
        <f t="shared" si="14"/>
        <v>1997</v>
      </c>
      <c r="C509" s="55"/>
      <c r="D509" s="55">
        <f t="shared" si="15"/>
        <v>5</v>
      </c>
    </row>
    <row r="510" spans="1:4" x14ac:dyDescent="0.35">
      <c r="A510" s="58">
        <v>35579</v>
      </c>
      <c r="B510" s="55">
        <f t="shared" si="14"/>
        <v>1997</v>
      </c>
      <c r="C510" s="55"/>
      <c r="D510" s="55">
        <f t="shared" si="15"/>
        <v>5</v>
      </c>
    </row>
    <row r="511" spans="1:4" x14ac:dyDescent="0.35">
      <c r="A511" s="58">
        <v>35586</v>
      </c>
      <c r="B511" s="55">
        <f t="shared" si="14"/>
        <v>1997</v>
      </c>
      <c r="C511" s="55"/>
      <c r="D511" s="55">
        <f t="shared" si="15"/>
        <v>6</v>
      </c>
    </row>
    <row r="512" spans="1:4" x14ac:dyDescent="0.35">
      <c r="A512" s="58">
        <v>35593</v>
      </c>
      <c r="B512" s="55">
        <f t="shared" si="14"/>
        <v>1997</v>
      </c>
      <c r="C512" s="55"/>
      <c r="D512" s="55">
        <f t="shared" si="15"/>
        <v>6</v>
      </c>
    </row>
    <row r="513" spans="1:4" x14ac:dyDescent="0.35">
      <c r="A513" s="58">
        <v>35600</v>
      </c>
      <c r="B513" s="55">
        <f t="shared" si="14"/>
        <v>1997</v>
      </c>
      <c r="C513" s="55"/>
      <c r="D513" s="55">
        <f t="shared" si="15"/>
        <v>6</v>
      </c>
    </row>
    <row r="514" spans="1:4" x14ac:dyDescent="0.35">
      <c r="A514" s="58">
        <v>35607</v>
      </c>
      <c r="B514" s="55">
        <f t="shared" si="14"/>
        <v>1997</v>
      </c>
      <c r="C514" s="55"/>
      <c r="D514" s="55">
        <f t="shared" si="15"/>
        <v>6</v>
      </c>
    </row>
    <row r="515" spans="1:4" x14ac:dyDescent="0.35">
      <c r="A515" s="58">
        <v>35614</v>
      </c>
      <c r="B515" s="55">
        <f t="shared" si="14"/>
        <v>1997</v>
      </c>
      <c r="C515" s="55"/>
      <c r="D515" s="55">
        <f t="shared" si="15"/>
        <v>7</v>
      </c>
    </row>
    <row r="516" spans="1:4" x14ac:dyDescent="0.35">
      <c r="A516" s="58">
        <v>35621</v>
      </c>
      <c r="B516" s="55">
        <f t="shared" ref="B516:B579" si="16">YEAR(A516)</f>
        <v>1997</v>
      </c>
      <c r="C516" s="55"/>
      <c r="D516" s="55">
        <f t="shared" ref="D516:D579" si="17">MONTH(A516)</f>
        <v>7</v>
      </c>
    </row>
    <row r="517" spans="1:4" x14ac:dyDescent="0.35">
      <c r="A517" s="58">
        <v>35628</v>
      </c>
      <c r="B517" s="55">
        <f t="shared" si="16"/>
        <v>1997</v>
      </c>
      <c r="C517" s="55"/>
      <c r="D517" s="55">
        <f t="shared" si="17"/>
        <v>7</v>
      </c>
    </row>
    <row r="518" spans="1:4" x14ac:dyDescent="0.35">
      <c r="A518" s="58">
        <v>35635</v>
      </c>
      <c r="B518" s="55">
        <f t="shared" si="16"/>
        <v>1997</v>
      </c>
      <c r="C518" s="55"/>
      <c r="D518" s="55">
        <f t="shared" si="17"/>
        <v>7</v>
      </c>
    </row>
    <row r="519" spans="1:4" x14ac:dyDescent="0.35">
      <c r="A519" s="58">
        <v>35642</v>
      </c>
      <c r="B519" s="55">
        <f t="shared" si="16"/>
        <v>1997</v>
      </c>
      <c r="C519" s="55"/>
      <c r="D519" s="55">
        <f t="shared" si="17"/>
        <v>7</v>
      </c>
    </row>
    <row r="520" spans="1:4" x14ac:dyDescent="0.35">
      <c r="A520" s="58">
        <v>35649</v>
      </c>
      <c r="B520" s="55">
        <f t="shared" si="16"/>
        <v>1997</v>
      </c>
      <c r="C520" s="55"/>
      <c r="D520" s="55">
        <f t="shared" si="17"/>
        <v>8</v>
      </c>
    </row>
    <row r="521" spans="1:4" x14ac:dyDescent="0.35">
      <c r="A521" s="58">
        <v>35656</v>
      </c>
      <c r="B521" s="55">
        <f t="shared" si="16"/>
        <v>1997</v>
      </c>
      <c r="C521" s="55"/>
      <c r="D521" s="55">
        <f t="shared" si="17"/>
        <v>8</v>
      </c>
    </row>
    <row r="522" spans="1:4" x14ac:dyDescent="0.35">
      <c r="A522" s="58">
        <v>35663</v>
      </c>
      <c r="B522" s="55">
        <f t="shared" si="16"/>
        <v>1997</v>
      </c>
      <c r="C522" s="55"/>
      <c r="D522" s="55">
        <f t="shared" si="17"/>
        <v>8</v>
      </c>
    </row>
    <row r="523" spans="1:4" x14ac:dyDescent="0.35">
      <c r="A523" s="58">
        <v>35670</v>
      </c>
      <c r="B523" s="55">
        <f t="shared" si="16"/>
        <v>1997</v>
      </c>
      <c r="C523" s="55"/>
      <c r="D523" s="55">
        <f t="shared" si="17"/>
        <v>8</v>
      </c>
    </row>
    <row r="524" spans="1:4" x14ac:dyDescent="0.35">
      <c r="A524" s="58">
        <v>35677</v>
      </c>
      <c r="B524" s="55">
        <f t="shared" si="16"/>
        <v>1997</v>
      </c>
      <c r="C524" s="55"/>
      <c r="D524" s="55">
        <f t="shared" si="17"/>
        <v>9</v>
      </c>
    </row>
    <row r="525" spans="1:4" x14ac:dyDescent="0.35">
      <c r="A525" s="58">
        <v>35684</v>
      </c>
      <c r="B525" s="55">
        <f t="shared" si="16"/>
        <v>1997</v>
      </c>
      <c r="C525" s="55"/>
      <c r="D525" s="55">
        <f t="shared" si="17"/>
        <v>9</v>
      </c>
    </row>
    <row r="526" spans="1:4" x14ac:dyDescent="0.35">
      <c r="A526" s="58">
        <v>35691</v>
      </c>
      <c r="B526" s="55">
        <f t="shared" si="16"/>
        <v>1997</v>
      </c>
      <c r="C526" s="55"/>
      <c r="D526" s="55">
        <f t="shared" si="17"/>
        <v>9</v>
      </c>
    </row>
    <row r="527" spans="1:4" x14ac:dyDescent="0.35">
      <c r="A527" s="58">
        <v>35698</v>
      </c>
      <c r="B527" s="55">
        <f t="shared" si="16"/>
        <v>1997</v>
      </c>
      <c r="C527" s="55"/>
      <c r="D527" s="55">
        <f t="shared" si="17"/>
        <v>9</v>
      </c>
    </row>
    <row r="528" spans="1:4" x14ac:dyDescent="0.35">
      <c r="A528" s="58">
        <v>35705</v>
      </c>
      <c r="B528" s="55">
        <f t="shared" si="16"/>
        <v>1997</v>
      </c>
      <c r="C528" s="55"/>
      <c r="D528" s="55">
        <f t="shared" si="17"/>
        <v>10</v>
      </c>
    </row>
    <row r="529" spans="1:4" x14ac:dyDescent="0.35">
      <c r="A529" s="58">
        <v>35712</v>
      </c>
      <c r="B529" s="55">
        <f t="shared" si="16"/>
        <v>1997</v>
      </c>
      <c r="C529" s="55"/>
      <c r="D529" s="55">
        <f t="shared" si="17"/>
        <v>10</v>
      </c>
    </row>
    <row r="530" spans="1:4" x14ac:dyDescent="0.35">
      <c r="A530" s="58">
        <v>35719</v>
      </c>
      <c r="B530" s="55">
        <f t="shared" si="16"/>
        <v>1997</v>
      </c>
      <c r="C530" s="55"/>
      <c r="D530" s="55">
        <f t="shared" si="17"/>
        <v>10</v>
      </c>
    </row>
    <row r="531" spans="1:4" x14ac:dyDescent="0.35">
      <c r="A531" s="58">
        <v>35726</v>
      </c>
      <c r="B531" s="55">
        <f t="shared" si="16"/>
        <v>1997</v>
      </c>
      <c r="C531" s="55"/>
      <c r="D531" s="55">
        <f t="shared" si="17"/>
        <v>10</v>
      </c>
    </row>
    <row r="532" spans="1:4" x14ac:dyDescent="0.35">
      <c r="A532" s="58">
        <v>35733</v>
      </c>
      <c r="B532" s="55">
        <f t="shared" si="16"/>
        <v>1997</v>
      </c>
      <c r="C532" s="55"/>
      <c r="D532" s="55">
        <f t="shared" si="17"/>
        <v>10</v>
      </c>
    </row>
    <row r="533" spans="1:4" x14ac:dyDescent="0.35">
      <c r="A533" s="58">
        <v>35740</v>
      </c>
      <c r="B533" s="55">
        <f t="shared" si="16"/>
        <v>1997</v>
      </c>
      <c r="C533" s="55"/>
      <c r="D533" s="55">
        <f t="shared" si="17"/>
        <v>11</v>
      </c>
    </row>
    <row r="534" spans="1:4" x14ac:dyDescent="0.35">
      <c r="A534" s="58">
        <v>35747</v>
      </c>
      <c r="B534" s="55">
        <f t="shared" si="16"/>
        <v>1997</v>
      </c>
      <c r="C534" s="55"/>
      <c r="D534" s="55">
        <f t="shared" si="17"/>
        <v>11</v>
      </c>
    </row>
    <row r="535" spans="1:4" x14ac:dyDescent="0.35">
      <c r="A535" s="58">
        <v>35754</v>
      </c>
      <c r="B535" s="55">
        <f t="shared" si="16"/>
        <v>1997</v>
      </c>
      <c r="C535" s="55"/>
      <c r="D535" s="55">
        <f t="shared" si="17"/>
        <v>11</v>
      </c>
    </row>
    <row r="536" spans="1:4" x14ac:dyDescent="0.35">
      <c r="A536" s="58">
        <v>35761</v>
      </c>
      <c r="B536" s="55">
        <f t="shared" si="16"/>
        <v>1997</v>
      </c>
      <c r="C536" s="55"/>
      <c r="D536" s="55">
        <f t="shared" si="17"/>
        <v>11</v>
      </c>
    </row>
    <row r="537" spans="1:4" x14ac:dyDescent="0.35">
      <c r="A537" s="58">
        <v>35768</v>
      </c>
      <c r="B537" s="55">
        <f t="shared" si="16"/>
        <v>1997</v>
      </c>
      <c r="C537" s="55"/>
      <c r="D537" s="55">
        <f t="shared" si="17"/>
        <v>12</v>
      </c>
    </row>
    <row r="538" spans="1:4" x14ac:dyDescent="0.35">
      <c r="A538" s="58">
        <v>35775</v>
      </c>
      <c r="B538" s="55">
        <f t="shared" si="16"/>
        <v>1997</v>
      </c>
      <c r="C538" s="55"/>
      <c r="D538" s="55">
        <f t="shared" si="17"/>
        <v>12</v>
      </c>
    </row>
    <row r="539" spans="1:4" x14ac:dyDescent="0.35">
      <c r="A539" s="58">
        <v>35782</v>
      </c>
      <c r="B539" s="55">
        <f t="shared" si="16"/>
        <v>1997</v>
      </c>
      <c r="C539" s="55"/>
      <c r="D539" s="55">
        <f t="shared" si="17"/>
        <v>12</v>
      </c>
    </row>
    <row r="540" spans="1:4" x14ac:dyDescent="0.35">
      <c r="A540" s="58">
        <v>35797</v>
      </c>
      <c r="B540" s="55">
        <f t="shared" si="16"/>
        <v>1998</v>
      </c>
      <c r="C540" s="55"/>
      <c r="D540" s="55">
        <f t="shared" si="17"/>
        <v>1</v>
      </c>
    </row>
    <row r="541" spans="1:4" x14ac:dyDescent="0.35">
      <c r="A541" s="58">
        <v>35803</v>
      </c>
      <c r="B541" s="55">
        <f t="shared" si="16"/>
        <v>1998</v>
      </c>
      <c r="C541" s="55"/>
      <c r="D541" s="55">
        <f t="shared" si="17"/>
        <v>1</v>
      </c>
    </row>
    <row r="542" spans="1:4" x14ac:dyDescent="0.35">
      <c r="A542" s="58">
        <v>35810</v>
      </c>
      <c r="B542" s="55">
        <f t="shared" si="16"/>
        <v>1998</v>
      </c>
      <c r="C542" s="55"/>
      <c r="D542" s="55">
        <f t="shared" si="17"/>
        <v>1</v>
      </c>
    </row>
    <row r="543" spans="1:4" x14ac:dyDescent="0.35">
      <c r="A543" s="58">
        <v>35817</v>
      </c>
      <c r="B543" s="55">
        <f t="shared" si="16"/>
        <v>1998</v>
      </c>
      <c r="C543" s="55"/>
      <c r="D543" s="55">
        <f t="shared" si="17"/>
        <v>1</v>
      </c>
    </row>
    <row r="544" spans="1:4" x14ac:dyDescent="0.35">
      <c r="A544" s="58">
        <v>35824</v>
      </c>
      <c r="B544" s="55">
        <f t="shared" si="16"/>
        <v>1998</v>
      </c>
      <c r="C544" s="55"/>
      <c r="D544" s="55">
        <f t="shared" si="17"/>
        <v>1</v>
      </c>
    </row>
    <row r="545" spans="1:4" x14ac:dyDescent="0.35">
      <c r="A545" s="58">
        <v>35831</v>
      </c>
      <c r="B545" s="55">
        <f t="shared" si="16"/>
        <v>1998</v>
      </c>
      <c r="C545" s="55"/>
      <c r="D545" s="55">
        <f t="shared" si="17"/>
        <v>2</v>
      </c>
    </row>
    <row r="546" spans="1:4" x14ac:dyDescent="0.35">
      <c r="A546" s="58">
        <v>35838</v>
      </c>
      <c r="B546" s="55">
        <f t="shared" si="16"/>
        <v>1998</v>
      </c>
      <c r="C546" s="55"/>
      <c r="D546" s="55">
        <f t="shared" si="17"/>
        <v>2</v>
      </c>
    </row>
    <row r="547" spans="1:4" x14ac:dyDescent="0.35">
      <c r="A547" s="58">
        <v>35845</v>
      </c>
      <c r="B547" s="55">
        <f t="shared" si="16"/>
        <v>1998</v>
      </c>
      <c r="C547" s="55"/>
      <c r="D547" s="55">
        <f t="shared" si="17"/>
        <v>2</v>
      </c>
    </row>
    <row r="548" spans="1:4" x14ac:dyDescent="0.35">
      <c r="A548" s="58">
        <v>35852</v>
      </c>
      <c r="B548" s="55">
        <f t="shared" si="16"/>
        <v>1998</v>
      </c>
      <c r="C548" s="55"/>
      <c r="D548" s="55">
        <f t="shared" si="17"/>
        <v>2</v>
      </c>
    </row>
    <row r="549" spans="1:4" x14ac:dyDescent="0.35">
      <c r="A549" s="58">
        <v>35859</v>
      </c>
      <c r="B549" s="55">
        <f t="shared" si="16"/>
        <v>1998</v>
      </c>
      <c r="C549" s="55"/>
      <c r="D549" s="55">
        <f t="shared" si="17"/>
        <v>3</v>
      </c>
    </row>
    <row r="550" spans="1:4" x14ac:dyDescent="0.35">
      <c r="A550" s="58">
        <v>35866</v>
      </c>
      <c r="B550" s="55">
        <f t="shared" si="16"/>
        <v>1998</v>
      </c>
      <c r="C550" s="55"/>
      <c r="D550" s="55">
        <f t="shared" si="17"/>
        <v>3</v>
      </c>
    </row>
    <row r="551" spans="1:4" x14ac:dyDescent="0.35">
      <c r="A551" s="58">
        <v>35873</v>
      </c>
      <c r="B551" s="55">
        <f t="shared" si="16"/>
        <v>1998</v>
      </c>
      <c r="C551" s="55"/>
      <c r="D551" s="55">
        <f t="shared" si="17"/>
        <v>3</v>
      </c>
    </row>
    <row r="552" spans="1:4" x14ac:dyDescent="0.35">
      <c r="A552" s="58">
        <v>35880</v>
      </c>
      <c r="B552" s="55">
        <f t="shared" si="16"/>
        <v>1998</v>
      </c>
      <c r="C552" s="55"/>
      <c r="D552" s="55">
        <f t="shared" si="17"/>
        <v>3</v>
      </c>
    </row>
    <row r="553" spans="1:4" x14ac:dyDescent="0.35">
      <c r="A553" s="58">
        <v>35887</v>
      </c>
      <c r="B553" s="55">
        <f t="shared" si="16"/>
        <v>1998</v>
      </c>
      <c r="C553" s="55"/>
      <c r="D553" s="55">
        <f t="shared" si="17"/>
        <v>4</v>
      </c>
    </row>
    <row r="554" spans="1:4" x14ac:dyDescent="0.35">
      <c r="A554" s="58">
        <v>35894</v>
      </c>
      <c r="B554" s="55">
        <f t="shared" si="16"/>
        <v>1998</v>
      </c>
      <c r="C554" s="55"/>
      <c r="D554" s="55">
        <f t="shared" si="17"/>
        <v>4</v>
      </c>
    </row>
    <row r="555" spans="1:4" x14ac:dyDescent="0.35">
      <c r="A555" s="58">
        <v>35901</v>
      </c>
      <c r="B555" s="55">
        <f t="shared" si="16"/>
        <v>1998</v>
      </c>
      <c r="C555" s="55"/>
      <c r="D555" s="55">
        <f t="shared" si="17"/>
        <v>4</v>
      </c>
    </row>
    <row r="556" spans="1:4" x14ac:dyDescent="0.35">
      <c r="A556" s="58">
        <v>35908</v>
      </c>
      <c r="B556" s="55">
        <f t="shared" si="16"/>
        <v>1998</v>
      </c>
      <c r="C556" s="55"/>
      <c r="D556" s="55">
        <f t="shared" si="17"/>
        <v>4</v>
      </c>
    </row>
    <row r="557" spans="1:4" x14ac:dyDescent="0.35">
      <c r="A557" s="58">
        <v>35915</v>
      </c>
      <c r="B557" s="55">
        <f t="shared" si="16"/>
        <v>1998</v>
      </c>
      <c r="C557" s="55"/>
      <c r="D557" s="55">
        <f t="shared" si="17"/>
        <v>4</v>
      </c>
    </row>
    <row r="558" spans="1:4" x14ac:dyDescent="0.35">
      <c r="A558" s="58">
        <v>35922</v>
      </c>
      <c r="B558" s="55">
        <f t="shared" si="16"/>
        <v>1998</v>
      </c>
      <c r="C558" s="55"/>
      <c r="D558" s="55">
        <f t="shared" si="17"/>
        <v>5</v>
      </c>
    </row>
    <row r="559" spans="1:4" x14ac:dyDescent="0.35">
      <c r="A559" s="58">
        <v>35936</v>
      </c>
      <c r="B559" s="55">
        <f t="shared" si="16"/>
        <v>1998</v>
      </c>
      <c r="C559" s="55"/>
      <c r="D559" s="55">
        <f t="shared" si="17"/>
        <v>5</v>
      </c>
    </row>
    <row r="560" spans="1:4" x14ac:dyDescent="0.35">
      <c r="A560" s="58">
        <v>35943</v>
      </c>
      <c r="B560" s="55">
        <f t="shared" si="16"/>
        <v>1998</v>
      </c>
      <c r="C560" s="55"/>
      <c r="D560" s="55">
        <f t="shared" si="17"/>
        <v>5</v>
      </c>
    </row>
    <row r="561" spans="1:4" x14ac:dyDescent="0.35">
      <c r="A561" s="58">
        <v>35950</v>
      </c>
      <c r="B561" s="55">
        <f t="shared" si="16"/>
        <v>1998</v>
      </c>
      <c r="C561" s="55"/>
      <c r="D561" s="55">
        <f t="shared" si="17"/>
        <v>6</v>
      </c>
    </row>
    <row r="562" spans="1:4" x14ac:dyDescent="0.35">
      <c r="A562" s="58">
        <v>35957</v>
      </c>
      <c r="B562" s="55">
        <f t="shared" si="16"/>
        <v>1998</v>
      </c>
      <c r="C562" s="55"/>
      <c r="D562" s="55">
        <f t="shared" si="17"/>
        <v>6</v>
      </c>
    </row>
    <row r="563" spans="1:4" x14ac:dyDescent="0.35">
      <c r="A563" s="58">
        <v>35964</v>
      </c>
      <c r="B563" s="55">
        <f t="shared" si="16"/>
        <v>1998</v>
      </c>
      <c r="C563" s="55"/>
      <c r="D563" s="55">
        <f t="shared" si="17"/>
        <v>6</v>
      </c>
    </row>
    <row r="564" spans="1:4" x14ac:dyDescent="0.35">
      <c r="A564" s="58">
        <v>35971</v>
      </c>
      <c r="B564" s="55">
        <f t="shared" si="16"/>
        <v>1998</v>
      </c>
      <c r="C564" s="55"/>
      <c r="D564" s="55">
        <f t="shared" si="17"/>
        <v>6</v>
      </c>
    </row>
    <row r="565" spans="1:4" x14ac:dyDescent="0.35">
      <c r="A565" s="58">
        <v>35978</v>
      </c>
      <c r="B565" s="55">
        <f t="shared" si="16"/>
        <v>1998</v>
      </c>
      <c r="C565" s="55"/>
      <c r="D565" s="55">
        <f t="shared" si="17"/>
        <v>7</v>
      </c>
    </row>
    <row r="566" spans="1:4" x14ac:dyDescent="0.35">
      <c r="A566" s="58">
        <v>35985</v>
      </c>
      <c r="B566" s="55">
        <f t="shared" si="16"/>
        <v>1998</v>
      </c>
      <c r="C566" s="55"/>
      <c r="D566" s="55">
        <f t="shared" si="17"/>
        <v>7</v>
      </c>
    </row>
    <row r="567" spans="1:4" x14ac:dyDescent="0.35">
      <c r="A567" s="58">
        <v>35992</v>
      </c>
      <c r="B567" s="55">
        <f t="shared" si="16"/>
        <v>1998</v>
      </c>
      <c r="C567" s="55"/>
      <c r="D567" s="55">
        <f t="shared" si="17"/>
        <v>7</v>
      </c>
    </row>
    <row r="568" spans="1:4" x14ac:dyDescent="0.35">
      <c r="A568" s="58">
        <v>35999</v>
      </c>
      <c r="B568" s="55">
        <f t="shared" si="16"/>
        <v>1998</v>
      </c>
      <c r="C568" s="55"/>
      <c r="D568" s="55">
        <f t="shared" si="17"/>
        <v>7</v>
      </c>
    </row>
    <row r="569" spans="1:4" x14ac:dyDescent="0.35">
      <c r="A569" s="58">
        <v>36006</v>
      </c>
      <c r="B569" s="55">
        <f t="shared" si="16"/>
        <v>1998</v>
      </c>
      <c r="C569" s="55"/>
      <c r="D569" s="55">
        <f t="shared" si="17"/>
        <v>7</v>
      </c>
    </row>
    <row r="570" spans="1:4" x14ac:dyDescent="0.35">
      <c r="A570" s="58">
        <v>36013</v>
      </c>
      <c r="B570" s="55">
        <f t="shared" si="16"/>
        <v>1998</v>
      </c>
      <c r="C570" s="55"/>
      <c r="D570" s="55">
        <f t="shared" si="17"/>
        <v>8</v>
      </c>
    </row>
    <row r="571" spans="1:4" x14ac:dyDescent="0.35">
      <c r="A571" s="58">
        <v>36020</v>
      </c>
      <c r="B571" s="55">
        <f t="shared" si="16"/>
        <v>1998</v>
      </c>
      <c r="C571" s="55"/>
      <c r="D571" s="55">
        <f t="shared" si="17"/>
        <v>8</v>
      </c>
    </row>
    <row r="572" spans="1:4" x14ac:dyDescent="0.35">
      <c r="A572" s="58">
        <v>36027</v>
      </c>
      <c r="B572" s="55">
        <f t="shared" si="16"/>
        <v>1998</v>
      </c>
      <c r="C572" s="55"/>
      <c r="D572" s="55">
        <f t="shared" si="17"/>
        <v>8</v>
      </c>
    </row>
    <row r="573" spans="1:4" x14ac:dyDescent="0.35">
      <c r="A573" s="58">
        <v>36034</v>
      </c>
      <c r="B573" s="55">
        <f t="shared" si="16"/>
        <v>1998</v>
      </c>
      <c r="C573" s="55"/>
      <c r="D573" s="55">
        <f t="shared" si="17"/>
        <v>8</v>
      </c>
    </row>
    <row r="574" spans="1:4" x14ac:dyDescent="0.35">
      <c r="A574" s="58">
        <v>36041</v>
      </c>
      <c r="B574" s="55">
        <f t="shared" si="16"/>
        <v>1998</v>
      </c>
      <c r="C574" s="55"/>
      <c r="D574" s="55">
        <f t="shared" si="17"/>
        <v>9</v>
      </c>
    </row>
    <row r="575" spans="1:4" x14ac:dyDescent="0.35">
      <c r="A575" s="58">
        <v>36048</v>
      </c>
      <c r="B575" s="55">
        <f t="shared" si="16"/>
        <v>1998</v>
      </c>
      <c r="C575" s="55"/>
      <c r="D575" s="55">
        <f t="shared" si="17"/>
        <v>9</v>
      </c>
    </row>
    <row r="576" spans="1:4" x14ac:dyDescent="0.35">
      <c r="A576" s="58">
        <v>36055</v>
      </c>
      <c r="B576" s="55">
        <f t="shared" si="16"/>
        <v>1998</v>
      </c>
      <c r="C576" s="55"/>
      <c r="D576" s="55">
        <f t="shared" si="17"/>
        <v>9</v>
      </c>
    </row>
    <row r="577" spans="1:4" x14ac:dyDescent="0.35">
      <c r="A577" s="58">
        <v>36062</v>
      </c>
      <c r="B577" s="55">
        <f t="shared" si="16"/>
        <v>1998</v>
      </c>
      <c r="C577" s="55"/>
      <c r="D577" s="55">
        <f t="shared" si="17"/>
        <v>9</v>
      </c>
    </row>
    <row r="578" spans="1:4" x14ac:dyDescent="0.35">
      <c r="A578" s="58">
        <v>36069</v>
      </c>
      <c r="B578" s="55">
        <f t="shared" si="16"/>
        <v>1998</v>
      </c>
      <c r="C578" s="55"/>
      <c r="D578" s="55">
        <f t="shared" si="17"/>
        <v>10</v>
      </c>
    </row>
    <row r="579" spans="1:4" x14ac:dyDescent="0.35">
      <c r="A579" s="58">
        <v>36076</v>
      </c>
      <c r="B579" s="55">
        <f t="shared" si="16"/>
        <v>1998</v>
      </c>
      <c r="C579" s="55"/>
      <c r="D579" s="55">
        <f t="shared" si="17"/>
        <v>10</v>
      </c>
    </row>
    <row r="580" spans="1:4" x14ac:dyDescent="0.35">
      <c r="A580" s="58">
        <v>36083</v>
      </c>
      <c r="B580" s="55">
        <f t="shared" ref="B580:B643" si="18">YEAR(A580)</f>
        <v>1998</v>
      </c>
      <c r="C580" s="55"/>
      <c r="D580" s="55">
        <f t="shared" ref="D580:D643" si="19">MONTH(A580)</f>
        <v>10</v>
      </c>
    </row>
    <row r="581" spans="1:4" x14ac:dyDescent="0.35">
      <c r="A581" s="58">
        <v>36090</v>
      </c>
      <c r="B581" s="55">
        <f t="shared" si="18"/>
        <v>1998</v>
      </c>
      <c r="C581" s="55"/>
      <c r="D581" s="55">
        <f t="shared" si="19"/>
        <v>10</v>
      </c>
    </row>
    <row r="582" spans="1:4" x14ac:dyDescent="0.35">
      <c r="A582" s="58">
        <v>36097</v>
      </c>
      <c r="B582" s="55">
        <f t="shared" si="18"/>
        <v>1998</v>
      </c>
      <c r="C582" s="55"/>
      <c r="D582" s="55">
        <f t="shared" si="19"/>
        <v>10</v>
      </c>
    </row>
    <row r="583" spans="1:4" x14ac:dyDescent="0.35">
      <c r="A583" s="58">
        <v>36104</v>
      </c>
      <c r="B583" s="55">
        <f t="shared" si="18"/>
        <v>1998</v>
      </c>
      <c r="C583" s="55"/>
      <c r="D583" s="55">
        <f t="shared" si="19"/>
        <v>11</v>
      </c>
    </row>
    <row r="584" spans="1:4" x14ac:dyDescent="0.35">
      <c r="A584" s="58">
        <v>36111</v>
      </c>
      <c r="B584" s="55">
        <f t="shared" si="18"/>
        <v>1998</v>
      </c>
      <c r="C584" s="55"/>
      <c r="D584" s="55">
        <f t="shared" si="19"/>
        <v>11</v>
      </c>
    </row>
    <row r="585" spans="1:4" x14ac:dyDescent="0.35">
      <c r="A585" s="58">
        <v>36118</v>
      </c>
      <c r="B585" s="55">
        <f t="shared" si="18"/>
        <v>1998</v>
      </c>
      <c r="C585" s="55"/>
      <c r="D585" s="55">
        <f t="shared" si="19"/>
        <v>11</v>
      </c>
    </row>
    <row r="586" spans="1:4" x14ac:dyDescent="0.35">
      <c r="A586" s="58">
        <v>36125</v>
      </c>
      <c r="B586" s="55">
        <f t="shared" si="18"/>
        <v>1998</v>
      </c>
      <c r="C586" s="55"/>
      <c r="D586" s="55">
        <f t="shared" si="19"/>
        <v>11</v>
      </c>
    </row>
    <row r="587" spans="1:4" x14ac:dyDescent="0.35">
      <c r="A587" s="58">
        <v>36132</v>
      </c>
      <c r="B587" s="55">
        <f t="shared" si="18"/>
        <v>1998</v>
      </c>
      <c r="C587" s="55"/>
      <c r="D587" s="55">
        <f t="shared" si="19"/>
        <v>12</v>
      </c>
    </row>
    <row r="588" spans="1:4" x14ac:dyDescent="0.35">
      <c r="A588" s="58">
        <v>36139</v>
      </c>
      <c r="B588" s="55">
        <f t="shared" si="18"/>
        <v>1998</v>
      </c>
      <c r="C588" s="55"/>
      <c r="D588" s="55">
        <f t="shared" si="19"/>
        <v>12</v>
      </c>
    </row>
    <row r="589" spans="1:4" x14ac:dyDescent="0.35">
      <c r="A589" s="58">
        <v>36146</v>
      </c>
      <c r="B589" s="55">
        <f t="shared" si="18"/>
        <v>1998</v>
      </c>
      <c r="C589" s="55"/>
      <c r="D589" s="55">
        <f t="shared" si="19"/>
        <v>12</v>
      </c>
    </row>
    <row r="590" spans="1:4" x14ac:dyDescent="0.35">
      <c r="A590" s="58">
        <v>36152</v>
      </c>
      <c r="B590" s="55">
        <f t="shared" si="18"/>
        <v>1998</v>
      </c>
      <c r="C590" s="55"/>
      <c r="D590" s="55">
        <f t="shared" si="19"/>
        <v>12</v>
      </c>
    </row>
    <row r="591" spans="1:4" x14ac:dyDescent="0.35">
      <c r="A591" s="58">
        <v>36167</v>
      </c>
      <c r="B591" s="55">
        <f t="shared" si="18"/>
        <v>1999</v>
      </c>
      <c r="C591" s="55"/>
      <c r="D591" s="55">
        <f t="shared" si="19"/>
        <v>1</v>
      </c>
    </row>
    <row r="592" spans="1:4" x14ac:dyDescent="0.35">
      <c r="A592" s="58">
        <v>36174</v>
      </c>
      <c r="B592" s="55">
        <f t="shared" si="18"/>
        <v>1999</v>
      </c>
      <c r="C592" s="55"/>
      <c r="D592" s="55">
        <f t="shared" si="19"/>
        <v>1</v>
      </c>
    </row>
    <row r="593" spans="1:4" x14ac:dyDescent="0.35">
      <c r="A593" s="58">
        <v>36181</v>
      </c>
      <c r="B593" s="55">
        <f t="shared" si="18"/>
        <v>1999</v>
      </c>
      <c r="C593" s="55"/>
      <c r="D593" s="55">
        <f t="shared" si="19"/>
        <v>1</v>
      </c>
    </row>
    <row r="594" spans="1:4" x14ac:dyDescent="0.35">
      <c r="A594" s="58">
        <v>36188</v>
      </c>
      <c r="B594" s="55">
        <f t="shared" si="18"/>
        <v>1999</v>
      </c>
      <c r="C594" s="55"/>
      <c r="D594" s="55">
        <f t="shared" si="19"/>
        <v>1</v>
      </c>
    </row>
    <row r="595" spans="1:4" x14ac:dyDescent="0.35">
      <c r="A595" s="58">
        <v>36195</v>
      </c>
      <c r="B595" s="55">
        <f t="shared" si="18"/>
        <v>1999</v>
      </c>
      <c r="C595" s="55"/>
      <c r="D595" s="55">
        <f t="shared" si="19"/>
        <v>2</v>
      </c>
    </row>
    <row r="596" spans="1:4" x14ac:dyDescent="0.35">
      <c r="A596" s="58">
        <v>36202</v>
      </c>
      <c r="B596" s="55">
        <f t="shared" si="18"/>
        <v>1999</v>
      </c>
      <c r="C596" s="55"/>
      <c r="D596" s="55">
        <f t="shared" si="19"/>
        <v>2</v>
      </c>
    </row>
    <row r="597" spans="1:4" x14ac:dyDescent="0.35">
      <c r="A597" s="58">
        <v>36209</v>
      </c>
      <c r="B597" s="55">
        <f t="shared" si="18"/>
        <v>1999</v>
      </c>
      <c r="C597" s="55"/>
      <c r="D597" s="55">
        <f t="shared" si="19"/>
        <v>2</v>
      </c>
    </row>
    <row r="598" spans="1:4" x14ac:dyDescent="0.35">
      <c r="A598" s="58">
        <v>36216</v>
      </c>
      <c r="B598" s="55">
        <f t="shared" si="18"/>
        <v>1999</v>
      </c>
      <c r="C598" s="55"/>
      <c r="D598" s="55">
        <f t="shared" si="19"/>
        <v>2</v>
      </c>
    </row>
    <row r="599" spans="1:4" x14ac:dyDescent="0.35">
      <c r="A599" s="58">
        <v>36223</v>
      </c>
      <c r="B599" s="55">
        <f t="shared" si="18"/>
        <v>1999</v>
      </c>
      <c r="C599" s="55"/>
      <c r="D599" s="55">
        <f t="shared" si="19"/>
        <v>3</v>
      </c>
    </row>
    <row r="600" spans="1:4" x14ac:dyDescent="0.35">
      <c r="A600" s="58">
        <v>36230</v>
      </c>
      <c r="B600" s="55">
        <f t="shared" si="18"/>
        <v>1999</v>
      </c>
      <c r="C600" s="55"/>
      <c r="D600" s="55">
        <f t="shared" si="19"/>
        <v>3</v>
      </c>
    </row>
    <row r="601" spans="1:4" x14ac:dyDescent="0.35">
      <c r="A601" s="58">
        <v>36237</v>
      </c>
      <c r="B601" s="55">
        <f t="shared" si="18"/>
        <v>1999</v>
      </c>
      <c r="C601" s="55"/>
      <c r="D601" s="55">
        <f t="shared" si="19"/>
        <v>3</v>
      </c>
    </row>
    <row r="602" spans="1:4" x14ac:dyDescent="0.35">
      <c r="A602" s="58">
        <v>36244</v>
      </c>
      <c r="B602" s="55">
        <f t="shared" si="18"/>
        <v>1999</v>
      </c>
      <c r="C602" s="55"/>
      <c r="D602" s="55">
        <f t="shared" si="19"/>
        <v>3</v>
      </c>
    </row>
    <row r="603" spans="1:4" x14ac:dyDescent="0.35">
      <c r="A603" s="58">
        <v>36258</v>
      </c>
      <c r="B603" s="55">
        <f t="shared" si="18"/>
        <v>1999</v>
      </c>
      <c r="C603" s="55"/>
      <c r="D603" s="55">
        <f t="shared" si="19"/>
        <v>4</v>
      </c>
    </row>
    <row r="604" spans="1:4" x14ac:dyDescent="0.35">
      <c r="A604" s="58">
        <v>36265</v>
      </c>
      <c r="B604" s="55">
        <f t="shared" si="18"/>
        <v>1999</v>
      </c>
      <c r="C604" s="55"/>
      <c r="D604" s="55">
        <f t="shared" si="19"/>
        <v>4</v>
      </c>
    </row>
    <row r="605" spans="1:4" x14ac:dyDescent="0.35">
      <c r="A605" s="58">
        <v>36272</v>
      </c>
      <c r="B605" s="55">
        <f t="shared" si="18"/>
        <v>1999</v>
      </c>
      <c r="C605" s="55"/>
      <c r="D605" s="55">
        <f t="shared" si="19"/>
        <v>4</v>
      </c>
    </row>
    <row r="606" spans="1:4" x14ac:dyDescent="0.35">
      <c r="A606" s="58">
        <v>36279</v>
      </c>
      <c r="B606" s="55">
        <f t="shared" si="18"/>
        <v>1999</v>
      </c>
      <c r="C606" s="55"/>
      <c r="D606" s="55">
        <f t="shared" si="19"/>
        <v>4</v>
      </c>
    </row>
    <row r="607" spans="1:4" x14ac:dyDescent="0.35">
      <c r="A607" s="58">
        <v>36286</v>
      </c>
      <c r="B607" s="55">
        <f t="shared" si="18"/>
        <v>1999</v>
      </c>
      <c r="C607" s="55"/>
      <c r="D607" s="55">
        <f t="shared" si="19"/>
        <v>5</v>
      </c>
    </row>
    <row r="608" spans="1:4" x14ac:dyDescent="0.35">
      <c r="A608" s="58">
        <v>36293</v>
      </c>
      <c r="B608" s="55">
        <f t="shared" si="18"/>
        <v>1999</v>
      </c>
      <c r="C608" s="55"/>
      <c r="D608" s="55">
        <f t="shared" si="19"/>
        <v>5</v>
      </c>
    </row>
    <row r="609" spans="1:4" x14ac:dyDescent="0.35">
      <c r="A609" s="58">
        <v>36300</v>
      </c>
      <c r="B609" s="55">
        <f t="shared" si="18"/>
        <v>1999</v>
      </c>
      <c r="C609" s="55"/>
      <c r="D609" s="55">
        <f t="shared" si="19"/>
        <v>5</v>
      </c>
    </row>
    <row r="610" spans="1:4" x14ac:dyDescent="0.35">
      <c r="A610" s="58">
        <v>36307</v>
      </c>
      <c r="B610" s="55">
        <f t="shared" si="18"/>
        <v>1999</v>
      </c>
      <c r="C610" s="55"/>
      <c r="D610" s="55">
        <f t="shared" si="19"/>
        <v>5</v>
      </c>
    </row>
    <row r="611" spans="1:4" x14ac:dyDescent="0.35">
      <c r="A611" s="58">
        <v>36314</v>
      </c>
      <c r="B611" s="55">
        <f t="shared" si="18"/>
        <v>1999</v>
      </c>
      <c r="C611" s="55"/>
      <c r="D611" s="55">
        <f t="shared" si="19"/>
        <v>6</v>
      </c>
    </row>
    <row r="612" spans="1:4" x14ac:dyDescent="0.35">
      <c r="A612" s="58">
        <v>36321</v>
      </c>
      <c r="B612" s="55">
        <f t="shared" si="18"/>
        <v>1999</v>
      </c>
      <c r="C612" s="55"/>
      <c r="D612" s="55">
        <f t="shared" si="19"/>
        <v>6</v>
      </c>
    </row>
    <row r="613" spans="1:4" x14ac:dyDescent="0.35">
      <c r="A613" s="58">
        <v>36328</v>
      </c>
      <c r="B613" s="55">
        <f t="shared" si="18"/>
        <v>1999</v>
      </c>
      <c r="C613" s="55"/>
      <c r="D613" s="55">
        <f t="shared" si="19"/>
        <v>6</v>
      </c>
    </row>
    <row r="614" spans="1:4" x14ac:dyDescent="0.35">
      <c r="A614" s="58">
        <v>36335</v>
      </c>
      <c r="B614" s="55">
        <f t="shared" si="18"/>
        <v>1999</v>
      </c>
      <c r="C614" s="55"/>
      <c r="D614" s="55">
        <f t="shared" si="19"/>
        <v>6</v>
      </c>
    </row>
    <row r="615" spans="1:4" x14ac:dyDescent="0.35">
      <c r="A615" s="58">
        <v>36342</v>
      </c>
      <c r="B615" s="55">
        <f t="shared" si="18"/>
        <v>1999</v>
      </c>
      <c r="C615" s="55"/>
      <c r="D615" s="55">
        <f t="shared" si="19"/>
        <v>7</v>
      </c>
    </row>
    <row r="616" spans="1:4" x14ac:dyDescent="0.35">
      <c r="A616" s="58">
        <v>36349</v>
      </c>
      <c r="B616" s="55">
        <f t="shared" si="18"/>
        <v>1999</v>
      </c>
      <c r="C616" s="55"/>
      <c r="D616" s="55">
        <f t="shared" si="19"/>
        <v>7</v>
      </c>
    </row>
    <row r="617" spans="1:4" x14ac:dyDescent="0.35">
      <c r="A617" s="58">
        <v>36356</v>
      </c>
      <c r="B617" s="55">
        <f t="shared" si="18"/>
        <v>1999</v>
      </c>
      <c r="C617" s="55"/>
      <c r="D617" s="55">
        <f t="shared" si="19"/>
        <v>7</v>
      </c>
    </row>
    <row r="618" spans="1:4" x14ac:dyDescent="0.35">
      <c r="A618" s="58">
        <v>36363</v>
      </c>
      <c r="B618" s="55">
        <f t="shared" si="18"/>
        <v>1999</v>
      </c>
      <c r="C618" s="55"/>
      <c r="D618" s="55">
        <f t="shared" si="19"/>
        <v>7</v>
      </c>
    </row>
    <row r="619" spans="1:4" x14ac:dyDescent="0.35">
      <c r="A619" s="58">
        <v>36370</v>
      </c>
      <c r="B619" s="55">
        <f t="shared" si="18"/>
        <v>1999</v>
      </c>
      <c r="C619" s="55"/>
      <c r="D619" s="55">
        <f t="shared" si="19"/>
        <v>7</v>
      </c>
    </row>
    <row r="620" spans="1:4" x14ac:dyDescent="0.35">
      <c r="A620" s="58">
        <v>36377</v>
      </c>
      <c r="B620" s="55">
        <f t="shared" si="18"/>
        <v>1999</v>
      </c>
      <c r="C620" s="55"/>
      <c r="D620" s="55">
        <f t="shared" si="19"/>
        <v>8</v>
      </c>
    </row>
    <row r="621" spans="1:4" x14ac:dyDescent="0.35">
      <c r="A621" s="58">
        <v>36384</v>
      </c>
      <c r="B621" s="55">
        <f t="shared" si="18"/>
        <v>1999</v>
      </c>
      <c r="C621" s="55"/>
      <c r="D621" s="55">
        <f t="shared" si="19"/>
        <v>8</v>
      </c>
    </row>
    <row r="622" spans="1:4" x14ac:dyDescent="0.35">
      <c r="A622" s="58">
        <v>36391</v>
      </c>
      <c r="B622" s="55">
        <f t="shared" si="18"/>
        <v>1999</v>
      </c>
      <c r="C622" s="55"/>
      <c r="D622" s="55">
        <f t="shared" si="19"/>
        <v>8</v>
      </c>
    </row>
    <row r="623" spans="1:4" x14ac:dyDescent="0.35">
      <c r="A623" s="58">
        <v>36398</v>
      </c>
      <c r="B623" s="55">
        <f t="shared" si="18"/>
        <v>1999</v>
      </c>
      <c r="C623" s="55"/>
      <c r="D623" s="55">
        <f t="shared" si="19"/>
        <v>8</v>
      </c>
    </row>
    <row r="624" spans="1:4" x14ac:dyDescent="0.35">
      <c r="A624" s="58">
        <v>36405</v>
      </c>
      <c r="B624" s="55">
        <f t="shared" si="18"/>
        <v>1999</v>
      </c>
      <c r="C624" s="55"/>
      <c r="D624" s="55">
        <f t="shared" si="19"/>
        <v>9</v>
      </c>
    </row>
    <row r="625" spans="1:4" x14ac:dyDescent="0.35">
      <c r="A625" s="58">
        <v>36412</v>
      </c>
      <c r="B625" s="55">
        <f t="shared" si="18"/>
        <v>1999</v>
      </c>
      <c r="C625" s="55"/>
      <c r="D625" s="55">
        <f t="shared" si="19"/>
        <v>9</v>
      </c>
    </row>
    <row r="626" spans="1:4" x14ac:dyDescent="0.35">
      <c r="A626" s="58">
        <v>36419</v>
      </c>
      <c r="B626" s="55">
        <f t="shared" si="18"/>
        <v>1999</v>
      </c>
      <c r="C626" s="55"/>
      <c r="D626" s="55">
        <f t="shared" si="19"/>
        <v>9</v>
      </c>
    </row>
    <row r="627" spans="1:4" x14ac:dyDescent="0.35">
      <c r="A627" s="58">
        <v>36426</v>
      </c>
      <c r="B627" s="55">
        <f t="shared" si="18"/>
        <v>1999</v>
      </c>
      <c r="C627" s="55"/>
      <c r="D627" s="55">
        <f t="shared" si="19"/>
        <v>9</v>
      </c>
    </row>
    <row r="628" spans="1:4" x14ac:dyDescent="0.35">
      <c r="A628" s="58">
        <v>36433</v>
      </c>
      <c r="B628" s="55">
        <f t="shared" si="18"/>
        <v>1999</v>
      </c>
      <c r="C628" s="55"/>
      <c r="D628" s="55">
        <f t="shared" si="19"/>
        <v>9</v>
      </c>
    </row>
    <row r="629" spans="1:4" x14ac:dyDescent="0.35">
      <c r="A629" s="58">
        <v>36440</v>
      </c>
      <c r="B629" s="55">
        <f t="shared" si="18"/>
        <v>1999</v>
      </c>
      <c r="C629" s="55"/>
      <c r="D629" s="55">
        <f t="shared" si="19"/>
        <v>10</v>
      </c>
    </row>
    <row r="630" spans="1:4" x14ac:dyDescent="0.35">
      <c r="A630" s="58">
        <v>36447</v>
      </c>
      <c r="B630" s="55">
        <f t="shared" si="18"/>
        <v>1999</v>
      </c>
      <c r="C630" s="55"/>
      <c r="D630" s="55">
        <f t="shared" si="19"/>
        <v>10</v>
      </c>
    </row>
    <row r="631" spans="1:4" x14ac:dyDescent="0.35">
      <c r="A631" s="58">
        <v>36454</v>
      </c>
      <c r="B631" s="55">
        <f t="shared" si="18"/>
        <v>1999</v>
      </c>
      <c r="C631" s="55"/>
      <c r="D631" s="55">
        <f t="shared" si="19"/>
        <v>10</v>
      </c>
    </row>
    <row r="632" spans="1:4" x14ac:dyDescent="0.35">
      <c r="A632" s="58">
        <v>36461</v>
      </c>
      <c r="B632" s="55">
        <f t="shared" si="18"/>
        <v>1999</v>
      </c>
      <c r="C632" s="55"/>
      <c r="D632" s="55">
        <f t="shared" si="19"/>
        <v>10</v>
      </c>
    </row>
    <row r="633" spans="1:4" x14ac:dyDescent="0.35">
      <c r="A633" s="58">
        <v>36468</v>
      </c>
      <c r="B633" s="55">
        <f t="shared" si="18"/>
        <v>1999</v>
      </c>
      <c r="C633" s="55"/>
      <c r="D633" s="55">
        <f t="shared" si="19"/>
        <v>11</v>
      </c>
    </row>
    <row r="634" spans="1:4" x14ac:dyDescent="0.35">
      <c r="A634" s="58">
        <v>36475</v>
      </c>
      <c r="B634" s="55">
        <f t="shared" si="18"/>
        <v>1999</v>
      </c>
      <c r="C634" s="55"/>
      <c r="D634" s="55">
        <f t="shared" si="19"/>
        <v>11</v>
      </c>
    </row>
    <row r="635" spans="1:4" x14ac:dyDescent="0.35">
      <c r="A635" s="58">
        <v>36482</v>
      </c>
      <c r="B635" s="55">
        <f t="shared" si="18"/>
        <v>1999</v>
      </c>
      <c r="C635" s="55"/>
      <c r="D635" s="55">
        <f t="shared" si="19"/>
        <v>11</v>
      </c>
    </row>
    <row r="636" spans="1:4" x14ac:dyDescent="0.35">
      <c r="A636" s="58">
        <v>36489</v>
      </c>
      <c r="B636" s="55">
        <f t="shared" si="18"/>
        <v>1999</v>
      </c>
      <c r="C636" s="55"/>
      <c r="D636" s="55">
        <f t="shared" si="19"/>
        <v>11</v>
      </c>
    </row>
    <row r="637" spans="1:4" x14ac:dyDescent="0.35">
      <c r="A637" s="58">
        <v>36496</v>
      </c>
      <c r="B637" s="55">
        <f t="shared" si="18"/>
        <v>1999</v>
      </c>
      <c r="C637" s="55"/>
      <c r="D637" s="55">
        <f t="shared" si="19"/>
        <v>12</v>
      </c>
    </row>
    <row r="638" spans="1:4" x14ac:dyDescent="0.35">
      <c r="A638" s="58">
        <v>36503</v>
      </c>
      <c r="B638" s="55">
        <f t="shared" si="18"/>
        <v>1999</v>
      </c>
      <c r="C638" s="55"/>
      <c r="D638" s="55">
        <f t="shared" si="19"/>
        <v>12</v>
      </c>
    </row>
    <row r="639" spans="1:4" x14ac:dyDescent="0.35">
      <c r="A639" s="58">
        <v>36510</v>
      </c>
      <c r="B639" s="55">
        <f t="shared" si="18"/>
        <v>1999</v>
      </c>
      <c r="C639" s="55"/>
      <c r="D639" s="55">
        <f t="shared" si="19"/>
        <v>12</v>
      </c>
    </row>
    <row r="640" spans="1:4" x14ac:dyDescent="0.35">
      <c r="A640" s="58">
        <v>36516</v>
      </c>
      <c r="B640" s="55">
        <f t="shared" si="18"/>
        <v>1999</v>
      </c>
      <c r="C640" s="55"/>
      <c r="D640" s="55">
        <f t="shared" si="19"/>
        <v>12</v>
      </c>
    </row>
    <row r="641" spans="1:4" x14ac:dyDescent="0.35">
      <c r="A641" s="58">
        <v>36531</v>
      </c>
      <c r="B641" s="55">
        <f t="shared" si="18"/>
        <v>2000</v>
      </c>
      <c r="C641" s="55"/>
      <c r="D641" s="55">
        <f t="shared" si="19"/>
        <v>1</v>
      </c>
    </row>
    <row r="642" spans="1:4" x14ac:dyDescent="0.35">
      <c r="A642" s="58">
        <v>36538</v>
      </c>
      <c r="B642" s="55">
        <f t="shared" si="18"/>
        <v>2000</v>
      </c>
      <c r="C642" s="55"/>
      <c r="D642" s="55">
        <f t="shared" si="19"/>
        <v>1</v>
      </c>
    </row>
    <row r="643" spans="1:4" x14ac:dyDescent="0.35">
      <c r="A643" s="58">
        <v>36545</v>
      </c>
      <c r="B643" s="55">
        <f t="shared" si="18"/>
        <v>2000</v>
      </c>
      <c r="C643" s="55"/>
      <c r="D643" s="55">
        <f t="shared" si="19"/>
        <v>1</v>
      </c>
    </row>
    <row r="644" spans="1:4" x14ac:dyDescent="0.35">
      <c r="A644" s="58">
        <v>36552</v>
      </c>
      <c r="B644" s="55">
        <f t="shared" ref="B644:B707" si="20">YEAR(A644)</f>
        <v>2000</v>
      </c>
      <c r="C644" s="55"/>
      <c r="D644" s="55">
        <f t="shared" ref="D644:D707" si="21">MONTH(A644)</f>
        <v>1</v>
      </c>
    </row>
    <row r="645" spans="1:4" x14ac:dyDescent="0.35">
      <c r="A645" s="58">
        <v>36559</v>
      </c>
      <c r="B645" s="55">
        <f t="shared" si="20"/>
        <v>2000</v>
      </c>
      <c r="C645" s="55"/>
      <c r="D645" s="55">
        <f t="shared" si="21"/>
        <v>2</v>
      </c>
    </row>
    <row r="646" spans="1:4" x14ac:dyDescent="0.35">
      <c r="A646" s="58">
        <v>36566</v>
      </c>
      <c r="B646" s="55">
        <f t="shared" si="20"/>
        <v>2000</v>
      </c>
      <c r="C646" s="55"/>
      <c r="D646" s="55">
        <f t="shared" si="21"/>
        <v>2</v>
      </c>
    </row>
    <row r="647" spans="1:4" x14ac:dyDescent="0.35">
      <c r="A647" s="58">
        <v>36573</v>
      </c>
      <c r="B647" s="55">
        <f t="shared" si="20"/>
        <v>2000</v>
      </c>
      <c r="C647" s="55"/>
      <c r="D647" s="55">
        <f t="shared" si="21"/>
        <v>2</v>
      </c>
    </row>
    <row r="648" spans="1:4" x14ac:dyDescent="0.35">
      <c r="A648" s="58">
        <v>36580</v>
      </c>
      <c r="B648" s="55">
        <f t="shared" si="20"/>
        <v>2000</v>
      </c>
      <c r="C648" s="55"/>
      <c r="D648" s="55">
        <f t="shared" si="21"/>
        <v>2</v>
      </c>
    </row>
    <row r="649" spans="1:4" x14ac:dyDescent="0.35">
      <c r="A649" s="58">
        <v>36587</v>
      </c>
      <c r="B649" s="55">
        <f t="shared" si="20"/>
        <v>2000</v>
      </c>
      <c r="C649" s="55"/>
      <c r="D649" s="55">
        <f t="shared" si="21"/>
        <v>3</v>
      </c>
    </row>
    <row r="650" spans="1:4" x14ac:dyDescent="0.35">
      <c r="A650" s="58">
        <v>36594</v>
      </c>
      <c r="B650" s="55">
        <f t="shared" si="20"/>
        <v>2000</v>
      </c>
      <c r="C650" s="55"/>
      <c r="D650" s="55">
        <f t="shared" si="21"/>
        <v>3</v>
      </c>
    </row>
    <row r="651" spans="1:4" x14ac:dyDescent="0.35">
      <c r="A651" s="58">
        <v>36601</v>
      </c>
      <c r="B651" s="55">
        <f t="shared" si="20"/>
        <v>2000</v>
      </c>
      <c r="C651" s="55"/>
      <c r="D651" s="55">
        <f t="shared" si="21"/>
        <v>3</v>
      </c>
    </row>
    <row r="652" spans="1:4" x14ac:dyDescent="0.35">
      <c r="A652" s="58">
        <v>36608</v>
      </c>
      <c r="B652" s="55">
        <f t="shared" si="20"/>
        <v>2000</v>
      </c>
      <c r="C652" s="55"/>
      <c r="D652" s="55">
        <f t="shared" si="21"/>
        <v>3</v>
      </c>
    </row>
    <row r="653" spans="1:4" x14ac:dyDescent="0.35">
      <c r="A653" s="58">
        <v>36615</v>
      </c>
      <c r="B653" s="55">
        <f t="shared" si="20"/>
        <v>2000</v>
      </c>
      <c r="C653" s="55"/>
      <c r="D653" s="55">
        <f t="shared" si="21"/>
        <v>3</v>
      </c>
    </row>
    <row r="654" spans="1:4" x14ac:dyDescent="0.35">
      <c r="A654" s="58">
        <v>36622</v>
      </c>
      <c r="B654" s="55">
        <f t="shared" si="20"/>
        <v>2000</v>
      </c>
      <c r="C654" s="55"/>
      <c r="D654" s="55">
        <f t="shared" si="21"/>
        <v>4</v>
      </c>
    </row>
    <row r="655" spans="1:4" x14ac:dyDescent="0.35">
      <c r="A655" s="58">
        <v>36629</v>
      </c>
      <c r="B655" s="55">
        <f t="shared" si="20"/>
        <v>2000</v>
      </c>
      <c r="C655" s="55"/>
      <c r="D655" s="55">
        <f t="shared" si="21"/>
        <v>4</v>
      </c>
    </row>
    <row r="656" spans="1:4" x14ac:dyDescent="0.35">
      <c r="A656" s="58">
        <v>36643</v>
      </c>
      <c r="B656" s="55">
        <f t="shared" si="20"/>
        <v>2000</v>
      </c>
      <c r="C656" s="55"/>
      <c r="D656" s="55">
        <f t="shared" si="21"/>
        <v>4</v>
      </c>
    </row>
    <row r="657" spans="1:4" x14ac:dyDescent="0.35">
      <c r="A657" s="58">
        <v>36650</v>
      </c>
      <c r="B657" s="55">
        <f t="shared" si="20"/>
        <v>2000</v>
      </c>
      <c r="C657" s="55"/>
      <c r="D657" s="55">
        <f t="shared" si="21"/>
        <v>5</v>
      </c>
    </row>
    <row r="658" spans="1:4" x14ac:dyDescent="0.35">
      <c r="A658" s="58">
        <v>36657</v>
      </c>
      <c r="B658" s="55">
        <f t="shared" si="20"/>
        <v>2000</v>
      </c>
      <c r="C658" s="55"/>
      <c r="D658" s="55">
        <f t="shared" si="21"/>
        <v>5</v>
      </c>
    </row>
    <row r="659" spans="1:4" x14ac:dyDescent="0.35">
      <c r="A659" s="58">
        <v>36664</v>
      </c>
      <c r="B659" s="55">
        <f t="shared" si="20"/>
        <v>2000</v>
      </c>
      <c r="C659" s="55"/>
      <c r="D659" s="55">
        <f t="shared" si="21"/>
        <v>5</v>
      </c>
    </row>
    <row r="660" spans="1:4" x14ac:dyDescent="0.35">
      <c r="A660" s="58">
        <v>36671</v>
      </c>
      <c r="B660" s="55">
        <f t="shared" si="20"/>
        <v>2000</v>
      </c>
      <c r="C660" s="55"/>
      <c r="D660" s="55">
        <f t="shared" si="21"/>
        <v>5</v>
      </c>
    </row>
    <row r="661" spans="1:4" x14ac:dyDescent="0.35">
      <c r="A661" s="58">
        <v>36678</v>
      </c>
      <c r="B661" s="55">
        <f t="shared" si="20"/>
        <v>2000</v>
      </c>
      <c r="C661" s="55"/>
      <c r="D661" s="55">
        <f t="shared" si="21"/>
        <v>6</v>
      </c>
    </row>
    <row r="662" spans="1:4" x14ac:dyDescent="0.35">
      <c r="A662" s="58">
        <v>36685</v>
      </c>
      <c r="B662" s="55">
        <f t="shared" si="20"/>
        <v>2000</v>
      </c>
      <c r="C662" s="55"/>
      <c r="D662" s="55">
        <f t="shared" si="21"/>
        <v>6</v>
      </c>
    </row>
    <row r="663" spans="1:4" x14ac:dyDescent="0.35">
      <c r="A663" s="58">
        <v>36692</v>
      </c>
      <c r="B663" s="55">
        <f t="shared" si="20"/>
        <v>2000</v>
      </c>
      <c r="C663" s="55"/>
      <c r="D663" s="55">
        <f t="shared" si="21"/>
        <v>6</v>
      </c>
    </row>
    <row r="664" spans="1:4" x14ac:dyDescent="0.35">
      <c r="A664" s="58">
        <v>36699</v>
      </c>
      <c r="B664" s="55">
        <f t="shared" si="20"/>
        <v>2000</v>
      </c>
      <c r="C664" s="55"/>
      <c r="D664" s="55">
        <f t="shared" si="21"/>
        <v>6</v>
      </c>
    </row>
    <row r="665" spans="1:4" x14ac:dyDescent="0.35">
      <c r="A665" s="58">
        <v>36706</v>
      </c>
      <c r="B665" s="55">
        <f t="shared" si="20"/>
        <v>2000</v>
      </c>
      <c r="C665" s="55"/>
      <c r="D665" s="55">
        <f t="shared" si="21"/>
        <v>6</v>
      </c>
    </row>
    <row r="666" spans="1:4" x14ac:dyDescent="0.35">
      <c r="A666" s="58">
        <v>36713</v>
      </c>
      <c r="B666" s="55">
        <f t="shared" si="20"/>
        <v>2000</v>
      </c>
      <c r="C666" s="55"/>
      <c r="D666" s="55">
        <f t="shared" si="21"/>
        <v>7</v>
      </c>
    </row>
    <row r="667" spans="1:4" x14ac:dyDescent="0.35">
      <c r="A667" s="58">
        <v>36720</v>
      </c>
      <c r="B667" s="55">
        <f t="shared" si="20"/>
        <v>2000</v>
      </c>
      <c r="C667" s="55"/>
      <c r="D667" s="55">
        <f t="shared" si="21"/>
        <v>7</v>
      </c>
    </row>
    <row r="668" spans="1:4" x14ac:dyDescent="0.35">
      <c r="A668" s="58">
        <v>36727</v>
      </c>
      <c r="B668" s="55">
        <f t="shared" si="20"/>
        <v>2000</v>
      </c>
      <c r="C668" s="55"/>
      <c r="D668" s="55">
        <f t="shared" si="21"/>
        <v>7</v>
      </c>
    </row>
    <row r="669" spans="1:4" x14ac:dyDescent="0.35">
      <c r="A669" s="58">
        <v>36734</v>
      </c>
      <c r="B669" s="55">
        <f t="shared" si="20"/>
        <v>2000</v>
      </c>
      <c r="C669" s="55"/>
      <c r="D669" s="55">
        <f t="shared" si="21"/>
        <v>7</v>
      </c>
    </row>
    <row r="670" spans="1:4" x14ac:dyDescent="0.35">
      <c r="A670" s="58">
        <v>36741</v>
      </c>
      <c r="B670" s="55">
        <f t="shared" si="20"/>
        <v>2000</v>
      </c>
      <c r="C670" s="55"/>
      <c r="D670" s="55">
        <f t="shared" si="21"/>
        <v>8</v>
      </c>
    </row>
    <row r="671" spans="1:4" x14ac:dyDescent="0.35">
      <c r="A671" s="58">
        <v>36748</v>
      </c>
      <c r="B671" s="55">
        <f t="shared" si="20"/>
        <v>2000</v>
      </c>
      <c r="C671" s="55"/>
      <c r="D671" s="55">
        <f t="shared" si="21"/>
        <v>8</v>
      </c>
    </row>
    <row r="672" spans="1:4" x14ac:dyDescent="0.35">
      <c r="A672" s="58">
        <v>36755</v>
      </c>
      <c r="B672" s="55">
        <f t="shared" si="20"/>
        <v>2000</v>
      </c>
      <c r="C672" s="55"/>
      <c r="D672" s="55">
        <f t="shared" si="21"/>
        <v>8</v>
      </c>
    </row>
    <row r="673" spans="1:4" x14ac:dyDescent="0.35">
      <c r="A673" s="58">
        <v>36762</v>
      </c>
      <c r="B673" s="55">
        <f t="shared" si="20"/>
        <v>2000</v>
      </c>
      <c r="C673" s="55"/>
      <c r="D673" s="55">
        <f t="shared" si="21"/>
        <v>8</v>
      </c>
    </row>
    <row r="674" spans="1:4" x14ac:dyDescent="0.35">
      <c r="A674" s="58">
        <v>36769</v>
      </c>
      <c r="B674" s="55">
        <f t="shared" si="20"/>
        <v>2000</v>
      </c>
      <c r="C674" s="55"/>
      <c r="D674" s="55">
        <f t="shared" si="21"/>
        <v>8</v>
      </c>
    </row>
    <row r="675" spans="1:4" x14ac:dyDescent="0.35">
      <c r="A675" s="58">
        <v>36776</v>
      </c>
      <c r="B675" s="55">
        <f t="shared" si="20"/>
        <v>2000</v>
      </c>
      <c r="C675" s="55"/>
      <c r="D675" s="55">
        <f t="shared" si="21"/>
        <v>9</v>
      </c>
    </row>
    <row r="676" spans="1:4" x14ac:dyDescent="0.35">
      <c r="A676" s="58">
        <v>36783</v>
      </c>
      <c r="B676" s="55">
        <f t="shared" si="20"/>
        <v>2000</v>
      </c>
      <c r="C676" s="55"/>
      <c r="D676" s="55">
        <f t="shared" si="21"/>
        <v>9</v>
      </c>
    </row>
    <row r="677" spans="1:4" x14ac:dyDescent="0.35">
      <c r="A677" s="58">
        <v>36790</v>
      </c>
      <c r="B677" s="55">
        <f t="shared" si="20"/>
        <v>2000</v>
      </c>
      <c r="C677" s="55"/>
      <c r="D677" s="55">
        <f t="shared" si="21"/>
        <v>9</v>
      </c>
    </row>
    <row r="678" spans="1:4" x14ac:dyDescent="0.35">
      <c r="A678" s="58">
        <v>36797</v>
      </c>
      <c r="B678" s="55">
        <f t="shared" si="20"/>
        <v>2000</v>
      </c>
      <c r="C678" s="55"/>
      <c r="D678" s="55">
        <f t="shared" si="21"/>
        <v>9</v>
      </c>
    </row>
    <row r="679" spans="1:4" x14ac:dyDescent="0.35">
      <c r="A679" s="58">
        <v>36804</v>
      </c>
      <c r="B679" s="55">
        <f t="shared" si="20"/>
        <v>2000</v>
      </c>
      <c r="C679" s="55"/>
      <c r="D679" s="55">
        <f t="shared" si="21"/>
        <v>10</v>
      </c>
    </row>
    <row r="680" spans="1:4" x14ac:dyDescent="0.35">
      <c r="A680" s="58">
        <v>36811</v>
      </c>
      <c r="B680" s="55">
        <f t="shared" si="20"/>
        <v>2000</v>
      </c>
      <c r="C680" s="55"/>
      <c r="D680" s="55">
        <f t="shared" si="21"/>
        <v>10</v>
      </c>
    </row>
    <row r="681" spans="1:4" x14ac:dyDescent="0.35">
      <c r="A681" s="58">
        <v>36818</v>
      </c>
      <c r="B681" s="55">
        <f t="shared" si="20"/>
        <v>2000</v>
      </c>
      <c r="C681" s="55"/>
      <c r="D681" s="55">
        <f t="shared" si="21"/>
        <v>10</v>
      </c>
    </row>
    <row r="682" spans="1:4" x14ac:dyDescent="0.35">
      <c r="A682" s="58">
        <v>36825</v>
      </c>
      <c r="B682" s="55">
        <f t="shared" si="20"/>
        <v>2000</v>
      </c>
      <c r="C682" s="55"/>
      <c r="D682" s="55">
        <f t="shared" si="21"/>
        <v>10</v>
      </c>
    </row>
    <row r="683" spans="1:4" x14ac:dyDescent="0.35">
      <c r="A683" s="58">
        <v>36832</v>
      </c>
      <c r="B683" s="55">
        <f t="shared" si="20"/>
        <v>2000</v>
      </c>
      <c r="C683" s="55"/>
      <c r="D683" s="55">
        <f t="shared" si="21"/>
        <v>11</v>
      </c>
    </row>
    <row r="684" spans="1:4" x14ac:dyDescent="0.35">
      <c r="A684" s="58">
        <v>36839</v>
      </c>
      <c r="B684" s="55">
        <f t="shared" si="20"/>
        <v>2000</v>
      </c>
      <c r="C684" s="55"/>
      <c r="D684" s="55">
        <f t="shared" si="21"/>
        <v>11</v>
      </c>
    </row>
    <row r="685" spans="1:4" x14ac:dyDescent="0.35">
      <c r="A685" s="58">
        <v>36846</v>
      </c>
      <c r="B685" s="55">
        <f t="shared" si="20"/>
        <v>2000</v>
      </c>
      <c r="C685" s="55"/>
      <c r="D685" s="55">
        <f t="shared" si="21"/>
        <v>11</v>
      </c>
    </row>
    <row r="686" spans="1:4" x14ac:dyDescent="0.35">
      <c r="A686" s="58">
        <v>36853</v>
      </c>
      <c r="B686" s="55">
        <f t="shared" si="20"/>
        <v>2000</v>
      </c>
      <c r="C686" s="55"/>
      <c r="D686" s="55">
        <f t="shared" si="21"/>
        <v>11</v>
      </c>
    </row>
    <row r="687" spans="1:4" x14ac:dyDescent="0.35">
      <c r="A687" s="58">
        <v>36860</v>
      </c>
      <c r="B687" s="55">
        <f t="shared" si="20"/>
        <v>2000</v>
      </c>
      <c r="C687" s="55"/>
      <c r="D687" s="55">
        <f t="shared" si="21"/>
        <v>11</v>
      </c>
    </row>
    <row r="688" spans="1:4" x14ac:dyDescent="0.35">
      <c r="A688" s="58">
        <v>36867</v>
      </c>
      <c r="B688" s="55">
        <f t="shared" si="20"/>
        <v>2000</v>
      </c>
      <c r="C688" s="55"/>
      <c r="D688" s="55">
        <f t="shared" si="21"/>
        <v>12</v>
      </c>
    </row>
    <row r="689" spans="1:4" x14ac:dyDescent="0.35">
      <c r="A689" s="58">
        <v>36874</v>
      </c>
      <c r="B689" s="55">
        <f t="shared" si="20"/>
        <v>2000</v>
      </c>
      <c r="C689" s="55"/>
      <c r="D689" s="55">
        <f t="shared" si="21"/>
        <v>12</v>
      </c>
    </row>
    <row r="690" spans="1:4" x14ac:dyDescent="0.35">
      <c r="A690" s="58">
        <v>36880</v>
      </c>
      <c r="B690" s="55">
        <f t="shared" si="20"/>
        <v>2000</v>
      </c>
      <c r="C690" s="55"/>
      <c r="D690" s="55">
        <f t="shared" si="21"/>
        <v>12</v>
      </c>
    </row>
    <row r="691" spans="1:4" x14ac:dyDescent="0.35">
      <c r="A691" s="58">
        <v>36895</v>
      </c>
      <c r="B691" s="55">
        <f t="shared" si="20"/>
        <v>2001</v>
      </c>
      <c r="C691" s="55"/>
      <c r="D691" s="55">
        <f t="shared" si="21"/>
        <v>1</v>
      </c>
    </row>
    <row r="692" spans="1:4" x14ac:dyDescent="0.35">
      <c r="A692" s="58">
        <v>36902</v>
      </c>
      <c r="B692" s="55">
        <f t="shared" si="20"/>
        <v>2001</v>
      </c>
      <c r="C692" s="55"/>
      <c r="D692" s="55">
        <f t="shared" si="21"/>
        <v>1</v>
      </c>
    </row>
    <row r="693" spans="1:4" x14ac:dyDescent="0.35">
      <c r="A693" s="58">
        <v>36909</v>
      </c>
      <c r="B693" s="55">
        <f t="shared" si="20"/>
        <v>2001</v>
      </c>
      <c r="C693" s="55"/>
      <c r="D693" s="55">
        <f t="shared" si="21"/>
        <v>1</v>
      </c>
    </row>
    <row r="694" spans="1:4" x14ac:dyDescent="0.35">
      <c r="A694" s="58">
        <v>36916</v>
      </c>
      <c r="B694" s="55">
        <f t="shared" si="20"/>
        <v>2001</v>
      </c>
      <c r="C694" s="55"/>
      <c r="D694" s="55">
        <f t="shared" si="21"/>
        <v>1</v>
      </c>
    </row>
    <row r="695" spans="1:4" x14ac:dyDescent="0.35">
      <c r="A695" s="58">
        <v>36923</v>
      </c>
      <c r="B695" s="55">
        <f t="shared" si="20"/>
        <v>2001</v>
      </c>
      <c r="C695" s="55"/>
      <c r="D695" s="55">
        <f t="shared" si="21"/>
        <v>2</v>
      </c>
    </row>
    <row r="696" spans="1:4" x14ac:dyDescent="0.35">
      <c r="A696" s="58">
        <v>36930</v>
      </c>
      <c r="B696" s="55">
        <f t="shared" si="20"/>
        <v>2001</v>
      </c>
      <c r="C696" s="55"/>
      <c r="D696" s="55">
        <f t="shared" si="21"/>
        <v>2</v>
      </c>
    </row>
    <row r="697" spans="1:4" x14ac:dyDescent="0.35">
      <c r="A697" s="58">
        <v>36937</v>
      </c>
      <c r="B697" s="55">
        <f t="shared" si="20"/>
        <v>2001</v>
      </c>
      <c r="C697" s="55"/>
      <c r="D697" s="55">
        <f t="shared" si="21"/>
        <v>2</v>
      </c>
    </row>
    <row r="698" spans="1:4" x14ac:dyDescent="0.35">
      <c r="A698" s="58">
        <v>36944</v>
      </c>
      <c r="B698" s="55">
        <f t="shared" si="20"/>
        <v>2001</v>
      </c>
      <c r="C698" s="55"/>
      <c r="D698" s="55">
        <f t="shared" si="21"/>
        <v>2</v>
      </c>
    </row>
    <row r="699" spans="1:4" x14ac:dyDescent="0.35">
      <c r="A699" s="58">
        <v>36951</v>
      </c>
      <c r="B699" s="55">
        <f t="shared" si="20"/>
        <v>2001</v>
      </c>
      <c r="C699" s="55"/>
      <c r="D699" s="55">
        <f t="shared" si="21"/>
        <v>3</v>
      </c>
    </row>
    <row r="700" spans="1:4" x14ac:dyDescent="0.35">
      <c r="A700" s="58">
        <v>36958</v>
      </c>
      <c r="B700" s="55">
        <f t="shared" si="20"/>
        <v>2001</v>
      </c>
      <c r="C700" s="55"/>
      <c r="D700" s="55">
        <f t="shared" si="21"/>
        <v>3</v>
      </c>
    </row>
    <row r="701" spans="1:4" x14ac:dyDescent="0.35">
      <c r="A701" s="58">
        <v>36965</v>
      </c>
      <c r="B701" s="55">
        <f t="shared" si="20"/>
        <v>2001</v>
      </c>
      <c r="C701" s="55"/>
      <c r="D701" s="55">
        <f t="shared" si="21"/>
        <v>3</v>
      </c>
    </row>
    <row r="702" spans="1:4" x14ac:dyDescent="0.35">
      <c r="A702" s="58">
        <v>36972</v>
      </c>
      <c r="B702" s="55">
        <f t="shared" si="20"/>
        <v>2001</v>
      </c>
      <c r="C702" s="55"/>
      <c r="D702" s="55">
        <f t="shared" si="21"/>
        <v>3</v>
      </c>
    </row>
    <row r="703" spans="1:4" x14ac:dyDescent="0.35">
      <c r="A703" s="58">
        <v>36979</v>
      </c>
      <c r="B703" s="55">
        <f t="shared" si="20"/>
        <v>2001</v>
      </c>
      <c r="C703" s="55"/>
      <c r="D703" s="55">
        <f t="shared" si="21"/>
        <v>3</v>
      </c>
    </row>
    <row r="704" spans="1:4" x14ac:dyDescent="0.35">
      <c r="A704" s="58">
        <v>36986</v>
      </c>
      <c r="B704" s="55">
        <f t="shared" si="20"/>
        <v>2001</v>
      </c>
      <c r="C704" s="55"/>
      <c r="D704" s="55">
        <f t="shared" si="21"/>
        <v>4</v>
      </c>
    </row>
    <row r="705" spans="1:4" x14ac:dyDescent="0.35">
      <c r="A705" s="58">
        <v>37000</v>
      </c>
      <c r="B705" s="55">
        <f t="shared" si="20"/>
        <v>2001</v>
      </c>
      <c r="C705" s="55"/>
      <c r="D705" s="55">
        <f t="shared" si="21"/>
        <v>4</v>
      </c>
    </row>
    <row r="706" spans="1:4" x14ac:dyDescent="0.35">
      <c r="A706" s="58">
        <v>37007</v>
      </c>
      <c r="B706" s="55">
        <f t="shared" si="20"/>
        <v>2001</v>
      </c>
      <c r="C706" s="55"/>
      <c r="D706" s="55">
        <f t="shared" si="21"/>
        <v>4</v>
      </c>
    </row>
    <row r="707" spans="1:4" x14ac:dyDescent="0.35">
      <c r="A707" s="58">
        <v>37014</v>
      </c>
      <c r="B707" s="55">
        <f t="shared" si="20"/>
        <v>2001</v>
      </c>
      <c r="C707" s="55"/>
      <c r="D707" s="55">
        <f t="shared" si="21"/>
        <v>5</v>
      </c>
    </row>
    <row r="708" spans="1:4" x14ac:dyDescent="0.35">
      <c r="A708" s="58">
        <v>37021</v>
      </c>
      <c r="B708" s="55">
        <f t="shared" ref="B708:B771" si="22">YEAR(A708)</f>
        <v>2001</v>
      </c>
      <c r="C708" s="55"/>
      <c r="D708" s="55">
        <f t="shared" ref="D708:D771" si="23">MONTH(A708)</f>
        <v>5</v>
      </c>
    </row>
    <row r="709" spans="1:4" x14ac:dyDescent="0.35">
      <c r="A709" s="58">
        <v>37028</v>
      </c>
      <c r="B709" s="55">
        <f t="shared" si="22"/>
        <v>2001</v>
      </c>
      <c r="C709" s="55"/>
      <c r="D709" s="55">
        <f t="shared" si="23"/>
        <v>5</v>
      </c>
    </row>
    <row r="710" spans="1:4" x14ac:dyDescent="0.35">
      <c r="A710" s="58">
        <v>37035</v>
      </c>
      <c r="B710" s="55">
        <f t="shared" si="22"/>
        <v>2001</v>
      </c>
      <c r="C710" s="55"/>
      <c r="D710" s="55">
        <f t="shared" si="23"/>
        <v>5</v>
      </c>
    </row>
    <row r="711" spans="1:4" x14ac:dyDescent="0.35">
      <c r="A711" s="58">
        <v>37042</v>
      </c>
      <c r="B711" s="55">
        <f t="shared" si="22"/>
        <v>2001</v>
      </c>
      <c r="C711" s="55"/>
      <c r="D711" s="55">
        <f t="shared" si="23"/>
        <v>5</v>
      </c>
    </row>
    <row r="712" spans="1:4" x14ac:dyDescent="0.35">
      <c r="A712" s="58">
        <v>37049</v>
      </c>
      <c r="B712" s="55">
        <f t="shared" si="22"/>
        <v>2001</v>
      </c>
      <c r="C712" s="55"/>
      <c r="D712" s="55">
        <f t="shared" si="23"/>
        <v>6</v>
      </c>
    </row>
    <row r="713" spans="1:4" x14ac:dyDescent="0.35">
      <c r="A713" s="58">
        <v>37056</v>
      </c>
      <c r="B713" s="55">
        <f t="shared" si="22"/>
        <v>2001</v>
      </c>
      <c r="C713" s="55"/>
      <c r="D713" s="55">
        <f t="shared" si="23"/>
        <v>6</v>
      </c>
    </row>
    <row r="714" spans="1:4" x14ac:dyDescent="0.35">
      <c r="A714" s="58">
        <v>37063</v>
      </c>
      <c r="B714" s="55">
        <f t="shared" si="22"/>
        <v>2001</v>
      </c>
      <c r="C714" s="55"/>
      <c r="D714" s="55">
        <f t="shared" si="23"/>
        <v>6</v>
      </c>
    </row>
    <row r="715" spans="1:4" x14ac:dyDescent="0.35">
      <c r="A715" s="58">
        <v>37070</v>
      </c>
      <c r="B715" s="55">
        <f t="shared" si="22"/>
        <v>2001</v>
      </c>
      <c r="C715" s="55"/>
      <c r="D715" s="55">
        <f t="shared" si="23"/>
        <v>6</v>
      </c>
    </row>
    <row r="716" spans="1:4" x14ac:dyDescent="0.35">
      <c r="A716" s="58">
        <v>37077</v>
      </c>
      <c r="B716" s="55">
        <f t="shared" si="22"/>
        <v>2001</v>
      </c>
      <c r="C716" s="55"/>
      <c r="D716" s="55">
        <f t="shared" si="23"/>
        <v>7</v>
      </c>
    </row>
    <row r="717" spans="1:4" x14ac:dyDescent="0.35">
      <c r="A717" s="58">
        <v>37084</v>
      </c>
      <c r="B717" s="55">
        <f t="shared" si="22"/>
        <v>2001</v>
      </c>
      <c r="C717" s="55"/>
      <c r="D717" s="55">
        <f t="shared" si="23"/>
        <v>7</v>
      </c>
    </row>
    <row r="718" spans="1:4" x14ac:dyDescent="0.35">
      <c r="A718" s="58">
        <v>37091</v>
      </c>
      <c r="B718" s="55">
        <f t="shared" si="22"/>
        <v>2001</v>
      </c>
      <c r="C718" s="55"/>
      <c r="D718" s="55">
        <f t="shared" si="23"/>
        <v>7</v>
      </c>
    </row>
    <row r="719" spans="1:4" x14ac:dyDescent="0.35">
      <c r="A719" s="58">
        <v>37098</v>
      </c>
      <c r="B719" s="55">
        <f t="shared" si="22"/>
        <v>2001</v>
      </c>
      <c r="C719" s="55"/>
      <c r="D719" s="55">
        <f t="shared" si="23"/>
        <v>7</v>
      </c>
    </row>
    <row r="720" spans="1:4" x14ac:dyDescent="0.35">
      <c r="A720" s="58">
        <v>37105</v>
      </c>
      <c r="B720" s="55">
        <f t="shared" si="22"/>
        <v>2001</v>
      </c>
      <c r="C720" s="55"/>
      <c r="D720" s="55">
        <f t="shared" si="23"/>
        <v>8</v>
      </c>
    </row>
    <row r="721" spans="1:4" x14ac:dyDescent="0.35">
      <c r="A721" s="58">
        <v>37112</v>
      </c>
      <c r="B721" s="55">
        <f t="shared" si="22"/>
        <v>2001</v>
      </c>
      <c r="C721" s="55"/>
      <c r="D721" s="55">
        <f t="shared" si="23"/>
        <v>8</v>
      </c>
    </row>
    <row r="722" spans="1:4" x14ac:dyDescent="0.35">
      <c r="A722" s="58">
        <v>37119</v>
      </c>
      <c r="B722" s="55">
        <f t="shared" si="22"/>
        <v>2001</v>
      </c>
      <c r="C722" s="55"/>
      <c r="D722" s="55">
        <f t="shared" si="23"/>
        <v>8</v>
      </c>
    </row>
    <row r="723" spans="1:4" x14ac:dyDescent="0.35">
      <c r="A723" s="58">
        <v>37125</v>
      </c>
      <c r="B723" s="55">
        <f t="shared" si="22"/>
        <v>2001</v>
      </c>
      <c r="C723" s="55"/>
      <c r="D723" s="55">
        <f t="shared" si="23"/>
        <v>8</v>
      </c>
    </row>
    <row r="724" spans="1:4" x14ac:dyDescent="0.35">
      <c r="A724" s="58">
        <v>37133</v>
      </c>
      <c r="B724" s="55">
        <f t="shared" si="22"/>
        <v>2001</v>
      </c>
      <c r="C724" s="55"/>
      <c r="D724" s="55">
        <f t="shared" si="23"/>
        <v>8</v>
      </c>
    </row>
    <row r="725" spans="1:4" x14ac:dyDescent="0.35">
      <c r="A725" s="58">
        <v>37137</v>
      </c>
      <c r="B725" s="55">
        <f t="shared" si="22"/>
        <v>2001</v>
      </c>
      <c r="C725" s="55"/>
      <c r="D725" s="55">
        <f t="shared" si="23"/>
        <v>9</v>
      </c>
    </row>
    <row r="726" spans="1:4" x14ac:dyDescent="0.35">
      <c r="A726" s="58">
        <v>37147</v>
      </c>
      <c r="B726" s="55">
        <f t="shared" si="22"/>
        <v>2001</v>
      </c>
      <c r="C726" s="55"/>
      <c r="D726" s="55">
        <f t="shared" si="23"/>
        <v>9</v>
      </c>
    </row>
    <row r="727" spans="1:4" x14ac:dyDescent="0.35">
      <c r="A727" s="58">
        <v>37154</v>
      </c>
      <c r="B727" s="55">
        <f t="shared" si="22"/>
        <v>2001</v>
      </c>
      <c r="C727" s="55"/>
      <c r="D727" s="55">
        <f t="shared" si="23"/>
        <v>9</v>
      </c>
    </row>
    <row r="728" spans="1:4" x14ac:dyDescent="0.35">
      <c r="A728" s="58">
        <v>37161</v>
      </c>
      <c r="B728" s="55">
        <f t="shared" si="22"/>
        <v>2001</v>
      </c>
      <c r="C728" s="55"/>
      <c r="D728" s="55">
        <f t="shared" si="23"/>
        <v>9</v>
      </c>
    </row>
    <row r="729" spans="1:4" x14ac:dyDescent="0.35">
      <c r="A729" s="58">
        <v>37168</v>
      </c>
      <c r="B729" s="55">
        <f t="shared" si="22"/>
        <v>2001</v>
      </c>
      <c r="C729" s="55"/>
      <c r="D729" s="55">
        <f t="shared" si="23"/>
        <v>10</v>
      </c>
    </row>
    <row r="730" spans="1:4" x14ac:dyDescent="0.35">
      <c r="A730" s="58">
        <v>37175</v>
      </c>
      <c r="B730" s="55">
        <f t="shared" si="22"/>
        <v>2001</v>
      </c>
      <c r="C730" s="55"/>
      <c r="D730" s="55">
        <f t="shared" si="23"/>
        <v>10</v>
      </c>
    </row>
    <row r="731" spans="1:4" x14ac:dyDescent="0.35">
      <c r="A731" s="58">
        <v>37182</v>
      </c>
      <c r="B731" s="55">
        <f t="shared" si="22"/>
        <v>2001</v>
      </c>
      <c r="C731" s="55"/>
      <c r="D731" s="55">
        <f t="shared" si="23"/>
        <v>10</v>
      </c>
    </row>
    <row r="732" spans="1:4" x14ac:dyDescent="0.35">
      <c r="A732" s="58">
        <v>37189</v>
      </c>
      <c r="B732" s="55">
        <f t="shared" si="22"/>
        <v>2001</v>
      </c>
      <c r="C732" s="55"/>
      <c r="D732" s="55">
        <f t="shared" si="23"/>
        <v>10</v>
      </c>
    </row>
    <row r="733" spans="1:4" x14ac:dyDescent="0.35">
      <c r="A733" s="58">
        <v>37196</v>
      </c>
      <c r="B733" s="55">
        <f t="shared" si="22"/>
        <v>2001</v>
      </c>
      <c r="C733" s="55"/>
      <c r="D733" s="55">
        <f t="shared" si="23"/>
        <v>11</v>
      </c>
    </row>
    <row r="734" spans="1:4" x14ac:dyDescent="0.35">
      <c r="A734" s="58">
        <v>37203</v>
      </c>
      <c r="B734" s="55">
        <f t="shared" si="22"/>
        <v>2001</v>
      </c>
      <c r="C734" s="55"/>
      <c r="D734" s="55">
        <f t="shared" si="23"/>
        <v>11</v>
      </c>
    </row>
    <row r="735" spans="1:4" x14ac:dyDescent="0.35">
      <c r="A735" s="58">
        <v>37210</v>
      </c>
      <c r="B735" s="55">
        <f t="shared" si="22"/>
        <v>2001</v>
      </c>
      <c r="C735" s="55"/>
      <c r="D735" s="55">
        <f t="shared" si="23"/>
        <v>11</v>
      </c>
    </row>
    <row r="736" spans="1:4" x14ac:dyDescent="0.35">
      <c r="A736" s="58">
        <v>37217</v>
      </c>
      <c r="B736" s="55">
        <f t="shared" si="22"/>
        <v>2001</v>
      </c>
      <c r="C736" s="55"/>
      <c r="D736" s="55">
        <f t="shared" si="23"/>
        <v>11</v>
      </c>
    </row>
    <row r="737" spans="1:4" x14ac:dyDescent="0.35">
      <c r="A737" s="58">
        <v>37224</v>
      </c>
      <c r="B737" s="55">
        <f t="shared" si="22"/>
        <v>2001</v>
      </c>
      <c r="C737" s="55"/>
      <c r="D737" s="55">
        <f t="shared" si="23"/>
        <v>11</v>
      </c>
    </row>
    <row r="738" spans="1:4" x14ac:dyDescent="0.35">
      <c r="A738" s="58">
        <v>37231</v>
      </c>
      <c r="B738" s="55">
        <f t="shared" si="22"/>
        <v>2001</v>
      </c>
      <c r="C738" s="55"/>
      <c r="D738" s="55">
        <f t="shared" si="23"/>
        <v>12</v>
      </c>
    </row>
    <row r="739" spans="1:4" x14ac:dyDescent="0.35">
      <c r="A739" s="58">
        <v>37238</v>
      </c>
      <c r="B739" s="55">
        <f t="shared" si="22"/>
        <v>2001</v>
      </c>
      <c r="C739" s="55"/>
      <c r="D739" s="55">
        <f t="shared" si="23"/>
        <v>12</v>
      </c>
    </row>
    <row r="740" spans="1:4" x14ac:dyDescent="0.35">
      <c r="A740" s="58">
        <v>37244</v>
      </c>
      <c r="B740" s="55">
        <f t="shared" si="22"/>
        <v>2001</v>
      </c>
      <c r="C740" s="55"/>
      <c r="D740" s="55">
        <f t="shared" si="23"/>
        <v>12</v>
      </c>
    </row>
    <row r="741" spans="1:4" x14ac:dyDescent="0.35">
      <c r="A741" s="58">
        <v>37259</v>
      </c>
      <c r="B741" s="55">
        <f t="shared" si="22"/>
        <v>2002</v>
      </c>
      <c r="C741" s="55"/>
      <c r="D741" s="55">
        <f t="shared" si="23"/>
        <v>1</v>
      </c>
    </row>
    <row r="742" spans="1:4" x14ac:dyDescent="0.35">
      <c r="A742" s="58">
        <v>37266</v>
      </c>
      <c r="B742" s="55">
        <f t="shared" si="22"/>
        <v>2002</v>
      </c>
      <c r="C742" s="55"/>
      <c r="D742" s="55">
        <f t="shared" si="23"/>
        <v>1</v>
      </c>
    </row>
    <row r="743" spans="1:4" x14ac:dyDescent="0.35">
      <c r="A743" s="58">
        <v>37273</v>
      </c>
      <c r="B743" s="55">
        <f t="shared" si="22"/>
        <v>2002</v>
      </c>
      <c r="C743" s="55"/>
      <c r="D743" s="55">
        <f t="shared" si="23"/>
        <v>1</v>
      </c>
    </row>
    <row r="744" spans="1:4" x14ac:dyDescent="0.35">
      <c r="A744" s="58">
        <v>37280</v>
      </c>
      <c r="B744" s="55">
        <f t="shared" si="22"/>
        <v>2002</v>
      </c>
      <c r="C744" s="55"/>
      <c r="D744" s="55">
        <f t="shared" si="23"/>
        <v>1</v>
      </c>
    </row>
    <row r="745" spans="1:4" x14ac:dyDescent="0.35">
      <c r="A745" s="58">
        <v>37287</v>
      </c>
      <c r="B745" s="55">
        <f t="shared" si="22"/>
        <v>2002</v>
      </c>
      <c r="C745" s="55"/>
      <c r="D745" s="55">
        <f t="shared" si="23"/>
        <v>1</v>
      </c>
    </row>
    <row r="746" spans="1:4" x14ac:dyDescent="0.35">
      <c r="A746" s="58">
        <v>37294</v>
      </c>
      <c r="B746" s="55">
        <f t="shared" si="22"/>
        <v>2002</v>
      </c>
      <c r="C746" s="55"/>
      <c r="D746" s="55">
        <f t="shared" si="23"/>
        <v>2</v>
      </c>
    </row>
    <row r="747" spans="1:4" x14ac:dyDescent="0.35">
      <c r="A747" s="58">
        <v>37301</v>
      </c>
      <c r="B747" s="55">
        <f t="shared" si="22"/>
        <v>2002</v>
      </c>
      <c r="C747" s="55"/>
      <c r="D747" s="55">
        <f t="shared" si="23"/>
        <v>2</v>
      </c>
    </row>
    <row r="748" spans="1:4" x14ac:dyDescent="0.35">
      <c r="A748" s="58">
        <v>37308</v>
      </c>
      <c r="B748" s="55">
        <f t="shared" si="22"/>
        <v>2002</v>
      </c>
      <c r="C748" s="55"/>
      <c r="D748" s="55">
        <f t="shared" si="23"/>
        <v>2</v>
      </c>
    </row>
    <row r="749" spans="1:4" x14ac:dyDescent="0.35">
      <c r="A749" s="58">
        <v>37315</v>
      </c>
      <c r="B749" s="55">
        <f t="shared" si="22"/>
        <v>2002</v>
      </c>
      <c r="C749" s="55"/>
      <c r="D749" s="55">
        <f t="shared" si="23"/>
        <v>2</v>
      </c>
    </row>
    <row r="750" spans="1:4" x14ac:dyDescent="0.35">
      <c r="A750" s="58">
        <v>37322</v>
      </c>
      <c r="B750" s="55">
        <f t="shared" si="22"/>
        <v>2002</v>
      </c>
      <c r="C750" s="55"/>
      <c r="D750" s="55">
        <f t="shared" si="23"/>
        <v>3</v>
      </c>
    </row>
    <row r="751" spans="1:4" x14ac:dyDescent="0.35">
      <c r="A751" s="58">
        <v>37329</v>
      </c>
      <c r="B751" s="55">
        <f t="shared" si="22"/>
        <v>2002</v>
      </c>
      <c r="C751" s="55"/>
      <c r="D751" s="55">
        <f t="shared" si="23"/>
        <v>3</v>
      </c>
    </row>
    <row r="752" spans="1:4" x14ac:dyDescent="0.35">
      <c r="A752" s="58">
        <v>37336</v>
      </c>
      <c r="B752" s="55">
        <f t="shared" si="22"/>
        <v>2002</v>
      </c>
      <c r="C752" s="55"/>
      <c r="D752" s="55">
        <f t="shared" si="23"/>
        <v>3</v>
      </c>
    </row>
    <row r="753" spans="1:4" x14ac:dyDescent="0.35">
      <c r="A753" s="58">
        <v>37342</v>
      </c>
      <c r="B753" s="55">
        <f t="shared" si="22"/>
        <v>2002</v>
      </c>
      <c r="C753" s="55"/>
      <c r="D753" s="55">
        <f t="shared" si="23"/>
        <v>3</v>
      </c>
    </row>
    <row r="754" spans="1:4" x14ac:dyDescent="0.35">
      <c r="A754" s="58">
        <v>37350</v>
      </c>
      <c r="B754" s="55">
        <f t="shared" si="22"/>
        <v>2002</v>
      </c>
      <c r="C754" s="55"/>
      <c r="D754" s="55">
        <f t="shared" si="23"/>
        <v>4</v>
      </c>
    </row>
    <row r="755" spans="1:4" x14ac:dyDescent="0.35">
      <c r="A755" s="58">
        <v>37357</v>
      </c>
      <c r="B755" s="55">
        <f t="shared" si="22"/>
        <v>2002</v>
      </c>
      <c r="C755" s="55"/>
      <c r="D755" s="55">
        <f t="shared" si="23"/>
        <v>4</v>
      </c>
    </row>
    <row r="756" spans="1:4" x14ac:dyDescent="0.35">
      <c r="A756" s="58">
        <v>37364</v>
      </c>
      <c r="B756" s="55">
        <f t="shared" si="22"/>
        <v>2002</v>
      </c>
      <c r="C756" s="55"/>
      <c r="D756" s="55">
        <f t="shared" si="23"/>
        <v>4</v>
      </c>
    </row>
    <row r="757" spans="1:4" x14ac:dyDescent="0.35">
      <c r="A757" s="58">
        <v>37371</v>
      </c>
      <c r="B757" s="55">
        <f t="shared" si="22"/>
        <v>2002</v>
      </c>
      <c r="C757" s="55"/>
      <c r="D757" s="55">
        <f t="shared" si="23"/>
        <v>4</v>
      </c>
    </row>
    <row r="758" spans="1:4" x14ac:dyDescent="0.35">
      <c r="A758" s="58">
        <v>37378</v>
      </c>
      <c r="B758" s="55">
        <f t="shared" si="22"/>
        <v>2002</v>
      </c>
      <c r="C758" s="55"/>
      <c r="D758" s="55">
        <f t="shared" si="23"/>
        <v>5</v>
      </c>
    </row>
    <row r="759" spans="1:4" x14ac:dyDescent="0.35">
      <c r="A759" s="58">
        <v>37385</v>
      </c>
      <c r="B759" s="55">
        <f t="shared" si="22"/>
        <v>2002</v>
      </c>
      <c r="C759" s="55"/>
      <c r="D759" s="55">
        <f t="shared" si="23"/>
        <v>5</v>
      </c>
    </row>
    <row r="760" spans="1:4" x14ac:dyDescent="0.35">
      <c r="A760" s="58">
        <v>37392</v>
      </c>
      <c r="B760" s="55">
        <f t="shared" si="22"/>
        <v>2002</v>
      </c>
      <c r="C760" s="55"/>
      <c r="D760" s="55">
        <f t="shared" si="23"/>
        <v>5</v>
      </c>
    </row>
    <row r="761" spans="1:4" x14ac:dyDescent="0.35">
      <c r="A761" s="58">
        <v>37399</v>
      </c>
      <c r="B761" s="55">
        <f t="shared" si="22"/>
        <v>2002</v>
      </c>
      <c r="C761" s="55"/>
      <c r="D761" s="55">
        <f t="shared" si="23"/>
        <v>5</v>
      </c>
    </row>
    <row r="762" spans="1:4" x14ac:dyDescent="0.35">
      <c r="A762" s="58">
        <v>37406</v>
      </c>
      <c r="B762" s="55">
        <f t="shared" si="22"/>
        <v>2002</v>
      </c>
      <c r="C762" s="55"/>
      <c r="D762" s="55">
        <f t="shared" si="23"/>
        <v>5</v>
      </c>
    </row>
    <row r="763" spans="1:4" x14ac:dyDescent="0.35">
      <c r="A763" s="58">
        <v>37413</v>
      </c>
      <c r="B763" s="55">
        <f t="shared" si="22"/>
        <v>2002</v>
      </c>
      <c r="C763" s="55"/>
      <c r="D763" s="55">
        <f t="shared" si="23"/>
        <v>6</v>
      </c>
    </row>
    <row r="764" spans="1:4" x14ac:dyDescent="0.35">
      <c r="A764" s="58">
        <v>37420</v>
      </c>
      <c r="B764" s="55">
        <f t="shared" si="22"/>
        <v>2002</v>
      </c>
      <c r="C764" s="55"/>
      <c r="D764" s="55">
        <f t="shared" si="23"/>
        <v>6</v>
      </c>
    </row>
    <row r="765" spans="1:4" x14ac:dyDescent="0.35">
      <c r="A765" s="58">
        <v>37427</v>
      </c>
      <c r="B765" s="55">
        <f t="shared" si="22"/>
        <v>2002</v>
      </c>
      <c r="C765" s="55"/>
      <c r="D765" s="55">
        <f t="shared" si="23"/>
        <v>6</v>
      </c>
    </row>
    <row r="766" spans="1:4" x14ac:dyDescent="0.35">
      <c r="A766" s="58">
        <v>37434</v>
      </c>
      <c r="B766" s="55">
        <f t="shared" si="22"/>
        <v>2002</v>
      </c>
      <c r="C766" s="55"/>
      <c r="D766" s="55">
        <f t="shared" si="23"/>
        <v>6</v>
      </c>
    </row>
    <row r="767" spans="1:4" x14ac:dyDescent="0.35">
      <c r="A767" s="58">
        <v>37441</v>
      </c>
      <c r="B767" s="55">
        <f t="shared" si="22"/>
        <v>2002</v>
      </c>
      <c r="C767" s="55"/>
      <c r="D767" s="55">
        <f t="shared" si="23"/>
        <v>7</v>
      </c>
    </row>
    <row r="768" spans="1:4" x14ac:dyDescent="0.35">
      <c r="A768" s="58">
        <v>37448</v>
      </c>
      <c r="B768" s="55">
        <f t="shared" si="22"/>
        <v>2002</v>
      </c>
      <c r="C768" s="55"/>
      <c r="D768" s="55">
        <f t="shared" si="23"/>
        <v>7</v>
      </c>
    </row>
    <row r="769" spans="1:4" x14ac:dyDescent="0.35">
      <c r="A769" s="58">
        <v>37455</v>
      </c>
      <c r="B769" s="55">
        <f t="shared" si="22"/>
        <v>2002</v>
      </c>
      <c r="C769" s="55"/>
      <c r="D769" s="55">
        <f t="shared" si="23"/>
        <v>7</v>
      </c>
    </row>
    <row r="770" spans="1:4" x14ac:dyDescent="0.35">
      <c r="A770" s="58">
        <v>37462</v>
      </c>
      <c r="B770" s="55">
        <f t="shared" si="22"/>
        <v>2002</v>
      </c>
      <c r="C770" s="55"/>
      <c r="D770" s="55">
        <f t="shared" si="23"/>
        <v>7</v>
      </c>
    </row>
    <row r="771" spans="1:4" x14ac:dyDescent="0.35">
      <c r="A771" s="58">
        <v>37469</v>
      </c>
      <c r="B771" s="55">
        <f t="shared" si="22"/>
        <v>2002</v>
      </c>
      <c r="C771" s="55"/>
      <c r="D771" s="55">
        <f t="shared" si="23"/>
        <v>8</v>
      </c>
    </row>
    <row r="772" spans="1:4" x14ac:dyDescent="0.35">
      <c r="A772" s="58">
        <v>37476</v>
      </c>
      <c r="B772" s="55">
        <f t="shared" ref="B772:B835" si="24">YEAR(A772)</f>
        <v>2002</v>
      </c>
      <c r="C772" s="55"/>
      <c r="D772" s="55">
        <f t="shared" ref="D772:D835" si="25">MONTH(A772)</f>
        <v>8</v>
      </c>
    </row>
    <row r="773" spans="1:4" x14ac:dyDescent="0.35">
      <c r="A773" s="58">
        <v>37483</v>
      </c>
      <c r="B773" s="55">
        <f t="shared" si="24"/>
        <v>2002</v>
      </c>
      <c r="C773" s="55"/>
      <c r="D773" s="55">
        <f t="shared" si="25"/>
        <v>8</v>
      </c>
    </row>
    <row r="774" spans="1:4" x14ac:dyDescent="0.35">
      <c r="A774" s="58">
        <v>37490</v>
      </c>
      <c r="B774" s="55">
        <f t="shared" si="24"/>
        <v>2002</v>
      </c>
      <c r="C774" s="55"/>
      <c r="D774" s="55">
        <f t="shared" si="25"/>
        <v>8</v>
      </c>
    </row>
    <row r="775" spans="1:4" x14ac:dyDescent="0.35">
      <c r="A775" s="58">
        <v>37497</v>
      </c>
      <c r="B775" s="55">
        <f t="shared" si="24"/>
        <v>2002</v>
      </c>
      <c r="C775" s="55"/>
      <c r="D775" s="55">
        <f t="shared" si="25"/>
        <v>8</v>
      </c>
    </row>
    <row r="776" spans="1:4" x14ac:dyDescent="0.35">
      <c r="A776" s="58">
        <v>37504</v>
      </c>
      <c r="B776" s="55">
        <f t="shared" si="24"/>
        <v>2002</v>
      </c>
      <c r="C776" s="55"/>
      <c r="D776" s="55">
        <f t="shared" si="25"/>
        <v>9</v>
      </c>
    </row>
    <row r="777" spans="1:4" x14ac:dyDescent="0.35">
      <c r="A777" s="58">
        <v>37511</v>
      </c>
      <c r="B777" s="55">
        <f t="shared" si="24"/>
        <v>2002</v>
      </c>
      <c r="C777" s="55"/>
      <c r="D777" s="55">
        <f t="shared" si="25"/>
        <v>9</v>
      </c>
    </row>
    <row r="778" spans="1:4" x14ac:dyDescent="0.35">
      <c r="A778" s="58">
        <v>37518</v>
      </c>
      <c r="B778" s="55">
        <f t="shared" si="24"/>
        <v>2002</v>
      </c>
      <c r="C778" s="55"/>
      <c r="D778" s="55">
        <f t="shared" si="25"/>
        <v>9</v>
      </c>
    </row>
    <row r="779" spans="1:4" x14ac:dyDescent="0.35">
      <c r="A779" s="58">
        <v>37525</v>
      </c>
      <c r="B779" s="55">
        <f t="shared" si="24"/>
        <v>2002</v>
      </c>
      <c r="C779" s="55"/>
      <c r="D779" s="55">
        <f t="shared" si="25"/>
        <v>9</v>
      </c>
    </row>
    <row r="780" spans="1:4" x14ac:dyDescent="0.35">
      <c r="A780" s="58">
        <v>37532</v>
      </c>
      <c r="B780" s="55">
        <f t="shared" si="24"/>
        <v>2002</v>
      </c>
      <c r="C780" s="55"/>
      <c r="D780" s="55">
        <f t="shared" si="25"/>
        <v>10</v>
      </c>
    </row>
    <row r="781" spans="1:4" x14ac:dyDescent="0.35">
      <c r="A781" s="58">
        <v>37539</v>
      </c>
      <c r="B781" s="55">
        <f t="shared" si="24"/>
        <v>2002</v>
      </c>
      <c r="C781" s="55"/>
      <c r="D781" s="55">
        <f t="shared" si="25"/>
        <v>10</v>
      </c>
    </row>
    <row r="782" spans="1:4" x14ac:dyDescent="0.35">
      <c r="A782" s="58">
        <v>37546</v>
      </c>
      <c r="B782" s="55">
        <f t="shared" si="24"/>
        <v>2002</v>
      </c>
      <c r="C782" s="55"/>
      <c r="D782" s="55">
        <f t="shared" si="25"/>
        <v>10</v>
      </c>
    </row>
    <row r="783" spans="1:4" x14ac:dyDescent="0.35">
      <c r="A783" s="58">
        <v>37553</v>
      </c>
      <c r="B783" s="55">
        <f t="shared" si="24"/>
        <v>2002</v>
      </c>
      <c r="C783" s="55"/>
      <c r="D783" s="55">
        <f t="shared" si="25"/>
        <v>10</v>
      </c>
    </row>
    <row r="784" spans="1:4" x14ac:dyDescent="0.35">
      <c r="A784" s="58">
        <v>37560</v>
      </c>
      <c r="B784" s="55">
        <f t="shared" si="24"/>
        <v>2002</v>
      </c>
      <c r="C784" s="55"/>
      <c r="D784" s="55">
        <f t="shared" si="25"/>
        <v>10</v>
      </c>
    </row>
    <row r="785" spans="1:4" x14ac:dyDescent="0.35">
      <c r="A785" s="58">
        <v>37567</v>
      </c>
      <c r="B785" s="55">
        <f t="shared" si="24"/>
        <v>2002</v>
      </c>
      <c r="C785" s="55"/>
      <c r="D785" s="55">
        <f t="shared" si="25"/>
        <v>11</v>
      </c>
    </row>
    <row r="786" spans="1:4" x14ac:dyDescent="0.35">
      <c r="A786" s="58">
        <v>37574</v>
      </c>
      <c r="B786" s="55">
        <f t="shared" si="24"/>
        <v>2002</v>
      </c>
      <c r="C786" s="55"/>
      <c r="D786" s="55">
        <f t="shared" si="25"/>
        <v>11</v>
      </c>
    </row>
    <row r="787" spans="1:4" x14ac:dyDescent="0.35">
      <c r="A787" s="58">
        <v>37581</v>
      </c>
      <c r="B787" s="55">
        <f t="shared" si="24"/>
        <v>2002</v>
      </c>
      <c r="C787" s="55"/>
      <c r="D787" s="55">
        <f t="shared" si="25"/>
        <v>11</v>
      </c>
    </row>
    <row r="788" spans="1:4" x14ac:dyDescent="0.35">
      <c r="A788" s="58">
        <v>37588</v>
      </c>
      <c r="B788" s="55">
        <f t="shared" si="24"/>
        <v>2002</v>
      </c>
      <c r="C788" s="55"/>
      <c r="D788" s="55">
        <f t="shared" si="25"/>
        <v>11</v>
      </c>
    </row>
    <row r="789" spans="1:4" x14ac:dyDescent="0.35">
      <c r="A789" s="58">
        <v>37595</v>
      </c>
      <c r="B789" s="55">
        <f t="shared" si="24"/>
        <v>2002</v>
      </c>
      <c r="C789" s="55"/>
      <c r="D789" s="55">
        <f t="shared" si="25"/>
        <v>12</v>
      </c>
    </row>
    <row r="790" spans="1:4" x14ac:dyDescent="0.35">
      <c r="A790" s="58">
        <v>37602</v>
      </c>
      <c r="B790" s="55">
        <f t="shared" si="24"/>
        <v>2002</v>
      </c>
      <c r="C790" s="55"/>
      <c r="D790" s="55">
        <f t="shared" si="25"/>
        <v>12</v>
      </c>
    </row>
    <row r="791" spans="1:4" x14ac:dyDescent="0.35">
      <c r="A791" s="58">
        <v>37609</v>
      </c>
      <c r="B791" s="55">
        <f t="shared" si="24"/>
        <v>2002</v>
      </c>
      <c r="C791" s="55"/>
      <c r="D791" s="55">
        <f t="shared" si="25"/>
        <v>12</v>
      </c>
    </row>
    <row r="792" spans="1:4" x14ac:dyDescent="0.35">
      <c r="A792" s="58">
        <v>37623</v>
      </c>
      <c r="B792" s="55">
        <f t="shared" si="24"/>
        <v>2003</v>
      </c>
      <c r="C792" s="55"/>
      <c r="D792" s="55">
        <f t="shared" si="25"/>
        <v>1</v>
      </c>
    </row>
    <row r="793" spans="1:4" x14ac:dyDescent="0.35">
      <c r="A793" s="58">
        <v>37630</v>
      </c>
      <c r="B793" s="55">
        <f t="shared" si="24"/>
        <v>2003</v>
      </c>
      <c r="C793" s="55"/>
      <c r="D793" s="55">
        <f t="shared" si="25"/>
        <v>1</v>
      </c>
    </row>
    <row r="794" spans="1:4" x14ac:dyDescent="0.35">
      <c r="A794" s="58">
        <v>37637</v>
      </c>
      <c r="B794" s="55">
        <f t="shared" si="24"/>
        <v>2003</v>
      </c>
      <c r="C794" s="55"/>
      <c r="D794" s="55">
        <f t="shared" si="25"/>
        <v>1</v>
      </c>
    </row>
    <row r="795" spans="1:4" x14ac:dyDescent="0.35">
      <c r="A795" s="58">
        <v>37644</v>
      </c>
      <c r="B795" s="55">
        <f t="shared" si="24"/>
        <v>2003</v>
      </c>
      <c r="C795" s="55"/>
      <c r="D795" s="55">
        <f t="shared" si="25"/>
        <v>1</v>
      </c>
    </row>
    <row r="796" spans="1:4" x14ac:dyDescent="0.35">
      <c r="A796" s="58">
        <v>37651</v>
      </c>
      <c r="B796" s="55">
        <f t="shared" si="24"/>
        <v>2003</v>
      </c>
      <c r="C796" s="55"/>
      <c r="D796" s="55">
        <f t="shared" si="25"/>
        <v>1</v>
      </c>
    </row>
    <row r="797" spans="1:4" x14ac:dyDescent="0.35">
      <c r="A797" s="58">
        <v>37658</v>
      </c>
      <c r="B797" s="55">
        <f t="shared" si="24"/>
        <v>2003</v>
      </c>
      <c r="C797" s="55"/>
      <c r="D797" s="55">
        <f t="shared" si="25"/>
        <v>2</v>
      </c>
    </row>
    <row r="798" spans="1:4" x14ac:dyDescent="0.35">
      <c r="A798" s="58">
        <v>37665</v>
      </c>
      <c r="B798" s="55">
        <f t="shared" si="24"/>
        <v>2003</v>
      </c>
      <c r="C798" s="55"/>
      <c r="D798" s="55">
        <f t="shared" si="25"/>
        <v>2</v>
      </c>
    </row>
    <row r="799" spans="1:4" x14ac:dyDescent="0.35">
      <c r="A799" s="58">
        <v>37672</v>
      </c>
      <c r="B799" s="55">
        <f t="shared" si="24"/>
        <v>2003</v>
      </c>
      <c r="C799" s="55"/>
      <c r="D799" s="55">
        <f t="shared" si="25"/>
        <v>2</v>
      </c>
    </row>
    <row r="800" spans="1:4" x14ac:dyDescent="0.35">
      <c r="A800" s="58">
        <v>37679</v>
      </c>
      <c r="B800" s="55">
        <f t="shared" si="24"/>
        <v>2003</v>
      </c>
      <c r="C800" s="55"/>
      <c r="D800" s="55">
        <f t="shared" si="25"/>
        <v>2</v>
      </c>
    </row>
    <row r="801" spans="1:4" x14ac:dyDescent="0.35">
      <c r="A801" s="58">
        <v>37686</v>
      </c>
      <c r="B801" s="55">
        <f t="shared" si="24"/>
        <v>2003</v>
      </c>
      <c r="C801" s="55"/>
      <c r="D801" s="55">
        <f t="shared" si="25"/>
        <v>3</v>
      </c>
    </row>
    <row r="802" spans="1:4" x14ac:dyDescent="0.35">
      <c r="A802" s="58">
        <v>37693</v>
      </c>
      <c r="B802" s="55">
        <f t="shared" si="24"/>
        <v>2003</v>
      </c>
      <c r="C802" s="55"/>
      <c r="D802" s="55">
        <f t="shared" si="25"/>
        <v>3</v>
      </c>
    </row>
    <row r="803" spans="1:4" x14ac:dyDescent="0.35">
      <c r="A803" s="58">
        <v>37700</v>
      </c>
      <c r="B803" s="55">
        <f t="shared" si="24"/>
        <v>2003</v>
      </c>
      <c r="C803" s="55"/>
      <c r="D803" s="55">
        <f t="shared" si="25"/>
        <v>3</v>
      </c>
    </row>
    <row r="804" spans="1:4" x14ac:dyDescent="0.35">
      <c r="A804" s="58">
        <v>37707</v>
      </c>
      <c r="B804" s="55">
        <f t="shared" si="24"/>
        <v>2003</v>
      </c>
      <c r="C804" s="55"/>
      <c r="D804" s="55">
        <f t="shared" si="25"/>
        <v>3</v>
      </c>
    </row>
    <row r="805" spans="1:4" x14ac:dyDescent="0.35">
      <c r="A805" s="58">
        <v>37714</v>
      </c>
      <c r="B805" s="55">
        <f t="shared" si="24"/>
        <v>2003</v>
      </c>
      <c r="C805" s="55"/>
      <c r="D805" s="55">
        <f t="shared" si="25"/>
        <v>4</v>
      </c>
    </row>
    <row r="806" spans="1:4" x14ac:dyDescent="0.35">
      <c r="A806" s="58">
        <v>37721</v>
      </c>
      <c r="B806" s="55">
        <f t="shared" si="24"/>
        <v>2003</v>
      </c>
      <c r="C806" s="55"/>
      <c r="D806" s="55">
        <f t="shared" si="25"/>
        <v>4</v>
      </c>
    </row>
    <row r="807" spans="1:4" x14ac:dyDescent="0.35">
      <c r="A807" s="58">
        <v>37728</v>
      </c>
      <c r="B807" s="55">
        <f t="shared" si="24"/>
        <v>2003</v>
      </c>
      <c r="C807" s="55"/>
      <c r="D807" s="55">
        <f t="shared" si="25"/>
        <v>4</v>
      </c>
    </row>
    <row r="808" spans="1:4" x14ac:dyDescent="0.35">
      <c r="A808" s="58">
        <v>37735</v>
      </c>
      <c r="B808" s="55">
        <f t="shared" si="24"/>
        <v>2003</v>
      </c>
      <c r="C808" s="55"/>
      <c r="D808" s="55">
        <f t="shared" si="25"/>
        <v>4</v>
      </c>
    </row>
    <row r="809" spans="1:4" x14ac:dyDescent="0.35">
      <c r="A809" s="58">
        <v>37742</v>
      </c>
      <c r="B809" s="55">
        <f t="shared" si="24"/>
        <v>2003</v>
      </c>
      <c r="C809" s="55"/>
      <c r="D809" s="55">
        <f t="shared" si="25"/>
        <v>5</v>
      </c>
    </row>
    <row r="810" spans="1:4" x14ac:dyDescent="0.35">
      <c r="A810" s="58">
        <v>37749</v>
      </c>
      <c r="B810" s="55">
        <f t="shared" si="24"/>
        <v>2003</v>
      </c>
      <c r="C810" s="55"/>
      <c r="D810" s="55">
        <f t="shared" si="25"/>
        <v>5</v>
      </c>
    </row>
    <row r="811" spans="1:4" x14ac:dyDescent="0.35">
      <c r="A811" s="58">
        <v>37756</v>
      </c>
      <c r="B811" s="55">
        <f t="shared" si="24"/>
        <v>2003</v>
      </c>
      <c r="C811" s="55"/>
      <c r="D811" s="55">
        <f t="shared" si="25"/>
        <v>5</v>
      </c>
    </row>
    <row r="812" spans="1:4" x14ac:dyDescent="0.35">
      <c r="A812" s="58">
        <v>37763</v>
      </c>
      <c r="B812" s="55">
        <f t="shared" si="24"/>
        <v>2003</v>
      </c>
      <c r="C812" s="55"/>
      <c r="D812" s="55">
        <f t="shared" si="25"/>
        <v>5</v>
      </c>
    </row>
    <row r="813" spans="1:4" x14ac:dyDescent="0.35">
      <c r="A813" s="58">
        <v>37770</v>
      </c>
      <c r="B813" s="55">
        <f t="shared" si="24"/>
        <v>2003</v>
      </c>
      <c r="C813" s="55"/>
      <c r="D813" s="55">
        <f t="shared" si="25"/>
        <v>5</v>
      </c>
    </row>
    <row r="814" spans="1:4" x14ac:dyDescent="0.35">
      <c r="A814" s="58">
        <v>37777</v>
      </c>
      <c r="B814" s="55">
        <f t="shared" si="24"/>
        <v>2003</v>
      </c>
      <c r="C814" s="55"/>
      <c r="D814" s="55">
        <f t="shared" si="25"/>
        <v>6</v>
      </c>
    </row>
    <row r="815" spans="1:4" x14ac:dyDescent="0.35">
      <c r="A815" s="58">
        <v>37784</v>
      </c>
      <c r="B815" s="55">
        <f t="shared" si="24"/>
        <v>2003</v>
      </c>
      <c r="C815" s="55"/>
      <c r="D815" s="55">
        <f t="shared" si="25"/>
        <v>6</v>
      </c>
    </row>
    <row r="816" spans="1:4" x14ac:dyDescent="0.35">
      <c r="A816" s="58">
        <v>37791</v>
      </c>
      <c r="B816" s="55">
        <f t="shared" si="24"/>
        <v>2003</v>
      </c>
      <c r="C816" s="55"/>
      <c r="D816" s="55">
        <f t="shared" si="25"/>
        <v>6</v>
      </c>
    </row>
    <row r="817" spans="1:4" x14ac:dyDescent="0.35">
      <c r="A817" s="58">
        <v>37798</v>
      </c>
      <c r="B817" s="55">
        <f t="shared" si="24"/>
        <v>2003</v>
      </c>
      <c r="C817" s="55"/>
      <c r="D817" s="55">
        <f t="shared" si="25"/>
        <v>6</v>
      </c>
    </row>
    <row r="818" spans="1:4" x14ac:dyDescent="0.35">
      <c r="A818" s="58">
        <v>37805</v>
      </c>
      <c r="B818" s="55">
        <f t="shared" si="24"/>
        <v>2003</v>
      </c>
      <c r="C818" s="55"/>
      <c r="D818" s="55">
        <f t="shared" si="25"/>
        <v>7</v>
      </c>
    </row>
    <row r="819" spans="1:4" x14ac:dyDescent="0.35">
      <c r="A819" s="58">
        <v>37812</v>
      </c>
      <c r="B819" s="55">
        <f t="shared" si="24"/>
        <v>2003</v>
      </c>
      <c r="C819" s="55"/>
      <c r="D819" s="55">
        <f t="shared" si="25"/>
        <v>7</v>
      </c>
    </row>
    <row r="820" spans="1:4" x14ac:dyDescent="0.35">
      <c r="A820" s="58">
        <v>37819</v>
      </c>
      <c r="B820" s="55">
        <f t="shared" si="24"/>
        <v>2003</v>
      </c>
      <c r="C820" s="55"/>
      <c r="D820" s="55">
        <f t="shared" si="25"/>
        <v>7</v>
      </c>
    </row>
    <row r="821" spans="1:4" x14ac:dyDescent="0.35">
      <c r="A821" s="58">
        <v>37826</v>
      </c>
      <c r="B821" s="55">
        <f t="shared" si="24"/>
        <v>2003</v>
      </c>
      <c r="C821" s="55"/>
      <c r="D821" s="55">
        <f t="shared" si="25"/>
        <v>7</v>
      </c>
    </row>
    <row r="822" spans="1:4" x14ac:dyDescent="0.35">
      <c r="A822" s="58">
        <v>37833</v>
      </c>
      <c r="B822" s="55">
        <f t="shared" si="24"/>
        <v>2003</v>
      </c>
      <c r="C822" s="55"/>
      <c r="D822" s="55">
        <f t="shared" si="25"/>
        <v>7</v>
      </c>
    </row>
    <row r="823" spans="1:4" x14ac:dyDescent="0.35">
      <c r="A823" s="58">
        <v>37840</v>
      </c>
      <c r="B823" s="55">
        <f t="shared" si="24"/>
        <v>2003</v>
      </c>
      <c r="C823" s="55"/>
      <c r="D823" s="55">
        <f t="shared" si="25"/>
        <v>8</v>
      </c>
    </row>
    <row r="824" spans="1:4" x14ac:dyDescent="0.35">
      <c r="A824" s="58">
        <v>37847</v>
      </c>
      <c r="B824" s="55">
        <f t="shared" si="24"/>
        <v>2003</v>
      </c>
      <c r="C824" s="55"/>
      <c r="D824" s="55">
        <f t="shared" si="25"/>
        <v>8</v>
      </c>
    </row>
    <row r="825" spans="1:4" x14ac:dyDescent="0.35">
      <c r="A825" s="58">
        <v>37854</v>
      </c>
      <c r="B825" s="55">
        <f t="shared" si="24"/>
        <v>2003</v>
      </c>
      <c r="C825" s="55"/>
      <c r="D825" s="55">
        <f t="shared" si="25"/>
        <v>8</v>
      </c>
    </row>
    <row r="826" spans="1:4" x14ac:dyDescent="0.35">
      <c r="A826" s="58">
        <v>37861</v>
      </c>
      <c r="B826" s="55">
        <f t="shared" si="24"/>
        <v>2003</v>
      </c>
      <c r="C826" s="55"/>
      <c r="D826" s="55">
        <f t="shared" si="25"/>
        <v>8</v>
      </c>
    </row>
    <row r="827" spans="1:4" x14ac:dyDescent="0.35">
      <c r="A827" s="58">
        <v>37868</v>
      </c>
      <c r="B827" s="55">
        <f t="shared" si="24"/>
        <v>2003</v>
      </c>
      <c r="C827" s="55"/>
      <c r="D827" s="55">
        <f t="shared" si="25"/>
        <v>9</v>
      </c>
    </row>
    <row r="828" spans="1:4" x14ac:dyDescent="0.35">
      <c r="A828" s="58">
        <v>37875</v>
      </c>
      <c r="B828" s="55">
        <f t="shared" si="24"/>
        <v>2003</v>
      </c>
      <c r="C828" s="55"/>
      <c r="D828" s="55">
        <f t="shared" si="25"/>
        <v>9</v>
      </c>
    </row>
    <row r="829" spans="1:4" x14ac:dyDescent="0.35">
      <c r="A829" s="58">
        <v>37882</v>
      </c>
      <c r="B829" s="55">
        <f t="shared" si="24"/>
        <v>2003</v>
      </c>
      <c r="C829" s="55"/>
      <c r="D829" s="55">
        <f t="shared" si="25"/>
        <v>9</v>
      </c>
    </row>
    <row r="830" spans="1:4" x14ac:dyDescent="0.35">
      <c r="A830" s="58">
        <v>37889</v>
      </c>
      <c r="B830" s="55">
        <f t="shared" si="24"/>
        <v>2003</v>
      </c>
      <c r="C830" s="55"/>
      <c r="D830" s="55">
        <f t="shared" si="25"/>
        <v>9</v>
      </c>
    </row>
    <row r="831" spans="1:4" x14ac:dyDescent="0.35">
      <c r="A831" s="58">
        <v>37896</v>
      </c>
      <c r="B831" s="55">
        <f t="shared" si="24"/>
        <v>2003</v>
      </c>
      <c r="C831" s="55"/>
      <c r="D831" s="55">
        <f t="shared" si="25"/>
        <v>10</v>
      </c>
    </row>
    <row r="832" spans="1:4" x14ac:dyDescent="0.35">
      <c r="A832" s="58">
        <v>37903</v>
      </c>
      <c r="B832" s="55">
        <f t="shared" si="24"/>
        <v>2003</v>
      </c>
      <c r="C832" s="55"/>
      <c r="D832" s="55">
        <f t="shared" si="25"/>
        <v>10</v>
      </c>
    </row>
    <row r="833" spans="1:4" x14ac:dyDescent="0.35">
      <c r="A833" s="58">
        <v>37910</v>
      </c>
      <c r="B833" s="55">
        <f t="shared" si="24"/>
        <v>2003</v>
      </c>
      <c r="C833" s="55"/>
      <c r="D833" s="55">
        <f t="shared" si="25"/>
        <v>10</v>
      </c>
    </row>
    <row r="834" spans="1:4" x14ac:dyDescent="0.35">
      <c r="A834" s="58">
        <v>37917</v>
      </c>
      <c r="B834" s="55">
        <f t="shared" si="24"/>
        <v>2003</v>
      </c>
      <c r="C834" s="55"/>
      <c r="D834" s="55">
        <f t="shared" si="25"/>
        <v>10</v>
      </c>
    </row>
    <row r="835" spans="1:4" x14ac:dyDescent="0.35">
      <c r="A835" s="58">
        <v>37924</v>
      </c>
      <c r="B835" s="55">
        <f t="shared" si="24"/>
        <v>2003</v>
      </c>
      <c r="C835" s="55"/>
      <c r="D835" s="55">
        <f t="shared" si="25"/>
        <v>10</v>
      </c>
    </row>
    <row r="836" spans="1:4" x14ac:dyDescent="0.35">
      <c r="A836" s="58">
        <v>37931</v>
      </c>
      <c r="B836" s="55">
        <f t="shared" ref="B836:B899" si="26">YEAR(A836)</f>
        <v>2003</v>
      </c>
      <c r="C836" s="55"/>
      <c r="D836" s="55">
        <f t="shared" ref="D836:D899" si="27">MONTH(A836)</f>
        <v>11</v>
      </c>
    </row>
    <row r="837" spans="1:4" x14ac:dyDescent="0.35">
      <c r="A837" s="58">
        <v>37938</v>
      </c>
      <c r="B837" s="55">
        <f t="shared" si="26"/>
        <v>2003</v>
      </c>
      <c r="C837" s="55"/>
      <c r="D837" s="55">
        <f t="shared" si="27"/>
        <v>11</v>
      </c>
    </row>
    <row r="838" spans="1:4" x14ac:dyDescent="0.35">
      <c r="A838" s="58">
        <v>37945</v>
      </c>
      <c r="B838" s="55">
        <f t="shared" si="26"/>
        <v>2003</v>
      </c>
      <c r="C838" s="55"/>
      <c r="D838" s="55">
        <f t="shared" si="27"/>
        <v>11</v>
      </c>
    </row>
    <row r="839" spans="1:4" x14ac:dyDescent="0.35">
      <c r="A839" s="58">
        <v>37952</v>
      </c>
      <c r="B839" s="55">
        <f t="shared" si="26"/>
        <v>2003</v>
      </c>
      <c r="C839" s="55"/>
      <c r="D839" s="55">
        <f t="shared" si="27"/>
        <v>11</v>
      </c>
    </row>
    <row r="840" spans="1:4" x14ac:dyDescent="0.35">
      <c r="A840" s="58">
        <v>37959</v>
      </c>
      <c r="B840" s="55">
        <f t="shared" si="26"/>
        <v>2003</v>
      </c>
      <c r="C840" s="55"/>
      <c r="D840" s="55">
        <f t="shared" si="27"/>
        <v>12</v>
      </c>
    </row>
    <row r="841" spans="1:4" x14ac:dyDescent="0.35">
      <c r="A841" s="58">
        <v>37966</v>
      </c>
      <c r="B841" s="55">
        <f t="shared" si="26"/>
        <v>2003</v>
      </c>
      <c r="C841" s="55"/>
      <c r="D841" s="55">
        <f t="shared" si="27"/>
        <v>12</v>
      </c>
    </row>
    <row r="842" spans="1:4" x14ac:dyDescent="0.35">
      <c r="A842" s="58">
        <v>37973</v>
      </c>
      <c r="B842" s="55">
        <f t="shared" si="26"/>
        <v>2003</v>
      </c>
      <c r="C842" s="55"/>
      <c r="D842" s="55">
        <f t="shared" si="27"/>
        <v>12</v>
      </c>
    </row>
    <row r="843" spans="1:4" x14ac:dyDescent="0.35">
      <c r="A843" s="58">
        <v>37988</v>
      </c>
      <c r="B843" s="55">
        <f t="shared" si="26"/>
        <v>2004</v>
      </c>
      <c r="C843" s="55"/>
      <c r="D843" s="55">
        <f t="shared" si="27"/>
        <v>1</v>
      </c>
    </row>
    <row r="844" spans="1:4" x14ac:dyDescent="0.35">
      <c r="A844" s="58">
        <v>37994</v>
      </c>
      <c r="B844" s="55">
        <f t="shared" si="26"/>
        <v>2004</v>
      </c>
      <c r="C844" s="55"/>
      <c r="D844" s="55">
        <f t="shared" si="27"/>
        <v>1</v>
      </c>
    </row>
    <row r="845" spans="1:4" x14ac:dyDescent="0.35">
      <c r="A845" s="58">
        <v>38001</v>
      </c>
      <c r="B845" s="55">
        <f t="shared" si="26"/>
        <v>2004</v>
      </c>
      <c r="C845" s="55"/>
      <c r="D845" s="55">
        <f t="shared" si="27"/>
        <v>1</v>
      </c>
    </row>
    <row r="846" spans="1:4" x14ac:dyDescent="0.35">
      <c r="A846" s="58">
        <v>38008</v>
      </c>
      <c r="B846" s="55">
        <f t="shared" si="26"/>
        <v>2004</v>
      </c>
      <c r="C846" s="55"/>
      <c r="D846" s="55">
        <f t="shared" si="27"/>
        <v>1</v>
      </c>
    </row>
    <row r="847" spans="1:4" x14ac:dyDescent="0.35">
      <c r="A847" s="58">
        <v>38015</v>
      </c>
      <c r="B847" s="55">
        <f t="shared" si="26"/>
        <v>2004</v>
      </c>
      <c r="C847" s="55"/>
      <c r="D847" s="55">
        <f t="shared" si="27"/>
        <v>1</v>
      </c>
    </row>
    <row r="848" spans="1:4" x14ac:dyDescent="0.35">
      <c r="A848" s="58">
        <v>38022</v>
      </c>
      <c r="B848" s="55">
        <f t="shared" si="26"/>
        <v>2004</v>
      </c>
      <c r="C848" s="55"/>
      <c r="D848" s="55">
        <f t="shared" si="27"/>
        <v>2</v>
      </c>
    </row>
    <row r="849" spans="1:4" x14ac:dyDescent="0.35">
      <c r="A849" s="58">
        <v>38029</v>
      </c>
      <c r="B849" s="55">
        <f t="shared" si="26"/>
        <v>2004</v>
      </c>
      <c r="C849" s="55"/>
      <c r="D849" s="55">
        <f t="shared" si="27"/>
        <v>2</v>
      </c>
    </row>
    <row r="850" spans="1:4" x14ac:dyDescent="0.35">
      <c r="A850" s="58">
        <v>38036</v>
      </c>
      <c r="B850" s="55">
        <f t="shared" si="26"/>
        <v>2004</v>
      </c>
      <c r="C850" s="55"/>
      <c r="D850" s="55">
        <f t="shared" si="27"/>
        <v>2</v>
      </c>
    </row>
    <row r="851" spans="1:4" x14ac:dyDescent="0.35">
      <c r="A851" s="58">
        <v>38043</v>
      </c>
      <c r="B851" s="55">
        <f t="shared" si="26"/>
        <v>2004</v>
      </c>
      <c r="C851" s="55"/>
      <c r="D851" s="55">
        <f t="shared" si="27"/>
        <v>2</v>
      </c>
    </row>
    <row r="852" spans="1:4" x14ac:dyDescent="0.35">
      <c r="A852" s="58">
        <v>38050</v>
      </c>
      <c r="B852" s="55">
        <f t="shared" si="26"/>
        <v>2004</v>
      </c>
      <c r="C852" s="55"/>
      <c r="D852" s="55">
        <f t="shared" si="27"/>
        <v>3</v>
      </c>
    </row>
    <row r="853" spans="1:4" x14ac:dyDescent="0.35">
      <c r="A853" s="58">
        <v>38057</v>
      </c>
      <c r="B853" s="55">
        <f t="shared" si="26"/>
        <v>2004</v>
      </c>
      <c r="C853" s="55"/>
      <c r="D853" s="55">
        <f t="shared" si="27"/>
        <v>3</v>
      </c>
    </row>
    <row r="854" spans="1:4" x14ac:dyDescent="0.35">
      <c r="A854" s="58">
        <v>38064</v>
      </c>
      <c r="B854" s="55">
        <f t="shared" si="26"/>
        <v>2004</v>
      </c>
      <c r="C854" s="55"/>
      <c r="D854" s="55">
        <f t="shared" si="27"/>
        <v>3</v>
      </c>
    </row>
    <row r="855" spans="1:4" x14ac:dyDescent="0.35">
      <c r="A855" s="58">
        <v>38071</v>
      </c>
      <c r="B855" s="55">
        <f t="shared" si="26"/>
        <v>2004</v>
      </c>
      <c r="C855" s="55"/>
      <c r="D855" s="55">
        <f t="shared" si="27"/>
        <v>3</v>
      </c>
    </row>
    <row r="856" spans="1:4" x14ac:dyDescent="0.35">
      <c r="A856" s="58">
        <v>38078</v>
      </c>
      <c r="B856" s="55">
        <f t="shared" si="26"/>
        <v>2004</v>
      </c>
      <c r="C856" s="55"/>
      <c r="D856" s="55">
        <f t="shared" si="27"/>
        <v>4</v>
      </c>
    </row>
    <row r="857" spans="1:4" x14ac:dyDescent="0.35">
      <c r="A857" s="58">
        <v>38085</v>
      </c>
      <c r="B857" s="55">
        <f t="shared" si="26"/>
        <v>2004</v>
      </c>
      <c r="C857" s="55"/>
      <c r="D857" s="55">
        <f t="shared" si="27"/>
        <v>4</v>
      </c>
    </row>
    <row r="858" spans="1:4" x14ac:dyDescent="0.35">
      <c r="A858" s="58">
        <v>38092</v>
      </c>
      <c r="B858" s="55">
        <f t="shared" si="26"/>
        <v>2004</v>
      </c>
      <c r="C858" s="55"/>
      <c r="D858" s="55">
        <f t="shared" si="27"/>
        <v>4</v>
      </c>
    </row>
    <row r="859" spans="1:4" x14ac:dyDescent="0.35">
      <c r="A859" s="58">
        <v>38099</v>
      </c>
      <c r="B859" s="55">
        <f t="shared" si="26"/>
        <v>2004</v>
      </c>
      <c r="C859" s="55"/>
      <c r="D859" s="55">
        <f t="shared" si="27"/>
        <v>4</v>
      </c>
    </row>
    <row r="860" spans="1:4" x14ac:dyDescent="0.35">
      <c r="A860" s="58">
        <v>38106</v>
      </c>
      <c r="B860" s="55">
        <f t="shared" si="26"/>
        <v>2004</v>
      </c>
      <c r="C860" s="55"/>
      <c r="D860" s="55">
        <f t="shared" si="27"/>
        <v>4</v>
      </c>
    </row>
    <row r="861" spans="1:4" x14ac:dyDescent="0.35">
      <c r="A861" s="58">
        <v>38113</v>
      </c>
      <c r="B861" s="55">
        <f t="shared" si="26"/>
        <v>2004</v>
      </c>
      <c r="C861" s="55"/>
      <c r="D861" s="55">
        <f t="shared" si="27"/>
        <v>5</v>
      </c>
    </row>
    <row r="862" spans="1:4" x14ac:dyDescent="0.35">
      <c r="A862" s="58">
        <v>38120</v>
      </c>
      <c r="B862" s="55">
        <f t="shared" si="26"/>
        <v>2004</v>
      </c>
      <c r="C862" s="55"/>
      <c r="D862" s="55">
        <f t="shared" si="27"/>
        <v>5</v>
      </c>
    </row>
    <row r="863" spans="1:4" x14ac:dyDescent="0.35">
      <c r="A863" s="58">
        <v>38127</v>
      </c>
      <c r="B863" s="55">
        <f t="shared" si="26"/>
        <v>2004</v>
      </c>
      <c r="C863" s="55"/>
      <c r="D863" s="55">
        <f t="shared" si="27"/>
        <v>5</v>
      </c>
    </row>
    <row r="864" spans="1:4" x14ac:dyDescent="0.35">
      <c r="A864" s="58">
        <v>38141</v>
      </c>
      <c r="B864" s="55">
        <f t="shared" si="26"/>
        <v>2004</v>
      </c>
      <c r="C864" s="55"/>
      <c r="D864" s="55">
        <f t="shared" si="27"/>
        <v>6</v>
      </c>
    </row>
    <row r="865" spans="1:4" x14ac:dyDescent="0.35">
      <c r="A865" s="58">
        <v>38148</v>
      </c>
      <c r="B865" s="55">
        <f t="shared" si="26"/>
        <v>2004</v>
      </c>
      <c r="C865" s="55"/>
      <c r="D865" s="55">
        <f t="shared" si="27"/>
        <v>6</v>
      </c>
    </row>
    <row r="866" spans="1:4" x14ac:dyDescent="0.35">
      <c r="A866" s="58">
        <v>38155</v>
      </c>
      <c r="B866" s="55">
        <f t="shared" si="26"/>
        <v>2004</v>
      </c>
      <c r="C866" s="55"/>
      <c r="D866" s="55">
        <f t="shared" si="27"/>
        <v>6</v>
      </c>
    </row>
    <row r="867" spans="1:4" x14ac:dyDescent="0.35">
      <c r="A867" s="58">
        <v>38162</v>
      </c>
      <c r="B867" s="55">
        <f t="shared" si="26"/>
        <v>2004</v>
      </c>
      <c r="C867" s="55"/>
      <c r="D867" s="55">
        <f t="shared" si="27"/>
        <v>6</v>
      </c>
    </row>
    <row r="868" spans="1:4" x14ac:dyDescent="0.35">
      <c r="A868" s="58">
        <v>38169</v>
      </c>
      <c r="B868" s="55">
        <f t="shared" si="26"/>
        <v>2004</v>
      </c>
      <c r="C868" s="55"/>
      <c r="D868" s="55">
        <f t="shared" si="27"/>
        <v>7</v>
      </c>
    </row>
    <row r="869" spans="1:4" x14ac:dyDescent="0.35">
      <c r="A869" s="58">
        <v>38176</v>
      </c>
      <c r="B869" s="55">
        <f t="shared" si="26"/>
        <v>2004</v>
      </c>
      <c r="C869" s="55"/>
      <c r="D869" s="55">
        <f t="shared" si="27"/>
        <v>7</v>
      </c>
    </row>
    <row r="870" spans="1:4" x14ac:dyDescent="0.35">
      <c r="A870" s="58">
        <v>38183</v>
      </c>
      <c r="B870" s="55">
        <f t="shared" si="26"/>
        <v>2004</v>
      </c>
      <c r="C870" s="55"/>
      <c r="D870" s="55">
        <f t="shared" si="27"/>
        <v>7</v>
      </c>
    </row>
    <row r="871" spans="1:4" x14ac:dyDescent="0.35">
      <c r="A871" s="58">
        <v>38190</v>
      </c>
      <c r="B871" s="55">
        <f t="shared" si="26"/>
        <v>2004</v>
      </c>
      <c r="C871" s="55"/>
      <c r="D871" s="55">
        <f t="shared" si="27"/>
        <v>7</v>
      </c>
    </row>
    <row r="872" spans="1:4" x14ac:dyDescent="0.35">
      <c r="A872" s="58">
        <v>38197</v>
      </c>
      <c r="B872" s="55">
        <f t="shared" si="26"/>
        <v>2004</v>
      </c>
      <c r="C872" s="55"/>
      <c r="D872" s="55">
        <f t="shared" si="27"/>
        <v>7</v>
      </c>
    </row>
    <row r="873" spans="1:4" x14ac:dyDescent="0.35">
      <c r="A873" s="58">
        <v>38204</v>
      </c>
      <c r="B873" s="55">
        <f t="shared" si="26"/>
        <v>2004</v>
      </c>
      <c r="C873" s="55"/>
      <c r="D873" s="55">
        <f t="shared" si="27"/>
        <v>8</v>
      </c>
    </row>
    <row r="874" spans="1:4" x14ac:dyDescent="0.35">
      <c r="A874" s="58">
        <v>38211</v>
      </c>
      <c r="B874" s="55">
        <f t="shared" si="26"/>
        <v>2004</v>
      </c>
      <c r="C874" s="55"/>
      <c r="D874" s="55">
        <f t="shared" si="27"/>
        <v>8</v>
      </c>
    </row>
    <row r="875" spans="1:4" x14ac:dyDescent="0.35">
      <c r="A875" s="58">
        <v>38218</v>
      </c>
      <c r="B875" s="55">
        <f t="shared" si="26"/>
        <v>2004</v>
      </c>
      <c r="C875" s="55"/>
      <c r="D875" s="55">
        <f t="shared" si="27"/>
        <v>8</v>
      </c>
    </row>
    <row r="876" spans="1:4" x14ac:dyDescent="0.35">
      <c r="A876" s="58">
        <v>38225</v>
      </c>
      <c r="B876" s="55">
        <f t="shared" si="26"/>
        <v>2004</v>
      </c>
      <c r="C876" s="55"/>
      <c r="D876" s="55">
        <f t="shared" si="27"/>
        <v>8</v>
      </c>
    </row>
    <row r="877" spans="1:4" x14ac:dyDescent="0.35">
      <c r="A877" s="58">
        <v>38232</v>
      </c>
      <c r="B877" s="55">
        <f t="shared" si="26"/>
        <v>2004</v>
      </c>
      <c r="C877" s="55"/>
      <c r="D877" s="55">
        <f t="shared" si="27"/>
        <v>9</v>
      </c>
    </row>
    <row r="878" spans="1:4" x14ac:dyDescent="0.35">
      <c r="A878" s="58">
        <v>38239</v>
      </c>
      <c r="B878" s="55">
        <f t="shared" si="26"/>
        <v>2004</v>
      </c>
      <c r="C878" s="55"/>
      <c r="D878" s="55">
        <f t="shared" si="27"/>
        <v>9</v>
      </c>
    </row>
    <row r="879" spans="1:4" x14ac:dyDescent="0.35">
      <c r="A879" s="58">
        <v>38246</v>
      </c>
      <c r="B879" s="55">
        <f t="shared" si="26"/>
        <v>2004</v>
      </c>
      <c r="C879" s="55"/>
      <c r="D879" s="55">
        <f t="shared" si="27"/>
        <v>9</v>
      </c>
    </row>
    <row r="880" spans="1:4" x14ac:dyDescent="0.35">
      <c r="A880" s="58">
        <v>38253</v>
      </c>
      <c r="B880" s="55">
        <f t="shared" si="26"/>
        <v>2004</v>
      </c>
      <c r="C880" s="55"/>
      <c r="D880" s="55">
        <f t="shared" si="27"/>
        <v>9</v>
      </c>
    </row>
    <row r="881" spans="1:4" x14ac:dyDescent="0.35">
      <c r="A881" s="58">
        <v>38260</v>
      </c>
      <c r="B881" s="55">
        <f t="shared" si="26"/>
        <v>2004</v>
      </c>
      <c r="C881" s="55"/>
      <c r="D881" s="55">
        <f t="shared" si="27"/>
        <v>9</v>
      </c>
    </row>
    <row r="882" spans="1:4" x14ac:dyDescent="0.35">
      <c r="A882" s="58">
        <v>38267</v>
      </c>
      <c r="B882" s="55">
        <f t="shared" si="26"/>
        <v>2004</v>
      </c>
      <c r="C882" s="55"/>
      <c r="D882" s="55">
        <f t="shared" si="27"/>
        <v>10</v>
      </c>
    </row>
    <row r="883" spans="1:4" x14ac:dyDescent="0.35">
      <c r="A883" s="58">
        <v>38274</v>
      </c>
      <c r="B883" s="55">
        <f t="shared" si="26"/>
        <v>2004</v>
      </c>
      <c r="C883" s="55"/>
      <c r="D883" s="55">
        <f t="shared" si="27"/>
        <v>10</v>
      </c>
    </row>
    <row r="884" spans="1:4" x14ac:dyDescent="0.35">
      <c r="A884" s="58">
        <v>38281</v>
      </c>
      <c r="B884" s="55">
        <f t="shared" si="26"/>
        <v>2004</v>
      </c>
      <c r="C884" s="55"/>
      <c r="D884" s="55">
        <f t="shared" si="27"/>
        <v>10</v>
      </c>
    </row>
    <row r="885" spans="1:4" x14ac:dyDescent="0.35">
      <c r="A885" s="58">
        <v>38288</v>
      </c>
      <c r="B885" s="55">
        <f t="shared" si="26"/>
        <v>2004</v>
      </c>
      <c r="C885" s="55"/>
      <c r="D885" s="55">
        <f t="shared" si="27"/>
        <v>10</v>
      </c>
    </row>
    <row r="886" spans="1:4" x14ac:dyDescent="0.35">
      <c r="A886" s="58">
        <v>38295</v>
      </c>
      <c r="B886" s="55">
        <f t="shared" si="26"/>
        <v>2004</v>
      </c>
      <c r="C886" s="55"/>
      <c r="D886" s="55">
        <f t="shared" si="27"/>
        <v>11</v>
      </c>
    </row>
    <row r="887" spans="1:4" x14ac:dyDescent="0.35">
      <c r="A887" s="58">
        <v>38302</v>
      </c>
      <c r="B887" s="55">
        <f t="shared" si="26"/>
        <v>2004</v>
      </c>
      <c r="C887" s="55"/>
      <c r="D887" s="55">
        <f t="shared" si="27"/>
        <v>11</v>
      </c>
    </row>
    <row r="888" spans="1:4" x14ac:dyDescent="0.35">
      <c r="A888" s="58">
        <v>38309</v>
      </c>
      <c r="B888" s="55">
        <f t="shared" si="26"/>
        <v>2004</v>
      </c>
      <c r="C888" s="55"/>
      <c r="D888" s="55">
        <f t="shared" si="27"/>
        <v>11</v>
      </c>
    </row>
    <row r="889" spans="1:4" x14ac:dyDescent="0.35">
      <c r="A889" s="58">
        <v>38316</v>
      </c>
      <c r="B889" s="55">
        <f t="shared" si="26"/>
        <v>2004</v>
      </c>
      <c r="C889" s="55"/>
      <c r="D889" s="55">
        <f t="shared" si="27"/>
        <v>11</v>
      </c>
    </row>
    <row r="890" spans="1:4" x14ac:dyDescent="0.35">
      <c r="A890" s="58">
        <v>38323</v>
      </c>
      <c r="B890" s="55">
        <f t="shared" si="26"/>
        <v>2004</v>
      </c>
      <c r="C890" s="55"/>
      <c r="D890" s="55">
        <f t="shared" si="27"/>
        <v>12</v>
      </c>
    </row>
    <row r="891" spans="1:4" x14ac:dyDescent="0.35">
      <c r="A891" s="58">
        <v>38330</v>
      </c>
      <c r="B891" s="55">
        <f t="shared" si="26"/>
        <v>2004</v>
      </c>
      <c r="C891" s="55"/>
      <c r="D891" s="55">
        <f t="shared" si="27"/>
        <v>12</v>
      </c>
    </row>
    <row r="892" spans="1:4" x14ac:dyDescent="0.35">
      <c r="A892" s="58">
        <v>38337</v>
      </c>
      <c r="B892" s="55">
        <f t="shared" si="26"/>
        <v>2004</v>
      </c>
      <c r="C892" s="55"/>
      <c r="D892" s="55">
        <f t="shared" si="27"/>
        <v>12</v>
      </c>
    </row>
    <row r="893" spans="1:4" x14ac:dyDescent="0.35">
      <c r="A893" s="58">
        <v>38344</v>
      </c>
      <c r="B893" s="55">
        <f t="shared" si="26"/>
        <v>2004</v>
      </c>
      <c r="C893" s="55"/>
      <c r="D893" s="55">
        <f t="shared" si="27"/>
        <v>12</v>
      </c>
    </row>
    <row r="894" spans="1:4" x14ac:dyDescent="0.35">
      <c r="A894" s="58">
        <v>38358</v>
      </c>
      <c r="B894" s="55">
        <f t="shared" si="26"/>
        <v>2005</v>
      </c>
      <c r="C894" s="55"/>
      <c r="D894" s="55">
        <f t="shared" si="27"/>
        <v>1</v>
      </c>
    </row>
    <row r="895" spans="1:4" x14ac:dyDescent="0.35">
      <c r="A895" s="58">
        <v>38365</v>
      </c>
      <c r="B895" s="55">
        <f t="shared" si="26"/>
        <v>2005</v>
      </c>
      <c r="C895" s="55"/>
      <c r="D895" s="55">
        <f t="shared" si="27"/>
        <v>1</v>
      </c>
    </row>
    <row r="896" spans="1:4" x14ac:dyDescent="0.35">
      <c r="A896" s="58">
        <v>38372</v>
      </c>
      <c r="B896" s="55">
        <f t="shared" si="26"/>
        <v>2005</v>
      </c>
      <c r="C896" s="55"/>
      <c r="D896" s="55">
        <f t="shared" si="27"/>
        <v>1</v>
      </c>
    </row>
    <row r="897" spans="1:4" x14ac:dyDescent="0.35">
      <c r="A897" s="58">
        <v>38379</v>
      </c>
      <c r="B897" s="55">
        <f t="shared" si="26"/>
        <v>2005</v>
      </c>
      <c r="C897" s="55"/>
      <c r="D897" s="55">
        <f t="shared" si="27"/>
        <v>1</v>
      </c>
    </row>
    <row r="898" spans="1:4" x14ac:dyDescent="0.35">
      <c r="A898" s="58">
        <v>38386</v>
      </c>
      <c r="B898" s="55">
        <f t="shared" si="26"/>
        <v>2005</v>
      </c>
      <c r="C898" s="55"/>
      <c r="D898" s="55">
        <f t="shared" si="27"/>
        <v>2</v>
      </c>
    </row>
    <row r="899" spans="1:4" x14ac:dyDescent="0.35">
      <c r="A899" s="58">
        <v>38393</v>
      </c>
      <c r="B899" s="55">
        <f t="shared" si="26"/>
        <v>2005</v>
      </c>
      <c r="C899" s="55"/>
      <c r="D899" s="55">
        <f t="shared" si="27"/>
        <v>2</v>
      </c>
    </row>
    <row r="900" spans="1:4" x14ac:dyDescent="0.35">
      <c r="A900" s="58">
        <v>38400</v>
      </c>
      <c r="B900" s="55">
        <f t="shared" ref="B900:B963" si="28">YEAR(A900)</f>
        <v>2005</v>
      </c>
      <c r="C900" s="55"/>
      <c r="D900" s="55">
        <f t="shared" ref="D900:D963" si="29">MONTH(A900)</f>
        <v>2</v>
      </c>
    </row>
    <row r="901" spans="1:4" x14ac:dyDescent="0.35">
      <c r="A901" s="58">
        <v>38407</v>
      </c>
      <c r="B901" s="55">
        <f t="shared" si="28"/>
        <v>2005</v>
      </c>
      <c r="C901" s="55"/>
      <c r="D901" s="55">
        <f t="shared" si="29"/>
        <v>2</v>
      </c>
    </row>
    <row r="902" spans="1:4" x14ac:dyDescent="0.35">
      <c r="A902" s="58">
        <v>38414</v>
      </c>
      <c r="B902" s="55">
        <f t="shared" si="28"/>
        <v>2005</v>
      </c>
      <c r="C902" s="55"/>
      <c r="D902" s="55">
        <f t="shared" si="29"/>
        <v>3</v>
      </c>
    </row>
    <row r="903" spans="1:4" x14ac:dyDescent="0.35">
      <c r="A903" s="58">
        <v>38421</v>
      </c>
      <c r="B903" s="55">
        <f t="shared" si="28"/>
        <v>2005</v>
      </c>
      <c r="C903" s="55"/>
      <c r="D903" s="55">
        <f t="shared" si="29"/>
        <v>3</v>
      </c>
    </row>
    <row r="904" spans="1:4" x14ac:dyDescent="0.35">
      <c r="A904" s="58">
        <v>38428</v>
      </c>
      <c r="B904" s="55">
        <f t="shared" si="28"/>
        <v>2005</v>
      </c>
      <c r="C904" s="55"/>
      <c r="D904" s="55">
        <f t="shared" si="29"/>
        <v>3</v>
      </c>
    </row>
    <row r="905" spans="1:4" x14ac:dyDescent="0.35">
      <c r="A905" s="58">
        <v>38435</v>
      </c>
      <c r="B905" s="55">
        <f t="shared" si="28"/>
        <v>2005</v>
      </c>
      <c r="C905" s="55"/>
      <c r="D905" s="55">
        <f t="shared" si="29"/>
        <v>3</v>
      </c>
    </row>
    <row r="906" spans="1:4" x14ac:dyDescent="0.35">
      <c r="A906" s="58">
        <v>38442</v>
      </c>
      <c r="B906" s="55">
        <f t="shared" si="28"/>
        <v>2005</v>
      </c>
      <c r="C906" s="55"/>
      <c r="D906" s="55">
        <f t="shared" si="29"/>
        <v>3</v>
      </c>
    </row>
    <row r="907" spans="1:4" x14ac:dyDescent="0.35">
      <c r="A907" s="58">
        <v>38449</v>
      </c>
      <c r="B907" s="55">
        <f t="shared" si="28"/>
        <v>2005</v>
      </c>
      <c r="C907" s="55"/>
      <c r="D907" s="55">
        <f t="shared" si="29"/>
        <v>4</v>
      </c>
    </row>
    <row r="908" spans="1:4" x14ac:dyDescent="0.35">
      <c r="A908" s="58">
        <v>38456</v>
      </c>
      <c r="B908" s="55">
        <f t="shared" si="28"/>
        <v>2005</v>
      </c>
      <c r="C908" s="55"/>
      <c r="D908" s="55">
        <f t="shared" si="29"/>
        <v>4</v>
      </c>
    </row>
    <row r="909" spans="1:4" x14ac:dyDescent="0.35">
      <c r="A909" s="58">
        <v>38463</v>
      </c>
      <c r="B909" s="55">
        <f t="shared" si="28"/>
        <v>2005</v>
      </c>
      <c r="C909" s="55"/>
      <c r="D909" s="55">
        <f t="shared" si="29"/>
        <v>4</v>
      </c>
    </row>
    <row r="910" spans="1:4" x14ac:dyDescent="0.35">
      <c r="A910" s="58">
        <v>38470</v>
      </c>
      <c r="B910" s="55">
        <f t="shared" si="28"/>
        <v>2005</v>
      </c>
      <c r="C910" s="55"/>
      <c r="D910" s="55">
        <f t="shared" si="29"/>
        <v>4</v>
      </c>
    </row>
    <row r="911" spans="1:4" x14ac:dyDescent="0.35">
      <c r="A911" s="58">
        <v>38477</v>
      </c>
      <c r="B911" s="55">
        <f t="shared" si="28"/>
        <v>2005</v>
      </c>
      <c r="C911" s="55"/>
      <c r="D911" s="55">
        <f t="shared" si="29"/>
        <v>5</v>
      </c>
    </row>
    <row r="912" spans="1:4" x14ac:dyDescent="0.35">
      <c r="A912" s="58">
        <v>38484</v>
      </c>
      <c r="B912" s="55">
        <f t="shared" si="28"/>
        <v>2005</v>
      </c>
      <c r="C912" s="55"/>
      <c r="D912" s="55">
        <f t="shared" si="29"/>
        <v>5</v>
      </c>
    </row>
    <row r="913" spans="1:4" x14ac:dyDescent="0.35">
      <c r="A913" s="58">
        <v>38491</v>
      </c>
      <c r="B913" s="55">
        <f t="shared" si="28"/>
        <v>2005</v>
      </c>
      <c r="C913" s="55"/>
      <c r="D913" s="55">
        <f t="shared" si="29"/>
        <v>5</v>
      </c>
    </row>
    <row r="914" spans="1:4" x14ac:dyDescent="0.35">
      <c r="A914" s="58">
        <v>38498</v>
      </c>
      <c r="B914" s="55">
        <f t="shared" si="28"/>
        <v>2005</v>
      </c>
      <c r="C914" s="55"/>
      <c r="D914" s="55">
        <f t="shared" si="29"/>
        <v>5</v>
      </c>
    </row>
    <row r="915" spans="1:4" x14ac:dyDescent="0.35">
      <c r="A915" s="58">
        <v>38505</v>
      </c>
      <c r="B915" s="55">
        <f t="shared" si="28"/>
        <v>2005</v>
      </c>
      <c r="C915" s="55"/>
      <c r="D915" s="55">
        <f t="shared" si="29"/>
        <v>6</v>
      </c>
    </row>
    <row r="916" spans="1:4" x14ac:dyDescent="0.35">
      <c r="A916" s="58">
        <v>38519</v>
      </c>
      <c r="B916" s="55">
        <f t="shared" si="28"/>
        <v>2005</v>
      </c>
      <c r="C916" s="55"/>
      <c r="D916" s="55">
        <f t="shared" si="29"/>
        <v>6</v>
      </c>
    </row>
    <row r="917" spans="1:4" x14ac:dyDescent="0.35">
      <c r="A917" s="58">
        <v>38526</v>
      </c>
      <c r="B917" s="55">
        <f t="shared" si="28"/>
        <v>2005</v>
      </c>
      <c r="C917" s="55"/>
      <c r="D917" s="55">
        <f t="shared" si="29"/>
        <v>6</v>
      </c>
    </row>
    <row r="918" spans="1:4" x14ac:dyDescent="0.35">
      <c r="A918" s="58">
        <v>38533</v>
      </c>
      <c r="B918" s="55">
        <f t="shared" si="28"/>
        <v>2005</v>
      </c>
      <c r="C918" s="55"/>
      <c r="D918" s="55">
        <f t="shared" si="29"/>
        <v>6</v>
      </c>
    </row>
    <row r="919" spans="1:4" x14ac:dyDescent="0.35">
      <c r="A919" s="58">
        <v>38540</v>
      </c>
      <c r="B919" s="55">
        <f t="shared" si="28"/>
        <v>2005</v>
      </c>
      <c r="C919" s="55"/>
      <c r="D919" s="55">
        <f t="shared" si="29"/>
        <v>7</v>
      </c>
    </row>
    <row r="920" spans="1:4" x14ac:dyDescent="0.35">
      <c r="A920" s="58">
        <v>38547</v>
      </c>
      <c r="B920" s="55">
        <f t="shared" si="28"/>
        <v>2005</v>
      </c>
      <c r="C920" s="55"/>
      <c r="D920" s="55">
        <f t="shared" si="29"/>
        <v>7</v>
      </c>
    </row>
    <row r="921" spans="1:4" x14ac:dyDescent="0.35">
      <c r="A921" s="58">
        <v>38554</v>
      </c>
      <c r="B921" s="55">
        <f t="shared" si="28"/>
        <v>2005</v>
      </c>
      <c r="C921" s="55"/>
      <c r="D921" s="55">
        <f t="shared" si="29"/>
        <v>7</v>
      </c>
    </row>
    <row r="922" spans="1:4" x14ac:dyDescent="0.35">
      <c r="A922" s="58">
        <v>38561</v>
      </c>
      <c r="B922" s="55">
        <f t="shared" si="28"/>
        <v>2005</v>
      </c>
      <c r="C922" s="55"/>
      <c r="D922" s="55">
        <f t="shared" si="29"/>
        <v>7</v>
      </c>
    </row>
    <row r="923" spans="1:4" x14ac:dyDescent="0.35">
      <c r="A923" s="58">
        <v>38568</v>
      </c>
      <c r="B923" s="55">
        <f t="shared" si="28"/>
        <v>2005</v>
      </c>
      <c r="C923" s="55"/>
      <c r="D923" s="55">
        <f t="shared" si="29"/>
        <v>8</v>
      </c>
    </row>
    <row r="924" spans="1:4" x14ac:dyDescent="0.35">
      <c r="A924" s="58">
        <v>38575</v>
      </c>
      <c r="B924" s="55">
        <f t="shared" si="28"/>
        <v>2005</v>
      </c>
      <c r="C924" s="55"/>
      <c r="D924" s="55">
        <f t="shared" si="29"/>
        <v>8</v>
      </c>
    </row>
    <row r="925" spans="1:4" x14ac:dyDescent="0.35">
      <c r="A925" s="58">
        <v>38582</v>
      </c>
      <c r="B925" s="55">
        <f t="shared" si="28"/>
        <v>2005</v>
      </c>
      <c r="C925" s="55"/>
      <c r="D925" s="55">
        <f t="shared" si="29"/>
        <v>8</v>
      </c>
    </row>
    <row r="926" spans="1:4" x14ac:dyDescent="0.35">
      <c r="A926" s="58">
        <v>38589</v>
      </c>
      <c r="B926" s="55">
        <f t="shared" si="28"/>
        <v>2005</v>
      </c>
      <c r="C926" s="55"/>
      <c r="D926" s="55">
        <f t="shared" si="29"/>
        <v>8</v>
      </c>
    </row>
    <row r="927" spans="1:4" x14ac:dyDescent="0.35">
      <c r="A927" s="58">
        <v>38596</v>
      </c>
      <c r="B927" s="55">
        <f t="shared" si="28"/>
        <v>2005</v>
      </c>
      <c r="C927" s="55"/>
      <c r="D927" s="55">
        <f t="shared" si="29"/>
        <v>9</v>
      </c>
    </row>
    <row r="928" spans="1:4" x14ac:dyDescent="0.35">
      <c r="A928" s="58">
        <v>38603</v>
      </c>
      <c r="B928" s="55">
        <f t="shared" si="28"/>
        <v>2005</v>
      </c>
      <c r="C928" s="55"/>
      <c r="D928" s="55">
        <f t="shared" si="29"/>
        <v>9</v>
      </c>
    </row>
    <row r="929" spans="1:4" x14ac:dyDescent="0.35">
      <c r="A929" s="58">
        <v>38610</v>
      </c>
      <c r="B929" s="55">
        <f t="shared" si="28"/>
        <v>2005</v>
      </c>
      <c r="C929" s="55"/>
      <c r="D929" s="55">
        <f t="shared" si="29"/>
        <v>9</v>
      </c>
    </row>
    <row r="930" spans="1:4" x14ac:dyDescent="0.35">
      <c r="A930" s="58">
        <v>38617</v>
      </c>
      <c r="B930" s="55">
        <f t="shared" si="28"/>
        <v>2005</v>
      </c>
      <c r="C930" s="55"/>
      <c r="D930" s="55">
        <f t="shared" si="29"/>
        <v>9</v>
      </c>
    </row>
    <row r="931" spans="1:4" x14ac:dyDescent="0.35">
      <c r="A931" s="58">
        <v>38624</v>
      </c>
      <c r="B931" s="55">
        <f t="shared" si="28"/>
        <v>2005</v>
      </c>
      <c r="C931" s="55"/>
      <c r="D931" s="55">
        <f t="shared" si="29"/>
        <v>9</v>
      </c>
    </row>
    <row r="932" spans="1:4" x14ac:dyDescent="0.35">
      <c r="A932" s="58">
        <v>38631</v>
      </c>
      <c r="B932" s="55">
        <f t="shared" si="28"/>
        <v>2005</v>
      </c>
      <c r="C932" s="55"/>
      <c r="D932" s="55">
        <f t="shared" si="29"/>
        <v>10</v>
      </c>
    </row>
    <row r="933" spans="1:4" x14ac:dyDescent="0.35">
      <c r="A933" s="58">
        <v>38638</v>
      </c>
      <c r="B933" s="55">
        <f t="shared" si="28"/>
        <v>2005</v>
      </c>
      <c r="C933" s="55"/>
      <c r="D933" s="55">
        <f t="shared" si="29"/>
        <v>10</v>
      </c>
    </row>
    <row r="934" spans="1:4" x14ac:dyDescent="0.35">
      <c r="A934" s="58">
        <v>38645</v>
      </c>
      <c r="B934" s="55">
        <f t="shared" si="28"/>
        <v>2005</v>
      </c>
      <c r="C934" s="55"/>
      <c r="D934" s="55">
        <f t="shared" si="29"/>
        <v>10</v>
      </c>
    </row>
    <row r="935" spans="1:4" x14ac:dyDescent="0.35">
      <c r="A935" s="58">
        <v>38652</v>
      </c>
      <c r="B935" s="55">
        <f t="shared" si="28"/>
        <v>2005</v>
      </c>
      <c r="C935" s="55"/>
      <c r="D935" s="55">
        <f t="shared" si="29"/>
        <v>10</v>
      </c>
    </row>
    <row r="936" spans="1:4" x14ac:dyDescent="0.35">
      <c r="A936" s="58">
        <v>38659</v>
      </c>
      <c r="B936" s="55">
        <f t="shared" si="28"/>
        <v>2005</v>
      </c>
      <c r="C936" s="55"/>
      <c r="D936" s="55">
        <f t="shared" si="29"/>
        <v>11</v>
      </c>
    </row>
    <row r="937" spans="1:4" x14ac:dyDescent="0.35">
      <c r="A937" s="58">
        <v>38666</v>
      </c>
      <c r="B937" s="55">
        <f t="shared" si="28"/>
        <v>2005</v>
      </c>
      <c r="C937" s="55"/>
      <c r="D937" s="55">
        <f t="shared" si="29"/>
        <v>11</v>
      </c>
    </row>
    <row r="938" spans="1:4" x14ac:dyDescent="0.35">
      <c r="A938" s="58">
        <v>38673</v>
      </c>
      <c r="B938" s="55">
        <f t="shared" si="28"/>
        <v>2005</v>
      </c>
      <c r="C938" s="55"/>
      <c r="D938" s="55">
        <f t="shared" si="29"/>
        <v>11</v>
      </c>
    </row>
    <row r="939" spans="1:4" x14ac:dyDescent="0.35">
      <c r="A939" s="58">
        <v>38680</v>
      </c>
      <c r="B939" s="55">
        <f t="shared" si="28"/>
        <v>2005</v>
      </c>
      <c r="C939" s="55"/>
      <c r="D939" s="55">
        <f t="shared" si="29"/>
        <v>11</v>
      </c>
    </row>
    <row r="940" spans="1:4" x14ac:dyDescent="0.35">
      <c r="A940" s="58">
        <v>38687</v>
      </c>
      <c r="B940" s="55">
        <f t="shared" si="28"/>
        <v>2005</v>
      </c>
      <c r="C940" s="55"/>
      <c r="D940" s="55">
        <f t="shared" si="29"/>
        <v>12</v>
      </c>
    </row>
    <row r="941" spans="1:4" x14ac:dyDescent="0.35">
      <c r="A941" s="58">
        <v>38694</v>
      </c>
      <c r="B941" s="55">
        <f t="shared" si="28"/>
        <v>2005</v>
      </c>
      <c r="C941" s="55"/>
      <c r="D941" s="55">
        <f t="shared" si="29"/>
        <v>12</v>
      </c>
    </row>
    <row r="942" spans="1:4" x14ac:dyDescent="0.35">
      <c r="A942" s="58">
        <v>38701</v>
      </c>
      <c r="B942" s="55">
        <f t="shared" si="28"/>
        <v>2005</v>
      </c>
      <c r="C942" s="55"/>
      <c r="D942" s="55">
        <f t="shared" si="29"/>
        <v>12</v>
      </c>
    </row>
    <row r="943" spans="1:4" x14ac:dyDescent="0.35">
      <c r="A943" s="58">
        <v>38708</v>
      </c>
      <c r="B943" s="55">
        <f t="shared" si="28"/>
        <v>2005</v>
      </c>
      <c r="C943" s="55"/>
      <c r="D943" s="55">
        <f t="shared" si="29"/>
        <v>12</v>
      </c>
    </row>
    <row r="944" spans="1:4" x14ac:dyDescent="0.35">
      <c r="A944" s="58">
        <v>38722</v>
      </c>
      <c r="B944" s="55">
        <f t="shared" si="28"/>
        <v>2006</v>
      </c>
      <c r="C944" s="55"/>
      <c r="D944" s="55">
        <f t="shared" si="29"/>
        <v>1</v>
      </c>
    </row>
    <row r="945" spans="1:4" x14ac:dyDescent="0.35">
      <c r="A945" s="58">
        <v>38729</v>
      </c>
      <c r="B945" s="55">
        <f t="shared" si="28"/>
        <v>2006</v>
      </c>
      <c r="C945" s="55"/>
      <c r="D945" s="55">
        <f t="shared" si="29"/>
        <v>1</v>
      </c>
    </row>
    <row r="946" spans="1:4" x14ac:dyDescent="0.35">
      <c r="A946" s="58">
        <v>38736</v>
      </c>
      <c r="B946" s="55">
        <f t="shared" si="28"/>
        <v>2006</v>
      </c>
      <c r="C946" s="55"/>
      <c r="D946" s="55">
        <f t="shared" si="29"/>
        <v>1</v>
      </c>
    </row>
    <row r="947" spans="1:4" x14ac:dyDescent="0.35">
      <c r="A947" s="58">
        <v>38743</v>
      </c>
      <c r="B947" s="55">
        <f t="shared" si="28"/>
        <v>2006</v>
      </c>
      <c r="C947" s="55"/>
      <c r="D947" s="55">
        <f t="shared" si="29"/>
        <v>1</v>
      </c>
    </row>
    <row r="948" spans="1:4" x14ac:dyDescent="0.35">
      <c r="A948" s="58">
        <v>38750</v>
      </c>
      <c r="B948" s="55">
        <f t="shared" si="28"/>
        <v>2006</v>
      </c>
      <c r="C948" s="55"/>
      <c r="D948" s="55">
        <f t="shared" si="29"/>
        <v>2</v>
      </c>
    </row>
    <row r="949" spans="1:4" x14ac:dyDescent="0.35">
      <c r="A949" s="58">
        <v>38757</v>
      </c>
      <c r="B949" s="55">
        <f t="shared" si="28"/>
        <v>2006</v>
      </c>
      <c r="C949" s="55"/>
      <c r="D949" s="55">
        <f t="shared" si="29"/>
        <v>2</v>
      </c>
    </row>
    <row r="950" spans="1:4" x14ac:dyDescent="0.35">
      <c r="A950" s="58">
        <v>38764</v>
      </c>
      <c r="B950" s="55">
        <f t="shared" si="28"/>
        <v>2006</v>
      </c>
      <c r="C950" s="55"/>
      <c r="D950" s="55">
        <f t="shared" si="29"/>
        <v>2</v>
      </c>
    </row>
    <row r="951" spans="1:4" x14ac:dyDescent="0.35">
      <c r="A951" s="58">
        <v>38771</v>
      </c>
      <c r="B951" s="55">
        <f t="shared" si="28"/>
        <v>2006</v>
      </c>
      <c r="C951" s="55"/>
      <c r="D951" s="55">
        <f t="shared" si="29"/>
        <v>2</v>
      </c>
    </row>
    <row r="952" spans="1:4" x14ac:dyDescent="0.35">
      <c r="A952" s="58">
        <v>38778</v>
      </c>
      <c r="B952" s="55">
        <f t="shared" si="28"/>
        <v>2006</v>
      </c>
      <c r="C952" s="55"/>
      <c r="D952" s="55">
        <f t="shared" si="29"/>
        <v>3</v>
      </c>
    </row>
    <row r="953" spans="1:4" x14ac:dyDescent="0.35">
      <c r="A953" s="58">
        <v>38785</v>
      </c>
      <c r="B953" s="55">
        <f t="shared" si="28"/>
        <v>2006</v>
      </c>
      <c r="C953" s="55"/>
      <c r="D953" s="55">
        <f t="shared" si="29"/>
        <v>3</v>
      </c>
    </row>
    <row r="954" spans="1:4" x14ac:dyDescent="0.35">
      <c r="A954" s="58">
        <v>38792</v>
      </c>
      <c r="B954" s="55">
        <f t="shared" si="28"/>
        <v>2006</v>
      </c>
      <c r="C954" s="55"/>
      <c r="D954" s="55">
        <f t="shared" si="29"/>
        <v>3</v>
      </c>
    </row>
    <row r="955" spans="1:4" x14ac:dyDescent="0.35">
      <c r="A955" s="58">
        <v>38799</v>
      </c>
      <c r="B955" s="55">
        <f t="shared" si="28"/>
        <v>2006</v>
      </c>
      <c r="C955" s="55"/>
      <c r="D955" s="55">
        <f t="shared" si="29"/>
        <v>3</v>
      </c>
    </row>
    <row r="956" spans="1:4" x14ac:dyDescent="0.35">
      <c r="A956" s="58">
        <v>38806</v>
      </c>
      <c r="B956" s="55">
        <f t="shared" si="28"/>
        <v>2006</v>
      </c>
      <c r="C956" s="55"/>
      <c r="D956" s="55">
        <f t="shared" si="29"/>
        <v>3</v>
      </c>
    </row>
    <row r="957" spans="1:4" x14ac:dyDescent="0.35">
      <c r="A957" s="58">
        <v>38813</v>
      </c>
      <c r="B957" s="55">
        <f t="shared" si="28"/>
        <v>2006</v>
      </c>
      <c r="C957" s="55"/>
      <c r="D957" s="55">
        <f t="shared" si="29"/>
        <v>4</v>
      </c>
    </row>
    <row r="958" spans="1:4" x14ac:dyDescent="0.35">
      <c r="A958" s="58">
        <v>38820</v>
      </c>
      <c r="B958" s="55">
        <f t="shared" si="28"/>
        <v>2006</v>
      </c>
      <c r="C958" s="55"/>
      <c r="D958" s="55">
        <f t="shared" si="29"/>
        <v>4</v>
      </c>
    </row>
    <row r="959" spans="1:4" x14ac:dyDescent="0.35">
      <c r="A959" s="58">
        <v>38827</v>
      </c>
      <c r="B959" s="55">
        <f t="shared" si="28"/>
        <v>2006</v>
      </c>
      <c r="C959" s="55"/>
      <c r="D959" s="55">
        <f t="shared" si="29"/>
        <v>4</v>
      </c>
    </row>
    <row r="960" spans="1:4" x14ac:dyDescent="0.35">
      <c r="A960" s="58">
        <v>38834</v>
      </c>
      <c r="B960" s="55">
        <f t="shared" si="28"/>
        <v>2006</v>
      </c>
      <c r="C960" s="55"/>
      <c r="D960" s="55">
        <f t="shared" si="29"/>
        <v>4</v>
      </c>
    </row>
    <row r="961" spans="1:4" x14ac:dyDescent="0.35">
      <c r="A961" s="58">
        <v>38841</v>
      </c>
      <c r="B961" s="55">
        <f t="shared" si="28"/>
        <v>2006</v>
      </c>
      <c r="C961" s="55"/>
      <c r="D961" s="55">
        <f t="shared" si="29"/>
        <v>5</v>
      </c>
    </row>
    <row r="962" spans="1:4" x14ac:dyDescent="0.35">
      <c r="A962" s="58">
        <v>38848</v>
      </c>
      <c r="B962" s="55">
        <f t="shared" si="28"/>
        <v>2006</v>
      </c>
      <c r="C962" s="55"/>
      <c r="D962" s="55">
        <f t="shared" si="29"/>
        <v>5</v>
      </c>
    </row>
    <row r="963" spans="1:4" x14ac:dyDescent="0.35">
      <c r="A963" s="58">
        <v>38855</v>
      </c>
      <c r="B963" s="55">
        <f t="shared" si="28"/>
        <v>2006</v>
      </c>
      <c r="C963" s="55"/>
      <c r="D963" s="55">
        <f t="shared" si="29"/>
        <v>5</v>
      </c>
    </row>
    <row r="964" spans="1:4" x14ac:dyDescent="0.35">
      <c r="A964" s="58">
        <v>38862</v>
      </c>
      <c r="B964" s="55">
        <f t="shared" ref="B964:B1027" si="30">YEAR(A964)</f>
        <v>2006</v>
      </c>
      <c r="C964" s="55"/>
      <c r="D964" s="55">
        <f t="shared" ref="D964:D1027" si="31">MONTH(A964)</f>
        <v>5</v>
      </c>
    </row>
    <row r="965" spans="1:4" x14ac:dyDescent="0.35">
      <c r="A965" s="58">
        <v>38869</v>
      </c>
      <c r="B965" s="55">
        <f t="shared" si="30"/>
        <v>2006</v>
      </c>
      <c r="C965" s="55"/>
      <c r="D965" s="55">
        <f t="shared" si="31"/>
        <v>6</v>
      </c>
    </row>
    <row r="966" spans="1:4" x14ac:dyDescent="0.35">
      <c r="A966" s="58">
        <v>38883</v>
      </c>
      <c r="B966" s="55">
        <f t="shared" si="30"/>
        <v>2006</v>
      </c>
      <c r="C966" s="55"/>
      <c r="D966" s="55">
        <f t="shared" si="31"/>
        <v>6</v>
      </c>
    </row>
    <row r="967" spans="1:4" x14ac:dyDescent="0.35">
      <c r="A967" s="58">
        <v>38890</v>
      </c>
      <c r="B967" s="55">
        <f t="shared" si="30"/>
        <v>2006</v>
      </c>
      <c r="C967" s="55"/>
      <c r="D967" s="55">
        <f t="shared" si="31"/>
        <v>6</v>
      </c>
    </row>
    <row r="968" spans="1:4" x14ac:dyDescent="0.35">
      <c r="A968" s="58">
        <v>38897</v>
      </c>
      <c r="B968" s="55">
        <f t="shared" si="30"/>
        <v>2006</v>
      </c>
      <c r="C968" s="55"/>
      <c r="D968" s="55">
        <f t="shared" si="31"/>
        <v>6</v>
      </c>
    </row>
    <row r="969" spans="1:4" x14ac:dyDescent="0.35">
      <c r="A969" s="58">
        <v>38904</v>
      </c>
      <c r="B969" s="55">
        <f t="shared" si="30"/>
        <v>2006</v>
      </c>
      <c r="C969" s="55"/>
      <c r="D969" s="55">
        <f t="shared" si="31"/>
        <v>7</v>
      </c>
    </row>
    <row r="970" spans="1:4" x14ac:dyDescent="0.35">
      <c r="A970" s="58">
        <v>38911</v>
      </c>
      <c r="B970" s="55">
        <f t="shared" si="30"/>
        <v>2006</v>
      </c>
      <c r="C970" s="55"/>
      <c r="D970" s="55">
        <f t="shared" si="31"/>
        <v>7</v>
      </c>
    </row>
    <row r="971" spans="1:4" x14ac:dyDescent="0.35">
      <c r="A971" s="58">
        <v>38918</v>
      </c>
      <c r="B971" s="55">
        <f t="shared" si="30"/>
        <v>2006</v>
      </c>
      <c r="C971" s="55"/>
      <c r="D971" s="55">
        <f t="shared" si="31"/>
        <v>7</v>
      </c>
    </row>
    <row r="972" spans="1:4" x14ac:dyDescent="0.35">
      <c r="A972" s="58">
        <v>38925</v>
      </c>
      <c r="B972" s="55">
        <f t="shared" si="30"/>
        <v>2006</v>
      </c>
      <c r="C972" s="55"/>
      <c r="D972" s="55">
        <f t="shared" si="31"/>
        <v>7</v>
      </c>
    </row>
    <row r="973" spans="1:4" x14ac:dyDescent="0.35">
      <c r="A973" s="58">
        <v>38932</v>
      </c>
      <c r="B973" s="55">
        <f t="shared" si="30"/>
        <v>2006</v>
      </c>
      <c r="C973" s="55"/>
      <c r="D973" s="55">
        <f t="shared" si="31"/>
        <v>8</v>
      </c>
    </row>
    <row r="974" spans="1:4" x14ac:dyDescent="0.35">
      <c r="A974" s="58">
        <v>38939</v>
      </c>
      <c r="B974" s="55">
        <f t="shared" si="30"/>
        <v>2006</v>
      </c>
      <c r="C974" s="55"/>
      <c r="D974" s="55">
        <f t="shared" si="31"/>
        <v>8</v>
      </c>
    </row>
    <row r="975" spans="1:4" x14ac:dyDescent="0.35">
      <c r="A975" s="58">
        <v>38946</v>
      </c>
      <c r="B975" s="55">
        <f t="shared" si="30"/>
        <v>2006</v>
      </c>
      <c r="C975" s="55"/>
      <c r="D975" s="55">
        <f t="shared" si="31"/>
        <v>8</v>
      </c>
    </row>
    <row r="976" spans="1:4" x14ac:dyDescent="0.35">
      <c r="A976" s="58">
        <v>38953</v>
      </c>
      <c r="B976" s="55">
        <f t="shared" si="30"/>
        <v>2006</v>
      </c>
      <c r="C976" s="55"/>
      <c r="D976" s="55">
        <f t="shared" si="31"/>
        <v>8</v>
      </c>
    </row>
    <row r="977" spans="1:4" x14ac:dyDescent="0.35">
      <c r="A977" s="58">
        <v>38960</v>
      </c>
      <c r="B977" s="55">
        <f t="shared" si="30"/>
        <v>2006</v>
      </c>
      <c r="C977" s="55"/>
      <c r="D977" s="55">
        <f t="shared" si="31"/>
        <v>8</v>
      </c>
    </row>
    <row r="978" spans="1:4" x14ac:dyDescent="0.35">
      <c r="A978" s="58">
        <v>38967</v>
      </c>
      <c r="B978" s="55">
        <f t="shared" si="30"/>
        <v>2006</v>
      </c>
      <c r="C978" s="55"/>
      <c r="D978" s="55">
        <f t="shared" si="31"/>
        <v>9</v>
      </c>
    </row>
    <row r="979" spans="1:4" x14ac:dyDescent="0.35">
      <c r="A979" s="58">
        <v>38974</v>
      </c>
      <c r="B979" s="55">
        <f t="shared" si="30"/>
        <v>2006</v>
      </c>
      <c r="C979" s="55"/>
      <c r="D979" s="55">
        <f t="shared" si="31"/>
        <v>9</v>
      </c>
    </row>
    <row r="980" spans="1:4" x14ac:dyDescent="0.35">
      <c r="A980" s="58">
        <v>38981</v>
      </c>
      <c r="B980" s="55">
        <f t="shared" si="30"/>
        <v>2006</v>
      </c>
      <c r="C980" s="55"/>
      <c r="D980" s="55">
        <f t="shared" si="31"/>
        <v>9</v>
      </c>
    </row>
    <row r="981" spans="1:4" x14ac:dyDescent="0.35">
      <c r="A981" s="58">
        <v>38988</v>
      </c>
      <c r="B981" s="55">
        <f t="shared" si="30"/>
        <v>2006</v>
      </c>
      <c r="C981" s="55"/>
      <c r="D981" s="55">
        <f t="shared" si="31"/>
        <v>9</v>
      </c>
    </row>
    <row r="982" spans="1:4" x14ac:dyDescent="0.35">
      <c r="A982" s="58">
        <v>38995</v>
      </c>
      <c r="B982" s="55">
        <f t="shared" si="30"/>
        <v>2006</v>
      </c>
      <c r="C982" s="55"/>
      <c r="D982" s="55">
        <f t="shared" si="31"/>
        <v>10</v>
      </c>
    </row>
    <row r="983" spans="1:4" x14ac:dyDescent="0.35">
      <c r="A983" s="58">
        <v>39002</v>
      </c>
      <c r="B983" s="55">
        <f t="shared" si="30"/>
        <v>2006</v>
      </c>
      <c r="C983" s="55"/>
      <c r="D983" s="55">
        <f t="shared" si="31"/>
        <v>10</v>
      </c>
    </row>
    <row r="984" spans="1:4" x14ac:dyDescent="0.35">
      <c r="A984" s="58">
        <v>39009</v>
      </c>
      <c r="B984" s="55">
        <f t="shared" si="30"/>
        <v>2006</v>
      </c>
      <c r="C984" s="55"/>
      <c r="D984" s="55">
        <f t="shared" si="31"/>
        <v>10</v>
      </c>
    </row>
    <row r="985" spans="1:4" x14ac:dyDescent="0.35">
      <c r="A985" s="58">
        <v>39016</v>
      </c>
      <c r="B985" s="55">
        <f t="shared" si="30"/>
        <v>2006</v>
      </c>
      <c r="C985" s="55"/>
      <c r="D985" s="55">
        <f t="shared" si="31"/>
        <v>10</v>
      </c>
    </row>
    <row r="986" spans="1:4" x14ac:dyDescent="0.35">
      <c r="A986" s="58">
        <v>39023</v>
      </c>
      <c r="B986" s="55">
        <f t="shared" si="30"/>
        <v>2006</v>
      </c>
      <c r="C986" s="55"/>
      <c r="D986" s="55">
        <f t="shared" si="31"/>
        <v>11</v>
      </c>
    </row>
    <row r="987" spans="1:4" x14ac:dyDescent="0.35">
      <c r="A987" s="58">
        <v>39030</v>
      </c>
      <c r="B987" s="55">
        <f t="shared" si="30"/>
        <v>2006</v>
      </c>
      <c r="C987" s="55"/>
      <c r="D987" s="55">
        <f t="shared" si="31"/>
        <v>11</v>
      </c>
    </row>
    <row r="988" spans="1:4" x14ac:dyDescent="0.35">
      <c r="A988" s="58">
        <v>39037</v>
      </c>
      <c r="B988" s="55">
        <f t="shared" si="30"/>
        <v>2006</v>
      </c>
      <c r="C988" s="55"/>
      <c r="D988" s="55">
        <f t="shared" si="31"/>
        <v>11</v>
      </c>
    </row>
    <row r="989" spans="1:4" x14ac:dyDescent="0.35">
      <c r="A989" s="58">
        <v>39044</v>
      </c>
      <c r="B989" s="55">
        <f t="shared" si="30"/>
        <v>2006</v>
      </c>
      <c r="C989" s="55"/>
      <c r="D989" s="55">
        <f t="shared" si="31"/>
        <v>11</v>
      </c>
    </row>
    <row r="990" spans="1:4" x14ac:dyDescent="0.35">
      <c r="A990" s="58">
        <v>39051</v>
      </c>
      <c r="B990" s="55">
        <f t="shared" si="30"/>
        <v>2006</v>
      </c>
      <c r="C990" s="55"/>
      <c r="D990" s="55">
        <f t="shared" si="31"/>
        <v>11</v>
      </c>
    </row>
    <row r="991" spans="1:4" x14ac:dyDescent="0.35">
      <c r="A991" s="58">
        <v>39058</v>
      </c>
      <c r="B991" s="55">
        <f t="shared" si="30"/>
        <v>2006</v>
      </c>
      <c r="C991" s="55"/>
      <c r="D991" s="55">
        <f t="shared" si="31"/>
        <v>12</v>
      </c>
    </row>
    <row r="992" spans="1:4" x14ac:dyDescent="0.35">
      <c r="A992" s="58">
        <v>39065</v>
      </c>
      <c r="B992" s="55">
        <f t="shared" si="30"/>
        <v>2006</v>
      </c>
      <c r="C992" s="55"/>
      <c r="D992" s="55">
        <f t="shared" si="31"/>
        <v>12</v>
      </c>
    </row>
    <row r="993" spans="1:4" x14ac:dyDescent="0.35">
      <c r="A993" s="58">
        <v>39072</v>
      </c>
      <c r="B993" s="55">
        <f t="shared" si="30"/>
        <v>2006</v>
      </c>
      <c r="C993" s="55"/>
      <c r="D993" s="55">
        <f t="shared" si="31"/>
        <v>12</v>
      </c>
    </row>
    <row r="994" spans="1:4" x14ac:dyDescent="0.35">
      <c r="A994" s="58">
        <v>39086</v>
      </c>
      <c r="B994" s="55">
        <f t="shared" si="30"/>
        <v>2007</v>
      </c>
      <c r="C994" s="55"/>
      <c r="D994" s="55">
        <f t="shared" si="31"/>
        <v>1</v>
      </c>
    </row>
    <row r="995" spans="1:4" x14ac:dyDescent="0.35">
      <c r="A995" s="58">
        <v>39093</v>
      </c>
      <c r="B995" s="55">
        <f t="shared" si="30"/>
        <v>2007</v>
      </c>
      <c r="C995" s="55"/>
      <c r="D995" s="55">
        <f t="shared" si="31"/>
        <v>1</v>
      </c>
    </row>
    <row r="996" spans="1:4" x14ac:dyDescent="0.35">
      <c r="A996" s="58">
        <v>39100</v>
      </c>
      <c r="B996" s="55">
        <f t="shared" si="30"/>
        <v>2007</v>
      </c>
      <c r="C996" s="55"/>
      <c r="D996" s="55">
        <f t="shared" si="31"/>
        <v>1</v>
      </c>
    </row>
    <row r="997" spans="1:4" x14ac:dyDescent="0.35">
      <c r="A997" s="58">
        <v>39107</v>
      </c>
      <c r="B997" s="55">
        <f t="shared" si="30"/>
        <v>2007</v>
      </c>
      <c r="C997" s="55"/>
      <c r="D997" s="55">
        <f t="shared" si="31"/>
        <v>1</v>
      </c>
    </row>
    <row r="998" spans="1:4" x14ac:dyDescent="0.35">
      <c r="A998" s="58">
        <v>39114</v>
      </c>
      <c r="B998" s="55">
        <f t="shared" si="30"/>
        <v>2007</v>
      </c>
      <c r="C998" s="55"/>
      <c r="D998" s="55">
        <f t="shared" si="31"/>
        <v>2</v>
      </c>
    </row>
    <row r="999" spans="1:4" x14ac:dyDescent="0.35">
      <c r="A999" s="58">
        <v>39121</v>
      </c>
      <c r="B999" s="55">
        <f t="shared" si="30"/>
        <v>2007</v>
      </c>
      <c r="C999" s="55"/>
      <c r="D999" s="55">
        <f t="shared" si="31"/>
        <v>2</v>
      </c>
    </row>
    <row r="1000" spans="1:4" x14ac:dyDescent="0.35">
      <c r="A1000" s="58">
        <v>39128</v>
      </c>
      <c r="B1000" s="55">
        <f t="shared" si="30"/>
        <v>2007</v>
      </c>
      <c r="C1000" s="55"/>
      <c r="D1000" s="55">
        <f t="shared" si="31"/>
        <v>2</v>
      </c>
    </row>
    <row r="1001" spans="1:4" x14ac:dyDescent="0.35">
      <c r="A1001" s="58">
        <v>39135</v>
      </c>
      <c r="B1001" s="55">
        <f t="shared" si="30"/>
        <v>2007</v>
      </c>
      <c r="C1001" s="55"/>
      <c r="D1001" s="55">
        <f t="shared" si="31"/>
        <v>2</v>
      </c>
    </row>
    <row r="1002" spans="1:4" x14ac:dyDescent="0.35">
      <c r="A1002" s="58">
        <v>39142</v>
      </c>
      <c r="B1002" s="55">
        <f t="shared" si="30"/>
        <v>2007</v>
      </c>
      <c r="C1002" s="55"/>
      <c r="D1002" s="55">
        <f t="shared" si="31"/>
        <v>3</v>
      </c>
    </row>
    <row r="1003" spans="1:4" x14ac:dyDescent="0.35">
      <c r="A1003" s="58">
        <v>39149</v>
      </c>
      <c r="B1003" s="55">
        <f t="shared" si="30"/>
        <v>2007</v>
      </c>
      <c r="C1003" s="55"/>
      <c r="D1003" s="55">
        <f t="shared" si="31"/>
        <v>3</v>
      </c>
    </row>
    <row r="1004" spans="1:4" x14ac:dyDescent="0.35">
      <c r="A1004" s="58">
        <v>39156</v>
      </c>
      <c r="B1004" s="55">
        <f t="shared" si="30"/>
        <v>2007</v>
      </c>
      <c r="C1004" s="55"/>
      <c r="D1004" s="55">
        <f t="shared" si="31"/>
        <v>3</v>
      </c>
    </row>
    <row r="1005" spans="1:4" x14ac:dyDescent="0.35">
      <c r="A1005" s="58">
        <v>39163</v>
      </c>
      <c r="B1005" s="55">
        <f t="shared" si="30"/>
        <v>2007</v>
      </c>
      <c r="C1005" s="55"/>
      <c r="D1005" s="55">
        <f t="shared" si="31"/>
        <v>3</v>
      </c>
    </row>
    <row r="1006" spans="1:4" x14ac:dyDescent="0.35">
      <c r="A1006" s="58">
        <v>39170</v>
      </c>
      <c r="B1006" s="55">
        <f t="shared" si="30"/>
        <v>2007</v>
      </c>
      <c r="C1006" s="55"/>
      <c r="D1006" s="55">
        <f t="shared" si="31"/>
        <v>3</v>
      </c>
    </row>
    <row r="1007" spans="1:4" x14ac:dyDescent="0.35">
      <c r="A1007" s="58">
        <v>39177</v>
      </c>
      <c r="B1007" s="55">
        <f t="shared" si="30"/>
        <v>2007</v>
      </c>
      <c r="C1007" s="55"/>
      <c r="D1007" s="55">
        <f t="shared" si="31"/>
        <v>4</v>
      </c>
    </row>
    <row r="1008" spans="1:4" x14ac:dyDescent="0.35">
      <c r="A1008" s="58">
        <v>39184</v>
      </c>
      <c r="B1008" s="55">
        <f t="shared" si="30"/>
        <v>2007</v>
      </c>
      <c r="C1008" s="55"/>
      <c r="D1008" s="55">
        <f t="shared" si="31"/>
        <v>4</v>
      </c>
    </row>
    <row r="1009" spans="1:4" x14ac:dyDescent="0.35">
      <c r="A1009" s="58">
        <v>39191</v>
      </c>
      <c r="B1009" s="55">
        <f t="shared" si="30"/>
        <v>2007</v>
      </c>
      <c r="C1009" s="55"/>
      <c r="D1009" s="55">
        <f t="shared" si="31"/>
        <v>4</v>
      </c>
    </row>
    <row r="1010" spans="1:4" x14ac:dyDescent="0.35">
      <c r="A1010" s="58">
        <v>39198</v>
      </c>
      <c r="B1010" s="55">
        <f t="shared" si="30"/>
        <v>2007</v>
      </c>
      <c r="C1010" s="55"/>
      <c r="D1010" s="55">
        <f t="shared" si="31"/>
        <v>4</v>
      </c>
    </row>
    <row r="1011" spans="1:4" x14ac:dyDescent="0.35">
      <c r="A1011" s="58">
        <v>39205</v>
      </c>
      <c r="B1011" s="55">
        <f t="shared" si="30"/>
        <v>2007</v>
      </c>
      <c r="C1011" s="55"/>
      <c r="D1011" s="55">
        <f t="shared" si="31"/>
        <v>5</v>
      </c>
    </row>
    <row r="1012" spans="1:4" x14ac:dyDescent="0.35">
      <c r="A1012" s="58">
        <v>39212</v>
      </c>
      <c r="B1012" s="55">
        <f t="shared" si="30"/>
        <v>2007</v>
      </c>
      <c r="C1012" s="55"/>
      <c r="D1012" s="55">
        <f t="shared" si="31"/>
        <v>5</v>
      </c>
    </row>
    <row r="1013" spans="1:4" x14ac:dyDescent="0.35">
      <c r="A1013" s="58">
        <v>39219</v>
      </c>
      <c r="B1013" s="55">
        <f t="shared" si="30"/>
        <v>2007</v>
      </c>
      <c r="C1013" s="55"/>
      <c r="D1013" s="55">
        <f t="shared" si="31"/>
        <v>5</v>
      </c>
    </row>
    <row r="1014" spans="1:4" x14ac:dyDescent="0.35">
      <c r="A1014" s="58">
        <v>39233</v>
      </c>
      <c r="B1014" s="55">
        <f t="shared" si="30"/>
        <v>2007</v>
      </c>
      <c r="C1014" s="55"/>
      <c r="D1014" s="55">
        <f t="shared" si="31"/>
        <v>5</v>
      </c>
    </row>
    <row r="1015" spans="1:4" x14ac:dyDescent="0.35">
      <c r="A1015" s="58">
        <v>39240</v>
      </c>
      <c r="B1015" s="55">
        <f t="shared" si="30"/>
        <v>2007</v>
      </c>
      <c r="C1015" s="55"/>
      <c r="D1015" s="55">
        <f t="shared" si="31"/>
        <v>6</v>
      </c>
    </row>
    <row r="1016" spans="1:4" x14ac:dyDescent="0.35">
      <c r="A1016" s="58">
        <v>39247</v>
      </c>
      <c r="B1016" s="55">
        <f t="shared" si="30"/>
        <v>2007</v>
      </c>
      <c r="C1016" s="55"/>
      <c r="D1016" s="55">
        <f t="shared" si="31"/>
        <v>6</v>
      </c>
    </row>
    <row r="1017" spans="1:4" x14ac:dyDescent="0.35">
      <c r="A1017" s="58">
        <v>39254</v>
      </c>
      <c r="B1017" s="55">
        <f t="shared" si="30"/>
        <v>2007</v>
      </c>
      <c r="C1017" s="55"/>
      <c r="D1017" s="55">
        <f t="shared" si="31"/>
        <v>6</v>
      </c>
    </row>
    <row r="1018" spans="1:4" x14ac:dyDescent="0.35">
      <c r="A1018" s="58">
        <v>39261</v>
      </c>
      <c r="B1018" s="55">
        <f t="shared" si="30"/>
        <v>2007</v>
      </c>
      <c r="C1018" s="55"/>
      <c r="D1018" s="55">
        <f t="shared" si="31"/>
        <v>6</v>
      </c>
    </row>
    <row r="1019" spans="1:4" x14ac:dyDescent="0.35">
      <c r="A1019" s="58">
        <v>39268</v>
      </c>
      <c r="B1019" s="55">
        <f t="shared" si="30"/>
        <v>2007</v>
      </c>
      <c r="C1019" s="55"/>
      <c r="D1019" s="55">
        <f t="shared" si="31"/>
        <v>7</v>
      </c>
    </row>
    <row r="1020" spans="1:4" x14ac:dyDescent="0.35">
      <c r="A1020" s="58">
        <v>39275</v>
      </c>
      <c r="B1020" s="55">
        <f t="shared" si="30"/>
        <v>2007</v>
      </c>
      <c r="C1020" s="55"/>
      <c r="D1020" s="55">
        <f t="shared" si="31"/>
        <v>7</v>
      </c>
    </row>
    <row r="1021" spans="1:4" x14ac:dyDescent="0.35">
      <c r="A1021" s="58">
        <v>39282</v>
      </c>
      <c r="B1021" s="55">
        <f t="shared" si="30"/>
        <v>2007</v>
      </c>
      <c r="C1021" s="55"/>
      <c r="D1021" s="55">
        <f t="shared" si="31"/>
        <v>7</v>
      </c>
    </row>
    <row r="1022" spans="1:4" x14ac:dyDescent="0.35">
      <c r="A1022" s="58">
        <v>39289</v>
      </c>
      <c r="B1022" s="55">
        <f t="shared" si="30"/>
        <v>2007</v>
      </c>
      <c r="C1022" s="55"/>
      <c r="D1022" s="55">
        <f t="shared" si="31"/>
        <v>7</v>
      </c>
    </row>
    <row r="1023" spans="1:4" x14ac:dyDescent="0.35">
      <c r="A1023" s="58">
        <v>39296</v>
      </c>
      <c r="B1023" s="55">
        <f t="shared" si="30"/>
        <v>2007</v>
      </c>
      <c r="C1023" s="55"/>
      <c r="D1023" s="55">
        <f t="shared" si="31"/>
        <v>8</v>
      </c>
    </row>
    <row r="1024" spans="1:4" x14ac:dyDescent="0.35">
      <c r="A1024" s="58">
        <v>39303</v>
      </c>
      <c r="B1024" s="55">
        <f t="shared" si="30"/>
        <v>2007</v>
      </c>
      <c r="C1024" s="55"/>
      <c r="D1024" s="55">
        <f t="shared" si="31"/>
        <v>8</v>
      </c>
    </row>
    <row r="1025" spans="1:10" x14ac:dyDescent="0.35">
      <c r="A1025" s="58">
        <v>39310</v>
      </c>
      <c r="B1025" s="55">
        <f t="shared" si="30"/>
        <v>2007</v>
      </c>
      <c r="C1025" s="55"/>
      <c r="D1025" s="55">
        <f t="shared" si="31"/>
        <v>8</v>
      </c>
      <c r="E1025" s="60">
        <v>45</v>
      </c>
      <c r="F1025" s="60">
        <v>47</v>
      </c>
      <c r="G1025" s="61">
        <v>46</v>
      </c>
      <c r="H1025" s="60">
        <v>34</v>
      </c>
      <c r="I1025" s="60">
        <v>36</v>
      </c>
      <c r="J1025" s="61">
        <v>35</v>
      </c>
    </row>
    <row r="1026" spans="1:10" x14ac:dyDescent="0.35">
      <c r="A1026" s="58">
        <v>39317</v>
      </c>
      <c r="B1026" s="55">
        <f t="shared" si="30"/>
        <v>2007</v>
      </c>
      <c r="C1026" s="55"/>
      <c r="D1026" s="55">
        <f t="shared" si="31"/>
        <v>8</v>
      </c>
      <c r="E1026" s="60">
        <v>45</v>
      </c>
      <c r="F1026" s="60">
        <v>47</v>
      </c>
      <c r="G1026" s="61">
        <v>46</v>
      </c>
      <c r="H1026" s="60">
        <v>34</v>
      </c>
      <c r="I1026" s="60">
        <v>36</v>
      </c>
      <c r="J1026" s="61">
        <v>35</v>
      </c>
    </row>
    <row r="1027" spans="1:10" x14ac:dyDescent="0.35">
      <c r="A1027" s="58">
        <v>39324</v>
      </c>
      <c r="B1027" s="55">
        <f t="shared" si="30"/>
        <v>2007</v>
      </c>
      <c r="C1027" s="55"/>
      <c r="D1027" s="55">
        <f t="shared" si="31"/>
        <v>8</v>
      </c>
      <c r="E1027" s="60">
        <v>45</v>
      </c>
      <c r="F1027" s="60">
        <v>47</v>
      </c>
      <c r="G1027" s="61">
        <v>46</v>
      </c>
      <c r="H1027" s="60">
        <v>34</v>
      </c>
      <c r="I1027" s="60">
        <v>36</v>
      </c>
      <c r="J1027" s="61">
        <v>35</v>
      </c>
    </row>
    <row r="1028" spans="1:10" x14ac:dyDescent="0.35">
      <c r="A1028" s="58">
        <v>39331</v>
      </c>
      <c r="B1028" s="55">
        <f t="shared" ref="B1028:B1091" si="32">YEAR(A1028)</f>
        <v>2007</v>
      </c>
      <c r="C1028" s="55"/>
      <c r="D1028" s="55">
        <f t="shared" ref="D1028:D1091" si="33">MONTH(A1028)</f>
        <v>9</v>
      </c>
      <c r="E1028" s="60">
        <v>45</v>
      </c>
      <c r="F1028" s="60">
        <v>47</v>
      </c>
      <c r="G1028" s="61">
        <v>46</v>
      </c>
      <c r="H1028" s="60">
        <v>34</v>
      </c>
      <c r="I1028" s="60">
        <v>36</v>
      </c>
      <c r="J1028" s="61">
        <v>35</v>
      </c>
    </row>
    <row r="1029" spans="1:10" x14ac:dyDescent="0.35">
      <c r="A1029" s="58">
        <v>39338</v>
      </c>
      <c r="B1029" s="55">
        <f t="shared" si="32"/>
        <v>2007</v>
      </c>
      <c r="C1029" s="55"/>
      <c r="D1029" s="55">
        <f t="shared" si="33"/>
        <v>9</v>
      </c>
      <c r="E1029" s="60">
        <v>45</v>
      </c>
      <c r="F1029" s="60">
        <v>47</v>
      </c>
      <c r="G1029" s="61">
        <v>46</v>
      </c>
      <c r="H1029" s="60">
        <v>34</v>
      </c>
      <c r="I1029" s="60">
        <v>36</v>
      </c>
      <c r="J1029" s="61">
        <v>35</v>
      </c>
    </row>
    <row r="1030" spans="1:10" x14ac:dyDescent="0.35">
      <c r="A1030" s="58">
        <v>39345</v>
      </c>
      <c r="B1030" s="55">
        <f t="shared" si="32"/>
        <v>2007</v>
      </c>
      <c r="C1030" s="55"/>
      <c r="D1030" s="55">
        <f t="shared" si="33"/>
        <v>9</v>
      </c>
      <c r="E1030" s="60">
        <v>45</v>
      </c>
      <c r="F1030" s="60">
        <v>47</v>
      </c>
      <c r="G1030" s="61">
        <v>46</v>
      </c>
      <c r="H1030" s="60">
        <v>34</v>
      </c>
      <c r="I1030" s="60">
        <v>36</v>
      </c>
      <c r="J1030" s="61">
        <v>35</v>
      </c>
    </row>
    <row r="1031" spans="1:10" x14ac:dyDescent="0.35">
      <c r="A1031" s="58">
        <v>39352</v>
      </c>
      <c r="B1031" s="55">
        <f t="shared" si="32"/>
        <v>2007</v>
      </c>
      <c r="C1031" s="55"/>
      <c r="D1031" s="55">
        <f t="shared" si="33"/>
        <v>9</v>
      </c>
      <c r="E1031" s="60">
        <v>45</v>
      </c>
      <c r="F1031" s="60">
        <v>47</v>
      </c>
      <c r="G1031" s="61">
        <v>46</v>
      </c>
      <c r="H1031" s="60">
        <v>34</v>
      </c>
      <c r="I1031" s="60">
        <v>36</v>
      </c>
      <c r="J1031" s="61">
        <v>35</v>
      </c>
    </row>
    <row r="1032" spans="1:10" x14ac:dyDescent="0.35">
      <c r="A1032" s="58">
        <v>39359</v>
      </c>
      <c r="B1032" s="55">
        <f t="shared" si="32"/>
        <v>2007</v>
      </c>
      <c r="C1032" s="55"/>
      <c r="D1032" s="55">
        <f t="shared" si="33"/>
        <v>10</v>
      </c>
      <c r="E1032" s="60">
        <v>45</v>
      </c>
      <c r="F1032" s="60">
        <v>47</v>
      </c>
      <c r="G1032" s="61">
        <v>46</v>
      </c>
      <c r="H1032" s="60">
        <v>34</v>
      </c>
      <c r="I1032" s="60">
        <v>36</v>
      </c>
      <c r="J1032" s="61">
        <v>35</v>
      </c>
    </row>
    <row r="1033" spans="1:10" x14ac:dyDescent="0.35">
      <c r="A1033" s="58">
        <v>39366</v>
      </c>
      <c r="B1033" s="55">
        <f t="shared" si="32"/>
        <v>2007</v>
      </c>
      <c r="C1033" s="55"/>
      <c r="D1033" s="55">
        <f t="shared" si="33"/>
        <v>10</v>
      </c>
      <c r="E1033" s="60">
        <v>45</v>
      </c>
      <c r="F1033" s="60">
        <v>47</v>
      </c>
      <c r="G1033" s="61">
        <v>46</v>
      </c>
      <c r="H1033" s="60">
        <v>34</v>
      </c>
      <c r="I1033" s="60">
        <v>36</v>
      </c>
      <c r="J1033" s="61">
        <v>35</v>
      </c>
    </row>
    <row r="1034" spans="1:10" x14ac:dyDescent="0.35">
      <c r="A1034" s="58">
        <v>39373</v>
      </c>
      <c r="B1034" s="55">
        <f t="shared" si="32"/>
        <v>2007</v>
      </c>
      <c r="C1034" s="55"/>
      <c r="D1034" s="55">
        <f t="shared" si="33"/>
        <v>10</v>
      </c>
      <c r="E1034" s="60">
        <v>45</v>
      </c>
      <c r="F1034" s="60">
        <v>47</v>
      </c>
      <c r="G1034" s="61">
        <v>46</v>
      </c>
      <c r="H1034" s="60">
        <v>34</v>
      </c>
      <c r="I1034" s="60">
        <v>36</v>
      </c>
      <c r="J1034" s="61">
        <v>35</v>
      </c>
    </row>
    <row r="1035" spans="1:10" x14ac:dyDescent="0.35">
      <c r="A1035" s="58">
        <v>39380</v>
      </c>
      <c r="B1035" s="55">
        <f t="shared" si="32"/>
        <v>2007</v>
      </c>
      <c r="C1035" s="55"/>
      <c r="D1035" s="55">
        <f t="shared" si="33"/>
        <v>10</v>
      </c>
      <c r="E1035" s="60">
        <v>51</v>
      </c>
      <c r="F1035" s="60">
        <v>55</v>
      </c>
      <c r="G1035" s="61">
        <v>53</v>
      </c>
      <c r="H1035" s="60">
        <v>40</v>
      </c>
      <c r="I1035" s="60">
        <v>44</v>
      </c>
      <c r="J1035" s="61">
        <v>42</v>
      </c>
    </row>
    <row r="1036" spans="1:10" x14ac:dyDescent="0.35">
      <c r="A1036" s="58">
        <v>39387</v>
      </c>
      <c r="B1036" s="55">
        <f t="shared" si="32"/>
        <v>2007</v>
      </c>
      <c r="C1036" s="55"/>
      <c r="D1036" s="55">
        <f t="shared" si="33"/>
        <v>11</v>
      </c>
      <c r="E1036" s="60">
        <v>51</v>
      </c>
      <c r="F1036" s="60">
        <v>55</v>
      </c>
      <c r="G1036" s="61">
        <v>53</v>
      </c>
      <c r="H1036" s="60">
        <v>40</v>
      </c>
      <c r="I1036" s="60">
        <v>44</v>
      </c>
      <c r="J1036" s="61">
        <v>42</v>
      </c>
    </row>
    <row r="1037" spans="1:10" x14ac:dyDescent="0.35">
      <c r="A1037" s="58">
        <v>39394</v>
      </c>
      <c r="B1037" s="55">
        <f t="shared" si="32"/>
        <v>2007</v>
      </c>
      <c r="C1037" s="55"/>
      <c r="D1037" s="55">
        <f t="shared" si="33"/>
        <v>11</v>
      </c>
      <c r="E1037" s="60">
        <v>51</v>
      </c>
      <c r="F1037" s="60">
        <v>55</v>
      </c>
      <c r="G1037" s="61">
        <v>53</v>
      </c>
      <c r="H1037" s="60">
        <v>40</v>
      </c>
      <c r="I1037" s="60">
        <v>44</v>
      </c>
      <c r="J1037" s="61">
        <v>42</v>
      </c>
    </row>
    <row r="1038" spans="1:10" x14ac:dyDescent="0.35">
      <c r="A1038" s="58">
        <v>39401</v>
      </c>
      <c r="B1038" s="55">
        <f t="shared" si="32"/>
        <v>2007</v>
      </c>
      <c r="C1038" s="55"/>
      <c r="D1038" s="55">
        <f t="shared" si="33"/>
        <v>11</v>
      </c>
      <c r="E1038" s="60">
        <v>51</v>
      </c>
      <c r="F1038" s="60">
        <v>55</v>
      </c>
      <c r="G1038" s="61">
        <v>53</v>
      </c>
      <c r="H1038" s="60">
        <v>40</v>
      </c>
      <c r="I1038" s="60">
        <v>44</v>
      </c>
      <c r="J1038" s="61">
        <v>42</v>
      </c>
    </row>
    <row r="1039" spans="1:10" x14ac:dyDescent="0.35">
      <c r="A1039" s="58">
        <v>39408</v>
      </c>
      <c r="B1039" s="55">
        <f t="shared" si="32"/>
        <v>2007</v>
      </c>
      <c r="C1039" s="55"/>
      <c r="D1039" s="55">
        <f t="shared" si="33"/>
        <v>11</v>
      </c>
      <c r="E1039" s="60">
        <v>51</v>
      </c>
      <c r="F1039" s="60">
        <v>55</v>
      </c>
      <c r="G1039" s="61">
        <v>53</v>
      </c>
      <c r="H1039" s="60">
        <v>40</v>
      </c>
      <c r="I1039" s="60">
        <v>44</v>
      </c>
      <c r="J1039" s="61">
        <v>42</v>
      </c>
    </row>
    <row r="1040" spans="1:10" x14ac:dyDescent="0.35">
      <c r="A1040" s="58">
        <v>39415</v>
      </c>
      <c r="B1040" s="55">
        <f t="shared" si="32"/>
        <v>2007</v>
      </c>
      <c r="C1040" s="55"/>
      <c r="D1040" s="55">
        <f t="shared" si="33"/>
        <v>11</v>
      </c>
      <c r="E1040" s="60">
        <v>51</v>
      </c>
      <c r="F1040" s="60">
        <v>55</v>
      </c>
      <c r="G1040" s="61">
        <v>53</v>
      </c>
      <c r="H1040" s="60">
        <v>40</v>
      </c>
      <c r="I1040" s="60">
        <v>44</v>
      </c>
      <c r="J1040" s="61">
        <v>42</v>
      </c>
    </row>
    <row r="1041" spans="1:10" x14ac:dyDescent="0.35">
      <c r="A1041" s="58">
        <v>39422</v>
      </c>
      <c r="B1041" s="55">
        <f t="shared" si="32"/>
        <v>2007</v>
      </c>
      <c r="C1041" s="55"/>
      <c r="D1041" s="55">
        <f t="shared" si="33"/>
        <v>12</v>
      </c>
      <c r="E1041" s="60">
        <v>51</v>
      </c>
      <c r="F1041" s="60">
        <v>55</v>
      </c>
      <c r="G1041" s="61">
        <v>53</v>
      </c>
      <c r="H1041" s="60">
        <v>44</v>
      </c>
      <c r="I1041" s="60">
        <v>46</v>
      </c>
      <c r="J1041" s="61">
        <v>45</v>
      </c>
    </row>
    <row r="1042" spans="1:10" x14ac:dyDescent="0.35">
      <c r="A1042" s="58">
        <v>39429</v>
      </c>
      <c r="B1042" s="55">
        <f t="shared" si="32"/>
        <v>2007</v>
      </c>
      <c r="C1042" s="55"/>
      <c r="D1042" s="55">
        <f t="shared" si="33"/>
        <v>12</v>
      </c>
      <c r="E1042" s="60">
        <v>51</v>
      </c>
      <c r="F1042" s="60">
        <v>55</v>
      </c>
      <c r="G1042" s="61">
        <v>53</v>
      </c>
      <c r="H1042" s="60">
        <v>44</v>
      </c>
      <c r="I1042" s="60">
        <v>46</v>
      </c>
      <c r="J1042" s="61">
        <v>45</v>
      </c>
    </row>
    <row r="1043" spans="1:10" x14ac:dyDescent="0.35">
      <c r="A1043" s="58">
        <v>39436</v>
      </c>
      <c r="B1043" s="55">
        <f t="shared" si="32"/>
        <v>2007</v>
      </c>
      <c r="C1043" s="55"/>
      <c r="D1043" s="55">
        <f t="shared" si="33"/>
        <v>12</v>
      </c>
      <c r="E1043" s="60">
        <v>52</v>
      </c>
      <c r="F1043" s="60">
        <v>56</v>
      </c>
      <c r="G1043" s="61">
        <v>54</v>
      </c>
      <c r="H1043" s="60">
        <v>44</v>
      </c>
      <c r="I1043" s="60">
        <v>48</v>
      </c>
      <c r="J1043" s="61">
        <v>46</v>
      </c>
    </row>
    <row r="1044" spans="1:10" x14ac:dyDescent="0.35">
      <c r="A1044" s="58">
        <v>39450</v>
      </c>
      <c r="B1044" s="55">
        <f t="shared" si="32"/>
        <v>2008</v>
      </c>
      <c r="C1044" s="55"/>
      <c r="D1044" s="55">
        <f t="shared" si="33"/>
        <v>1</v>
      </c>
      <c r="E1044" s="60">
        <v>52</v>
      </c>
      <c r="F1044" s="60">
        <v>56</v>
      </c>
      <c r="G1044" s="61">
        <v>54</v>
      </c>
      <c r="H1044" s="60">
        <v>44</v>
      </c>
      <c r="I1044" s="60">
        <v>48</v>
      </c>
      <c r="J1044" s="61">
        <v>46</v>
      </c>
    </row>
    <row r="1045" spans="1:10" x14ac:dyDescent="0.35">
      <c r="A1045" s="58">
        <v>39457</v>
      </c>
      <c r="B1045" s="55">
        <f t="shared" si="32"/>
        <v>2008</v>
      </c>
      <c r="C1045" s="55"/>
      <c r="D1045" s="55">
        <f t="shared" si="33"/>
        <v>1</v>
      </c>
      <c r="E1045" s="60">
        <v>52</v>
      </c>
      <c r="F1045" s="60">
        <v>56</v>
      </c>
      <c r="G1045" s="61">
        <v>54</v>
      </c>
      <c r="H1045" s="60">
        <v>44</v>
      </c>
      <c r="I1045" s="60">
        <v>48</v>
      </c>
      <c r="J1045" s="61">
        <v>46</v>
      </c>
    </row>
    <row r="1046" spans="1:10" x14ac:dyDescent="0.35">
      <c r="A1046" s="58">
        <v>39464</v>
      </c>
      <c r="B1046" s="55">
        <f t="shared" si="32"/>
        <v>2008</v>
      </c>
      <c r="C1046" s="55"/>
      <c r="D1046" s="55">
        <f t="shared" si="33"/>
        <v>1</v>
      </c>
      <c r="E1046" s="60">
        <v>51</v>
      </c>
      <c r="F1046" s="60">
        <v>55</v>
      </c>
      <c r="G1046" s="61">
        <v>53</v>
      </c>
      <c r="H1046" s="60">
        <v>43</v>
      </c>
      <c r="I1046" s="60">
        <v>47</v>
      </c>
      <c r="J1046" s="61">
        <v>45</v>
      </c>
    </row>
    <row r="1047" spans="1:10" x14ac:dyDescent="0.35">
      <c r="A1047" s="58">
        <v>39471</v>
      </c>
      <c r="B1047" s="55">
        <f t="shared" si="32"/>
        <v>2008</v>
      </c>
      <c r="C1047" s="55"/>
      <c r="D1047" s="55">
        <f t="shared" si="33"/>
        <v>1</v>
      </c>
      <c r="E1047" s="60">
        <v>51</v>
      </c>
      <c r="F1047" s="60">
        <v>55</v>
      </c>
      <c r="G1047" s="61">
        <v>53</v>
      </c>
      <c r="H1047" s="60">
        <v>40</v>
      </c>
      <c r="I1047" s="60">
        <v>45</v>
      </c>
      <c r="J1047" s="61">
        <v>42</v>
      </c>
    </row>
    <row r="1048" spans="1:10" x14ac:dyDescent="0.35">
      <c r="A1048" s="58">
        <v>39478</v>
      </c>
      <c r="B1048" s="55">
        <f t="shared" si="32"/>
        <v>2008</v>
      </c>
      <c r="C1048" s="55"/>
      <c r="D1048" s="55">
        <f t="shared" si="33"/>
        <v>1</v>
      </c>
      <c r="E1048" s="60">
        <v>51</v>
      </c>
      <c r="F1048" s="60">
        <v>55</v>
      </c>
      <c r="G1048" s="61">
        <v>53</v>
      </c>
      <c r="H1048" s="60">
        <v>40</v>
      </c>
      <c r="I1048" s="60">
        <v>45</v>
      </c>
      <c r="J1048" s="61">
        <v>42</v>
      </c>
    </row>
    <row r="1049" spans="1:10" x14ac:dyDescent="0.35">
      <c r="A1049" s="58">
        <v>39485</v>
      </c>
      <c r="B1049" s="55">
        <f t="shared" si="32"/>
        <v>2008</v>
      </c>
      <c r="C1049" s="55"/>
      <c r="D1049" s="55">
        <f t="shared" si="33"/>
        <v>2</v>
      </c>
      <c r="E1049" s="60">
        <v>51</v>
      </c>
      <c r="F1049" s="60">
        <v>55</v>
      </c>
      <c r="G1049" s="61">
        <v>53</v>
      </c>
      <c r="H1049" s="60">
        <v>40</v>
      </c>
      <c r="I1049" s="60">
        <v>45</v>
      </c>
      <c r="J1049" s="61">
        <v>42</v>
      </c>
    </row>
    <row r="1050" spans="1:10" x14ac:dyDescent="0.35">
      <c r="A1050" s="58">
        <v>39492</v>
      </c>
      <c r="B1050" s="55">
        <f t="shared" si="32"/>
        <v>2008</v>
      </c>
      <c r="C1050" s="55"/>
      <c r="D1050" s="55">
        <f t="shared" si="33"/>
        <v>2</v>
      </c>
      <c r="E1050" s="60">
        <v>51</v>
      </c>
      <c r="F1050" s="60">
        <v>55</v>
      </c>
      <c r="G1050" s="61">
        <v>53</v>
      </c>
      <c r="H1050" s="60">
        <v>40</v>
      </c>
      <c r="I1050" s="60">
        <v>45</v>
      </c>
      <c r="J1050" s="61">
        <v>42</v>
      </c>
    </row>
    <row r="1051" spans="1:10" x14ac:dyDescent="0.35">
      <c r="A1051" s="58">
        <v>39499</v>
      </c>
      <c r="B1051" s="55">
        <f t="shared" si="32"/>
        <v>2008</v>
      </c>
      <c r="C1051" s="55"/>
      <c r="D1051" s="55">
        <f t="shared" si="33"/>
        <v>2</v>
      </c>
      <c r="E1051" s="60">
        <v>48</v>
      </c>
      <c r="F1051" s="60">
        <v>52</v>
      </c>
      <c r="G1051" s="61">
        <v>50</v>
      </c>
      <c r="H1051" s="60">
        <v>38</v>
      </c>
      <c r="I1051" s="60">
        <v>43</v>
      </c>
      <c r="J1051" s="61">
        <v>40</v>
      </c>
    </row>
    <row r="1052" spans="1:10" x14ac:dyDescent="0.35">
      <c r="A1052" s="58">
        <v>39506</v>
      </c>
      <c r="B1052" s="55">
        <f t="shared" si="32"/>
        <v>2008</v>
      </c>
      <c r="C1052" s="55"/>
      <c r="D1052" s="55">
        <f t="shared" si="33"/>
        <v>2</v>
      </c>
      <c r="E1052" s="60">
        <v>52</v>
      </c>
      <c r="F1052" s="60">
        <v>55</v>
      </c>
      <c r="G1052" s="61">
        <v>54</v>
      </c>
      <c r="H1052" s="60">
        <v>38</v>
      </c>
      <c r="I1052" s="60">
        <v>43</v>
      </c>
      <c r="J1052" s="61">
        <v>40</v>
      </c>
    </row>
    <row r="1053" spans="1:10" x14ac:dyDescent="0.35">
      <c r="A1053" s="58">
        <v>39513</v>
      </c>
      <c r="B1053" s="55">
        <f t="shared" si="32"/>
        <v>2008</v>
      </c>
      <c r="C1053" s="55"/>
      <c r="D1053" s="55">
        <f t="shared" si="33"/>
        <v>3</v>
      </c>
      <c r="E1053" s="60">
        <v>52</v>
      </c>
      <c r="F1053" s="60">
        <v>55</v>
      </c>
      <c r="G1053" s="61">
        <v>54</v>
      </c>
      <c r="H1053" s="60">
        <v>40</v>
      </c>
      <c r="I1053" s="60">
        <v>45</v>
      </c>
      <c r="J1053" s="61">
        <v>42</v>
      </c>
    </row>
    <row r="1054" spans="1:10" x14ac:dyDescent="0.35">
      <c r="A1054" s="58">
        <v>39520</v>
      </c>
      <c r="B1054" s="55">
        <f t="shared" si="32"/>
        <v>2008</v>
      </c>
      <c r="C1054" s="55"/>
      <c r="D1054" s="55">
        <f t="shared" si="33"/>
        <v>3</v>
      </c>
      <c r="E1054" s="60">
        <v>52</v>
      </c>
      <c r="F1054" s="60">
        <v>55</v>
      </c>
      <c r="G1054" s="61">
        <v>54</v>
      </c>
      <c r="H1054" s="60">
        <v>40</v>
      </c>
      <c r="I1054" s="60">
        <v>45</v>
      </c>
      <c r="J1054" s="61">
        <v>42</v>
      </c>
    </row>
    <row r="1055" spans="1:10" x14ac:dyDescent="0.35">
      <c r="A1055" s="58">
        <v>39527</v>
      </c>
      <c r="B1055" s="55">
        <f t="shared" si="32"/>
        <v>2008</v>
      </c>
      <c r="C1055" s="55"/>
      <c r="D1055" s="55">
        <f t="shared" si="33"/>
        <v>3</v>
      </c>
      <c r="E1055" s="60">
        <v>50</v>
      </c>
      <c r="F1055" s="60">
        <v>54</v>
      </c>
      <c r="G1055" s="61">
        <v>52</v>
      </c>
      <c r="H1055" s="60">
        <v>36</v>
      </c>
      <c r="I1055" s="60">
        <v>40</v>
      </c>
      <c r="J1055" s="61">
        <v>38</v>
      </c>
    </row>
    <row r="1056" spans="1:10" x14ac:dyDescent="0.35">
      <c r="A1056" s="58">
        <v>39534</v>
      </c>
      <c r="B1056" s="55">
        <f t="shared" si="32"/>
        <v>2008</v>
      </c>
      <c r="C1056" s="55"/>
      <c r="D1056" s="55">
        <f t="shared" si="33"/>
        <v>3</v>
      </c>
      <c r="E1056" s="60">
        <v>50</v>
      </c>
      <c r="F1056" s="60">
        <v>54</v>
      </c>
      <c r="G1056" s="61">
        <v>52</v>
      </c>
      <c r="H1056" s="60">
        <v>36</v>
      </c>
      <c r="I1056" s="60">
        <v>40</v>
      </c>
      <c r="J1056" s="61">
        <v>38</v>
      </c>
    </row>
    <row r="1057" spans="1:10" x14ac:dyDescent="0.35">
      <c r="A1057" s="58">
        <v>39541</v>
      </c>
      <c r="B1057" s="55">
        <f t="shared" si="32"/>
        <v>2008</v>
      </c>
      <c r="C1057" s="55"/>
      <c r="D1057" s="55">
        <f t="shared" si="33"/>
        <v>4</v>
      </c>
      <c r="E1057" s="60">
        <v>60</v>
      </c>
      <c r="F1057" s="60">
        <v>64</v>
      </c>
      <c r="G1057" s="61">
        <v>62</v>
      </c>
      <c r="H1057" s="60">
        <v>46</v>
      </c>
      <c r="I1057" s="60">
        <v>50</v>
      </c>
      <c r="J1057" s="61">
        <v>48</v>
      </c>
    </row>
    <row r="1058" spans="1:10" x14ac:dyDescent="0.35">
      <c r="A1058" s="58">
        <v>39548</v>
      </c>
      <c r="B1058" s="55">
        <f t="shared" si="32"/>
        <v>2008</v>
      </c>
      <c r="C1058" s="55"/>
      <c r="D1058" s="55">
        <f t="shared" si="33"/>
        <v>4</v>
      </c>
      <c r="E1058" s="60">
        <v>60</v>
      </c>
      <c r="F1058" s="60">
        <v>64</v>
      </c>
      <c r="G1058" s="61">
        <v>62</v>
      </c>
      <c r="H1058" s="60">
        <v>46</v>
      </c>
      <c r="I1058" s="60">
        <v>50</v>
      </c>
      <c r="J1058" s="61">
        <v>48</v>
      </c>
    </row>
    <row r="1059" spans="1:10" x14ac:dyDescent="0.35">
      <c r="A1059" s="58">
        <v>39555</v>
      </c>
      <c r="B1059" s="55">
        <f t="shared" si="32"/>
        <v>2008</v>
      </c>
      <c r="C1059" s="55"/>
      <c r="D1059" s="55">
        <f t="shared" si="33"/>
        <v>4</v>
      </c>
      <c r="E1059" s="60">
        <v>60</v>
      </c>
      <c r="F1059" s="60">
        <v>64</v>
      </c>
      <c r="G1059" s="61">
        <v>62</v>
      </c>
      <c r="H1059" s="60">
        <v>46</v>
      </c>
      <c r="I1059" s="60">
        <v>50</v>
      </c>
      <c r="J1059" s="61">
        <v>48</v>
      </c>
    </row>
    <row r="1060" spans="1:10" x14ac:dyDescent="0.35">
      <c r="A1060" s="58">
        <v>39562</v>
      </c>
      <c r="B1060" s="55">
        <f t="shared" si="32"/>
        <v>2008</v>
      </c>
      <c r="C1060" s="55"/>
      <c r="D1060" s="55">
        <f t="shared" si="33"/>
        <v>4</v>
      </c>
      <c r="E1060" s="60">
        <v>60</v>
      </c>
      <c r="F1060" s="60">
        <v>64</v>
      </c>
      <c r="G1060" s="61">
        <v>62</v>
      </c>
      <c r="H1060" s="60">
        <v>46</v>
      </c>
      <c r="I1060" s="60">
        <v>50</v>
      </c>
      <c r="J1060" s="61">
        <v>48</v>
      </c>
    </row>
    <row r="1061" spans="1:10" x14ac:dyDescent="0.35">
      <c r="A1061" s="58">
        <v>39569</v>
      </c>
      <c r="B1061" s="55">
        <f t="shared" si="32"/>
        <v>2008</v>
      </c>
      <c r="C1061" s="55"/>
      <c r="D1061" s="55">
        <f t="shared" si="33"/>
        <v>5</v>
      </c>
      <c r="E1061" s="60">
        <v>60</v>
      </c>
      <c r="F1061" s="60">
        <v>64</v>
      </c>
      <c r="G1061" s="61">
        <v>62</v>
      </c>
      <c r="H1061" s="60">
        <v>46</v>
      </c>
      <c r="I1061" s="60">
        <v>50</v>
      </c>
      <c r="J1061" s="61">
        <v>48</v>
      </c>
    </row>
    <row r="1062" spans="1:10" x14ac:dyDescent="0.35">
      <c r="A1062" s="58">
        <v>39576</v>
      </c>
      <c r="B1062" s="55">
        <f t="shared" si="32"/>
        <v>2008</v>
      </c>
      <c r="C1062" s="55"/>
      <c r="D1062" s="55">
        <f t="shared" si="33"/>
        <v>5</v>
      </c>
      <c r="E1062" s="60">
        <v>60</v>
      </c>
      <c r="F1062" s="60">
        <v>64</v>
      </c>
      <c r="G1062" s="61">
        <v>62</v>
      </c>
      <c r="H1062" s="60">
        <v>46</v>
      </c>
      <c r="I1062" s="60">
        <v>50</v>
      </c>
      <c r="J1062" s="61">
        <v>48</v>
      </c>
    </row>
    <row r="1063" spans="1:10" x14ac:dyDescent="0.35">
      <c r="A1063" s="58">
        <v>39583</v>
      </c>
      <c r="B1063" s="55">
        <f t="shared" si="32"/>
        <v>2008</v>
      </c>
      <c r="C1063" s="55"/>
      <c r="D1063" s="55">
        <f t="shared" si="33"/>
        <v>5</v>
      </c>
      <c r="E1063" s="60">
        <v>60</v>
      </c>
      <c r="F1063" s="60">
        <v>64</v>
      </c>
      <c r="G1063" s="61">
        <v>62</v>
      </c>
      <c r="H1063" s="60">
        <v>46</v>
      </c>
      <c r="I1063" s="60">
        <v>50</v>
      </c>
      <c r="J1063" s="61">
        <v>48</v>
      </c>
    </row>
    <row r="1064" spans="1:10" x14ac:dyDescent="0.35">
      <c r="A1064" s="58">
        <v>39597</v>
      </c>
      <c r="B1064" s="55">
        <f t="shared" si="32"/>
        <v>2008</v>
      </c>
      <c r="C1064" s="55"/>
      <c r="D1064" s="55">
        <f t="shared" si="33"/>
        <v>5</v>
      </c>
      <c r="E1064" s="60">
        <v>56</v>
      </c>
      <c r="F1064" s="60">
        <v>60</v>
      </c>
      <c r="G1064" s="61">
        <v>58</v>
      </c>
      <c r="H1064" s="60">
        <v>46</v>
      </c>
      <c r="I1064" s="60">
        <v>50</v>
      </c>
      <c r="J1064" s="61">
        <v>48</v>
      </c>
    </row>
    <row r="1065" spans="1:10" x14ac:dyDescent="0.35">
      <c r="A1065" s="58">
        <v>39604</v>
      </c>
      <c r="B1065" s="55">
        <f t="shared" si="32"/>
        <v>2008</v>
      </c>
      <c r="C1065" s="55"/>
      <c r="D1065" s="55">
        <f t="shared" si="33"/>
        <v>6</v>
      </c>
      <c r="E1065" s="60">
        <v>56</v>
      </c>
      <c r="F1065" s="60">
        <v>60</v>
      </c>
      <c r="G1065" s="61">
        <v>58</v>
      </c>
      <c r="H1065" s="60">
        <v>46</v>
      </c>
      <c r="I1065" s="60">
        <v>50</v>
      </c>
      <c r="J1065" s="61">
        <v>48</v>
      </c>
    </row>
    <row r="1066" spans="1:10" x14ac:dyDescent="0.35">
      <c r="A1066" s="58">
        <v>39611</v>
      </c>
      <c r="B1066" s="55">
        <f t="shared" si="32"/>
        <v>2008</v>
      </c>
      <c r="C1066" s="55"/>
      <c r="D1066" s="55">
        <f t="shared" si="33"/>
        <v>6</v>
      </c>
      <c r="E1066" s="60">
        <v>56</v>
      </c>
      <c r="F1066" s="60">
        <v>60</v>
      </c>
      <c r="G1066" s="61">
        <v>58</v>
      </c>
      <c r="H1066" s="60">
        <v>46</v>
      </c>
      <c r="I1066" s="60">
        <v>50</v>
      </c>
      <c r="J1066" s="61">
        <v>48</v>
      </c>
    </row>
    <row r="1067" spans="1:10" x14ac:dyDescent="0.35">
      <c r="A1067" s="58">
        <v>39618</v>
      </c>
      <c r="B1067" s="55">
        <f t="shared" si="32"/>
        <v>2008</v>
      </c>
      <c r="C1067" s="55"/>
      <c r="D1067" s="55">
        <f t="shared" si="33"/>
        <v>6</v>
      </c>
      <c r="E1067" s="60">
        <v>56</v>
      </c>
      <c r="F1067" s="60">
        <v>60</v>
      </c>
      <c r="G1067" s="61">
        <v>58</v>
      </c>
      <c r="H1067" s="60">
        <v>46</v>
      </c>
      <c r="I1067" s="60">
        <v>50</v>
      </c>
      <c r="J1067" s="61">
        <v>48</v>
      </c>
    </row>
    <row r="1068" spans="1:10" x14ac:dyDescent="0.35">
      <c r="A1068" s="58">
        <v>39625</v>
      </c>
      <c r="B1068" s="55">
        <f t="shared" si="32"/>
        <v>2008</v>
      </c>
      <c r="C1068" s="55"/>
      <c r="D1068" s="55">
        <f t="shared" si="33"/>
        <v>6</v>
      </c>
      <c r="E1068" s="60">
        <v>56</v>
      </c>
      <c r="F1068" s="60">
        <v>60</v>
      </c>
      <c r="G1068" s="61">
        <v>58</v>
      </c>
      <c r="H1068" s="60">
        <v>46</v>
      </c>
      <c r="I1068" s="60">
        <v>50</v>
      </c>
      <c r="J1068" s="61">
        <v>48</v>
      </c>
    </row>
    <row r="1069" spans="1:10" x14ac:dyDescent="0.35">
      <c r="A1069" s="58">
        <v>39632</v>
      </c>
      <c r="B1069" s="55">
        <f t="shared" si="32"/>
        <v>2008</v>
      </c>
      <c r="C1069" s="55"/>
      <c r="D1069" s="55">
        <f t="shared" si="33"/>
        <v>7</v>
      </c>
      <c r="E1069" s="60">
        <v>56</v>
      </c>
      <c r="F1069" s="60">
        <v>60</v>
      </c>
      <c r="G1069" s="61">
        <v>58</v>
      </c>
      <c r="H1069" s="60">
        <v>46</v>
      </c>
      <c r="I1069" s="60">
        <v>50</v>
      </c>
      <c r="J1069" s="61">
        <v>48</v>
      </c>
    </row>
    <row r="1070" spans="1:10" x14ac:dyDescent="0.35">
      <c r="A1070" s="58">
        <v>39639</v>
      </c>
      <c r="B1070" s="55">
        <f t="shared" si="32"/>
        <v>2008</v>
      </c>
      <c r="C1070" s="55"/>
      <c r="D1070" s="55">
        <f t="shared" si="33"/>
        <v>7</v>
      </c>
      <c r="E1070" s="60">
        <v>56</v>
      </c>
      <c r="F1070" s="60">
        <v>60</v>
      </c>
      <c r="G1070" s="61">
        <v>58</v>
      </c>
      <c r="H1070" s="60">
        <v>40</v>
      </c>
      <c r="I1070" s="60">
        <v>44</v>
      </c>
      <c r="J1070" s="61">
        <v>42</v>
      </c>
    </row>
    <row r="1071" spans="1:10" x14ac:dyDescent="0.35">
      <c r="A1071" s="58">
        <v>39646</v>
      </c>
      <c r="B1071" s="55">
        <f t="shared" si="32"/>
        <v>2008</v>
      </c>
      <c r="C1071" s="55"/>
      <c r="D1071" s="55">
        <f t="shared" si="33"/>
        <v>7</v>
      </c>
      <c r="E1071" s="60">
        <v>56</v>
      </c>
      <c r="F1071" s="60">
        <v>60</v>
      </c>
      <c r="G1071" s="61">
        <v>58</v>
      </c>
      <c r="H1071" s="60">
        <v>40</v>
      </c>
      <c r="I1071" s="60">
        <v>44</v>
      </c>
      <c r="J1071" s="61">
        <v>42</v>
      </c>
    </row>
    <row r="1072" spans="1:10" x14ac:dyDescent="0.35">
      <c r="A1072" s="58">
        <v>39653</v>
      </c>
      <c r="B1072" s="55">
        <f t="shared" si="32"/>
        <v>2008</v>
      </c>
      <c r="C1072" s="55"/>
      <c r="D1072" s="55">
        <f t="shared" si="33"/>
        <v>7</v>
      </c>
      <c r="E1072" s="60">
        <v>51</v>
      </c>
      <c r="F1072" s="60">
        <v>55</v>
      </c>
      <c r="G1072" s="61">
        <v>53</v>
      </c>
      <c r="H1072" s="60">
        <v>40</v>
      </c>
      <c r="I1072" s="60">
        <v>44</v>
      </c>
      <c r="J1072" s="61">
        <v>42</v>
      </c>
    </row>
    <row r="1073" spans="1:10" x14ac:dyDescent="0.35">
      <c r="A1073" s="58">
        <v>39660</v>
      </c>
      <c r="B1073" s="55">
        <f t="shared" si="32"/>
        <v>2008</v>
      </c>
      <c r="C1073" s="55"/>
      <c r="D1073" s="55">
        <f t="shared" si="33"/>
        <v>7</v>
      </c>
      <c r="E1073" s="60">
        <v>52</v>
      </c>
      <c r="F1073" s="60">
        <v>56</v>
      </c>
      <c r="G1073" s="61">
        <v>54</v>
      </c>
      <c r="H1073" s="60">
        <v>40</v>
      </c>
      <c r="I1073" s="60">
        <v>44</v>
      </c>
      <c r="J1073" s="61">
        <v>42</v>
      </c>
    </row>
    <row r="1074" spans="1:10" x14ac:dyDescent="0.35">
      <c r="A1074" s="58">
        <v>39667</v>
      </c>
      <c r="B1074" s="55">
        <f t="shared" si="32"/>
        <v>2008</v>
      </c>
      <c r="C1074" s="55"/>
      <c r="D1074" s="55">
        <f t="shared" si="33"/>
        <v>8</v>
      </c>
      <c r="E1074" s="60">
        <v>50</v>
      </c>
      <c r="F1074" s="60">
        <v>53</v>
      </c>
      <c r="G1074" s="61">
        <v>52</v>
      </c>
      <c r="H1074" s="60">
        <v>38</v>
      </c>
      <c r="I1074" s="60">
        <v>42</v>
      </c>
      <c r="J1074" s="61">
        <v>40</v>
      </c>
    </row>
    <row r="1075" spans="1:10" x14ac:dyDescent="0.35">
      <c r="A1075" s="58">
        <v>39674</v>
      </c>
      <c r="B1075" s="55">
        <f t="shared" si="32"/>
        <v>2008</v>
      </c>
      <c r="C1075" s="55"/>
      <c r="D1075" s="55">
        <f t="shared" si="33"/>
        <v>8</v>
      </c>
      <c r="E1075" s="60">
        <v>49</v>
      </c>
      <c r="F1075" s="60">
        <v>52</v>
      </c>
      <c r="G1075" s="61">
        <v>50</v>
      </c>
      <c r="H1075" s="60">
        <v>37</v>
      </c>
      <c r="I1075" s="60">
        <v>41</v>
      </c>
      <c r="J1075" s="61">
        <v>39</v>
      </c>
    </row>
    <row r="1076" spans="1:10" x14ac:dyDescent="0.35">
      <c r="A1076" s="58">
        <v>39681</v>
      </c>
      <c r="B1076" s="55">
        <f t="shared" si="32"/>
        <v>2008</v>
      </c>
      <c r="C1076" s="55"/>
      <c r="D1076" s="55">
        <f t="shared" si="33"/>
        <v>8</v>
      </c>
      <c r="E1076" s="60">
        <v>48</v>
      </c>
      <c r="F1076" s="60">
        <v>51</v>
      </c>
      <c r="G1076" s="61">
        <v>50</v>
      </c>
      <c r="H1076" s="60">
        <v>36</v>
      </c>
      <c r="I1076" s="60">
        <v>40</v>
      </c>
      <c r="J1076" s="61">
        <v>38</v>
      </c>
    </row>
    <row r="1077" spans="1:10" x14ac:dyDescent="0.35">
      <c r="A1077" s="58">
        <v>39688</v>
      </c>
      <c r="B1077" s="55">
        <f t="shared" si="32"/>
        <v>2008</v>
      </c>
      <c r="C1077" s="55"/>
      <c r="D1077" s="55">
        <f t="shared" si="33"/>
        <v>8</v>
      </c>
      <c r="E1077" s="60">
        <v>48</v>
      </c>
      <c r="F1077" s="60">
        <v>51</v>
      </c>
      <c r="G1077" s="61">
        <v>50</v>
      </c>
      <c r="H1077" s="60">
        <v>36</v>
      </c>
      <c r="I1077" s="60">
        <v>40</v>
      </c>
      <c r="J1077" s="61">
        <v>38</v>
      </c>
    </row>
    <row r="1078" spans="1:10" x14ac:dyDescent="0.35">
      <c r="A1078" s="58">
        <v>39695</v>
      </c>
      <c r="B1078" s="55">
        <f t="shared" si="32"/>
        <v>2008</v>
      </c>
      <c r="C1078" s="55"/>
      <c r="D1078" s="55">
        <f t="shared" si="33"/>
        <v>9</v>
      </c>
      <c r="E1078" s="60">
        <v>47</v>
      </c>
      <c r="F1078" s="60">
        <v>50</v>
      </c>
      <c r="G1078" s="61">
        <v>48</v>
      </c>
      <c r="H1078" s="60">
        <v>36</v>
      </c>
      <c r="I1078" s="60">
        <v>39</v>
      </c>
      <c r="J1078" s="61">
        <v>38</v>
      </c>
    </row>
    <row r="1079" spans="1:10" x14ac:dyDescent="0.35">
      <c r="A1079" s="58">
        <v>39702</v>
      </c>
      <c r="B1079" s="55">
        <f t="shared" si="32"/>
        <v>2008</v>
      </c>
      <c r="C1079" s="55"/>
      <c r="D1079" s="55">
        <f t="shared" si="33"/>
        <v>9</v>
      </c>
      <c r="E1079" s="60">
        <v>39</v>
      </c>
      <c r="F1079" s="60">
        <v>42</v>
      </c>
      <c r="G1079" s="61">
        <v>40</v>
      </c>
      <c r="H1079" s="60">
        <v>30</v>
      </c>
      <c r="I1079" s="60">
        <v>33</v>
      </c>
      <c r="J1079" s="61">
        <v>32</v>
      </c>
    </row>
    <row r="1080" spans="1:10" x14ac:dyDescent="0.35">
      <c r="A1080" s="58">
        <v>39709</v>
      </c>
      <c r="B1080" s="55">
        <f t="shared" si="32"/>
        <v>2008</v>
      </c>
      <c r="C1080" s="55"/>
      <c r="D1080" s="55">
        <f t="shared" si="33"/>
        <v>9</v>
      </c>
      <c r="E1080" s="60">
        <v>37</v>
      </c>
      <c r="F1080" s="60">
        <v>41</v>
      </c>
      <c r="G1080" s="61">
        <v>39</v>
      </c>
      <c r="H1080" s="60">
        <v>29</v>
      </c>
      <c r="I1080" s="60">
        <v>32</v>
      </c>
      <c r="J1080" s="61">
        <v>30</v>
      </c>
    </row>
    <row r="1081" spans="1:10" x14ac:dyDescent="0.35">
      <c r="A1081" s="58">
        <v>39716</v>
      </c>
      <c r="B1081" s="55">
        <f t="shared" si="32"/>
        <v>2008</v>
      </c>
      <c r="C1081" s="55"/>
      <c r="D1081" s="55">
        <f t="shared" si="33"/>
        <v>9</v>
      </c>
      <c r="E1081" s="60">
        <v>37</v>
      </c>
      <c r="F1081" s="60">
        <v>41</v>
      </c>
      <c r="G1081" s="61">
        <v>39</v>
      </c>
      <c r="H1081" s="60">
        <v>29</v>
      </c>
      <c r="I1081" s="60">
        <v>32</v>
      </c>
      <c r="J1081" s="61">
        <v>30</v>
      </c>
    </row>
    <row r="1082" spans="1:10" x14ac:dyDescent="0.35">
      <c r="A1082" s="58">
        <v>39723</v>
      </c>
      <c r="B1082" s="55">
        <f t="shared" si="32"/>
        <v>2008</v>
      </c>
      <c r="C1082" s="55"/>
      <c r="D1082" s="55">
        <f t="shared" si="33"/>
        <v>10</v>
      </c>
      <c r="E1082" s="60">
        <v>28</v>
      </c>
      <c r="F1082" s="60">
        <v>31</v>
      </c>
      <c r="G1082" s="61">
        <v>30</v>
      </c>
      <c r="H1082" s="60">
        <v>22</v>
      </c>
      <c r="I1082" s="60">
        <v>25</v>
      </c>
      <c r="J1082" s="61">
        <v>24</v>
      </c>
    </row>
    <row r="1083" spans="1:10" x14ac:dyDescent="0.35">
      <c r="A1083" s="58">
        <v>39730</v>
      </c>
      <c r="B1083" s="55">
        <f t="shared" si="32"/>
        <v>2008</v>
      </c>
      <c r="C1083" s="55"/>
      <c r="D1083" s="55">
        <f t="shared" si="33"/>
        <v>10</v>
      </c>
      <c r="E1083" s="60">
        <v>27</v>
      </c>
      <c r="F1083" s="60">
        <v>30</v>
      </c>
      <c r="G1083" s="61">
        <v>28</v>
      </c>
      <c r="H1083" s="60">
        <v>24</v>
      </c>
      <c r="I1083" s="60">
        <v>27</v>
      </c>
      <c r="J1083" s="61">
        <v>26</v>
      </c>
    </row>
    <row r="1084" spans="1:10" x14ac:dyDescent="0.35">
      <c r="A1084" s="58">
        <v>39737</v>
      </c>
      <c r="B1084" s="55">
        <f t="shared" si="32"/>
        <v>2008</v>
      </c>
      <c r="C1084" s="55"/>
      <c r="D1084" s="55">
        <f t="shared" si="33"/>
        <v>10</v>
      </c>
      <c r="E1084" s="60">
        <v>21</v>
      </c>
      <c r="F1084" s="60">
        <v>25</v>
      </c>
      <c r="G1084" s="61">
        <v>23</v>
      </c>
      <c r="H1084" s="60">
        <v>18</v>
      </c>
      <c r="I1084" s="60">
        <v>23</v>
      </c>
      <c r="J1084" s="61">
        <v>20</v>
      </c>
    </row>
    <row r="1085" spans="1:10" x14ac:dyDescent="0.35">
      <c r="A1085" s="58">
        <v>39744</v>
      </c>
      <c r="B1085" s="55">
        <f t="shared" si="32"/>
        <v>2008</v>
      </c>
      <c r="C1085" s="55"/>
      <c r="D1085" s="55">
        <f t="shared" si="33"/>
        <v>10</v>
      </c>
      <c r="E1085" s="60">
        <v>19</v>
      </c>
      <c r="F1085" s="60">
        <v>23</v>
      </c>
      <c r="G1085" s="61">
        <v>21</v>
      </c>
      <c r="H1085" s="60">
        <v>16</v>
      </c>
      <c r="I1085" s="60">
        <v>22</v>
      </c>
      <c r="J1085" s="61">
        <v>19</v>
      </c>
    </row>
    <row r="1086" spans="1:10" x14ac:dyDescent="0.35">
      <c r="A1086" s="58">
        <v>39751</v>
      </c>
      <c r="B1086" s="55">
        <f t="shared" si="32"/>
        <v>2008</v>
      </c>
      <c r="C1086" s="55"/>
      <c r="D1086" s="55">
        <f t="shared" si="33"/>
        <v>10</v>
      </c>
      <c r="E1086" s="60">
        <v>18</v>
      </c>
      <c r="F1086" s="60">
        <v>22</v>
      </c>
      <c r="G1086" s="61">
        <v>20</v>
      </c>
      <c r="H1086" s="60">
        <v>15</v>
      </c>
      <c r="I1086" s="60">
        <v>21</v>
      </c>
      <c r="J1086" s="61">
        <v>18</v>
      </c>
    </row>
    <row r="1087" spans="1:10" x14ac:dyDescent="0.35">
      <c r="A1087" s="58">
        <v>39758</v>
      </c>
      <c r="B1087" s="55">
        <f t="shared" si="32"/>
        <v>2008</v>
      </c>
      <c r="C1087" s="55"/>
      <c r="D1087" s="55">
        <f t="shared" si="33"/>
        <v>11</v>
      </c>
      <c r="E1087" s="60">
        <v>14</v>
      </c>
      <c r="F1087" s="60">
        <v>16</v>
      </c>
      <c r="G1087" s="61">
        <v>15</v>
      </c>
      <c r="H1087" s="60">
        <v>13</v>
      </c>
      <c r="I1087" s="60">
        <v>15</v>
      </c>
      <c r="J1087" s="61">
        <v>14</v>
      </c>
    </row>
    <row r="1088" spans="1:10" x14ac:dyDescent="0.35">
      <c r="A1088" s="58">
        <v>39765</v>
      </c>
      <c r="B1088" s="55">
        <f t="shared" si="32"/>
        <v>2008</v>
      </c>
      <c r="C1088" s="55"/>
      <c r="D1088" s="55">
        <f t="shared" si="33"/>
        <v>11</v>
      </c>
      <c r="E1088" s="60">
        <v>14</v>
      </c>
      <c r="F1088" s="60">
        <v>16</v>
      </c>
      <c r="G1088" s="61">
        <v>15</v>
      </c>
      <c r="H1088" s="60">
        <v>13</v>
      </c>
      <c r="I1088" s="60">
        <v>15</v>
      </c>
      <c r="J1088" s="61">
        <v>14</v>
      </c>
    </row>
    <row r="1089" spans="1:10" x14ac:dyDescent="0.35">
      <c r="A1089" s="58">
        <v>39772</v>
      </c>
      <c r="B1089" s="55">
        <f t="shared" si="32"/>
        <v>2008</v>
      </c>
      <c r="C1089" s="55"/>
      <c r="D1089" s="55">
        <f t="shared" si="33"/>
        <v>11</v>
      </c>
      <c r="E1089" s="60">
        <v>15</v>
      </c>
      <c r="F1089" s="60">
        <v>16</v>
      </c>
      <c r="G1089" s="61">
        <v>16</v>
      </c>
      <c r="H1089" s="60">
        <v>14</v>
      </c>
      <c r="I1089" s="60">
        <v>15</v>
      </c>
      <c r="J1089" s="61">
        <v>14</v>
      </c>
    </row>
    <row r="1090" spans="1:10" x14ac:dyDescent="0.35">
      <c r="A1090" s="58">
        <v>39779</v>
      </c>
      <c r="B1090" s="55">
        <f t="shared" si="32"/>
        <v>2008</v>
      </c>
      <c r="C1090" s="55"/>
      <c r="D1090" s="55">
        <f t="shared" si="33"/>
        <v>11</v>
      </c>
      <c r="E1090" s="60">
        <v>15</v>
      </c>
      <c r="F1090" s="60">
        <v>16</v>
      </c>
      <c r="G1090" s="61">
        <v>16</v>
      </c>
      <c r="H1090" s="60">
        <v>14</v>
      </c>
      <c r="I1090" s="60">
        <v>15</v>
      </c>
      <c r="J1090" s="61">
        <v>14</v>
      </c>
    </row>
    <row r="1091" spans="1:10" x14ac:dyDescent="0.35">
      <c r="A1091" s="58">
        <v>39786</v>
      </c>
      <c r="B1091" s="55">
        <f t="shared" si="32"/>
        <v>2008</v>
      </c>
      <c r="C1091" s="55"/>
      <c r="D1091" s="55">
        <f t="shared" si="33"/>
        <v>12</v>
      </c>
      <c r="E1091" s="60">
        <v>15</v>
      </c>
      <c r="F1091" s="60">
        <v>17</v>
      </c>
      <c r="G1091" s="61">
        <v>16</v>
      </c>
      <c r="H1091" s="60">
        <v>14</v>
      </c>
      <c r="I1091" s="60">
        <v>15</v>
      </c>
      <c r="J1091" s="61">
        <v>14</v>
      </c>
    </row>
    <row r="1092" spans="1:10" x14ac:dyDescent="0.35">
      <c r="A1092" s="58">
        <v>39793</v>
      </c>
      <c r="B1092" s="55">
        <f t="shared" ref="B1092:B1155" si="34">YEAR(A1092)</f>
        <v>2008</v>
      </c>
      <c r="C1092" s="55"/>
      <c r="D1092" s="55">
        <f t="shared" ref="D1092:D1155" si="35">MONTH(A1092)</f>
        <v>12</v>
      </c>
      <c r="E1092" s="60">
        <v>14</v>
      </c>
      <c r="F1092" s="60">
        <v>16</v>
      </c>
      <c r="G1092" s="61">
        <v>15</v>
      </c>
      <c r="H1092" s="60">
        <v>13</v>
      </c>
      <c r="I1092" s="60">
        <v>14</v>
      </c>
      <c r="J1092" s="61">
        <v>14</v>
      </c>
    </row>
    <row r="1093" spans="1:10" x14ac:dyDescent="0.35">
      <c r="A1093" s="58">
        <v>39800</v>
      </c>
      <c r="B1093" s="55">
        <f t="shared" si="34"/>
        <v>2008</v>
      </c>
      <c r="C1093" s="55"/>
      <c r="D1093" s="55">
        <f t="shared" si="35"/>
        <v>12</v>
      </c>
      <c r="E1093" s="60">
        <v>14</v>
      </c>
      <c r="F1093" s="60">
        <v>15</v>
      </c>
      <c r="G1093" s="61">
        <v>14</v>
      </c>
      <c r="H1093" s="60">
        <v>13</v>
      </c>
      <c r="I1093" s="60">
        <v>14</v>
      </c>
      <c r="J1093" s="61">
        <v>14</v>
      </c>
    </row>
    <row r="1094" spans="1:10" x14ac:dyDescent="0.35">
      <c r="A1094" s="58">
        <v>39814</v>
      </c>
      <c r="B1094" s="55">
        <f t="shared" si="34"/>
        <v>2009</v>
      </c>
      <c r="C1094" s="55"/>
      <c r="D1094" s="55">
        <f t="shared" si="35"/>
        <v>1</v>
      </c>
      <c r="E1094" s="60">
        <v>13</v>
      </c>
      <c r="F1094" s="60">
        <v>15</v>
      </c>
      <c r="G1094" s="61">
        <v>14</v>
      </c>
      <c r="H1094" s="60">
        <v>12</v>
      </c>
      <c r="I1094" s="60">
        <v>14</v>
      </c>
      <c r="J1094" s="61">
        <v>13</v>
      </c>
    </row>
    <row r="1095" spans="1:10" x14ac:dyDescent="0.35">
      <c r="A1095" s="58">
        <v>39821</v>
      </c>
      <c r="B1095" s="55">
        <f t="shared" si="34"/>
        <v>2009</v>
      </c>
      <c r="C1095" s="55"/>
      <c r="D1095" s="55">
        <f t="shared" si="35"/>
        <v>1</v>
      </c>
      <c r="E1095" s="60">
        <v>17</v>
      </c>
      <c r="F1095" s="60">
        <v>19</v>
      </c>
      <c r="G1095" s="61">
        <v>18</v>
      </c>
      <c r="H1095" s="60">
        <v>12</v>
      </c>
      <c r="I1095" s="60">
        <v>14</v>
      </c>
      <c r="J1095" s="61">
        <v>13</v>
      </c>
    </row>
    <row r="1096" spans="1:10" x14ac:dyDescent="0.35">
      <c r="A1096" s="58">
        <v>39828</v>
      </c>
      <c r="B1096" s="55">
        <f t="shared" si="34"/>
        <v>2009</v>
      </c>
      <c r="C1096" s="55"/>
      <c r="D1096" s="55">
        <f t="shared" si="35"/>
        <v>1</v>
      </c>
      <c r="E1096" s="60">
        <v>17</v>
      </c>
      <c r="F1096" s="60">
        <v>19</v>
      </c>
      <c r="G1096" s="61">
        <v>18</v>
      </c>
      <c r="H1096" s="60">
        <v>12</v>
      </c>
      <c r="I1096" s="60">
        <v>14</v>
      </c>
      <c r="J1096" s="61">
        <v>13</v>
      </c>
    </row>
    <row r="1097" spans="1:10" x14ac:dyDescent="0.35">
      <c r="A1097" s="58">
        <v>39835</v>
      </c>
      <c r="B1097" s="55">
        <f t="shared" si="34"/>
        <v>2009</v>
      </c>
      <c r="C1097" s="55"/>
      <c r="D1097" s="55">
        <f t="shared" si="35"/>
        <v>1</v>
      </c>
      <c r="E1097" s="60">
        <v>16</v>
      </c>
      <c r="F1097" s="60">
        <v>18</v>
      </c>
      <c r="G1097" s="61">
        <v>17</v>
      </c>
      <c r="H1097" s="60">
        <v>12</v>
      </c>
      <c r="I1097" s="60">
        <v>14</v>
      </c>
      <c r="J1097" s="61">
        <v>13</v>
      </c>
    </row>
    <row r="1098" spans="1:10" x14ac:dyDescent="0.35">
      <c r="A1098" s="58">
        <v>39842</v>
      </c>
      <c r="B1098" s="55">
        <f t="shared" si="34"/>
        <v>2009</v>
      </c>
      <c r="C1098" s="55"/>
      <c r="D1098" s="55">
        <f t="shared" si="35"/>
        <v>1</v>
      </c>
      <c r="E1098" s="60">
        <v>16</v>
      </c>
      <c r="F1098" s="60">
        <v>18</v>
      </c>
      <c r="G1098" s="61">
        <v>17</v>
      </c>
      <c r="H1098" s="60">
        <v>12</v>
      </c>
      <c r="I1098" s="60">
        <v>14</v>
      </c>
      <c r="J1098" s="61">
        <v>13</v>
      </c>
    </row>
    <row r="1099" spans="1:10" x14ac:dyDescent="0.35">
      <c r="A1099" s="58">
        <v>39849</v>
      </c>
      <c r="B1099" s="55">
        <f t="shared" si="34"/>
        <v>2009</v>
      </c>
      <c r="C1099" s="55"/>
      <c r="D1099" s="55">
        <f t="shared" si="35"/>
        <v>2</v>
      </c>
      <c r="E1099" s="60">
        <v>17</v>
      </c>
      <c r="F1099" s="60">
        <v>19</v>
      </c>
      <c r="G1099" s="61">
        <v>18</v>
      </c>
      <c r="H1099" s="60">
        <v>12</v>
      </c>
      <c r="I1099" s="60">
        <v>14</v>
      </c>
      <c r="J1099" s="61">
        <v>13</v>
      </c>
    </row>
    <row r="1100" spans="1:10" x14ac:dyDescent="0.35">
      <c r="A1100" s="58">
        <v>39856</v>
      </c>
      <c r="B1100" s="55">
        <f t="shared" si="34"/>
        <v>2009</v>
      </c>
      <c r="C1100" s="55"/>
      <c r="D1100" s="55">
        <f t="shared" si="35"/>
        <v>2</v>
      </c>
      <c r="E1100" s="60">
        <v>19</v>
      </c>
      <c r="F1100" s="60">
        <v>21</v>
      </c>
      <c r="G1100" s="61">
        <v>20</v>
      </c>
      <c r="H1100" s="60">
        <v>13</v>
      </c>
      <c r="I1100" s="60">
        <v>15</v>
      </c>
      <c r="J1100" s="61">
        <v>14</v>
      </c>
    </row>
    <row r="1101" spans="1:10" x14ac:dyDescent="0.35">
      <c r="A1101" s="58">
        <v>39863</v>
      </c>
      <c r="B1101" s="55">
        <f t="shared" si="34"/>
        <v>2009</v>
      </c>
      <c r="C1101" s="55"/>
      <c r="D1101" s="55">
        <f t="shared" si="35"/>
        <v>2</v>
      </c>
      <c r="E1101" s="60">
        <v>19</v>
      </c>
      <c r="F1101" s="60">
        <v>21</v>
      </c>
      <c r="G1101" s="61">
        <v>20</v>
      </c>
      <c r="H1101" s="60">
        <v>15</v>
      </c>
      <c r="I1101" s="60">
        <v>17</v>
      </c>
      <c r="J1101" s="61">
        <v>16</v>
      </c>
    </row>
    <row r="1102" spans="1:10" x14ac:dyDescent="0.35">
      <c r="A1102" s="58">
        <v>39870</v>
      </c>
      <c r="B1102" s="55">
        <f t="shared" si="34"/>
        <v>2009</v>
      </c>
      <c r="C1102" s="55"/>
      <c r="D1102" s="55">
        <f t="shared" si="35"/>
        <v>2</v>
      </c>
      <c r="E1102" s="60">
        <v>19</v>
      </c>
      <c r="F1102" s="60">
        <v>21</v>
      </c>
      <c r="G1102" s="61">
        <v>20</v>
      </c>
      <c r="H1102" s="60">
        <v>17</v>
      </c>
      <c r="I1102" s="60">
        <v>19</v>
      </c>
      <c r="J1102" s="61">
        <v>18</v>
      </c>
    </row>
    <row r="1103" spans="1:10" x14ac:dyDescent="0.35">
      <c r="A1103" s="58">
        <v>39877</v>
      </c>
      <c r="B1103" s="55">
        <f t="shared" si="34"/>
        <v>2009</v>
      </c>
      <c r="C1103" s="55"/>
      <c r="D1103" s="55">
        <f t="shared" si="35"/>
        <v>3</v>
      </c>
      <c r="E1103" s="60">
        <v>19</v>
      </c>
      <c r="F1103" s="60">
        <v>21</v>
      </c>
      <c r="G1103" s="61">
        <v>20</v>
      </c>
      <c r="H1103" s="60">
        <v>18</v>
      </c>
      <c r="I1103" s="60">
        <v>20</v>
      </c>
      <c r="J1103" s="61">
        <v>19</v>
      </c>
    </row>
    <row r="1104" spans="1:10" x14ac:dyDescent="0.35">
      <c r="A1104" s="58">
        <v>39884</v>
      </c>
      <c r="B1104" s="55">
        <f t="shared" si="34"/>
        <v>2009</v>
      </c>
      <c r="C1104" s="55"/>
      <c r="D1104" s="55">
        <f t="shared" si="35"/>
        <v>3</v>
      </c>
      <c r="E1104" s="60">
        <v>19</v>
      </c>
      <c r="F1104" s="60">
        <v>21</v>
      </c>
      <c r="G1104" s="61">
        <v>20</v>
      </c>
      <c r="H1104" s="60">
        <v>17</v>
      </c>
      <c r="I1104" s="60">
        <v>19</v>
      </c>
      <c r="J1104" s="61">
        <v>18</v>
      </c>
    </row>
    <row r="1105" spans="1:10" x14ac:dyDescent="0.35">
      <c r="A1105" s="58">
        <v>39891</v>
      </c>
      <c r="B1105" s="55">
        <f t="shared" si="34"/>
        <v>2009</v>
      </c>
      <c r="C1105" s="55"/>
      <c r="D1105" s="55">
        <f t="shared" si="35"/>
        <v>3</v>
      </c>
      <c r="E1105" s="60">
        <v>17</v>
      </c>
      <c r="F1105" s="60">
        <v>19</v>
      </c>
      <c r="G1105" s="61">
        <v>18</v>
      </c>
      <c r="H1105" s="60">
        <v>16</v>
      </c>
      <c r="I1105" s="60">
        <v>18</v>
      </c>
      <c r="J1105" s="61">
        <v>17</v>
      </c>
    </row>
    <row r="1106" spans="1:10" x14ac:dyDescent="0.35">
      <c r="A1106" s="58">
        <v>39898</v>
      </c>
      <c r="B1106" s="55">
        <f t="shared" si="34"/>
        <v>2009</v>
      </c>
      <c r="C1106" s="55"/>
      <c r="D1106" s="55">
        <f t="shared" si="35"/>
        <v>3</v>
      </c>
      <c r="E1106" s="60">
        <v>17</v>
      </c>
      <c r="F1106" s="60">
        <v>19</v>
      </c>
      <c r="G1106" s="61">
        <v>18</v>
      </c>
      <c r="H1106" s="60">
        <v>17</v>
      </c>
      <c r="I1106" s="60">
        <v>19</v>
      </c>
      <c r="J1106" s="61">
        <v>18</v>
      </c>
    </row>
    <row r="1107" spans="1:10" x14ac:dyDescent="0.35">
      <c r="A1107" s="58">
        <v>39905</v>
      </c>
      <c r="B1107" s="55">
        <f t="shared" si="34"/>
        <v>2009</v>
      </c>
      <c r="C1107" s="55"/>
      <c r="D1107" s="55">
        <f t="shared" si="35"/>
        <v>4</v>
      </c>
      <c r="E1107" s="60">
        <v>17</v>
      </c>
      <c r="F1107" s="60">
        <v>19</v>
      </c>
      <c r="G1107" s="61">
        <v>18</v>
      </c>
      <c r="H1107" s="60">
        <v>16</v>
      </c>
      <c r="I1107" s="60">
        <v>18</v>
      </c>
      <c r="J1107" s="61">
        <v>17</v>
      </c>
    </row>
    <row r="1108" spans="1:10" x14ac:dyDescent="0.35">
      <c r="A1108" s="58">
        <v>39912</v>
      </c>
      <c r="B1108" s="55">
        <f t="shared" si="34"/>
        <v>2009</v>
      </c>
      <c r="C1108" s="55"/>
      <c r="D1108" s="55">
        <f t="shared" si="35"/>
        <v>4</v>
      </c>
    </row>
    <row r="1109" spans="1:10" x14ac:dyDescent="0.35">
      <c r="A1109" s="58">
        <v>39919</v>
      </c>
      <c r="B1109" s="55">
        <f t="shared" si="34"/>
        <v>2009</v>
      </c>
      <c r="C1109" s="55"/>
      <c r="D1109" s="55">
        <f t="shared" si="35"/>
        <v>4</v>
      </c>
      <c r="E1109" s="60">
        <v>18</v>
      </c>
      <c r="F1109" s="60">
        <v>20</v>
      </c>
      <c r="G1109" s="61">
        <v>19</v>
      </c>
      <c r="H1109" s="60">
        <v>16</v>
      </c>
      <c r="I1109" s="60">
        <v>18</v>
      </c>
      <c r="J1109" s="61">
        <v>17</v>
      </c>
    </row>
    <row r="1110" spans="1:10" x14ac:dyDescent="0.35">
      <c r="A1110" s="58">
        <v>39926</v>
      </c>
      <c r="B1110" s="55">
        <f t="shared" si="34"/>
        <v>2009</v>
      </c>
      <c r="C1110" s="55"/>
      <c r="D1110" s="55">
        <f t="shared" si="35"/>
        <v>4</v>
      </c>
      <c r="E1110" s="60">
        <v>18</v>
      </c>
      <c r="F1110" s="60">
        <v>20</v>
      </c>
      <c r="G1110" s="61">
        <v>19</v>
      </c>
      <c r="H1110" s="60">
        <v>17</v>
      </c>
      <c r="I1110" s="60">
        <v>19</v>
      </c>
      <c r="J1110" s="61">
        <v>18</v>
      </c>
    </row>
    <row r="1111" spans="1:10" x14ac:dyDescent="0.35">
      <c r="A1111" s="58">
        <v>39933</v>
      </c>
      <c r="B1111" s="55">
        <f t="shared" si="34"/>
        <v>2009</v>
      </c>
      <c r="C1111" s="55"/>
      <c r="D1111" s="55">
        <f t="shared" si="35"/>
        <v>4</v>
      </c>
      <c r="E1111" s="60">
        <v>17</v>
      </c>
      <c r="F1111" s="60">
        <v>19</v>
      </c>
      <c r="G1111" s="61">
        <v>18</v>
      </c>
      <c r="H1111" s="60">
        <v>17</v>
      </c>
      <c r="I1111" s="60">
        <v>19</v>
      </c>
      <c r="J1111" s="61">
        <v>18</v>
      </c>
    </row>
    <row r="1112" spans="1:10" x14ac:dyDescent="0.35">
      <c r="A1112" s="58">
        <v>39940</v>
      </c>
      <c r="B1112" s="55">
        <f t="shared" si="34"/>
        <v>2009</v>
      </c>
      <c r="C1112" s="55"/>
      <c r="D1112" s="55">
        <f t="shared" si="35"/>
        <v>5</v>
      </c>
      <c r="E1112" s="60">
        <v>18</v>
      </c>
      <c r="F1112" s="60">
        <v>20</v>
      </c>
      <c r="G1112" s="61">
        <v>19</v>
      </c>
      <c r="H1112" s="60">
        <v>17</v>
      </c>
      <c r="I1112" s="60">
        <v>19</v>
      </c>
      <c r="J1112" s="61">
        <v>18</v>
      </c>
    </row>
    <row r="1113" spans="1:10" x14ac:dyDescent="0.35">
      <c r="A1113" s="58">
        <v>39947</v>
      </c>
      <c r="B1113" s="55">
        <f t="shared" si="34"/>
        <v>2009</v>
      </c>
      <c r="C1113" s="55"/>
      <c r="D1113" s="55">
        <f t="shared" si="35"/>
        <v>5</v>
      </c>
      <c r="E1113" s="60">
        <v>21</v>
      </c>
      <c r="F1113" s="60">
        <v>23</v>
      </c>
      <c r="G1113" s="61">
        <v>22</v>
      </c>
      <c r="H1113" s="60">
        <v>18</v>
      </c>
      <c r="I1113" s="60">
        <v>20</v>
      </c>
      <c r="J1113" s="61">
        <v>19</v>
      </c>
    </row>
    <row r="1114" spans="1:10" x14ac:dyDescent="0.35">
      <c r="A1114" s="58">
        <v>39954</v>
      </c>
      <c r="B1114" s="55">
        <f t="shared" si="34"/>
        <v>2009</v>
      </c>
      <c r="C1114" s="55"/>
      <c r="D1114" s="55">
        <f t="shared" si="35"/>
        <v>5</v>
      </c>
    </row>
    <row r="1115" spans="1:10" x14ac:dyDescent="0.35">
      <c r="A1115" s="58">
        <v>39961</v>
      </c>
      <c r="B1115" s="55">
        <f t="shared" si="34"/>
        <v>2009</v>
      </c>
      <c r="C1115" s="55"/>
      <c r="D1115" s="55">
        <f t="shared" si="35"/>
        <v>5</v>
      </c>
      <c r="E1115" s="60">
        <v>22</v>
      </c>
      <c r="F1115" s="60">
        <v>24</v>
      </c>
      <c r="G1115" s="61">
        <v>23</v>
      </c>
      <c r="H1115" s="60">
        <v>19</v>
      </c>
      <c r="I1115" s="60">
        <v>21</v>
      </c>
      <c r="J1115" s="61">
        <v>20</v>
      </c>
    </row>
    <row r="1116" spans="1:10" x14ac:dyDescent="0.35">
      <c r="A1116" s="58">
        <v>39968</v>
      </c>
      <c r="B1116" s="55">
        <f t="shared" si="34"/>
        <v>2009</v>
      </c>
      <c r="C1116" s="55"/>
      <c r="D1116" s="55">
        <f t="shared" si="35"/>
        <v>6</v>
      </c>
      <c r="E1116" s="60">
        <v>22</v>
      </c>
      <c r="F1116" s="60">
        <v>24</v>
      </c>
      <c r="G1116" s="61">
        <v>23</v>
      </c>
      <c r="H1116" s="60">
        <v>20</v>
      </c>
      <c r="I1116" s="60">
        <v>22</v>
      </c>
      <c r="J1116" s="61">
        <v>21</v>
      </c>
    </row>
    <row r="1117" spans="1:10" x14ac:dyDescent="0.35">
      <c r="A1117" s="58">
        <v>39975</v>
      </c>
      <c r="B1117" s="55">
        <f t="shared" si="34"/>
        <v>2009</v>
      </c>
      <c r="C1117" s="55"/>
      <c r="D1117" s="55">
        <f t="shared" si="35"/>
        <v>6</v>
      </c>
      <c r="E1117" s="60">
        <v>22</v>
      </c>
      <c r="F1117" s="60">
        <v>24</v>
      </c>
      <c r="G1117" s="61">
        <v>23</v>
      </c>
      <c r="H1117" s="60">
        <v>19</v>
      </c>
      <c r="I1117" s="60">
        <v>21</v>
      </c>
      <c r="J1117" s="61">
        <v>20</v>
      </c>
    </row>
    <row r="1118" spans="1:10" x14ac:dyDescent="0.35">
      <c r="A1118" s="58">
        <v>39982</v>
      </c>
      <c r="B1118" s="55">
        <f t="shared" si="34"/>
        <v>2009</v>
      </c>
      <c r="C1118" s="55"/>
      <c r="D1118" s="55">
        <f t="shared" si="35"/>
        <v>6</v>
      </c>
      <c r="E1118" s="60">
        <v>22</v>
      </c>
      <c r="F1118" s="60">
        <v>24</v>
      </c>
      <c r="G1118" s="61">
        <v>23</v>
      </c>
      <c r="H1118" s="60">
        <v>18</v>
      </c>
      <c r="I1118" s="60">
        <v>20</v>
      </c>
      <c r="J1118" s="61">
        <v>19</v>
      </c>
    </row>
    <row r="1119" spans="1:10" x14ac:dyDescent="0.35">
      <c r="A1119" s="58">
        <v>39989</v>
      </c>
      <c r="B1119" s="55">
        <f t="shared" si="34"/>
        <v>2009</v>
      </c>
      <c r="C1119" s="55"/>
      <c r="D1119" s="55">
        <f t="shared" si="35"/>
        <v>6</v>
      </c>
      <c r="E1119" s="60">
        <v>21</v>
      </c>
      <c r="F1119" s="60">
        <v>23</v>
      </c>
      <c r="G1119" s="61">
        <v>22</v>
      </c>
      <c r="H1119" s="60">
        <v>17</v>
      </c>
      <c r="I1119" s="60">
        <v>19</v>
      </c>
      <c r="J1119" s="61">
        <v>18</v>
      </c>
    </row>
    <row r="1120" spans="1:10" x14ac:dyDescent="0.35">
      <c r="A1120" s="64">
        <v>39996</v>
      </c>
      <c r="B1120" s="55">
        <f t="shared" si="34"/>
        <v>2009</v>
      </c>
      <c r="C1120" s="55"/>
      <c r="D1120" s="55">
        <f t="shared" si="35"/>
        <v>7</v>
      </c>
      <c r="E1120" s="60">
        <v>22</v>
      </c>
      <c r="F1120" s="60">
        <v>24</v>
      </c>
      <c r="G1120" s="61">
        <v>23</v>
      </c>
      <c r="H1120" s="60">
        <v>17</v>
      </c>
      <c r="I1120" s="60">
        <v>19</v>
      </c>
      <c r="J1120" s="61">
        <v>18</v>
      </c>
    </row>
    <row r="1121" spans="1:10" x14ac:dyDescent="0.35">
      <c r="A1121" s="64">
        <v>40003</v>
      </c>
      <c r="B1121" s="55">
        <f t="shared" si="34"/>
        <v>2009</v>
      </c>
      <c r="C1121" s="55"/>
      <c r="D1121" s="55">
        <f t="shared" si="35"/>
        <v>7</v>
      </c>
      <c r="E1121" s="60">
        <v>21</v>
      </c>
      <c r="F1121" s="60">
        <v>23</v>
      </c>
      <c r="G1121" s="61">
        <v>22</v>
      </c>
      <c r="H1121" s="60">
        <v>17</v>
      </c>
      <c r="I1121" s="60">
        <v>19</v>
      </c>
      <c r="J1121" s="61">
        <v>18</v>
      </c>
    </row>
    <row r="1122" spans="1:10" x14ac:dyDescent="0.35">
      <c r="A1122" s="64">
        <v>40010</v>
      </c>
      <c r="B1122" s="55">
        <f t="shared" si="34"/>
        <v>2009</v>
      </c>
      <c r="C1122" s="55"/>
      <c r="D1122" s="55">
        <f t="shared" si="35"/>
        <v>7</v>
      </c>
      <c r="E1122" s="60">
        <v>22</v>
      </c>
      <c r="F1122" s="60">
        <v>24</v>
      </c>
      <c r="G1122" s="61">
        <v>23</v>
      </c>
      <c r="H1122" s="60">
        <v>18</v>
      </c>
      <c r="I1122" s="60">
        <v>20</v>
      </c>
      <c r="J1122" s="61">
        <v>19</v>
      </c>
    </row>
    <row r="1123" spans="1:10" x14ac:dyDescent="0.35">
      <c r="A1123" s="64">
        <v>40017</v>
      </c>
      <c r="B1123" s="55">
        <f t="shared" si="34"/>
        <v>2009</v>
      </c>
      <c r="C1123" s="55"/>
      <c r="D1123" s="55">
        <f t="shared" si="35"/>
        <v>7</v>
      </c>
      <c r="E1123" s="60">
        <v>24</v>
      </c>
      <c r="F1123" s="60">
        <v>26</v>
      </c>
      <c r="G1123" s="61">
        <v>25</v>
      </c>
      <c r="H1123" s="60">
        <v>20</v>
      </c>
      <c r="I1123" s="60">
        <v>22</v>
      </c>
      <c r="J1123" s="61">
        <v>21</v>
      </c>
    </row>
    <row r="1124" spans="1:10" x14ac:dyDescent="0.35">
      <c r="A1124" s="64">
        <v>40024</v>
      </c>
      <c r="B1124" s="55">
        <f t="shared" si="34"/>
        <v>2009</v>
      </c>
      <c r="C1124" s="55"/>
      <c r="D1124" s="55">
        <f t="shared" si="35"/>
        <v>7</v>
      </c>
      <c r="E1124" s="60">
        <v>24</v>
      </c>
      <c r="F1124" s="60">
        <v>26</v>
      </c>
      <c r="G1124" s="61">
        <v>25</v>
      </c>
      <c r="H1124" s="60">
        <v>20</v>
      </c>
      <c r="I1124" s="60">
        <v>22</v>
      </c>
      <c r="J1124" s="61">
        <v>21</v>
      </c>
    </row>
    <row r="1125" spans="1:10" x14ac:dyDescent="0.35">
      <c r="A1125" s="64">
        <v>40031</v>
      </c>
      <c r="B1125" s="55">
        <f t="shared" si="34"/>
        <v>2009</v>
      </c>
      <c r="C1125" s="55"/>
      <c r="D1125" s="55">
        <f t="shared" si="35"/>
        <v>8</v>
      </c>
      <c r="E1125" s="60">
        <v>23</v>
      </c>
      <c r="F1125" s="60">
        <v>25</v>
      </c>
      <c r="G1125" s="61">
        <v>24</v>
      </c>
      <c r="H1125" s="60">
        <v>20</v>
      </c>
      <c r="I1125" s="60">
        <v>22</v>
      </c>
      <c r="J1125" s="61">
        <v>21</v>
      </c>
    </row>
    <row r="1126" spans="1:10" x14ac:dyDescent="0.35">
      <c r="A1126" s="64">
        <v>40038</v>
      </c>
      <c r="B1126" s="55">
        <f t="shared" si="34"/>
        <v>2009</v>
      </c>
      <c r="C1126" s="55"/>
      <c r="D1126" s="55">
        <f t="shared" si="35"/>
        <v>8</v>
      </c>
      <c r="E1126" s="60">
        <v>24</v>
      </c>
      <c r="F1126" s="60">
        <v>26</v>
      </c>
      <c r="G1126" s="61">
        <v>25</v>
      </c>
      <c r="H1126" s="60">
        <v>20</v>
      </c>
      <c r="I1126" s="60">
        <v>22</v>
      </c>
      <c r="J1126" s="61">
        <v>21</v>
      </c>
    </row>
    <row r="1127" spans="1:10" x14ac:dyDescent="0.35">
      <c r="A1127" s="64">
        <v>40045</v>
      </c>
      <c r="B1127" s="55">
        <f t="shared" si="34"/>
        <v>2009</v>
      </c>
      <c r="C1127" s="55"/>
      <c r="D1127" s="55">
        <f t="shared" si="35"/>
        <v>8</v>
      </c>
      <c r="E1127" s="60">
        <v>24</v>
      </c>
      <c r="F1127" s="60">
        <v>26</v>
      </c>
      <c r="G1127" s="61">
        <v>25</v>
      </c>
      <c r="H1127" s="60">
        <v>21</v>
      </c>
      <c r="I1127" s="60">
        <v>23</v>
      </c>
      <c r="J1127" s="61">
        <v>22</v>
      </c>
    </row>
    <row r="1128" spans="1:10" x14ac:dyDescent="0.35">
      <c r="A1128" s="64">
        <v>40052</v>
      </c>
      <c r="B1128" s="55">
        <f t="shared" si="34"/>
        <v>2009</v>
      </c>
      <c r="C1128" s="55"/>
      <c r="D1128" s="55">
        <f t="shared" si="35"/>
        <v>8</v>
      </c>
      <c r="E1128" s="60">
        <v>23</v>
      </c>
      <c r="F1128" s="60">
        <v>25</v>
      </c>
      <c r="G1128" s="61">
        <v>24</v>
      </c>
      <c r="H1128" s="60">
        <v>22</v>
      </c>
      <c r="I1128" s="60">
        <v>24</v>
      </c>
      <c r="J1128" s="61">
        <v>23</v>
      </c>
    </row>
    <row r="1129" spans="1:10" x14ac:dyDescent="0.35">
      <c r="A1129" s="64">
        <v>40059</v>
      </c>
      <c r="B1129" s="55">
        <f t="shared" si="34"/>
        <v>2009</v>
      </c>
      <c r="C1129" s="55"/>
      <c r="D1129" s="55">
        <f t="shared" si="35"/>
        <v>9</v>
      </c>
      <c r="E1129" s="60">
        <v>23</v>
      </c>
      <c r="F1129" s="60">
        <v>25</v>
      </c>
      <c r="G1129" s="61">
        <v>24</v>
      </c>
      <c r="H1129" s="60">
        <v>25</v>
      </c>
      <c r="I1129" s="60">
        <v>27</v>
      </c>
      <c r="J1129" s="61">
        <v>26</v>
      </c>
    </row>
    <row r="1130" spans="1:10" x14ac:dyDescent="0.35">
      <c r="A1130" s="64">
        <v>40066</v>
      </c>
      <c r="B1130" s="55">
        <f t="shared" si="34"/>
        <v>2009</v>
      </c>
      <c r="C1130" s="55"/>
      <c r="D1130" s="55">
        <f t="shared" si="35"/>
        <v>9</v>
      </c>
      <c r="E1130" s="60">
        <v>23</v>
      </c>
      <c r="F1130" s="60">
        <v>25</v>
      </c>
      <c r="G1130" s="61">
        <v>24</v>
      </c>
      <c r="H1130" s="60">
        <v>25</v>
      </c>
      <c r="I1130" s="60">
        <v>27</v>
      </c>
      <c r="J1130" s="61">
        <v>26</v>
      </c>
    </row>
    <row r="1131" spans="1:10" x14ac:dyDescent="0.35">
      <c r="A1131" s="64">
        <v>40073</v>
      </c>
      <c r="B1131" s="55">
        <f t="shared" si="34"/>
        <v>2009</v>
      </c>
      <c r="C1131" s="55"/>
      <c r="D1131" s="55">
        <f t="shared" si="35"/>
        <v>9</v>
      </c>
      <c r="E1131" s="60">
        <v>21</v>
      </c>
      <c r="F1131" s="60">
        <v>23</v>
      </c>
      <c r="G1131" s="61">
        <v>22</v>
      </c>
      <c r="H1131" s="60">
        <v>24</v>
      </c>
      <c r="I1131" s="60">
        <v>26</v>
      </c>
      <c r="J1131" s="61">
        <v>25</v>
      </c>
    </row>
    <row r="1132" spans="1:10" x14ac:dyDescent="0.35">
      <c r="A1132" s="64">
        <v>40080</v>
      </c>
      <c r="B1132" s="55">
        <f t="shared" si="34"/>
        <v>2009</v>
      </c>
      <c r="C1132" s="55"/>
      <c r="D1132" s="55">
        <f t="shared" si="35"/>
        <v>9</v>
      </c>
      <c r="E1132" s="60">
        <v>20</v>
      </c>
      <c r="F1132" s="60">
        <v>22</v>
      </c>
      <c r="G1132" s="61">
        <v>21</v>
      </c>
      <c r="H1132" s="60">
        <v>24</v>
      </c>
      <c r="I1132" s="60">
        <v>26</v>
      </c>
      <c r="J1132" s="61">
        <v>25</v>
      </c>
    </row>
    <row r="1133" spans="1:10" x14ac:dyDescent="0.35">
      <c r="A1133" s="64">
        <v>40087</v>
      </c>
      <c r="B1133" s="55">
        <f t="shared" si="34"/>
        <v>2009</v>
      </c>
      <c r="C1133" s="55"/>
      <c r="D1133" s="55">
        <f t="shared" si="35"/>
        <v>10</v>
      </c>
      <c r="E1133" s="60">
        <v>20</v>
      </c>
      <c r="F1133" s="60">
        <v>22</v>
      </c>
      <c r="G1133" s="61">
        <v>21</v>
      </c>
      <c r="H1133" s="60">
        <v>24</v>
      </c>
      <c r="I1133" s="60">
        <v>26</v>
      </c>
      <c r="J1133" s="61">
        <v>25</v>
      </c>
    </row>
    <row r="1134" spans="1:10" x14ac:dyDescent="0.35">
      <c r="A1134" s="64">
        <v>40094</v>
      </c>
      <c r="B1134" s="55">
        <f t="shared" si="34"/>
        <v>2009</v>
      </c>
      <c r="C1134" s="55"/>
      <c r="D1134" s="55">
        <f t="shared" si="35"/>
        <v>10</v>
      </c>
      <c r="E1134" s="60">
        <v>21</v>
      </c>
      <c r="F1134" s="60">
        <v>23</v>
      </c>
      <c r="G1134" s="61">
        <v>22</v>
      </c>
      <c r="H1134" s="60">
        <v>25</v>
      </c>
      <c r="I1134" s="60">
        <v>27</v>
      </c>
      <c r="J1134" s="61">
        <v>26</v>
      </c>
    </row>
    <row r="1135" spans="1:10" x14ac:dyDescent="0.35">
      <c r="A1135" s="64">
        <v>40101</v>
      </c>
      <c r="B1135" s="55">
        <f t="shared" si="34"/>
        <v>2009</v>
      </c>
      <c r="C1135" s="55"/>
      <c r="D1135" s="55">
        <f t="shared" si="35"/>
        <v>10</v>
      </c>
      <c r="E1135" s="60">
        <v>21</v>
      </c>
      <c r="F1135" s="60">
        <v>23</v>
      </c>
      <c r="G1135" s="61">
        <v>22</v>
      </c>
      <c r="H1135" s="60">
        <v>25</v>
      </c>
      <c r="I1135" s="60">
        <v>27</v>
      </c>
      <c r="J1135" s="61">
        <v>26</v>
      </c>
    </row>
    <row r="1136" spans="1:10" x14ac:dyDescent="0.35">
      <c r="A1136" s="64">
        <v>40108</v>
      </c>
      <c r="B1136" s="55">
        <f t="shared" si="34"/>
        <v>2009</v>
      </c>
      <c r="C1136" s="55"/>
      <c r="D1136" s="55">
        <f t="shared" si="35"/>
        <v>10</v>
      </c>
      <c r="E1136" s="60">
        <v>23</v>
      </c>
      <c r="F1136" s="60">
        <v>25</v>
      </c>
      <c r="G1136" s="61">
        <v>24</v>
      </c>
      <c r="H1136" s="60">
        <v>25</v>
      </c>
      <c r="I1136" s="60">
        <v>27</v>
      </c>
      <c r="J1136" s="61">
        <v>26</v>
      </c>
    </row>
    <row r="1137" spans="1:10" x14ac:dyDescent="0.35">
      <c r="A1137" s="64">
        <v>40115</v>
      </c>
      <c r="B1137" s="55">
        <f t="shared" si="34"/>
        <v>2009</v>
      </c>
      <c r="C1137" s="55"/>
      <c r="D1137" s="55">
        <f t="shared" si="35"/>
        <v>10</v>
      </c>
      <c r="E1137" s="60">
        <v>23</v>
      </c>
      <c r="F1137" s="60">
        <v>25</v>
      </c>
      <c r="G1137" s="61">
        <v>24</v>
      </c>
      <c r="H1137" s="60">
        <v>24</v>
      </c>
      <c r="I1137" s="60">
        <v>26</v>
      </c>
      <c r="J1137" s="61">
        <v>25</v>
      </c>
    </row>
    <row r="1138" spans="1:10" x14ac:dyDescent="0.35">
      <c r="A1138" s="64">
        <v>40122</v>
      </c>
      <c r="B1138" s="55">
        <f t="shared" si="34"/>
        <v>2009</v>
      </c>
      <c r="C1138" s="55"/>
      <c r="D1138" s="55">
        <f t="shared" si="35"/>
        <v>11</v>
      </c>
      <c r="E1138" s="60">
        <v>23</v>
      </c>
      <c r="F1138" s="60">
        <v>25</v>
      </c>
      <c r="G1138" s="61">
        <v>24</v>
      </c>
      <c r="H1138" s="60">
        <v>25</v>
      </c>
      <c r="I1138" s="60">
        <v>27</v>
      </c>
      <c r="J1138" s="61">
        <v>26</v>
      </c>
    </row>
    <row r="1139" spans="1:10" x14ac:dyDescent="0.35">
      <c r="A1139" s="64">
        <v>40129</v>
      </c>
      <c r="B1139" s="55">
        <f t="shared" si="34"/>
        <v>2009</v>
      </c>
      <c r="C1139" s="55"/>
      <c r="D1139" s="55">
        <f t="shared" si="35"/>
        <v>11</v>
      </c>
      <c r="E1139" s="60">
        <v>23</v>
      </c>
      <c r="F1139" s="60">
        <v>25</v>
      </c>
      <c r="G1139" s="61">
        <v>24</v>
      </c>
      <c r="H1139" s="60">
        <v>26</v>
      </c>
      <c r="I1139" s="60">
        <v>28</v>
      </c>
      <c r="J1139" s="61">
        <v>27</v>
      </c>
    </row>
    <row r="1140" spans="1:10" x14ac:dyDescent="0.35">
      <c r="A1140" s="64">
        <v>40136</v>
      </c>
      <c r="B1140" s="55">
        <f t="shared" si="34"/>
        <v>2009</v>
      </c>
      <c r="C1140" s="55"/>
      <c r="D1140" s="55">
        <f t="shared" si="35"/>
        <v>11</v>
      </c>
      <c r="E1140" s="60">
        <v>25</v>
      </c>
      <c r="F1140" s="60">
        <v>27</v>
      </c>
      <c r="G1140" s="61">
        <v>26</v>
      </c>
      <c r="H1140" s="60">
        <v>27</v>
      </c>
      <c r="I1140" s="60">
        <v>29</v>
      </c>
      <c r="J1140" s="61">
        <v>28</v>
      </c>
    </row>
    <row r="1141" spans="1:10" x14ac:dyDescent="0.35">
      <c r="A1141" s="64">
        <v>40143</v>
      </c>
      <c r="B1141" s="55">
        <f t="shared" si="34"/>
        <v>2009</v>
      </c>
      <c r="C1141" s="55"/>
      <c r="D1141" s="55">
        <f t="shared" si="35"/>
        <v>11</v>
      </c>
      <c r="E1141" s="60">
        <v>26</v>
      </c>
      <c r="F1141" s="60">
        <v>28</v>
      </c>
      <c r="G1141" s="61">
        <v>27</v>
      </c>
      <c r="H1141" s="60">
        <v>27</v>
      </c>
      <c r="I1141" s="60">
        <v>29</v>
      </c>
      <c r="J1141" s="61">
        <v>28</v>
      </c>
    </row>
    <row r="1142" spans="1:10" x14ac:dyDescent="0.35">
      <c r="A1142" s="64">
        <v>40150</v>
      </c>
      <c r="B1142" s="55">
        <f t="shared" si="34"/>
        <v>2009</v>
      </c>
      <c r="C1142" s="55"/>
      <c r="D1142" s="55">
        <f t="shared" si="35"/>
        <v>12</v>
      </c>
      <c r="E1142" s="60">
        <v>26</v>
      </c>
      <c r="F1142" s="60">
        <v>28</v>
      </c>
      <c r="G1142" s="61">
        <v>27</v>
      </c>
      <c r="H1142" s="60">
        <v>27</v>
      </c>
      <c r="I1142" s="60">
        <v>29</v>
      </c>
      <c r="J1142" s="61">
        <v>28</v>
      </c>
    </row>
    <row r="1143" spans="1:10" x14ac:dyDescent="0.35">
      <c r="A1143" s="64">
        <v>40157</v>
      </c>
      <c r="B1143" s="55">
        <f t="shared" si="34"/>
        <v>2009</v>
      </c>
      <c r="C1143" s="55"/>
      <c r="D1143" s="55">
        <f t="shared" si="35"/>
        <v>12</v>
      </c>
      <c r="E1143" s="60">
        <v>27</v>
      </c>
      <c r="F1143" s="60">
        <v>29</v>
      </c>
      <c r="G1143" s="61">
        <v>28</v>
      </c>
      <c r="H1143" s="60">
        <v>27</v>
      </c>
      <c r="I1143" s="60">
        <v>29</v>
      </c>
      <c r="J1143" s="61">
        <v>28</v>
      </c>
    </row>
    <row r="1144" spans="1:10" x14ac:dyDescent="0.35">
      <c r="A1144" s="64">
        <v>40164</v>
      </c>
      <c r="B1144" s="55">
        <f t="shared" si="34"/>
        <v>2009</v>
      </c>
      <c r="C1144" s="55"/>
      <c r="D1144" s="55">
        <f t="shared" si="35"/>
        <v>12</v>
      </c>
      <c r="E1144" s="60">
        <v>28</v>
      </c>
      <c r="F1144" s="60">
        <v>30</v>
      </c>
      <c r="G1144" s="61">
        <v>29</v>
      </c>
      <c r="H1144" s="60">
        <v>27</v>
      </c>
      <c r="I1144" s="60">
        <v>29</v>
      </c>
      <c r="J1144" s="61">
        <v>28</v>
      </c>
    </row>
    <row r="1145" spans="1:10" x14ac:dyDescent="0.35">
      <c r="A1145" s="58">
        <v>40171</v>
      </c>
      <c r="B1145" s="55">
        <f t="shared" si="34"/>
        <v>2009</v>
      </c>
      <c r="C1145" s="55"/>
      <c r="D1145" s="55">
        <f t="shared" si="35"/>
        <v>12</v>
      </c>
      <c r="E1145" s="60">
        <v>29</v>
      </c>
      <c r="F1145" s="60">
        <v>31</v>
      </c>
      <c r="G1145" s="61">
        <v>30</v>
      </c>
      <c r="H1145" s="60">
        <v>27</v>
      </c>
      <c r="I1145" s="60">
        <v>29</v>
      </c>
      <c r="J1145" s="61">
        <v>28</v>
      </c>
    </row>
    <row r="1146" spans="1:10" x14ac:dyDescent="0.35">
      <c r="A1146" s="58">
        <v>40185</v>
      </c>
      <c r="B1146" s="55">
        <f t="shared" si="34"/>
        <v>2010</v>
      </c>
      <c r="C1146" s="55"/>
      <c r="D1146" s="55">
        <f t="shared" si="35"/>
        <v>1</v>
      </c>
      <c r="E1146" s="60">
        <v>31</v>
      </c>
      <c r="F1146" s="60">
        <v>33</v>
      </c>
      <c r="G1146" s="61">
        <v>32</v>
      </c>
      <c r="H1146" s="60">
        <v>26</v>
      </c>
      <c r="I1146" s="60">
        <v>28</v>
      </c>
      <c r="J1146" s="61">
        <v>27</v>
      </c>
    </row>
    <row r="1147" spans="1:10" x14ac:dyDescent="0.35">
      <c r="A1147" s="58">
        <v>40192</v>
      </c>
      <c r="B1147" s="55">
        <f t="shared" si="34"/>
        <v>2010</v>
      </c>
      <c r="C1147" s="55"/>
      <c r="D1147" s="55">
        <f t="shared" si="35"/>
        <v>1</v>
      </c>
      <c r="E1147" s="60">
        <v>29</v>
      </c>
      <c r="F1147" s="60">
        <v>31</v>
      </c>
      <c r="G1147" s="61">
        <v>30</v>
      </c>
      <c r="H1147" s="60">
        <v>26</v>
      </c>
      <c r="I1147" s="60">
        <v>28</v>
      </c>
      <c r="J1147" s="61">
        <v>27</v>
      </c>
    </row>
    <row r="1148" spans="1:10" x14ac:dyDescent="0.35">
      <c r="A1148" s="58">
        <v>40199</v>
      </c>
      <c r="B1148" s="55">
        <f t="shared" si="34"/>
        <v>2010</v>
      </c>
      <c r="C1148" s="55"/>
      <c r="D1148" s="55">
        <f t="shared" si="35"/>
        <v>1</v>
      </c>
      <c r="E1148" s="60">
        <v>29</v>
      </c>
      <c r="F1148" s="60">
        <v>31</v>
      </c>
      <c r="G1148" s="61">
        <v>30</v>
      </c>
      <c r="H1148" s="60">
        <v>26</v>
      </c>
      <c r="I1148" s="60">
        <v>28</v>
      </c>
      <c r="J1148" s="61">
        <v>27</v>
      </c>
    </row>
    <row r="1149" spans="1:10" x14ac:dyDescent="0.35">
      <c r="A1149" s="58">
        <v>40206</v>
      </c>
      <c r="B1149" s="55">
        <f t="shared" si="34"/>
        <v>2010</v>
      </c>
      <c r="C1149" s="55"/>
      <c r="D1149" s="55">
        <f t="shared" si="35"/>
        <v>1</v>
      </c>
      <c r="E1149" s="60">
        <v>28</v>
      </c>
      <c r="F1149" s="60">
        <v>30</v>
      </c>
      <c r="G1149" s="61">
        <v>29</v>
      </c>
      <c r="H1149" s="60">
        <v>25</v>
      </c>
      <c r="I1149" s="60">
        <v>27</v>
      </c>
      <c r="J1149" s="61">
        <v>26</v>
      </c>
    </row>
    <row r="1150" spans="1:10" x14ac:dyDescent="0.35">
      <c r="A1150" s="58">
        <v>40213</v>
      </c>
      <c r="B1150" s="55">
        <f t="shared" si="34"/>
        <v>2010</v>
      </c>
      <c r="C1150" s="55"/>
      <c r="D1150" s="55">
        <f t="shared" si="35"/>
        <v>2</v>
      </c>
      <c r="E1150" s="60">
        <v>27</v>
      </c>
      <c r="F1150" s="60">
        <v>29</v>
      </c>
      <c r="G1150" s="61">
        <v>28</v>
      </c>
      <c r="H1150" s="60">
        <v>25</v>
      </c>
      <c r="I1150" s="60">
        <v>27</v>
      </c>
      <c r="J1150" s="61">
        <v>26</v>
      </c>
    </row>
    <row r="1151" spans="1:10" x14ac:dyDescent="0.35">
      <c r="A1151" s="58">
        <v>40220</v>
      </c>
      <c r="B1151" s="55">
        <f t="shared" si="34"/>
        <v>2010</v>
      </c>
      <c r="C1151" s="55"/>
      <c r="D1151" s="55">
        <f t="shared" si="35"/>
        <v>2</v>
      </c>
      <c r="E1151" s="60">
        <v>27</v>
      </c>
      <c r="F1151" s="60">
        <v>29</v>
      </c>
      <c r="G1151" s="61">
        <v>28</v>
      </c>
      <c r="H1151" s="60">
        <v>25</v>
      </c>
      <c r="I1151" s="60">
        <v>27</v>
      </c>
      <c r="J1151" s="61">
        <v>26</v>
      </c>
    </row>
    <row r="1152" spans="1:10" x14ac:dyDescent="0.35">
      <c r="A1152" s="58">
        <v>40227</v>
      </c>
      <c r="B1152" s="55">
        <f t="shared" si="34"/>
        <v>2010</v>
      </c>
      <c r="C1152" s="55"/>
      <c r="D1152" s="55">
        <f t="shared" si="35"/>
        <v>2</v>
      </c>
      <c r="E1152" s="60">
        <v>27</v>
      </c>
      <c r="F1152" s="60">
        <v>29</v>
      </c>
      <c r="G1152" s="61">
        <v>28</v>
      </c>
      <c r="H1152" s="60">
        <v>25</v>
      </c>
      <c r="I1152" s="60">
        <v>27</v>
      </c>
      <c r="J1152" s="61">
        <v>26</v>
      </c>
    </row>
    <row r="1153" spans="1:10" x14ac:dyDescent="0.35">
      <c r="A1153" s="58">
        <v>40234</v>
      </c>
      <c r="B1153" s="55">
        <f t="shared" si="34"/>
        <v>2010</v>
      </c>
      <c r="C1153" s="55"/>
      <c r="D1153" s="55">
        <f t="shared" si="35"/>
        <v>2</v>
      </c>
      <c r="E1153" s="60">
        <v>28</v>
      </c>
      <c r="F1153" s="60">
        <v>30</v>
      </c>
      <c r="G1153" s="61">
        <v>29</v>
      </c>
      <c r="H1153" s="60">
        <v>26</v>
      </c>
      <c r="I1153" s="60">
        <v>28</v>
      </c>
      <c r="J1153" s="61">
        <v>27</v>
      </c>
    </row>
    <row r="1154" spans="1:10" x14ac:dyDescent="0.35">
      <c r="A1154" s="58">
        <v>40241</v>
      </c>
      <c r="B1154" s="55">
        <f t="shared" si="34"/>
        <v>2010</v>
      </c>
      <c r="C1154" s="55"/>
      <c r="D1154" s="55">
        <f t="shared" si="35"/>
        <v>3</v>
      </c>
      <c r="E1154" s="60">
        <v>30</v>
      </c>
      <c r="F1154" s="60">
        <v>32</v>
      </c>
      <c r="G1154" s="61">
        <v>31</v>
      </c>
      <c r="H1154" s="60">
        <v>28</v>
      </c>
      <c r="I1154" s="60">
        <v>30</v>
      </c>
      <c r="J1154" s="61">
        <v>29</v>
      </c>
    </row>
    <row r="1155" spans="1:10" x14ac:dyDescent="0.35">
      <c r="A1155" s="58">
        <v>40248</v>
      </c>
      <c r="B1155" s="55">
        <f t="shared" si="34"/>
        <v>2010</v>
      </c>
      <c r="C1155" s="55"/>
      <c r="D1155" s="55">
        <f t="shared" si="35"/>
        <v>3</v>
      </c>
      <c r="E1155" s="60">
        <v>32</v>
      </c>
      <c r="F1155" s="60">
        <v>34</v>
      </c>
      <c r="G1155" s="61">
        <v>33</v>
      </c>
      <c r="H1155" s="60">
        <v>29</v>
      </c>
      <c r="I1155" s="60">
        <v>31</v>
      </c>
      <c r="J1155" s="61">
        <v>30</v>
      </c>
    </row>
    <row r="1156" spans="1:10" x14ac:dyDescent="0.35">
      <c r="A1156" s="58">
        <v>40255</v>
      </c>
      <c r="B1156" s="55">
        <f t="shared" ref="B1156:B1219" si="36">YEAR(A1156)</f>
        <v>2010</v>
      </c>
      <c r="C1156" s="55"/>
      <c r="D1156" s="55">
        <f t="shared" ref="D1156:D1219" si="37">MONTH(A1156)</f>
        <v>3</v>
      </c>
      <c r="E1156" s="60">
        <v>34</v>
      </c>
      <c r="F1156" s="60">
        <v>36</v>
      </c>
      <c r="G1156" s="61">
        <v>35</v>
      </c>
      <c r="H1156" s="60">
        <v>32</v>
      </c>
      <c r="I1156" s="60">
        <v>34</v>
      </c>
      <c r="J1156" s="61">
        <v>33</v>
      </c>
    </row>
    <row r="1157" spans="1:10" x14ac:dyDescent="0.35">
      <c r="A1157" s="58">
        <v>40262</v>
      </c>
      <c r="B1157" s="55">
        <f t="shared" si="36"/>
        <v>2010</v>
      </c>
      <c r="C1157" s="55"/>
      <c r="D1157" s="55">
        <f t="shared" si="37"/>
        <v>3</v>
      </c>
      <c r="E1157" s="60">
        <v>33</v>
      </c>
      <c r="F1157" s="60">
        <v>35</v>
      </c>
      <c r="G1157" s="61">
        <v>34</v>
      </c>
      <c r="H1157" s="60">
        <v>31</v>
      </c>
      <c r="I1157" s="60">
        <v>33</v>
      </c>
      <c r="J1157" s="61">
        <v>32</v>
      </c>
    </row>
    <row r="1158" spans="1:10" x14ac:dyDescent="0.35">
      <c r="A1158" s="58">
        <v>40269</v>
      </c>
      <c r="B1158" s="55">
        <f t="shared" si="36"/>
        <v>2010</v>
      </c>
      <c r="C1158" s="55"/>
      <c r="D1158" s="55">
        <f t="shared" si="37"/>
        <v>4</v>
      </c>
      <c r="E1158" s="60">
        <v>31</v>
      </c>
      <c r="F1158" s="60">
        <v>34</v>
      </c>
      <c r="G1158" s="61">
        <v>32</v>
      </c>
      <c r="H1158" s="60">
        <v>29</v>
      </c>
      <c r="I1158" s="60">
        <v>32</v>
      </c>
      <c r="J1158" s="61">
        <v>30</v>
      </c>
    </row>
    <row r="1159" spans="1:10" x14ac:dyDescent="0.35">
      <c r="A1159" s="58">
        <v>40276</v>
      </c>
      <c r="B1159" s="55">
        <f t="shared" si="36"/>
        <v>2010</v>
      </c>
      <c r="C1159" s="55"/>
      <c r="D1159" s="55">
        <f t="shared" si="37"/>
        <v>4</v>
      </c>
      <c r="E1159" s="60">
        <v>32</v>
      </c>
      <c r="F1159" s="60">
        <v>34</v>
      </c>
      <c r="G1159" s="61">
        <v>33</v>
      </c>
      <c r="H1159" s="60">
        <v>32</v>
      </c>
      <c r="I1159" s="60">
        <v>34</v>
      </c>
      <c r="J1159" s="61">
        <v>33</v>
      </c>
    </row>
    <row r="1160" spans="1:10" x14ac:dyDescent="0.35">
      <c r="A1160" s="58">
        <v>40283</v>
      </c>
      <c r="B1160" s="55">
        <f t="shared" si="36"/>
        <v>2010</v>
      </c>
      <c r="C1160" s="55"/>
      <c r="D1160" s="55">
        <f t="shared" si="37"/>
        <v>4</v>
      </c>
      <c r="E1160" s="60">
        <v>30</v>
      </c>
      <c r="F1160" s="60">
        <v>32</v>
      </c>
      <c r="G1160" s="61">
        <v>31</v>
      </c>
      <c r="H1160" s="60">
        <v>32</v>
      </c>
      <c r="I1160" s="60">
        <v>34</v>
      </c>
      <c r="J1160" s="61">
        <v>33</v>
      </c>
    </row>
    <row r="1161" spans="1:10" x14ac:dyDescent="0.35">
      <c r="A1161" s="58">
        <v>40290</v>
      </c>
      <c r="B1161" s="55">
        <f t="shared" si="36"/>
        <v>2010</v>
      </c>
      <c r="C1161" s="55"/>
      <c r="D1161" s="55">
        <f t="shared" si="37"/>
        <v>4</v>
      </c>
      <c r="E1161" s="60">
        <v>30</v>
      </c>
      <c r="F1161" s="60">
        <v>32</v>
      </c>
      <c r="G1161" s="61">
        <v>31</v>
      </c>
      <c r="H1161" s="60">
        <v>32</v>
      </c>
      <c r="I1161" s="60">
        <v>34</v>
      </c>
      <c r="J1161" s="61">
        <v>33</v>
      </c>
    </row>
    <row r="1162" spans="1:10" x14ac:dyDescent="0.35">
      <c r="A1162" s="58">
        <v>40297</v>
      </c>
      <c r="B1162" s="55">
        <f t="shared" si="36"/>
        <v>2010</v>
      </c>
      <c r="C1162" s="55"/>
      <c r="D1162" s="55">
        <f t="shared" si="37"/>
        <v>4</v>
      </c>
      <c r="E1162" s="60">
        <v>31</v>
      </c>
      <c r="F1162" s="60">
        <v>33</v>
      </c>
      <c r="G1162" s="61">
        <v>32</v>
      </c>
      <c r="H1162" s="60">
        <v>32</v>
      </c>
      <c r="I1162" s="60">
        <v>34</v>
      </c>
      <c r="J1162" s="61">
        <v>33</v>
      </c>
    </row>
    <row r="1163" spans="1:10" x14ac:dyDescent="0.35">
      <c r="A1163" s="58">
        <v>40304</v>
      </c>
      <c r="B1163" s="55">
        <f t="shared" si="36"/>
        <v>2010</v>
      </c>
      <c r="C1163" s="55"/>
      <c r="D1163" s="55">
        <f t="shared" si="37"/>
        <v>5</v>
      </c>
      <c r="E1163" s="60">
        <v>32</v>
      </c>
      <c r="F1163" s="60">
        <v>34</v>
      </c>
      <c r="G1163" s="61">
        <v>33</v>
      </c>
      <c r="H1163" s="60">
        <v>33</v>
      </c>
      <c r="I1163" s="60">
        <v>35</v>
      </c>
      <c r="J1163" s="61">
        <v>34</v>
      </c>
    </row>
    <row r="1164" spans="1:10" x14ac:dyDescent="0.35">
      <c r="A1164" s="58">
        <v>40311</v>
      </c>
      <c r="B1164" s="55">
        <f t="shared" si="36"/>
        <v>2010</v>
      </c>
      <c r="C1164" s="55"/>
      <c r="D1164" s="55">
        <f t="shared" si="37"/>
        <v>5</v>
      </c>
      <c r="E1164" s="60">
        <v>33</v>
      </c>
      <c r="F1164" s="60">
        <v>35</v>
      </c>
      <c r="G1164" s="61">
        <v>34</v>
      </c>
      <c r="H1164" s="60">
        <v>34</v>
      </c>
      <c r="I1164" s="60">
        <v>36</v>
      </c>
      <c r="J1164" s="61">
        <v>35</v>
      </c>
    </row>
    <row r="1165" spans="1:10" x14ac:dyDescent="0.35">
      <c r="A1165" s="58">
        <v>40318</v>
      </c>
      <c r="B1165" s="55">
        <f t="shared" si="36"/>
        <v>2010</v>
      </c>
      <c r="C1165" s="55"/>
      <c r="D1165" s="55">
        <f t="shared" si="37"/>
        <v>5</v>
      </c>
      <c r="E1165" s="60">
        <v>31</v>
      </c>
      <c r="F1165" s="60">
        <v>33</v>
      </c>
      <c r="G1165" s="61">
        <v>32</v>
      </c>
      <c r="H1165" s="60">
        <v>34</v>
      </c>
      <c r="I1165" s="60">
        <v>36</v>
      </c>
      <c r="J1165" s="61">
        <v>35</v>
      </c>
    </row>
    <row r="1166" spans="1:10" x14ac:dyDescent="0.35">
      <c r="A1166" s="58">
        <v>40325</v>
      </c>
      <c r="B1166" s="55">
        <f t="shared" si="36"/>
        <v>2010</v>
      </c>
      <c r="C1166" s="55"/>
      <c r="D1166" s="55">
        <f t="shared" si="37"/>
        <v>5</v>
      </c>
      <c r="E1166" s="60">
        <v>30</v>
      </c>
      <c r="F1166" s="60">
        <v>32</v>
      </c>
      <c r="G1166" s="61">
        <v>31</v>
      </c>
      <c r="H1166" s="60">
        <v>33</v>
      </c>
      <c r="I1166" s="60">
        <v>35</v>
      </c>
      <c r="J1166" s="61">
        <v>34</v>
      </c>
    </row>
    <row r="1167" spans="1:10" x14ac:dyDescent="0.35">
      <c r="A1167" s="58">
        <v>40339</v>
      </c>
      <c r="B1167" s="55">
        <f t="shared" si="36"/>
        <v>2010</v>
      </c>
      <c r="C1167" s="55"/>
      <c r="D1167" s="55">
        <f t="shared" si="37"/>
        <v>6</v>
      </c>
      <c r="E1167" s="60">
        <v>27</v>
      </c>
      <c r="F1167" s="60">
        <v>29</v>
      </c>
      <c r="G1167" s="61">
        <v>28</v>
      </c>
      <c r="H1167" s="60">
        <v>31</v>
      </c>
      <c r="I1167" s="60">
        <v>33</v>
      </c>
      <c r="J1167" s="61">
        <v>32</v>
      </c>
    </row>
    <row r="1168" spans="1:10" x14ac:dyDescent="0.35">
      <c r="A1168" s="58">
        <v>40346</v>
      </c>
      <c r="B1168" s="55">
        <f t="shared" si="36"/>
        <v>2010</v>
      </c>
      <c r="C1168" s="55"/>
      <c r="D1168" s="55">
        <f t="shared" si="37"/>
        <v>6</v>
      </c>
      <c r="E1168" s="60">
        <v>26</v>
      </c>
      <c r="F1168" s="60">
        <v>28</v>
      </c>
      <c r="G1168" s="61">
        <v>27</v>
      </c>
      <c r="H1168" s="60">
        <v>30</v>
      </c>
      <c r="I1168" s="60">
        <v>32</v>
      </c>
      <c r="J1168" s="61">
        <v>31</v>
      </c>
    </row>
    <row r="1169" spans="1:10" x14ac:dyDescent="0.35">
      <c r="A1169" s="58">
        <v>40353</v>
      </c>
      <c r="B1169" s="55">
        <f t="shared" si="36"/>
        <v>2010</v>
      </c>
      <c r="C1169" s="55"/>
      <c r="D1169" s="55">
        <f t="shared" si="37"/>
        <v>6</v>
      </c>
      <c r="E1169" s="60">
        <v>25</v>
      </c>
      <c r="F1169" s="60">
        <v>27</v>
      </c>
      <c r="G1169" s="61">
        <v>26</v>
      </c>
      <c r="H1169" s="60">
        <v>25</v>
      </c>
      <c r="I1169" s="60">
        <v>27</v>
      </c>
      <c r="J1169" s="61">
        <v>26</v>
      </c>
    </row>
    <row r="1170" spans="1:10" x14ac:dyDescent="0.35">
      <c r="A1170" s="58">
        <v>40360</v>
      </c>
      <c r="B1170" s="55">
        <f t="shared" si="36"/>
        <v>2010</v>
      </c>
      <c r="C1170" s="55"/>
      <c r="D1170" s="55">
        <f t="shared" si="37"/>
        <v>7</v>
      </c>
      <c r="E1170" s="60">
        <v>24</v>
      </c>
      <c r="F1170" s="60">
        <v>26</v>
      </c>
      <c r="G1170" s="61">
        <v>25</v>
      </c>
      <c r="H1170" s="60">
        <v>24</v>
      </c>
      <c r="I1170" s="60">
        <v>26</v>
      </c>
      <c r="J1170" s="61">
        <v>25</v>
      </c>
    </row>
    <row r="1171" spans="1:10" x14ac:dyDescent="0.35">
      <c r="A1171" s="58">
        <v>40367</v>
      </c>
      <c r="B1171" s="55">
        <f t="shared" si="36"/>
        <v>2010</v>
      </c>
      <c r="C1171" s="55"/>
      <c r="D1171" s="55">
        <f t="shared" si="37"/>
        <v>7</v>
      </c>
      <c r="E1171" s="60">
        <v>23</v>
      </c>
      <c r="F1171" s="60">
        <v>25</v>
      </c>
      <c r="G1171" s="61">
        <v>24</v>
      </c>
      <c r="H1171" s="60">
        <v>23</v>
      </c>
      <c r="I1171" s="60">
        <v>25</v>
      </c>
      <c r="J1171" s="61">
        <v>24</v>
      </c>
    </row>
    <row r="1172" spans="1:10" x14ac:dyDescent="0.35">
      <c r="A1172" s="58">
        <v>40374</v>
      </c>
      <c r="B1172" s="55">
        <f t="shared" si="36"/>
        <v>2010</v>
      </c>
      <c r="C1172" s="55"/>
      <c r="D1172" s="55">
        <f t="shared" si="37"/>
        <v>7</v>
      </c>
      <c r="E1172" s="60">
        <v>23</v>
      </c>
      <c r="F1172" s="60">
        <v>25</v>
      </c>
      <c r="G1172" s="61">
        <v>24</v>
      </c>
      <c r="H1172" s="60">
        <v>22</v>
      </c>
      <c r="I1172" s="60">
        <v>24</v>
      </c>
      <c r="J1172" s="61">
        <v>23</v>
      </c>
    </row>
    <row r="1173" spans="1:10" x14ac:dyDescent="0.35">
      <c r="A1173" s="58">
        <v>40381</v>
      </c>
      <c r="B1173" s="55">
        <f t="shared" si="36"/>
        <v>2010</v>
      </c>
      <c r="C1173" s="55"/>
      <c r="D1173" s="55">
        <f t="shared" si="37"/>
        <v>7</v>
      </c>
      <c r="E1173" s="60">
        <v>23</v>
      </c>
      <c r="F1173" s="60">
        <v>25</v>
      </c>
      <c r="G1173" s="61">
        <v>24</v>
      </c>
      <c r="H1173" s="60">
        <v>22</v>
      </c>
      <c r="I1173" s="60">
        <v>24</v>
      </c>
      <c r="J1173" s="61">
        <v>23</v>
      </c>
    </row>
    <row r="1174" spans="1:10" x14ac:dyDescent="0.35">
      <c r="A1174" s="58">
        <v>40388</v>
      </c>
      <c r="B1174" s="55">
        <f t="shared" si="36"/>
        <v>2010</v>
      </c>
      <c r="C1174" s="55"/>
      <c r="D1174" s="55">
        <f t="shared" si="37"/>
        <v>7</v>
      </c>
      <c r="E1174" s="60">
        <v>24</v>
      </c>
      <c r="F1174" s="60">
        <v>26</v>
      </c>
      <c r="G1174" s="61">
        <v>25</v>
      </c>
      <c r="H1174" s="60">
        <v>23</v>
      </c>
      <c r="I1174" s="60">
        <v>25</v>
      </c>
      <c r="J1174" s="61">
        <v>24</v>
      </c>
    </row>
    <row r="1175" spans="1:10" x14ac:dyDescent="0.35">
      <c r="A1175" s="58">
        <v>40395</v>
      </c>
      <c r="B1175" s="55">
        <f t="shared" si="36"/>
        <v>2010</v>
      </c>
      <c r="C1175" s="55"/>
      <c r="D1175" s="55">
        <f t="shared" si="37"/>
        <v>8</v>
      </c>
      <c r="E1175" s="60">
        <v>24</v>
      </c>
      <c r="F1175" s="60">
        <v>26</v>
      </c>
      <c r="G1175" s="61">
        <v>25</v>
      </c>
      <c r="H1175" s="60">
        <v>23</v>
      </c>
      <c r="I1175" s="60">
        <v>25</v>
      </c>
      <c r="J1175" s="61">
        <v>24</v>
      </c>
    </row>
    <row r="1176" spans="1:10" x14ac:dyDescent="0.35">
      <c r="A1176" s="58">
        <v>40402</v>
      </c>
      <c r="B1176" s="55">
        <f t="shared" si="36"/>
        <v>2010</v>
      </c>
      <c r="C1176" s="55"/>
      <c r="D1176" s="55">
        <f t="shared" si="37"/>
        <v>8</v>
      </c>
      <c r="E1176" s="60">
        <v>26</v>
      </c>
      <c r="F1176" s="60">
        <v>28</v>
      </c>
      <c r="G1176" s="61">
        <v>27</v>
      </c>
      <c r="H1176" s="60">
        <v>23</v>
      </c>
      <c r="I1176" s="60">
        <v>25</v>
      </c>
      <c r="J1176" s="61">
        <v>24</v>
      </c>
    </row>
    <row r="1177" spans="1:10" x14ac:dyDescent="0.35">
      <c r="A1177" s="58">
        <v>40409</v>
      </c>
      <c r="B1177" s="55">
        <f t="shared" si="36"/>
        <v>2010</v>
      </c>
      <c r="C1177" s="55"/>
      <c r="D1177" s="55">
        <f t="shared" si="37"/>
        <v>8</v>
      </c>
      <c r="E1177" s="60">
        <v>29</v>
      </c>
      <c r="F1177" s="60">
        <v>31</v>
      </c>
      <c r="G1177" s="61">
        <v>30</v>
      </c>
      <c r="H1177" s="60">
        <v>24</v>
      </c>
      <c r="I1177" s="60">
        <v>26</v>
      </c>
      <c r="J1177" s="61">
        <v>25</v>
      </c>
    </row>
    <row r="1178" spans="1:10" x14ac:dyDescent="0.35">
      <c r="A1178" s="58">
        <v>40416</v>
      </c>
      <c r="B1178" s="55">
        <f t="shared" si="36"/>
        <v>2010</v>
      </c>
      <c r="C1178" s="55"/>
      <c r="D1178" s="55">
        <f t="shared" si="37"/>
        <v>8</v>
      </c>
      <c r="E1178" s="60">
        <v>30</v>
      </c>
      <c r="F1178" s="60">
        <v>32</v>
      </c>
      <c r="G1178" s="61">
        <v>31</v>
      </c>
      <c r="H1178" s="60">
        <v>24</v>
      </c>
      <c r="I1178" s="60">
        <v>26</v>
      </c>
      <c r="J1178" s="61">
        <v>25</v>
      </c>
    </row>
    <row r="1179" spans="1:10" x14ac:dyDescent="0.35">
      <c r="A1179" s="58">
        <v>40423</v>
      </c>
      <c r="B1179" s="55">
        <f t="shared" si="36"/>
        <v>2010</v>
      </c>
      <c r="C1179" s="55"/>
      <c r="D1179" s="55">
        <f t="shared" si="37"/>
        <v>9</v>
      </c>
      <c r="E1179" s="60">
        <v>29</v>
      </c>
      <c r="F1179" s="60">
        <v>31</v>
      </c>
      <c r="G1179" s="61">
        <v>30</v>
      </c>
      <c r="H1179" s="60">
        <v>24</v>
      </c>
      <c r="I1179" s="60">
        <v>26</v>
      </c>
      <c r="J1179" s="61">
        <v>25</v>
      </c>
    </row>
    <row r="1180" spans="1:10" x14ac:dyDescent="0.35">
      <c r="A1180" s="58">
        <v>40430</v>
      </c>
      <c r="B1180" s="55">
        <f t="shared" si="36"/>
        <v>2010</v>
      </c>
      <c r="C1180" s="55"/>
      <c r="D1180" s="55">
        <f t="shared" si="37"/>
        <v>9</v>
      </c>
      <c r="E1180" s="60">
        <v>29</v>
      </c>
      <c r="F1180" s="60">
        <v>31</v>
      </c>
      <c r="G1180" s="61">
        <v>30</v>
      </c>
      <c r="H1180" s="60">
        <v>24</v>
      </c>
      <c r="I1180" s="60">
        <v>26</v>
      </c>
      <c r="J1180" s="61">
        <v>25</v>
      </c>
    </row>
    <row r="1181" spans="1:10" x14ac:dyDescent="0.35">
      <c r="A1181" s="58">
        <v>40437</v>
      </c>
      <c r="B1181" s="55">
        <f t="shared" si="36"/>
        <v>2010</v>
      </c>
      <c r="C1181" s="55"/>
      <c r="D1181" s="55">
        <f t="shared" si="37"/>
        <v>9</v>
      </c>
      <c r="E1181" s="60">
        <v>29</v>
      </c>
      <c r="F1181" s="60">
        <v>31</v>
      </c>
      <c r="G1181" s="61">
        <v>30</v>
      </c>
      <c r="H1181" s="60">
        <v>24</v>
      </c>
      <c r="I1181" s="60">
        <v>26</v>
      </c>
      <c r="J1181" s="61">
        <v>25</v>
      </c>
    </row>
    <row r="1182" spans="1:10" x14ac:dyDescent="0.35">
      <c r="A1182" s="58">
        <v>40444</v>
      </c>
      <c r="B1182" s="55">
        <f t="shared" si="36"/>
        <v>2010</v>
      </c>
      <c r="C1182" s="55"/>
      <c r="D1182" s="55">
        <f t="shared" si="37"/>
        <v>9</v>
      </c>
      <c r="E1182" s="60">
        <v>28</v>
      </c>
      <c r="F1182" s="60">
        <v>30</v>
      </c>
      <c r="G1182" s="61">
        <v>29</v>
      </c>
      <c r="H1182" s="60">
        <v>23</v>
      </c>
      <c r="I1182" s="60">
        <v>25</v>
      </c>
      <c r="J1182" s="61">
        <v>24</v>
      </c>
    </row>
    <row r="1183" spans="1:10" x14ac:dyDescent="0.35">
      <c r="A1183" s="58">
        <v>40451</v>
      </c>
      <c r="B1183" s="55">
        <f t="shared" si="36"/>
        <v>2010</v>
      </c>
      <c r="C1183" s="55"/>
      <c r="D1183" s="55">
        <f t="shared" si="37"/>
        <v>9</v>
      </c>
      <c r="E1183" s="60">
        <v>28</v>
      </c>
      <c r="F1183" s="60">
        <v>30</v>
      </c>
      <c r="G1183" s="61">
        <v>29</v>
      </c>
      <c r="H1183" s="60">
        <v>23</v>
      </c>
      <c r="I1183" s="60">
        <v>25</v>
      </c>
      <c r="J1183" s="61">
        <v>24</v>
      </c>
    </row>
    <row r="1184" spans="1:10" x14ac:dyDescent="0.35">
      <c r="A1184" s="58">
        <v>40458</v>
      </c>
      <c r="B1184" s="55">
        <f t="shared" si="36"/>
        <v>2010</v>
      </c>
      <c r="C1184" s="55"/>
      <c r="D1184" s="55">
        <f t="shared" si="37"/>
        <v>10</v>
      </c>
      <c r="E1184" s="60">
        <v>28</v>
      </c>
      <c r="F1184" s="60">
        <v>30</v>
      </c>
      <c r="G1184" s="61">
        <v>29</v>
      </c>
      <c r="H1184" s="60">
        <v>24</v>
      </c>
      <c r="I1184" s="60">
        <v>26</v>
      </c>
      <c r="J1184" s="61">
        <v>25</v>
      </c>
    </row>
    <row r="1185" spans="1:10" x14ac:dyDescent="0.35">
      <c r="A1185" s="58">
        <v>40465</v>
      </c>
      <c r="B1185" s="55">
        <f t="shared" si="36"/>
        <v>2010</v>
      </c>
      <c r="C1185" s="55"/>
      <c r="D1185" s="55">
        <f t="shared" si="37"/>
        <v>10</v>
      </c>
      <c r="E1185" s="60">
        <v>27</v>
      </c>
      <c r="F1185" s="60">
        <v>29</v>
      </c>
      <c r="G1185" s="61">
        <v>28</v>
      </c>
      <c r="H1185" s="60">
        <v>23</v>
      </c>
      <c r="I1185" s="60">
        <v>25</v>
      </c>
      <c r="J1185" s="61">
        <v>24</v>
      </c>
    </row>
    <row r="1186" spans="1:10" x14ac:dyDescent="0.35">
      <c r="A1186" s="58">
        <v>40472</v>
      </c>
      <c r="B1186" s="55">
        <f t="shared" si="36"/>
        <v>2010</v>
      </c>
      <c r="C1186" s="55"/>
      <c r="D1186" s="55">
        <f t="shared" si="37"/>
        <v>10</v>
      </c>
      <c r="E1186" s="60">
        <v>27</v>
      </c>
      <c r="F1186" s="60">
        <v>29</v>
      </c>
      <c r="G1186" s="61">
        <v>28</v>
      </c>
      <c r="H1186" s="60">
        <v>22</v>
      </c>
      <c r="I1186" s="60">
        <v>24</v>
      </c>
      <c r="J1186" s="61">
        <v>23</v>
      </c>
    </row>
    <row r="1187" spans="1:10" x14ac:dyDescent="0.35">
      <c r="A1187" s="58">
        <v>40479</v>
      </c>
      <c r="B1187" s="55">
        <f t="shared" si="36"/>
        <v>2010</v>
      </c>
      <c r="C1187" s="55"/>
      <c r="D1187" s="55">
        <f t="shared" si="37"/>
        <v>10</v>
      </c>
      <c r="E1187" s="60">
        <v>27</v>
      </c>
      <c r="F1187" s="60">
        <v>29</v>
      </c>
      <c r="G1187" s="61">
        <v>28</v>
      </c>
      <c r="H1187" s="60">
        <v>22</v>
      </c>
      <c r="I1187" s="60">
        <v>24</v>
      </c>
      <c r="J1187" s="61">
        <v>23</v>
      </c>
    </row>
    <row r="1188" spans="1:10" x14ac:dyDescent="0.35">
      <c r="A1188" s="58">
        <v>40486</v>
      </c>
      <c r="B1188" s="55">
        <f t="shared" si="36"/>
        <v>2010</v>
      </c>
      <c r="C1188" s="55"/>
      <c r="D1188" s="55">
        <f t="shared" si="37"/>
        <v>11</v>
      </c>
      <c r="E1188" s="60">
        <v>26</v>
      </c>
      <c r="F1188" s="60">
        <v>28</v>
      </c>
      <c r="G1188" s="61">
        <v>27</v>
      </c>
      <c r="H1188" s="60">
        <v>21</v>
      </c>
      <c r="I1188" s="60">
        <v>23</v>
      </c>
      <c r="J1188" s="61">
        <v>22</v>
      </c>
    </row>
    <row r="1189" spans="1:10" x14ac:dyDescent="0.35">
      <c r="A1189" s="58">
        <v>40493</v>
      </c>
      <c r="B1189" s="55">
        <f t="shared" si="36"/>
        <v>2010</v>
      </c>
      <c r="C1189" s="55"/>
      <c r="D1189" s="55">
        <f t="shared" si="37"/>
        <v>11</v>
      </c>
      <c r="E1189" s="60">
        <v>26</v>
      </c>
      <c r="F1189" s="60">
        <v>28</v>
      </c>
      <c r="G1189" s="61">
        <v>27</v>
      </c>
      <c r="H1189" s="60">
        <v>20</v>
      </c>
      <c r="I1189" s="60">
        <v>22</v>
      </c>
      <c r="J1189" s="61">
        <v>21</v>
      </c>
    </row>
    <row r="1190" spans="1:10" x14ac:dyDescent="0.35">
      <c r="A1190" s="58">
        <v>40500</v>
      </c>
      <c r="B1190" s="55">
        <f t="shared" si="36"/>
        <v>2010</v>
      </c>
      <c r="C1190" s="55"/>
      <c r="D1190" s="55">
        <f t="shared" si="37"/>
        <v>11</v>
      </c>
      <c r="E1190" s="60">
        <v>26</v>
      </c>
      <c r="F1190" s="60">
        <v>28</v>
      </c>
      <c r="G1190" s="61">
        <v>27</v>
      </c>
      <c r="H1190" s="60">
        <v>20</v>
      </c>
      <c r="I1190" s="60">
        <v>22</v>
      </c>
      <c r="J1190" s="61">
        <v>21</v>
      </c>
    </row>
    <row r="1191" spans="1:10" x14ac:dyDescent="0.35">
      <c r="A1191" s="58">
        <v>40507</v>
      </c>
      <c r="B1191" s="55">
        <f t="shared" si="36"/>
        <v>2010</v>
      </c>
      <c r="C1191" s="55"/>
      <c r="D1191" s="55">
        <f t="shared" si="37"/>
        <v>11</v>
      </c>
      <c r="E1191" s="60">
        <v>25</v>
      </c>
      <c r="F1191" s="60">
        <v>27</v>
      </c>
      <c r="G1191" s="61">
        <v>26</v>
      </c>
      <c r="H1191" s="60">
        <v>20</v>
      </c>
      <c r="I1191" s="60">
        <v>22</v>
      </c>
      <c r="J1191" s="61">
        <v>21</v>
      </c>
    </row>
    <row r="1192" spans="1:10" x14ac:dyDescent="0.35">
      <c r="A1192" s="58">
        <v>40514</v>
      </c>
      <c r="B1192" s="55">
        <f t="shared" si="36"/>
        <v>2010</v>
      </c>
      <c r="C1192" s="55"/>
      <c r="D1192" s="55">
        <f t="shared" si="37"/>
        <v>12</v>
      </c>
      <c r="E1192" s="60">
        <v>26</v>
      </c>
      <c r="F1192" s="60">
        <v>28</v>
      </c>
      <c r="G1192" s="61">
        <v>27</v>
      </c>
      <c r="H1192" s="60">
        <v>21</v>
      </c>
      <c r="I1192" s="60">
        <v>23</v>
      </c>
      <c r="J1192" s="61">
        <v>22</v>
      </c>
    </row>
    <row r="1193" spans="1:10" x14ac:dyDescent="0.35">
      <c r="A1193" s="58">
        <v>40521</v>
      </c>
      <c r="B1193" s="55">
        <f t="shared" si="36"/>
        <v>2010</v>
      </c>
      <c r="C1193" s="55"/>
      <c r="D1193" s="55">
        <f t="shared" si="37"/>
        <v>12</v>
      </c>
      <c r="E1193" s="60">
        <v>26</v>
      </c>
      <c r="F1193" s="60">
        <v>28</v>
      </c>
      <c r="G1193" s="61">
        <v>27</v>
      </c>
      <c r="H1193" s="60">
        <v>21</v>
      </c>
      <c r="I1193" s="60">
        <v>23</v>
      </c>
      <c r="J1193" s="61">
        <v>22</v>
      </c>
    </row>
    <row r="1194" spans="1:10" x14ac:dyDescent="0.35">
      <c r="A1194" s="58">
        <v>40528</v>
      </c>
      <c r="B1194" s="55">
        <f t="shared" si="36"/>
        <v>2010</v>
      </c>
      <c r="C1194" s="55"/>
      <c r="D1194" s="55">
        <f t="shared" si="37"/>
        <v>12</v>
      </c>
      <c r="E1194" s="60">
        <v>26</v>
      </c>
      <c r="F1194" s="60">
        <v>28</v>
      </c>
      <c r="G1194" s="61">
        <v>27</v>
      </c>
      <c r="H1194" s="60">
        <v>21</v>
      </c>
      <c r="I1194" s="60">
        <v>23</v>
      </c>
      <c r="J1194" s="61">
        <v>22</v>
      </c>
    </row>
    <row r="1195" spans="1:10" x14ac:dyDescent="0.35">
      <c r="A1195" s="58">
        <v>40535</v>
      </c>
      <c r="B1195" s="55">
        <f t="shared" si="36"/>
        <v>2010</v>
      </c>
      <c r="C1195" s="55"/>
      <c r="D1195" s="55">
        <f t="shared" si="37"/>
        <v>12</v>
      </c>
      <c r="E1195" s="60">
        <v>26</v>
      </c>
      <c r="F1195" s="60">
        <v>28</v>
      </c>
      <c r="G1195" s="61">
        <v>27</v>
      </c>
      <c r="H1195" s="60">
        <v>21</v>
      </c>
      <c r="I1195" s="60">
        <v>23</v>
      </c>
      <c r="J1195" s="61">
        <v>22</v>
      </c>
    </row>
    <row r="1196" spans="1:10" x14ac:dyDescent="0.35">
      <c r="A1196" s="58">
        <v>40549</v>
      </c>
      <c r="B1196" s="55">
        <f t="shared" si="36"/>
        <v>2011</v>
      </c>
      <c r="C1196" s="55"/>
      <c r="D1196" s="55">
        <f t="shared" si="37"/>
        <v>1</v>
      </c>
      <c r="E1196" s="60">
        <v>26</v>
      </c>
      <c r="F1196" s="60">
        <v>28</v>
      </c>
      <c r="G1196" s="61">
        <v>27</v>
      </c>
      <c r="H1196" s="60">
        <v>20</v>
      </c>
      <c r="I1196" s="60">
        <v>22</v>
      </c>
      <c r="J1196" s="61">
        <v>21</v>
      </c>
    </row>
    <row r="1197" spans="1:10" x14ac:dyDescent="0.35">
      <c r="A1197" s="58">
        <v>40556</v>
      </c>
      <c r="B1197" s="55">
        <f t="shared" si="36"/>
        <v>2011</v>
      </c>
      <c r="C1197" s="55"/>
      <c r="D1197" s="55">
        <f t="shared" si="37"/>
        <v>1</v>
      </c>
      <c r="E1197" s="60">
        <v>26</v>
      </c>
      <c r="F1197" s="60">
        <v>28</v>
      </c>
      <c r="G1197" s="61">
        <v>27</v>
      </c>
      <c r="H1197" s="60">
        <v>19</v>
      </c>
      <c r="I1197" s="60">
        <v>21</v>
      </c>
      <c r="J1197" s="61">
        <v>20</v>
      </c>
    </row>
    <row r="1198" spans="1:10" x14ac:dyDescent="0.35">
      <c r="A1198" s="58">
        <v>40563</v>
      </c>
      <c r="B1198" s="55">
        <f t="shared" si="36"/>
        <v>2011</v>
      </c>
      <c r="C1198" s="55"/>
      <c r="D1198" s="55">
        <f t="shared" si="37"/>
        <v>1</v>
      </c>
      <c r="E1198" s="60">
        <v>25</v>
      </c>
      <c r="F1198" s="60">
        <v>27</v>
      </c>
      <c r="G1198" s="61">
        <v>26</v>
      </c>
      <c r="H1198" s="60">
        <v>19</v>
      </c>
      <c r="I1198" s="60">
        <v>21</v>
      </c>
      <c r="J1198" s="61">
        <v>20</v>
      </c>
    </row>
    <row r="1199" spans="1:10" x14ac:dyDescent="0.35">
      <c r="A1199" s="58">
        <v>40570</v>
      </c>
      <c r="B1199" s="55">
        <f t="shared" si="36"/>
        <v>2011</v>
      </c>
      <c r="C1199" s="55"/>
      <c r="D1199" s="55">
        <f t="shared" si="37"/>
        <v>1</v>
      </c>
      <c r="E1199" s="60">
        <v>25</v>
      </c>
      <c r="F1199" s="60">
        <v>27</v>
      </c>
      <c r="G1199" s="61">
        <v>26</v>
      </c>
      <c r="H1199" s="60">
        <v>18</v>
      </c>
      <c r="I1199" s="60">
        <v>20</v>
      </c>
      <c r="J1199" s="61">
        <v>19</v>
      </c>
    </row>
    <row r="1200" spans="1:10" x14ac:dyDescent="0.35">
      <c r="A1200" s="58">
        <v>40577</v>
      </c>
      <c r="B1200" s="55">
        <f t="shared" si="36"/>
        <v>2011</v>
      </c>
      <c r="C1200" s="55"/>
      <c r="D1200" s="55">
        <f t="shared" si="37"/>
        <v>2</v>
      </c>
      <c r="E1200" s="60">
        <v>24</v>
      </c>
      <c r="F1200" s="60">
        <v>26</v>
      </c>
      <c r="G1200" s="61">
        <v>25</v>
      </c>
      <c r="H1200" s="60">
        <v>18</v>
      </c>
      <c r="I1200" s="60">
        <v>20</v>
      </c>
      <c r="J1200" s="61">
        <v>19</v>
      </c>
    </row>
    <row r="1201" spans="1:10" x14ac:dyDescent="0.35">
      <c r="A1201" s="58">
        <v>40584</v>
      </c>
      <c r="B1201" s="55">
        <f t="shared" si="36"/>
        <v>2011</v>
      </c>
      <c r="C1201" s="55"/>
      <c r="D1201" s="55">
        <f t="shared" si="37"/>
        <v>2</v>
      </c>
      <c r="E1201" s="60">
        <v>25</v>
      </c>
      <c r="F1201" s="60">
        <v>27</v>
      </c>
      <c r="G1201" s="61">
        <v>26</v>
      </c>
      <c r="H1201" s="60">
        <v>18</v>
      </c>
      <c r="I1201" s="60">
        <v>20</v>
      </c>
      <c r="J1201" s="61">
        <v>19</v>
      </c>
    </row>
    <row r="1202" spans="1:10" x14ac:dyDescent="0.35">
      <c r="A1202" s="58">
        <v>40591</v>
      </c>
      <c r="B1202" s="55">
        <f t="shared" si="36"/>
        <v>2011</v>
      </c>
      <c r="C1202" s="55"/>
      <c r="D1202" s="55">
        <f t="shared" si="37"/>
        <v>2</v>
      </c>
      <c r="E1202" s="60">
        <v>27</v>
      </c>
      <c r="F1202" s="60">
        <v>29</v>
      </c>
      <c r="G1202" s="61">
        <v>28</v>
      </c>
      <c r="H1202" s="60">
        <v>20</v>
      </c>
      <c r="I1202" s="60">
        <v>22</v>
      </c>
      <c r="J1202" s="61">
        <v>21</v>
      </c>
    </row>
    <row r="1203" spans="1:10" x14ac:dyDescent="0.35">
      <c r="A1203" s="58">
        <v>40598</v>
      </c>
      <c r="B1203" s="55">
        <f t="shared" si="36"/>
        <v>2011</v>
      </c>
      <c r="C1203" s="55"/>
      <c r="D1203" s="55">
        <f t="shared" si="37"/>
        <v>2</v>
      </c>
      <c r="E1203" s="60">
        <v>27</v>
      </c>
      <c r="F1203" s="60">
        <v>29</v>
      </c>
      <c r="G1203" s="61">
        <v>28</v>
      </c>
      <c r="H1203" s="60">
        <v>20</v>
      </c>
      <c r="I1203" s="60">
        <v>22</v>
      </c>
      <c r="J1203" s="61">
        <v>21</v>
      </c>
    </row>
    <row r="1204" spans="1:10" x14ac:dyDescent="0.35">
      <c r="A1204" s="58">
        <v>40605</v>
      </c>
      <c r="B1204" s="55">
        <f t="shared" si="36"/>
        <v>2011</v>
      </c>
      <c r="C1204" s="55"/>
      <c r="D1204" s="55">
        <f t="shared" si="37"/>
        <v>3</v>
      </c>
      <c r="E1204" s="60">
        <v>28</v>
      </c>
      <c r="F1204" s="60">
        <v>30</v>
      </c>
      <c r="G1204" s="61">
        <v>29</v>
      </c>
      <c r="H1204" s="60">
        <v>22</v>
      </c>
      <c r="I1204" s="60">
        <v>24</v>
      </c>
      <c r="J1204" s="61">
        <v>23</v>
      </c>
    </row>
    <row r="1205" spans="1:10" x14ac:dyDescent="0.35">
      <c r="A1205" s="58">
        <v>40612</v>
      </c>
      <c r="B1205" s="55">
        <f t="shared" si="36"/>
        <v>2011</v>
      </c>
      <c r="C1205" s="55"/>
      <c r="D1205" s="55">
        <f t="shared" si="37"/>
        <v>3</v>
      </c>
      <c r="E1205" s="60">
        <v>28</v>
      </c>
      <c r="F1205" s="60">
        <v>30</v>
      </c>
      <c r="G1205" s="61">
        <v>29</v>
      </c>
      <c r="H1205" s="60">
        <v>22</v>
      </c>
      <c r="I1205" s="60">
        <v>24</v>
      </c>
      <c r="J1205" s="61">
        <v>23</v>
      </c>
    </row>
    <row r="1206" spans="1:10" x14ac:dyDescent="0.35">
      <c r="A1206" s="58">
        <v>40619</v>
      </c>
      <c r="B1206" s="55">
        <f t="shared" si="36"/>
        <v>2011</v>
      </c>
      <c r="C1206" s="55"/>
      <c r="D1206" s="55">
        <f t="shared" si="37"/>
        <v>3</v>
      </c>
      <c r="E1206" s="60">
        <v>28</v>
      </c>
      <c r="F1206" s="60">
        <v>30</v>
      </c>
      <c r="G1206" s="61">
        <v>29</v>
      </c>
      <c r="H1206" s="60">
        <v>23</v>
      </c>
      <c r="I1206" s="60">
        <v>25</v>
      </c>
      <c r="J1206" s="61">
        <v>24</v>
      </c>
    </row>
    <row r="1207" spans="1:10" x14ac:dyDescent="0.35">
      <c r="A1207" s="58">
        <v>40626</v>
      </c>
      <c r="B1207" s="55">
        <f t="shared" si="36"/>
        <v>2011</v>
      </c>
      <c r="C1207" s="55"/>
      <c r="D1207" s="55">
        <f t="shared" si="37"/>
        <v>3</v>
      </c>
      <c r="E1207" s="60">
        <v>28</v>
      </c>
      <c r="F1207" s="60">
        <v>30</v>
      </c>
      <c r="G1207" s="61">
        <v>29</v>
      </c>
      <c r="H1207" s="60">
        <v>23</v>
      </c>
      <c r="I1207" s="60">
        <v>25</v>
      </c>
      <c r="J1207" s="61">
        <v>24</v>
      </c>
    </row>
    <row r="1208" spans="1:10" x14ac:dyDescent="0.35">
      <c r="A1208" s="58">
        <v>40633</v>
      </c>
      <c r="B1208" s="55">
        <f t="shared" si="36"/>
        <v>2011</v>
      </c>
      <c r="C1208" s="55"/>
      <c r="D1208" s="55">
        <f t="shared" si="37"/>
        <v>3</v>
      </c>
      <c r="E1208" s="60">
        <v>29</v>
      </c>
      <c r="F1208" s="60">
        <v>31</v>
      </c>
      <c r="G1208" s="61">
        <v>30</v>
      </c>
      <c r="H1208" s="60">
        <v>22</v>
      </c>
      <c r="I1208" s="60">
        <v>24</v>
      </c>
      <c r="J1208" s="61">
        <v>23</v>
      </c>
    </row>
    <row r="1209" spans="1:10" x14ac:dyDescent="0.35">
      <c r="A1209" s="58">
        <v>40640</v>
      </c>
      <c r="B1209" s="55">
        <f t="shared" si="36"/>
        <v>2011</v>
      </c>
      <c r="C1209" s="55"/>
      <c r="D1209" s="55">
        <f t="shared" si="37"/>
        <v>4</v>
      </c>
      <c r="E1209" s="60">
        <v>29</v>
      </c>
      <c r="F1209" s="60">
        <v>31</v>
      </c>
      <c r="G1209" s="61">
        <v>30</v>
      </c>
      <c r="H1209" s="60">
        <v>22</v>
      </c>
      <c r="I1209" s="60">
        <v>24</v>
      </c>
      <c r="J1209" s="61">
        <v>23</v>
      </c>
    </row>
    <row r="1210" spans="1:10" x14ac:dyDescent="0.35">
      <c r="A1210" s="58">
        <v>40647</v>
      </c>
      <c r="B1210" s="55">
        <f t="shared" si="36"/>
        <v>2011</v>
      </c>
      <c r="C1210" s="55"/>
      <c r="D1210" s="55">
        <f t="shared" si="37"/>
        <v>4</v>
      </c>
      <c r="E1210" s="60">
        <v>32</v>
      </c>
      <c r="F1210" s="60">
        <v>34</v>
      </c>
      <c r="G1210" s="61">
        <v>33</v>
      </c>
      <c r="H1210" s="60">
        <v>22</v>
      </c>
      <c r="I1210" s="60">
        <v>24</v>
      </c>
      <c r="J1210" s="61">
        <v>23</v>
      </c>
    </row>
    <row r="1211" spans="1:10" x14ac:dyDescent="0.35">
      <c r="A1211" s="58">
        <v>40654</v>
      </c>
      <c r="B1211" s="55">
        <f t="shared" si="36"/>
        <v>2011</v>
      </c>
      <c r="C1211" s="55"/>
      <c r="D1211" s="55">
        <f t="shared" si="37"/>
        <v>4</v>
      </c>
      <c r="E1211" s="60">
        <v>32</v>
      </c>
      <c r="F1211" s="60">
        <v>34</v>
      </c>
      <c r="G1211" s="61">
        <v>33</v>
      </c>
      <c r="H1211" s="60">
        <v>21</v>
      </c>
      <c r="I1211" s="60">
        <v>23</v>
      </c>
      <c r="J1211" s="61">
        <v>22</v>
      </c>
    </row>
    <row r="1212" spans="1:10" x14ac:dyDescent="0.35">
      <c r="A1212" s="58">
        <v>40661</v>
      </c>
      <c r="B1212" s="55">
        <f t="shared" si="36"/>
        <v>2011</v>
      </c>
      <c r="C1212" s="55"/>
      <c r="D1212" s="55">
        <f t="shared" si="37"/>
        <v>4</v>
      </c>
      <c r="E1212" s="60">
        <v>31</v>
      </c>
      <c r="F1212" s="60">
        <v>33</v>
      </c>
      <c r="G1212" s="61">
        <v>32</v>
      </c>
      <c r="H1212" s="60">
        <v>20</v>
      </c>
      <c r="I1212" s="60">
        <v>22</v>
      </c>
      <c r="J1212" s="61">
        <v>21</v>
      </c>
    </row>
    <row r="1213" spans="1:10" x14ac:dyDescent="0.35">
      <c r="A1213" s="58">
        <v>40668</v>
      </c>
      <c r="B1213" s="55">
        <f t="shared" si="36"/>
        <v>2011</v>
      </c>
      <c r="C1213" s="55"/>
      <c r="D1213" s="55">
        <f t="shared" si="37"/>
        <v>5</v>
      </c>
      <c r="E1213" s="60">
        <v>31</v>
      </c>
      <c r="F1213" s="60">
        <v>33</v>
      </c>
      <c r="G1213" s="61">
        <v>32</v>
      </c>
      <c r="H1213" s="60">
        <v>20</v>
      </c>
      <c r="I1213" s="60">
        <v>22</v>
      </c>
      <c r="J1213" s="61">
        <v>21</v>
      </c>
    </row>
    <row r="1214" spans="1:10" x14ac:dyDescent="0.35">
      <c r="A1214" s="58">
        <v>40675</v>
      </c>
      <c r="B1214" s="55">
        <f t="shared" si="36"/>
        <v>2011</v>
      </c>
      <c r="C1214" s="55"/>
      <c r="D1214" s="55">
        <f t="shared" si="37"/>
        <v>5</v>
      </c>
      <c r="E1214" s="60">
        <v>31</v>
      </c>
      <c r="F1214" s="60">
        <v>33</v>
      </c>
      <c r="G1214" s="61">
        <v>32</v>
      </c>
      <c r="H1214" s="60">
        <v>20</v>
      </c>
      <c r="I1214" s="60">
        <v>22</v>
      </c>
      <c r="J1214" s="61">
        <v>21</v>
      </c>
    </row>
    <row r="1215" spans="1:10" x14ac:dyDescent="0.35">
      <c r="A1215" s="58">
        <v>40682</v>
      </c>
      <c r="B1215" s="55">
        <f t="shared" si="36"/>
        <v>2011</v>
      </c>
      <c r="C1215" s="55"/>
      <c r="D1215" s="55">
        <f t="shared" si="37"/>
        <v>5</v>
      </c>
      <c r="E1215" s="60">
        <v>32</v>
      </c>
      <c r="F1215" s="60">
        <v>34</v>
      </c>
      <c r="G1215" s="61">
        <v>33</v>
      </c>
      <c r="H1215" s="60">
        <v>20</v>
      </c>
      <c r="I1215" s="60">
        <v>22</v>
      </c>
      <c r="J1215" s="61">
        <v>21</v>
      </c>
    </row>
    <row r="1216" spans="1:10" x14ac:dyDescent="0.35">
      <c r="A1216" s="58">
        <v>40689</v>
      </c>
      <c r="B1216" s="55">
        <f t="shared" si="36"/>
        <v>2011</v>
      </c>
      <c r="C1216" s="55"/>
      <c r="D1216" s="55">
        <f t="shared" si="37"/>
        <v>5</v>
      </c>
      <c r="E1216" s="60">
        <v>33</v>
      </c>
      <c r="F1216" s="60">
        <v>35</v>
      </c>
      <c r="G1216" s="61">
        <v>34</v>
      </c>
      <c r="H1216" s="60">
        <v>20</v>
      </c>
      <c r="I1216" s="60">
        <v>22</v>
      </c>
      <c r="J1216" s="61">
        <v>21</v>
      </c>
    </row>
    <row r="1217" spans="1:10" x14ac:dyDescent="0.35">
      <c r="A1217" s="58">
        <v>40696</v>
      </c>
      <c r="B1217" s="55">
        <f t="shared" si="36"/>
        <v>2011</v>
      </c>
      <c r="C1217" s="55"/>
      <c r="D1217" s="55">
        <f t="shared" si="37"/>
        <v>6</v>
      </c>
      <c r="E1217" s="60">
        <v>33</v>
      </c>
      <c r="F1217" s="60">
        <v>35</v>
      </c>
      <c r="G1217" s="61">
        <v>34</v>
      </c>
      <c r="H1217" s="60">
        <v>20</v>
      </c>
      <c r="I1217" s="60">
        <v>22</v>
      </c>
      <c r="J1217" s="61">
        <v>21</v>
      </c>
    </row>
    <row r="1218" spans="1:10" x14ac:dyDescent="0.35">
      <c r="A1218" s="58">
        <v>40703</v>
      </c>
      <c r="B1218" s="55">
        <f t="shared" si="36"/>
        <v>2011</v>
      </c>
      <c r="C1218" s="55"/>
      <c r="D1218" s="55">
        <f t="shared" si="37"/>
        <v>6</v>
      </c>
      <c r="E1218" s="60">
        <v>32</v>
      </c>
      <c r="F1218" s="60">
        <v>34</v>
      </c>
      <c r="G1218" s="61">
        <v>33</v>
      </c>
      <c r="H1218" s="60">
        <v>20</v>
      </c>
      <c r="I1218" s="60">
        <v>22</v>
      </c>
      <c r="J1218" s="61">
        <v>21</v>
      </c>
    </row>
    <row r="1219" spans="1:10" x14ac:dyDescent="0.35">
      <c r="A1219" s="58">
        <v>40710</v>
      </c>
      <c r="B1219" s="55">
        <f t="shared" si="36"/>
        <v>2011</v>
      </c>
      <c r="C1219" s="55"/>
      <c r="D1219" s="55">
        <f t="shared" si="37"/>
        <v>6</v>
      </c>
      <c r="E1219" s="60">
        <v>32</v>
      </c>
      <c r="F1219" s="60">
        <v>34</v>
      </c>
      <c r="G1219" s="61">
        <v>33</v>
      </c>
      <c r="H1219" s="60">
        <v>20</v>
      </c>
      <c r="I1219" s="60">
        <v>22</v>
      </c>
      <c r="J1219" s="61">
        <v>21</v>
      </c>
    </row>
    <row r="1220" spans="1:10" x14ac:dyDescent="0.35">
      <c r="A1220" s="58">
        <v>40717</v>
      </c>
      <c r="B1220" s="55">
        <f t="shared" ref="B1220:B1283" si="38">YEAR(A1220)</f>
        <v>2011</v>
      </c>
      <c r="C1220" s="55"/>
      <c r="D1220" s="55">
        <f t="shared" ref="D1220:D1283" si="39">MONTH(A1220)</f>
        <v>6</v>
      </c>
      <c r="E1220" s="60">
        <v>32</v>
      </c>
      <c r="F1220" s="60">
        <v>34</v>
      </c>
      <c r="G1220" s="61">
        <v>33</v>
      </c>
      <c r="H1220" s="60">
        <v>20</v>
      </c>
      <c r="I1220" s="60">
        <v>22</v>
      </c>
      <c r="J1220" s="61">
        <v>21</v>
      </c>
    </row>
    <row r="1221" spans="1:10" x14ac:dyDescent="0.35">
      <c r="A1221" s="58">
        <v>40724</v>
      </c>
      <c r="B1221" s="55">
        <f t="shared" si="38"/>
        <v>2011</v>
      </c>
      <c r="C1221" s="55"/>
      <c r="D1221" s="55">
        <f t="shared" si="39"/>
        <v>6</v>
      </c>
      <c r="E1221" s="60">
        <v>31</v>
      </c>
      <c r="F1221" s="60">
        <v>33</v>
      </c>
      <c r="G1221" s="61">
        <v>32</v>
      </c>
      <c r="H1221" s="60">
        <v>31</v>
      </c>
      <c r="I1221" s="60">
        <v>33</v>
      </c>
      <c r="J1221" s="61">
        <v>32</v>
      </c>
    </row>
    <row r="1222" spans="1:10" x14ac:dyDescent="0.35">
      <c r="A1222" s="58">
        <v>40731</v>
      </c>
      <c r="B1222" s="55">
        <f t="shared" si="38"/>
        <v>2011</v>
      </c>
      <c r="C1222" s="55"/>
      <c r="D1222" s="55">
        <f t="shared" si="39"/>
        <v>7</v>
      </c>
      <c r="E1222" s="60">
        <v>30</v>
      </c>
      <c r="F1222" s="60">
        <v>32</v>
      </c>
      <c r="G1222" s="61">
        <v>31</v>
      </c>
      <c r="H1222" s="60">
        <v>19</v>
      </c>
      <c r="I1222" s="60">
        <v>21</v>
      </c>
      <c r="J1222" s="61">
        <v>20</v>
      </c>
    </row>
    <row r="1223" spans="1:10" x14ac:dyDescent="0.35">
      <c r="A1223" s="58">
        <v>40738</v>
      </c>
      <c r="B1223" s="55">
        <f t="shared" si="38"/>
        <v>2011</v>
      </c>
      <c r="C1223" s="55"/>
      <c r="D1223" s="55">
        <f t="shared" si="39"/>
        <v>7</v>
      </c>
      <c r="E1223" s="60">
        <v>30</v>
      </c>
      <c r="F1223" s="60">
        <v>32</v>
      </c>
      <c r="G1223" s="61">
        <v>31</v>
      </c>
      <c r="H1223" s="60">
        <v>20</v>
      </c>
      <c r="I1223" s="60">
        <v>22</v>
      </c>
      <c r="J1223" s="61">
        <v>21</v>
      </c>
    </row>
    <row r="1224" spans="1:10" x14ac:dyDescent="0.35">
      <c r="A1224" s="58">
        <v>40745</v>
      </c>
      <c r="B1224" s="55">
        <f t="shared" si="38"/>
        <v>2011</v>
      </c>
      <c r="C1224" s="55"/>
      <c r="D1224" s="55">
        <f t="shared" si="39"/>
        <v>7</v>
      </c>
      <c r="E1224" s="60">
        <v>30</v>
      </c>
      <c r="F1224" s="60">
        <v>32</v>
      </c>
      <c r="G1224" s="61">
        <v>31</v>
      </c>
      <c r="H1224" s="60">
        <v>20</v>
      </c>
      <c r="I1224" s="60">
        <v>22</v>
      </c>
      <c r="J1224" s="61">
        <v>21</v>
      </c>
    </row>
    <row r="1225" spans="1:10" x14ac:dyDescent="0.35">
      <c r="A1225" s="58">
        <v>40752</v>
      </c>
      <c r="B1225" s="55">
        <f t="shared" si="38"/>
        <v>2011</v>
      </c>
      <c r="C1225" s="55"/>
      <c r="D1225" s="55">
        <f t="shared" si="39"/>
        <v>7</v>
      </c>
      <c r="E1225" s="60">
        <v>30</v>
      </c>
      <c r="F1225" s="60">
        <v>32</v>
      </c>
      <c r="G1225" s="61">
        <v>31</v>
      </c>
      <c r="H1225" s="60">
        <v>20</v>
      </c>
      <c r="I1225" s="60">
        <v>22</v>
      </c>
      <c r="J1225" s="61">
        <v>21</v>
      </c>
    </row>
    <row r="1226" spans="1:10" x14ac:dyDescent="0.35">
      <c r="A1226" s="58">
        <v>40759</v>
      </c>
      <c r="B1226" s="55">
        <f t="shared" si="38"/>
        <v>2011</v>
      </c>
      <c r="C1226" s="55"/>
      <c r="D1226" s="55">
        <f t="shared" si="39"/>
        <v>8</v>
      </c>
      <c r="E1226" s="60">
        <v>30</v>
      </c>
      <c r="F1226" s="60">
        <v>32</v>
      </c>
      <c r="G1226" s="61">
        <v>31</v>
      </c>
      <c r="H1226" s="60">
        <v>20</v>
      </c>
      <c r="I1226" s="60">
        <v>22</v>
      </c>
      <c r="J1226" s="61">
        <v>21</v>
      </c>
    </row>
    <row r="1227" spans="1:10" x14ac:dyDescent="0.35">
      <c r="A1227" s="58">
        <v>40766</v>
      </c>
      <c r="B1227" s="55">
        <f t="shared" si="38"/>
        <v>2011</v>
      </c>
      <c r="C1227" s="55"/>
      <c r="D1227" s="55">
        <f t="shared" si="39"/>
        <v>8</v>
      </c>
      <c r="E1227" s="60">
        <v>28</v>
      </c>
      <c r="F1227" s="60">
        <v>30</v>
      </c>
      <c r="G1227" s="61">
        <v>29</v>
      </c>
      <c r="H1227" s="60">
        <v>20</v>
      </c>
      <c r="I1227" s="60">
        <v>22</v>
      </c>
      <c r="J1227" s="61">
        <v>21</v>
      </c>
    </row>
    <row r="1228" spans="1:10" x14ac:dyDescent="0.35">
      <c r="A1228" s="58">
        <v>40773</v>
      </c>
      <c r="B1228" s="55">
        <f t="shared" si="38"/>
        <v>2011</v>
      </c>
      <c r="C1228" s="55"/>
      <c r="D1228" s="55">
        <f t="shared" si="39"/>
        <v>8</v>
      </c>
      <c r="E1228" s="60">
        <v>28</v>
      </c>
      <c r="F1228" s="60">
        <v>30</v>
      </c>
      <c r="G1228" s="61">
        <v>29</v>
      </c>
      <c r="H1228" s="60">
        <v>20</v>
      </c>
      <c r="I1228" s="60">
        <v>22</v>
      </c>
      <c r="J1228" s="61">
        <v>21</v>
      </c>
    </row>
    <row r="1229" spans="1:10" x14ac:dyDescent="0.35">
      <c r="A1229" s="58">
        <v>40780</v>
      </c>
      <c r="B1229" s="55">
        <f t="shared" si="38"/>
        <v>2011</v>
      </c>
      <c r="C1229" s="55"/>
      <c r="D1229" s="55">
        <f t="shared" si="39"/>
        <v>8</v>
      </c>
      <c r="E1229" s="60">
        <v>29</v>
      </c>
      <c r="F1229" s="60">
        <v>31</v>
      </c>
      <c r="G1229" s="61">
        <v>30</v>
      </c>
      <c r="H1229" s="60">
        <v>20</v>
      </c>
      <c r="I1229" s="60">
        <v>22</v>
      </c>
      <c r="J1229" s="61">
        <v>21</v>
      </c>
    </row>
    <row r="1230" spans="1:10" x14ac:dyDescent="0.35">
      <c r="A1230" s="58">
        <v>40787</v>
      </c>
      <c r="B1230" s="55">
        <f t="shared" si="38"/>
        <v>2011</v>
      </c>
      <c r="C1230" s="55"/>
      <c r="D1230" s="55">
        <f t="shared" si="39"/>
        <v>9</v>
      </c>
      <c r="E1230" s="60">
        <v>29</v>
      </c>
      <c r="F1230" s="60">
        <v>31</v>
      </c>
      <c r="G1230" s="61">
        <v>30</v>
      </c>
      <c r="H1230" s="60">
        <v>21</v>
      </c>
      <c r="I1230" s="60">
        <v>23</v>
      </c>
      <c r="J1230" s="61">
        <v>22</v>
      </c>
    </row>
    <row r="1231" spans="1:10" x14ac:dyDescent="0.35">
      <c r="A1231" s="58">
        <v>40794</v>
      </c>
      <c r="B1231" s="55">
        <f t="shared" si="38"/>
        <v>2011</v>
      </c>
      <c r="C1231" s="55"/>
      <c r="D1231" s="55">
        <f t="shared" si="39"/>
        <v>9</v>
      </c>
      <c r="E1231" s="60">
        <v>29</v>
      </c>
      <c r="F1231" s="60">
        <v>31</v>
      </c>
      <c r="G1231" s="61">
        <v>30</v>
      </c>
      <c r="H1231" s="60">
        <v>21</v>
      </c>
      <c r="I1231" s="60">
        <v>23</v>
      </c>
      <c r="J1231" s="61">
        <v>22</v>
      </c>
    </row>
    <row r="1232" spans="1:10" x14ac:dyDescent="0.35">
      <c r="A1232" s="58">
        <v>40801</v>
      </c>
      <c r="B1232" s="55">
        <f t="shared" si="38"/>
        <v>2011</v>
      </c>
      <c r="C1232" s="55"/>
      <c r="D1232" s="55">
        <f t="shared" si="39"/>
        <v>9</v>
      </c>
      <c r="E1232" s="60">
        <v>29</v>
      </c>
      <c r="F1232" s="60">
        <v>31</v>
      </c>
      <c r="G1232" s="61">
        <v>30</v>
      </c>
      <c r="H1232" s="60">
        <v>21</v>
      </c>
      <c r="I1232" s="60">
        <v>23</v>
      </c>
      <c r="J1232" s="61">
        <v>22</v>
      </c>
    </row>
    <row r="1233" spans="1:10" x14ac:dyDescent="0.35">
      <c r="A1233" s="58">
        <v>40808</v>
      </c>
      <c r="B1233" s="55">
        <f t="shared" si="38"/>
        <v>2011</v>
      </c>
      <c r="C1233" s="55"/>
      <c r="D1233" s="55">
        <f t="shared" si="39"/>
        <v>9</v>
      </c>
      <c r="E1233" s="60">
        <v>29</v>
      </c>
      <c r="F1233" s="60">
        <v>31</v>
      </c>
      <c r="G1233" s="61">
        <v>30</v>
      </c>
      <c r="H1233" s="60">
        <v>21</v>
      </c>
      <c r="I1233" s="60">
        <v>23</v>
      </c>
      <c r="J1233" s="61">
        <v>22</v>
      </c>
    </row>
    <row r="1234" spans="1:10" x14ac:dyDescent="0.35">
      <c r="A1234" s="58">
        <v>40815</v>
      </c>
      <c r="B1234" s="55">
        <f t="shared" si="38"/>
        <v>2011</v>
      </c>
      <c r="C1234" s="55"/>
      <c r="D1234" s="55">
        <f t="shared" si="39"/>
        <v>9</v>
      </c>
      <c r="E1234" s="60">
        <v>29</v>
      </c>
      <c r="F1234" s="60">
        <v>31</v>
      </c>
      <c r="G1234" s="61">
        <v>30</v>
      </c>
      <c r="H1234" s="60">
        <v>21</v>
      </c>
      <c r="I1234" s="60">
        <v>23</v>
      </c>
      <c r="J1234" s="61">
        <v>22</v>
      </c>
    </row>
    <row r="1235" spans="1:10" x14ac:dyDescent="0.35">
      <c r="A1235" s="58">
        <v>40822</v>
      </c>
      <c r="B1235" s="55">
        <f t="shared" si="38"/>
        <v>2011</v>
      </c>
      <c r="C1235" s="55"/>
      <c r="D1235" s="55">
        <f t="shared" si="39"/>
        <v>10</v>
      </c>
      <c r="E1235" s="60">
        <v>27</v>
      </c>
      <c r="F1235" s="60">
        <v>29</v>
      </c>
      <c r="G1235" s="61">
        <v>28</v>
      </c>
      <c r="H1235" s="60">
        <v>22</v>
      </c>
      <c r="I1235" s="60">
        <v>24</v>
      </c>
      <c r="J1235" s="61">
        <v>23</v>
      </c>
    </row>
    <row r="1236" spans="1:10" x14ac:dyDescent="0.35">
      <c r="A1236" s="58">
        <v>40829</v>
      </c>
      <c r="B1236" s="55">
        <f t="shared" si="38"/>
        <v>2011</v>
      </c>
      <c r="C1236" s="55"/>
      <c r="D1236" s="55">
        <f t="shared" si="39"/>
        <v>10</v>
      </c>
      <c r="E1236" s="60">
        <v>28</v>
      </c>
      <c r="F1236" s="60">
        <v>30</v>
      </c>
      <c r="G1236" s="61">
        <v>29</v>
      </c>
      <c r="H1236" s="60">
        <v>22</v>
      </c>
      <c r="I1236" s="60">
        <v>24</v>
      </c>
      <c r="J1236" s="61">
        <v>23</v>
      </c>
    </row>
    <row r="1237" spans="1:10" x14ac:dyDescent="0.35">
      <c r="A1237" s="58">
        <v>40836</v>
      </c>
      <c r="B1237" s="55">
        <f t="shared" si="38"/>
        <v>2011</v>
      </c>
      <c r="C1237" s="55"/>
      <c r="D1237" s="55">
        <f t="shared" si="39"/>
        <v>10</v>
      </c>
      <c r="E1237" s="60">
        <v>28</v>
      </c>
      <c r="F1237" s="60">
        <v>30</v>
      </c>
      <c r="G1237" s="61">
        <v>29</v>
      </c>
      <c r="H1237" s="60">
        <v>22</v>
      </c>
      <c r="I1237" s="60">
        <v>24</v>
      </c>
      <c r="J1237" s="61">
        <v>23</v>
      </c>
    </row>
    <row r="1238" spans="1:10" x14ac:dyDescent="0.35">
      <c r="A1238" s="58">
        <v>40843</v>
      </c>
      <c r="B1238" s="55">
        <f t="shared" si="38"/>
        <v>2011</v>
      </c>
      <c r="C1238" s="55"/>
      <c r="D1238" s="55">
        <f t="shared" si="39"/>
        <v>10</v>
      </c>
      <c r="E1238" s="60">
        <v>28</v>
      </c>
      <c r="F1238" s="60">
        <v>30</v>
      </c>
      <c r="G1238" s="61">
        <v>29</v>
      </c>
      <c r="H1238" s="60">
        <v>22</v>
      </c>
      <c r="I1238" s="60">
        <v>24</v>
      </c>
      <c r="J1238" s="61">
        <v>23</v>
      </c>
    </row>
    <row r="1239" spans="1:10" x14ac:dyDescent="0.35">
      <c r="A1239" s="58">
        <v>40850</v>
      </c>
      <c r="B1239" s="55">
        <f t="shared" si="38"/>
        <v>2011</v>
      </c>
      <c r="C1239" s="55"/>
      <c r="D1239" s="55">
        <f t="shared" si="39"/>
        <v>11</v>
      </c>
      <c r="E1239" s="60">
        <v>27</v>
      </c>
      <c r="F1239" s="60">
        <v>29</v>
      </c>
      <c r="G1239" s="61">
        <v>28</v>
      </c>
      <c r="H1239" s="60">
        <v>21</v>
      </c>
      <c r="I1239" s="60">
        <v>23</v>
      </c>
      <c r="J1239" s="61">
        <v>22</v>
      </c>
    </row>
    <row r="1240" spans="1:10" x14ac:dyDescent="0.35">
      <c r="A1240" s="58">
        <v>40857</v>
      </c>
      <c r="B1240" s="55">
        <f t="shared" si="38"/>
        <v>2011</v>
      </c>
      <c r="C1240" s="55"/>
      <c r="D1240" s="55">
        <f t="shared" si="39"/>
        <v>11</v>
      </c>
      <c r="E1240" s="60">
        <v>27</v>
      </c>
      <c r="F1240" s="60">
        <v>29</v>
      </c>
      <c r="G1240" s="61">
        <v>28</v>
      </c>
      <c r="H1240" s="60">
        <v>21</v>
      </c>
      <c r="I1240" s="60">
        <v>23</v>
      </c>
      <c r="J1240" s="61">
        <v>22</v>
      </c>
    </row>
    <row r="1241" spans="1:10" x14ac:dyDescent="0.35">
      <c r="A1241" s="58">
        <v>40864</v>
      </c>
      <c r="B1241" s="55">
        <f t="shared" si="38"/>
        <v>2011</v>
      </c>
      <c r="C1241" s="55"/>
      <c r="D1241" s="55">
        <f t="shared" si="39"/>
        <v>11</v>
      </c>
      <c r="E1241" s="60">
        <v>28</v>
      </c>
      <c r="F1241" s="60">
        <v>30</v>
      </c>
      <c r="G1241" s="61">
        <v>29</v>
      </c>
      <c r="H1241" s="60">
        <v>21</v>
      </c>
      <c r="I1241" s="60">
        <v>23</v>
      </c>
      <c r="J1241" s="61">
        <v>22</v>
      </c>
    </row>
    <row r="1242" spans="1:10" x14ac:dyDescent="0.35">
      <c r="A1242" s="58">
        <v>40871</v>
      </c>
      <c r="B1242" s="55">
        <f t="shared" si="38"/>
        <v>2011</v>
      </c>
      <c r="C1242" s="55"/>
      <c r="D1242" s="55">
        <f t="shared" si="39"/>
        <v>11</v>
      </c>
      <c r="E1242" s="60">
        <v>27</v>
      </c>
      <c r="F1242" s="60">
        <v>29</v>
      </c>
      <c r="G1242" s="61">
        <v>28</v>
      </c>
      <c r="H1242" s="60">
        <v>20</v>
      </c>
      <c r="I1242" s="60">
        <v>22</v>
      </c>
      <c r="J1242" s="61">
        <v>21</v>
      </c>
    </row>
    <row r="1243" spans="1:10" x14ac:dyDescent="0.35">
      <c r="A1243" s="58">
        <v>40878</v>
      </c>
      <c r="B1243" s="55">
        <f t="shared" si="38"/>
        <v>2011</v>
      </c>
      <c r="C1243" s="55"/>
      <c r="D1243" s="55">
        <f t="shared" si="39"/>
        <v>12</v>
      </c>
      <c r="E1243" s="60">
        <v>28</v>
      </c>
      <c r="F1243" s="60">
        <v>30</v>
      </c>
      <c r="G1243" s="61">
        <v>29</v>
      </c>
      <c r="H1243" s="60">
        <v>20</v>
      </c>
      <c r="I1243" s="60">
        <v>22</v>
      </c>
      <c r="J1243" s="61">
        <v>21</v>
      </c>
    </row>
    <row r="1244" spans="1:10" x14ac:dyDescent="0.35">
      <c r="A1244" s="58">
        <v>40885</v>
      </c>
      <c r="B1244" s="55">
        <f t="shared" si="38"/>
        <v>2011</v>
      </c>
      <c r="C1244" s="55"/>
      <c r="D1244" s="55">
        <f t="shared" si="39"/>
        <v>12</v>
      </c>
      <c r="E1244" s="60">
        <v>27</v>
      </c>
      <c r="F1244" s="60">
        <v>29</v>
      </c>
      <c r="G1244" s="61">
        <v>28</v>
      </c>
      <c r="H1244" s="60">
        <v>20</v>
      </c>
      <c r="I1244" s="60">
        <v>22</v>
      </c>
      <c r="J1244" s="61">
        <v>21</v>
      </c>
    </row>
    <row r="1245" spans="1:10" x14ac:dyDescent="0.35">
      <c r="A1245" s="58">
        <v>40892</v>
      </c>
      <c r="B1245" s="55">
        <f t="shared" si="38"/>
        <v>2011</v>
      </c>
      <c r="C1245" s="55"/>
      <c r="D1245" s="55">
        <f t="shared" si="39"/>
        <v>12</v>
      </c>
      <c r="E1245" s="60">
        <v>26</v>
      </c>
      <c r="F1245" s="60">
        <v>28</v>
      </c>
      <c r="G1245" s="61">
        <v>27</v>
      </c>
      <c r="H1245" s="60">
        <v>20</v>
      </c>
      <c r="I1245" s="60">
        <v>22</v>
      </c>
      <c r="J1245" s="61">
        <v>21</v>
      </c>
    </row>
    <row r="1246" spans="1:10" x14ac:dyDescent="0.35">
      <c r="A1246" s="58">
        <v>40899</v>
      </c>
      <c r="B1246" s="55">
        <f t="shared" si="38"/>
        <v>2011</v>
      </c>
      <c r="C1246" s="55"/>
      <c r="D1246" s="55">
        <f t="shared" si="39"/>
        <v>12</v>
      </c>
      <c r="E1246" s="60">
        <v>26</v>
      </c>
      <c r="F1246" s="60">
        <v>28</v>
      </c>
      <c r="G1246" s="61">
        <v>27</v>
      </c>
      <c r="H1246" s="60">
        <v>20</v>
      </c>
      <c r="I1246" s="60">
        <v>22</v>
      </c>
      <c r="J1246" s="61">
        <v>21</v>
      </c>
    </row>
    <row r="1247" spans="1:10" x14ac:dyDescent="0.35">
      <c r="A1247" s="58">
        <v>40906</v>
      </c>
      <c r="B1247" s="55">
        <f t="shared" si="38"/>
        <v>2011</v>
      </c>
      <c r="C1247" s="55"/>
      <c r="D1247" s="55">
        <f t="shared" si="39"/>
        <v>12</v>
      </c>
      <c r="E1247" s="60">
        <v>26</v>
      </c>
      <c r="F1247" s="60">
        <v>28</v>
      </c>
      <c r="G1247" s="61">
        <v>27</v>
      </c>
      <c r="H1247" s="60">
        <v>20</v>
      </c>
      <c r="I1247" s="60">
        <v>22</v>
      </c>
      <c r="J1247" s="61">
        <v>21</v>
      </c>
    </row>
    <row r="1248" spans="1:10" x14ac:dyDescent="0.35">
      <c r="A1248" s="58">
        <v>40913</v>
      </c>
      <c r="B1248" s="55">
        <f t="shared" si="38"/>
        <v>2012</v>
      </c>
      <c r="C1248" s="55"/>
      <c r="D1248" s="55">
        <f t="shared" si="39"/>
        <v>1</v>
      </c>
      <c r="E1248" s="60">
        <v>26</v>
      </c>
      <c r="F1248" s="60">
        <v>28</v>
      </c>
      <c r="G1248" s="61">
        <v>27</v>
      </c>
      <c r="H1248" s="60">
        <v>19</v>
      </c>
      <c r="I1248" s="60">
        <v>21</v>
      </c>
      <c r="J1248" s="61">
        <v>20</v>
      </c>
    </row>
    <row r="1249" spans="1:10" x14ac:dyDescent="0.35">
      <c r="A1249" s="58">
        <v>40920</v>
      </c>
      <c r="B1249" s="55">
        <f t="shared" si="38"/>
        <v>2012</v>
      </c>
      <c r="C1249" s="55"/>
      <c r="D1249" s="55">
        <f t="shared" si="39"/>
        <v>1</v>
      </c>
      <c r="E1249" s="60">
        <v>26</v>
      </c>
      <c r="F1249" s="60">
        <v>28</v>
      </c>
      <c r="G1249" s="61">
        <v>27</v>
      </c>
      <c r="H1249" s="60">
        <v>19</v>
      </c>
      <c r="I1249" s="60">
        <v>21</v>
      </c>
      <c r="J1249" s="61">
        <v>20</v>
      </c>
    </row>
    <row r="1250" spans="1:10" x14ac:dyDescent="0.35">
      <c r="A1250" s="58">
        <v>40927</v>
      </c>
      <c r="B1250" s="55">
        <f t="shared" si="38"/>
        <v>2012</v>
      </c>
      <c r="C1250" s="55"/>
      <c r="D1250" s="55">
        <f t="shared" si="39"/>
        <v>1</v>
      </c>
      <c r="E1250" s="60">
        <v>24</v>
      </c>
      <c r="F1250" s="60">
        <v>26</v>
      </c>
      <c r="G1250" s="61">
        <v>25</v>
      </c>
      <c r="H1250" s="60">
        <v>19</v>
      </c>
      <c r="I1250" s="60">
        <v>21</v>
      </c>
      <c r="J1250" s="61">
        <v>20</v>
      </c>
    </row>
    <row r="1251" spans="1:10" x14ac:dyDescent="0.35">
      <c r="A1251" s="58">
        <v>40934</v>
      </c>
      <c r="B1251" s="55">
        <f t="shared" si="38"/>
        <v>2012</v>
      </c>
      <c r="C1251" s="55"/>
      <c r="D1251" s="55">
        <f t="shared" si="39"/>
        <v>1</v>
      </c>
      <c r="E1251" s="60">
        <v>23</v>
      </c>
      <c r="F1251" s="60">
        <v>25</v>
      </c>
      <c r="G1251" s="61">
        <v>24</v>
      </c>
      <c r="H1251" s="60">
        <v>19</v>
      </c>
      <c r="I1251" s="60">
        <v>21</v>
      </c>
      <c r="J1251" s="61">
        <v>20</v>
      </c>
    </row>
    <row r="1252" spans="1:10" x14ac:dyDescent="0.35">
      <c r="A1252" s="58">
        <v>40941</v>
      </c>
      <c r="B1252" s="55">
        <f t="shared" si="38"/>
        <v>2012</v>
      </c>
      <c r="C1252" s="55"/>
      <c r="D1252" s="55">
        <f t="shared" si="39"/>
        <v>2</v>
      </c>
      <c r="E1252" s="60">
        <v>22</v>
      </c>
      <c r="F1252" s="60">
        <v>24</v>
      </c>
      <c r="G1252" s="61">
        <v>23</v>
      </c>
      <c r="H1252" s="60">
        <v>18</v>
      </c>
      <c r="I1252" s="60">
        <v>20</v>
      </c>
      <c r="J1252" s="61">
        <v>19</v>
      </c>
    </row>
    <row r="1253" spans="1:10" x14ac:dyDescent="0.35">
      <c r="A1253" s="58">
        <v>40948</v>
      </c>
      <c r="B1253" s="55">
        <f t="shared" si="38"/>
        <v>2012</v>
      </c>
      <c r="C1253" s="55"/>
      <c r="D1253" s="55">
        <f t="shared" si="39"/>
        <v>2</v>
      </c>
      <c r="E1253" s="60">
        <v>23</v>
      </c>
      <c r="F1253" s="60">
        <v>25</v>
      </c>
      <c r="G1253" s="61">
        <v>24</v>
      </c>
      <c r="H1253" s="60">
        <v>18</v>
      </c>
      <c r="I1253" s="60">
        <v>20</v>
      </c>
      <c r="J1253" s="61">
        <v>19</v>
      </c>
    </row>
    <row r="1254" spans="1:10" x14ac:dyDescent="0.35">
      <c r="A1254" s="58">
        <v>40955</v>
      </c>
      <c r="B1254" s="55">
        <f t="shared" si="38"/>
        <v>2012</v>
      </c>
      <c r="C1254" s="55"/>
      <c r="D1254" s="55">
        <f t="shared" si="39"/>
        <v>2</v>
      </c>
      <c r="E1254" s="60">
        <v>24</v>
      </c>
      <c r="F1254" s="60">
        <v>26</v>
      </c>
      <c r="G1254" s="61">
        <v>25</v>
      </c>
      <c r="H1254" s="60">
        <v>18</v>
      </c>
      <c r="I1254" s="60">
        <v>20</v>
      </c>
      <c r="J1254" s="61">
        <v>19</v>
      </c>
    </row>
    <row r="1255" spans="1:10" x14ac:dyDescent="0.35">
      <c r="A1255" s="58">
        <v>40962</v>
      </c>
      <c r="B1255" s="55">
        <f t="shared" si="38"/>
        <v>2012</v>
      </c>
      <c r="C1255" s="55"/>
      <c r="D1255" s="55">
        <f t="shared" si="39"/>
        <v>2</v>
      </c>
      <c r="E1255" s="60">
        <v>24</v>
      </c>
      <c r="F1255" s="60">
        <v>26</v>
      </c>
      <c r="G1255" s="61">
        <v>25</v>
      </c>
      <c r="H1255" s="60">
        <v>18</v>
      </c>
      <c r="I1255" s="60">
        <v>20</v>
      </c>
      <c r="J1255" s="61">
        <v>19</v>
      </c>
    </row>
    <row r="1256" spans="1:10" x14ac:dyDescent="0.35">
      <c r="A1256" s="58">
        <v>40969</v>
      </c>
      <c r="B1256" s="55">
        <f t="shared" si="38"/>
        <v>2012</v>
      </c>
      <c r="C1256" s="55"/>
      <c r="D1256" s="55">
        <f t="shared" si="39"/>
        <v>3</v>
      </c>
      <c r="E1256" s="60">
        <v>25</v>
      </c>
      <c r="F1256" s="60">
        <v>27</v>
      </c>
      <c r="G1256" s="61">
        <v>26</v>
      </c>
      <c r="H1256" s="60">
        <v>18</v>
      </c>
      <c r="I1256" s="60">
        <v>20</v>
      </c>
      <c r="J1256" s="61">
        <v>19</v>
      </c>
    </row>
    <row r="1257" spans="1:10" x14ac:dyDescent="0.35">
      <c r="A1257" s="58">
        <v>40976</v>
      </c>
      <c r="B1257" s="55">
        <f t="shared" si="38"/>
        <v>2012</v>
      </c>
      <c r="C1257" s="55"/>
      <c r="D1257" s="55">
        <f t="shared" si="39"/>
        <v>3</v>
      </c>
      <c r="E1257" s="60">
        <v>26</v>
      </c>
      <c r="F1257" s="60">
        <v>28</v>
      </c>
      <c r="G1257" s="61">
        <v>27</v>
      </c>
      <c r="H1257" s="60">
        <v>18</v>
      </c>
      <c r="I1257" s="60">
        <v>20</v>
      </c>
      <c r="J1257" s="61">
        <v>19</v>
      </c>
    </row>
    <row r="1258" spans="1:10" x14ac:dyDescent="0.35">
      <c r="A1258" s="58">
        <v>40983</v>
      </c>
      <c r="B1258" s="55">
        <f t="shared" si="38"/>
        <v>2012</v>
      </c>
      <c r="C1258" s="55"/>
      <c r="D1258" s="55">
        <f t="shared" si="39"/>
        <v>3</v>
      </c>
      <c r="E1258" s="60">
        <v>26</v>
      </c>
      <c r="F1258" s="60">
        <v>28</v>
      </c>
      <c r="G1258" s="61">
        <v>27</v>
      </c>
      <c r="H1258" s="60">
        <v>19</v>
      </c>
      <c r="I1258" s="60">
        <v>21</v>
      </c>
      <c r="J1258" s="61">
        <v>20</v>
      </c>
    </row>
    <row r="1259" spans="1:10" x14ac:dyDescent="0.35">
      <c r="A1259" s="58">
        <v>40990</v>
      </c>
      <c r="B1259" s="55">
        <f t="shared" si="38"/>
        <v>2012</v>
      </c>
      <c r="C1259" s="55"/>
      <c r="D1259" s="55">
        <f t="shared" si="39"/>
        <v>3</v>
      </c>
      <c r="E1259" s="60">
        <v>27</v>
      </c>
      <c r="F1259" s="60">
        <v>29</v>
      </c>
      <c r="G1259" s="61">
        <v>28</v>
      </c>
      <c r="H1259" s="60">
        <v>20</v>
      </c>
      <c r="I1259" s="60">
        <v>22</v>
      </c>
      <c r="J1259" s="61">
        <v>21</v>
      </c>
    </row>
    <row r="1260" spans="1:10" x14ac:dyDescent="0.35">
      <c r="A1260" s="58">
        <v>40997</v>
      </c>
      <c r="B1260" s="55">
        <f t="shared" si="38"/>
        <v>2012</v>
      </c>
      <c r="C1260" s="55"/>
      <c r="D1260" s="55">
        <f t="shared" si="39"/>
        <v>3</v>
      </c>
      <c r="E1260" s="60">
        <v>27</v>
      </c>
      <c r="F1260" s="60">
        <v>29</v>
      </c>
      <c r="G1260" s="61">
        <v>28</v>
      </c>
      <c r="H1260" s="60">
        <v>20</v>
      </c>
      <c r="I1260" s="60">
        <v>22</v>
      </c>
      <c r="J1260" s="61">
        <v>21</v>
      </c>
    </row>
    <row r="1261" spans="1:10" x14ac:dyDescent="0.35">
      <c r="A1261" s="58">
        <v>41004</v>
      </c>
      <c r="B1261" s="55">
        <f t="shared" si="38"/>
        <v>2012</v>
      </c>
      <c r="C1261" s="55"/>
      <c r="D1261" s="55">
        <f t="shared" si="39"/>
        <v>4</v>
      </c>
      <c r="E1261" s="60">
        <v>27</v>
      </c>
      <c r="F1261" s="60">
        <v>29</v>
      </c>
      <c r="G1261" s="61">
        <v>28</v>
      </c>
      <c r="H1261" s="60">
        <v>20</v>
      </c>
      <c r="I1261" s="60">
        <v>22</v>
      </c>
      <c r="J1261" s="61">
        <v>21</v>
      </c>
    </row>
    <row r="1262" spans="1:10" x14ac:dyDescent="0.35">
      <c r="A1262" s="58">
        <v>41011</v>
      </c>
      <c r="B1262" s="55">
        <f t="shared" si="38"/>
        <v>2012</v>
      </c>
      <c r="C1262" s="55"/>
      <c r="D1262" s="55">
        <f t="shared" si="39"/>
        <v>4</v>
      </c>
      <c r="E1262" s="60">
        <v>27</v>
      </c>
      <c r="F1262" s="60">
        <v>29</v>
      </c>
      <c r="G1262" s="61">
        <v>28</v>
      </c>
      <c r="H1262" s="60">
        <v>20</v>
      </c>
      <c r="I1262" s="60">
        <v>22</v>
      </c>
      <c r="J1262" s="61">
        <v>21</v>
      </c>
    </row>
    <row r="1263" spans="1:10" x14ac:dyDescent="0.35">
      <c r="A1263" s="58">
        <v>41018</v>
      </c>
      <c r="B1263" s="55">
        <f t="shared" si="38"/>
        <v>2012</v>
      </c>
      <c r="C1263" s="55"/>
      <c r="D1263" s="55">
        <f t="shared" si="39"/>
        <v>4</v>
      </c>
      <c r="E1263" s="60">
        <v>28</v>
      </c>
      <c r="F1263" s="60">
        <v>30</v>
      </c>
      <c r="G1263" s="61">
        <v>29</v>
      </c>
      <c r="H1263" s="60">
        <v>20</v>
      </c>
      <c r="I1263" s="60">
        <v>22</v>
      </c>
      <c r="J1263" s="61">
        <v>21</v>
      </c>
    </row>
    <row r="1264" spans="1:10" x14ac:dyDescent="0.35">
      <c r="A1264" s="58">
        <v>41025</v>
      </c>
      <c r="B1264" s="55">
        <f t="shared" si="38"/>
        <v>2012</v>
      </c>
      <c r="C1264" s="55"/>
      <c r="D1264" s="55">
        <f t="shared" si="39"/>
        <v>4</v>
      </c>
      <c r="E1264" s="60">
        <v>28</v>
      </c>
      <c r="F1264" s="60">
        <v>30</v>
      </c>
      <c r="G1264" s="61">
        <v>29</v>
      </c>
      <c r="H1264" s="60">
        <v>20</v>
      </c>
      <c r="I1264" s="60">
        <v>22</v>
      </c>
      <c r="J1264" s="61">
        <v>21</v>
      </c>
    </row>
    <row r="1265" spans="1:10" x14ac:dyDescent="0.35">
      <c r="A1265" s="58">
        <v>41032</v>
      </c>
      <c r="B1265" s="55">
        <f t="shared" si="38"/>
        <v>2012</v>
      </c>
      <c r="C1265" s="55"/>
      <c r="D1265" s="55">
        <f t="shared" si="39"/>
        <v>5</v>
      </c>
      <c r="E1265" s="60">
        <v>29</v>
      </c>
      <c r="F1265" s="60">
        <v>31</v>
      </c>
      <c r="G1265" s="61">
        <v>30</v>
      </c>
      <c r="H1265" s="60">
        <v>21</v>
      </c>
      <c r="I1265" s="60">
        <v>23</v>
      </c>
      <c r="J1265" s="61">
        <v>22</v>
      </c>
    </row>
    <row r="1266" spans="1:10" x14ac:dyDescent="0.35">
      <c r="A1266" s="58">
        <v>41039</v>
      </c>
      <c r="B1266" s="55">
        <f t="shared" si="38"/>
        <v>2012</v>
      </c>
      <c r="C1266" s="55"/>
      <c r="D1266" s="55">
        <f t="shared" si="39"/>
        <v>5</v>
      </c>
      <c r="E1266" s="60">
        <v>29</v>
      </c>
      <c r="F1266" s="60">
        <v>31</v>
      </c>
      <c r="G1266" s="61">
        <v>30</v>
      </c>
      <c r="H1266" s="60">
        <v>22</v>
      </c>
      <c r="I1266" s="60">
        <v>24</v>
      </c>
      <c r="J1266" s="61">
        <v>23</v>
      </c>
    </row>
    <row r="1267" spans="1:10" x14ac:dyDescent="0.35">
      <c r="A1267" s="58">
        <v>41046</v>
      </c>
      <c r="B1267" s="55">
        <f t="shared" si="38"/>
        <v>2012</v>
      </c>
      <c r="C1267" s="55"/>
      <c r="D1267" s="55">
        <f t="shared" si="39"/>
        <v>5</v>
      </c>
      <c r="E1267" s="60">
        <v>29</v>
      </c>
      <c r="F1267" s="60">
        <v>31</v>
      </c>
      <c r="G1267" s="61">
        <v>30</v>
      </c>
      <c r="H1267" s="60">
        <v>22</v>
      </c>
      <c r="I1267" s="60">
        <v>24</v>
      </c>
      <c r="J1267" s="61">
        <v>23</v>
      </c>
    </row>
    <row r="1268" spans="1:10" x14ac:dyDescent="0.35">
      <c r="A1268" s="58">
        <v>41053</v>
      </c>
      <c r="B1268" s="55">
        <f t="shared" si="38"/>
        <v>2012</v>
      </c>
      <c r="C1268" s="55"/>
      <c r="D1268" s="55">
        <f t="shared" si="39"/>
        <v>5</v>
      </c>
      <c r="E1268" s="60">
        <v>26</v>
      </c>
      <c r="F1268" s="60">
        <v>28</v>
      </c>
      <c r="G1268" s="61">
        <v>27</v>
      </c>
      <c r="H1268" s="60">
        <v>21</v>
      </c>
      <c r="I1268" s="60">
        <v>23</v>
      </c>
      <c r="J1268" s="61">
        <v>22</v>
      </c>
    </row>
    <row r="1269" spans="1:10" x14ac:dyDescent="0.35">
      <c r="A1269" s="58">
        <v>41060</v>
      </c>
      <c r="B1269" s="55">
        <f t="shared" si="38"/>
        <v>2012</v>
      </c>
      <c r="C1269" s="55"/>
      <c r="D1269" s="55">
        <f t="shared" si="39"/>
        <v>5</v>
      </c>
      <c r="E1269" s="60">
        <v>25</v>
      </c>
      <c r="F1269" s="60">
        <v>27</v>
      </c>
      <c r="G1269" s="61">
        <v>26</v>
      </c>
      <c r="H1269" s="60">
        <v>21</v>
      </c>
      <c r="I1269" s="60">
        <v>23</v>
      </c>
      <c r="J1269" s="61">
        <v>22</v>
      </c>
    </row>
    <row r="1270" spans="1:10" x14ac:dyDescent="0.35">
      <c r="A1270" s="58">
        <v>41067</v>
      </c>
      <c r="B1270" s="55">
        <f t="shared" si="38"/>
        <v>2012</v>
      </c>
      <c r="C1270" s="55"/>
      <c r="D1270" s="55">
        <f t="shared" si="39"/>
        <v>6</v>
      </c>
      <c r="E1270" s="60">
        <v>24</v>
      </c>
      <c r="F1270" s="60">
        <v>26</v>
      </c>
      <c r="G1270" s="61">
        <v>25</v>
      </c>
      <c r="H1270" s="60">
        <v>20</v>
      </c>
      <c r="I1270" s="60">
        <v>22</v>
      </c>
      <c r="J1270" s="61">
        <v>21</v>
      </c>
    </row>
    <row r="1271" spans="1:10" x14ac:dyDescent="0.35">
      <c r="A1271" s="58">
        <v>41074</v>
      </c>
      <c r="B1271" s="55">
        <f t="shared" si="38"/>
        <v>2012</v>
      </c>
      <c r="C1271" s="55"/>
      <c r="D1271" s="55">
        <f t="shared" si="39"/>
        <v>6</v>
      </c>
      <c r="E1271" s="60">
        <v>25</v>
      </c>
      <c r="F1271" s="60">
        <v>27</v>
      </c>
      <c r="G1271" s="61">
        <v>26</v>
      </c>
      <c r="H1271" s="60">
        <v>20</v>
      </c>
      <c r="I1271" s="60">
        <v>22</v>
      </c>
      <c r="J1271" s="61">
        <v>21</v>
      </c>
    </row>
    <row r="1272" spans="1:10" x14ac:dyDescent="0.35">
      <c r="A1272" s="58">
        <v>41081</v>
      </c>
      <c r="B1272" s="55">
        <f t="shared" si="38"/>
        <v>2012</v>
      </c>
      <c r="C1272" s="55"/>
      <c r="D1272" s="55">
        <f t="shared" si="39"/>
        <v>6</v>
      </c>
      <c r="E1272" s="60">
        <v>26</v>
      </c>
      <c r="F1272" s="60">
        <v>28</v>
      </c>
      <c r="G1272" s="61">
        <v>27</v>
      </c>
      <c r="H1272" s="60">
        <v>21</v>
      </c>
      <c r="I1272" s="60">
        <v>23</v>
      </c>
      <c r="J1272" s="61">
        <v>22</v>
      </c>
    </row>
    <row r="1273" spans="1:10" x14ac:dyDescent="0.35">
      <c r="A1273" s="58">
        <v>41088</v>
      </c>
      <c r="B1273" s="55">
        <f t="shared" si="38"/>
        <v>2012</v>
      </c>
      <c r="C1273" s="55"/>
      <c r="D1273" s="55">
        <f t="shared" si="39"/>
        <v>6</v>
      </c>
      <c r="E1273" s="60">
        <v>27</v>
      </c>
      <c r="F1273" s="60">
        <v>29</v>
      </c>
      <c r="G1273" s="61">
        <v>28</v>
      </c>
      <c r="H1273" s="60">
        <v>22</v>
      </c>
      <c r="I1273" s="60">
        <v>24</v>
      </c>
      <c r="J1273" s="61">
        <v>23</v>
      </c>
    </row>
    <row r="1274" spans="1:10" x14ac:dyDescent="0.35">
      <c r="A1274" s="58">
        <v>41095</v>
      </c>
      <c r="B1274" s="55">
        <f t="shared" si="38"/>
        <v>2012</v>
      </c>
      <c r="C1274" s="55"/>
      <c r="D1274" s="55">
        <f t="shared" si="39"/>
        <v>7</v>
      </c>
      <c r="E1274" s="60">
        <v>25</v>
      </c>
      <c r="F1274" s="60">
        <v>27</v>
      </c>
      <c r="G1274" s="61">
        <v>26</v>
      </c>
      <c r="H1274" s="60">
        <v>22</v>
      </c>
      <c r="I1274" s="60">
        <v>24</v>
      </c>
      <c r="J1274" s="61">
        <v>23</v>
      </c>
    </row>
    <row r="1275" spans="1:10" x14ac:dyDescent="0.35">
      <c r="A1275" s="58">
        <v>41102</v>
      </c>
      <c r="B1275" s="55">
        <f t="shared" si="38"/>
        <v>2012</v>
      </c>
      <c r="C1275" s="55"/>
      <c r="D1275" s="55">
        <f t="shared" si="39"/>
        <v>7</v>
      </c>
      <c r="E1275" s="60">
        <v>25</v>
      </c>
      <c r="F1275" s="60">
        <v>27</v>
      </c>
      <c r="G1275" s="61">
        <v>26</v>
      </c>
      <c r="H1275" s="60">
        <v>22</v>
      </c>
      <c r="I1275" s="60">
        <v>24</v>
      </c>
      <c r="J1275" s="61">
        <v>23</v>
      </c>
    </row>
    <row r="1276" spans="1:10" x14ac:dyDescent="0.35">
      <c r="A1276" s="58">
        <v>41109</v>
      </c>
      <c r="B1276" s="55">
        <f t="shared" si="38"/>
        <v>2012</v>
      </c>
      <c r="C1276" s="55"/>
      <c r="D1276" s="55">
        <f t="shared" si="39"/>
        <v>7</v>
      </c>
      <c r="E1276" s="60">
        <v>25</v>
      </c>
      <c r="F1276" s="60">
        <v>27</v>
      </c>
      <c r="G1276" s="61">
        <v>26</v>
      </c>
      <c r="H1276" s="60">
        <v>22</v>
      </c>
      <c r="I1276" s="60">
        <v>24</v>
      </c>
      <c r="J1276" s="61">
        <v>23</v>
      </c>
    </row>
    <row r="1277" spans="1:10" x14ac:dyDescent="0.35">
      <c r="A1277" s="58">
        <v>41116</v>
      </c>
      <c r="B1277" s="55">
        <f t="shared" si="38"/>
        <v>2012</v>
      </c>
      <c r="C1277" s="55"/>
      <c r="D1277" s="55">
        <f t="shared" si="39"/>
        <v>7</v>
      </c>
      <c r="E1277" s="60">
        <v>25</v>
      </c>
      <c r="F1277" s="60">
        <v>27</v>
      </c>
      <c r="G1277" s="61">
        <v>26</v>
      </c>
      <c r="H1277" s="60">
        <v>22</v>
      </c>
      <c r="I1277" s="60">
        <v>24</v>
      </c>
      <c r="J1277" s="61">
        <v>23</v>
      </c>
    </row>
    <row r="1278" spans="1:10" x14ac:dyDescent="0.35">
      <c r="A1278" s="58">
        <v>41123</v>
      </c>
      <c r="B1278" s="55">
        <f t="shared" si="38"/>
        <v>2012</v>
      </c>
      <c r="C1278" s="55"/>
      <c r="D1278" s="55">
        <f t="shared" si="39"/>
        <v>8</v>
      </c>
      <c r="E1278" s="60">
        <v>25</v>
      </c>
      <c r="F1278" s="60">
        <v>27</v>
      </c>
      <c r="G1278" s="61">
        <v>26</v>
      </c>
      <c r="H1278" s="60">
        <v>22</v>
      </c>
      <c r="I1278" s="60">
        <v>24</v>
      </c>
      <c r="J1278" s="61">
        <v>23</v>
      </c>
    </row>
    <row r="1279" spans="1:10" x14ac:dyDescent="0.35">
      <c r="A1279" s="58">
        <v>41130</v>
      </c>
      <c r="B1279" s="55">
        <f t="shared" si="38"/>
        <v>2012</v>
      </c>
      <c r="C1279" s="55"/>
      <c r="D1279" s="55">
        <f t="shared" si="39"/>
        <v>8</v>
      </c>
      <c r="E1279" s="60">
        <v>25</v>
      </c>
      <c r="F1279" s="60">
        <v>27</v>
      </c>
      <c r="G1279" s="61">
        <v>26</v>
      </c>
      <c r="H1279" s="60">
        <v>22</v>
      </c>
      <c r="I1279" s="60">
        <v>24</v>
      </c>
      <c r="J1279" s="61">
        <v>23</v>
      </c>
    </row>
    <row r="1280" spans="1:10" x14ac:dyDescent="0.35">
      <c r="A1280" s="58">
        <v>41137</v>
      </c>
      <c r="B1280" s="55">
        <f t="shared" si="38"/>
        <v>2012</v>
      </c>
      <c r="C1280" s="55"/>
      <c r="D1280" s="55">
        <f t="shared" si="39"/>
        <v>8</v>
      </c>
      <c r="E1280" s="60">
        <v>25</v>
      </c>
      <c r="F1280" s="60">
        <v>27</v>
      </c>
      <c r="G1280" s="61">
        <v>26</v>
      </c>
      <c r="H1280" s="60">
        <v>22</v>
      </c>
      <c r="I1280" s="60">
        <v>24</v>
      </c>
      <c r="J1280" s="61">
        <v>23</v>
      </c>
    </row>
    <row r="1281" spans="1:10" x14ac:dyDescent="0.35">
      <c r="A1281" s="58">
        <v>41144</v>
      </c>
      <c r="B1281" s="55">
        <f t="shared" si="38"/>
        <v>2012</v>
      </c>
      <c r="C1281" s="55"/>
      <c r="D1281" s="55">
        <f t="shared" si="39"/>
        <v>8</v>
      </c>
      <c r="E1281" s="60">
        <v>26</v>
      </c>
      <c r="F1281" s="60">
        <v>28</v>
      </c>
      <c r="G1281" s="61">
        <v>27</v>
      </c>
      <c r="H1281" s="60">
        <v>22</v>
      </c>
      <c r="I1281" s="60">
        <v>24</v>
      </c>
      <c r="J1281" s="61">
        <v>23</v>
      </c>
    </row>
    <row r="1282" spans="1:10" x14ac:dyDescent="0.35">
      <c r="A1282" s="58">
        <v>41151</v>
      </c>
      <c r="B1282" s="55">
        <f t="shared" si="38"/>
        <v>2012</v>
      </c>
      <c r="C1282" s="55"/>
      <c r="D1282" s="55">
        <f t="shared" si="39"/>
        <v>8</v>
      </c>
      <c r="E1282" s="60">
        <v>26</v>
      </c>
      <c r="F1282" s="60">
        <v>28</v>
      </c>
      <c r="G1282" s="61">
        <v>27</v>
      </c>
      <c r="H1282" s="60">
        <v>22</v>
      </c>
      <c r="I1282" s="60">
        <v>24</v>
      </c>
      <c r="J1282" s="61">
        <v>23</v>
      </c>
    </row>
    <row r="1283" spans="1:10" x14ac:dyDescent="0.35">
      <c r="A1283" s="58">
        <v>41158</v>
      </c>
      <c r="B1283" s="55">
        <f t="shared" si="38"/>
        <v>2012</v>
      </c>
      <c r="C1283" s="55"/>
      <c r="D1283" s="55">
        <f t="shared" si="39"/>
        <v>9</v>
      </c>
      <c r="E1283" s="60">
        <v>26</v>
      </c>
      <c r="F1283" s="60">
        <v>28</v>
      </c>
      <c r="G1283" s="61">
        <v>27</v>
      </c>
      <c r="H1283" s="60">
        <v>22</v>
      </c>
      <c r="I1283" s="60">
        <v>24</v>
      </c>
      <c r="J1283" s="61">
        <v>23</v>
      </c>
    </row>
    <row r="1284" spans="1:10" x14ac:dyDescent="0.35">
      <c r="A1284" s="58">
        <v>41165</v>
      </c>
      <c r="B1284" s="55">
        <f t="shared" ref="B1284:B1347" si="40">YEAR(A1284)</f>
        <v>2012</v>
      </c>
      <c r="C1284" s="55"/>
      <c r="D1284" s="55">
        <f t="shared" ref="D1284:D1347" si="41">MONTH(A1284)</f>
        <v>9</v>
      </c>
      <c r="E1284" s="60">
        <v>25</v>
      </c>
      <c r="F1284" s="60">
        <v>27</v>
      </c>
      <c r="G1284" s="61">
        <v>26</v>
      </c>
      <c r="H1284" s="60">
        <v>22</v>
      </c>
      <c r="I1284" s="60">
        <v>24</v>
      </c>
      <c r="J1284" s="61">
        <v>23</v>
      </c>
    </row>
    <row r="1285" spans="1:10" x14ac:dyDescent="0.35">
      <c r="A1285" s="58">
        <v>41172</v>
      </c>
      <c r="B1285" s="55">
        <f t="shared" si="40"/>
        <v>2012</v>
      </c>
      <c r="C1285" s="55"/>
      <c r="D1285" s="55">
        <f t="shared" si="41"/>
        <v>9</v>
      </c>
      <c r="E1285" s="60">
        <v>25</v>
      </c>
      <c r="F1285" s="60">
        <v>27</v>
      </c>
      <c r="G1285" s="61">
        <v>26</v>
      </c>
      <c r="H1285" s="60">
        <v>22</v>
      </c>
      <c r="I1285" s="60">
        <v>24</v>
      </c>
      <c r="J1285" s="61">
        <v>23</v>
      </c>
    </row>
    <row r="1286" spans="1:10" x14ac:dyDescent="0.35">
      <c r="A1286" s="58">
        <v>41179</v>
      </c>
      <c r="B1286" s="55">
        <f t="shared" si="40"/>
        <v>2012</v>
      </c>
      <c r="C1286" s="55"/>
      <c r="D1286" s="55">
        <f t="shared" si="41"/>
        <v>9</v>
      </c>
      <c r="E1286" s="60">
        <v>25</v>
      </c>
      <c r="F1286" s="60">
        <v>27</v>
      </c>
      <c r="G1286" s="61">
        <v>26</v>
      </c>
      <c r="H1286" s="60">
        <v>19</v>
      </c>
      <c r="I1286" s="60">
        <v>21</v>
      </c>
      <c r="J1286" s="61">
        <v>20</v>
      </c>
    </row>
    <row r="1287" spans="1:10" x14ac:dyDescent="0.35">
      <c r="A1287" s="58">
        <v>41186</v>
      </c>
      <c r="B1287" s="55">
        <f t="shared" si="40"/>
        <v>2012</v>
      </c>
      <c r="C1287" s="55"/>
      <c r="D1287" s="55">
        <f t="shared" si="41"/>
        <v>10</v>
      </c>
      <c r="E1287" s="60">
        <v>25</v>
      </c>
      <c r="F1287" s="60">
        <v>27</v>
      </c>
      <c r="G1287" s="61">
        <v>26</v>
      </c>
      <c r="H1287" s="60">
        <v>19</v>
      </c>
      <c r="I1287" s="60">
        <v>21</v>
      </c>
      <c r="J1287" s="61">
        <v>20</v>
      </c>
    </row>
    <row r="1288" spans="1:10" x14ac:dyDescent="0.35">
      <c r="A1288" s="58">
        <v>41193</v>
      </c>
      <c r="B1288" s="55">
        <f t="shared" si="40"/>
        <v>2012</v>
      </c>
      <c r="C1288" s="55"/>
      <c r="D1288" s="55">
        <f t="shared" si="41"/>
        <v>10</v>
      </c>
      <c r="E1288" s="60">
        <v>25</v>
      </c>
      <c r="F1288" s="60">
        <v>27</v>
      </c>
      <c r="G1288" s="61">
        <v>26</v>
      </c>
      <c r="H1288" s="60">
        <v>19</v>
      </c>
      <c r="I1288" s="60">
        <v>21</v>
      </c>
      <c r="J1288" s="61">
        <v>20</v>
      </c>
    </row>
    <row r="1289" spans="1:10" x14ac:dyDescent="0.35">
      <c r="A1289" s="58">
        <v>41200</v>
      </c>
      <c r="B1289" s="55">
        <f t="shared" si="40"/>
        <v>2012</v>
      </c>
      <c r="C1289" s="55"/>
      <c r="D1289" s="55">
        <f t="shared" si="41"/>
        <v>10</v>
      </c>
      <c r="E1289" s="60">
        <v>25</v>
      </c>
      <c r="F1289" s="60">
        <v>27</v>
      </c>
      <c r="G1289" s="61">
        <v>26</v>
      </c>
      <c r="H1289" s="60">
        <v>19</v>
      </c>
      <c r="I1289" s="60">
        <v>21</v>
      </c>
      <c r="J1289" s="61">
        <v>20</v>
      </c>
    </row>
    <row r="1290" spans="1:10" x14ac:dyDescent="0.35">
      <c r="A1290" s="58">
        <v>41207</v>
      </c>
      <c r="B1290" s="55">
        <f t="shared" si="40"/>
        <v>2012</v>
      </c>
      <c r="C1290" s="55"/>
      <c r="D1290" s="55">
        <f t="shared" si="41"/>
        <v>10</v>
      </c>
      <c r="E1290" s="60">
        <v>25</v>
      </c>
      <c r="F1290" s="60">
        <v>27</v>
      </c>
      <c r="G1290" s="61">
        <v>26</v>
      </c>
      <c r="H1290" s="60">
        <v>19</v>
      </c>
      <c r="I1290" s="60">
        <v>21</v>
      </c>
      <c r="J1290" s="61">
        <v>20</v>
      </c>
    </row>
    <row r="1291" spans="1:10" x14ac:dyDescent="0.35">
      <c r="A1291" s="58">
        <v>41214</v>
      </c>
      <c r="B1291" s="55">
        <f t="shared" si="40"/>
        <v>2012</v>
      </c>
      <c r="C1291" s="55"/>
      <c r="D1291" s="55">
        <f t="shared" si="41"/>
        <v>11</v>
      </c>
      <c r="E1291" s="60">
        <v>25</v>
      </c>
      <c r="F1291" s="60">
        <v>27</v>
      </c>
      <c r="G1291" s="61">
        <v>26</v>
      </c>
      <c r="H1291" s="60">
        <v>18</v>
      </c>
      <c r="I1291" s="60">
        <v>20</v>
      </c>
      <c r="J1291" s="61">
        <v>19</v>
      </c>
    </row>
    <row r="1292" spans="1:10" x14ac:dyDescent="0.35">
      <c r="A1292" s="58">
        <v>41221</v>
      </c>
      <c r="B1292" s="55">
        <f t="shared" si="40"/>
        <v>2012</v>
      </c>
      <c r="C1292" s="55"/>
      <c r="D1292" s="55">
        <f t="shared" si="41"/>
        <v>11</v>
      </c>
      <c r="E1292" s="60">
        <v>24</v>
      </c>
      <c r="F1292" s="60">
        <v>26</v>
      </c>
      <c r="G1292" s="61">
        <v>25</v>
      </c>
      <c r="H1292" s="60">
        <v>17</v>
      </c>
      <c r="I1292" s="60">
        <v>19</v>
      </c>
      <c r="J1292" s="61">
        <v>18</v>
      </c>
    </row>
    <row r="1293" spans="1:10" x14ac:dyDescent="0.35">
      <c r="A1293" s="58">
        <v>41228</v>
      </c>
      <c r="B1293" s="55">
        <f t="shared" si="40"/>
        <v>2012</v>
      </c>
      <c r="C1293" s="55"/>
      <c r="D1293" s="55">
        <f t="shared" si="41"/>
        <v>11</v>
      </c>
      <c r="E1293" s="60">
        <v>24</v>
      </c>
      <c r="F1293" s="60">
        <v>26</v>
      </c>
      <c r="G1293" s="61">
        <v>25</v>
      </c>
      <c r="H1293" s="60">
        <v>16</v>
      </c>
      <c r="I1293" s="60">
        <v>18</v>
      </c>
      <c r="J1293" s="61">
        <v>17</v>
      </c>
    </row>
    <row r="1294" spans="1:10" x14ac:dyDescent="0.35">
      <c r="A1294" s="58">
        <v>41235</v>
      </c>
      <c r="B1294" s="55">
        <f t="shared" si="40"/>
        <v>2012</v>
      </c>
      <c r="C1294" s="55"/>
      <c r="D1294" s="55">
        <f t="shared" si="41"/>
        <v>11</v>
      </c>
      <c r="E1294" s="60">
        <v>23</v>
      </c>
      <c r="F1294" s="60">
        <v>25</v>
      </c>
      <c r="G1294" s="61">
        <v>24</v>
      </c>
      <c r="H1294" s="60">
        <v>17</v>
      </c>
      <c r="I1294" s="60">
        <v>19</v>
      </c>
      <c r="J1294" s="61">
        <v>18</v>
      </c>
    </row>
    <row r="1295" spans="1:10" x14ac:dyDescent="0.35">
      <c r="A1295" s="58">
        <v>41242</v>
      </c>
      <c r="B1295" s="55">
        <f t="shared" si="40"/>
        <v>2012</v>
      </c>
      <c r="C1295" s="55"/>
      <c r="D1295" s="55">
        <f t="shared" si="41"/>
        <v>11</v>
      </c>
      <c r="E1295" s="60">
        <v>24</v>
      </c>
      <c r="F1295" s="60">
        <v>26</v>
      </c>
      <c r="G1295" s="61">
        <v>25</v>
      </c>
      <c r="H1295" s="60">
        <v>17</v>
      </c>
      <c r="I1295" s="60">
        <v>19</v>
      </c>
      <c r="J1295" s="61">
        <v>18</v>
      </c>
    </row>
    <row r="1296" spans="1:10" x14ac:dyDescent="0.35">
      <c r="A1296" s="58">
        <v>41249</v>
      </c>
      <c r="B1296" s="55">
        <f t="shared" si="40"/>
        <v>2012</v>
      </c>
      <c r="C1296" s="55"/>
      <c r="D1296" s="55">
        <f t="shared" si="41"/>
        <v>12</v>
      </c>
      <c r="E1296" s="60">
        <v>24</v>
      </c>
      <c r="F1296" s="60">
        <v>26</v>
      </c>
      <c r="G1296" s="61">
        <v>25</v>
      </c>
      <c r="H1296" s="60">
        <v>17</v>
      </c>
      <c r="I1296" s="60">
        <v>19</v>
      </c>
      <c r="J1296" s="61">
        <v>18</v>
      </c>
    </row>
    <row r="1297" spans="1:10" x14ac:dyDescent="0.35">
      <c r="A1297" s="58">
        <v>41256</v>
      </c>
      <c r="B1297" s="55">
        <f t="shared" si="40"/>
        <v>2012</v>
      </c>
      <c r="C1297" s="55"/>
      <c r="D1297" s="55">
        <f t="shared" si="41"/>
        <v>12</v>
      </c>
      <c r="E1297" s="60">
        <v>24</v>
      </c>
      <c r="F1297" s="60">
        <v>26</v>
      </c>
      <c r="G1297" s="61">
        <v>25</v>
      </c>
      <c r="H1297" s="60">
        <v>17</v>
      </c>
      <c r="I1297" s="60">
        <v>19</v>
      </c>
      <c r="J1297" s="61">
        <v>18</v>
      </c>
    </row>
    <row r="1298" spans="1:10" x14ac:dyDescent="0.35">
      <c r="A1298" s="58">
        <v>41263</v>
      </c>
      <c r="B1298" s="55">
        <f t="shared" si="40"/>
        <v>2012</v>
      </c>
      <c r="C1298" s="55"/>
      <c r="D1298" s="55">
        <f t="shared" si="41"/>
        <v>12</v>
      </c>
      <c r="E1298" s="60">
        <v>26</v>
      </c>
      <c r="F1298" s="60">
        <v>28</v>
      </c>
      <c r="G1298" s="61">
        <v>27</v>
      </c>
      <c r="H1298" s="60">
        <v>17</v>
      </c>
      <c r="I1298" s="60">
        <v>19</v>
      </c>
      <c r="J1298" s="61">
        <v>18</v>
      </c>
    </row>
    <row r="1299" spans="1:10" x14ac:dyDescent="0.35">
      <c r="A1299" s="58">
        <v>41270</v>
      </c>
      <c r="B1299" s="55">
        <f t="shared" si="40"/>
        <v>2012</v>
      </c>
      <c r="C1299" s="55"/>
      <c r="D1299" s="55">
        <f t="shared" si="41"/>
        <v>12</v>
      </c>
      <c r="E1299" s="60">
        <v>26</v>
      </c>
      <c r="F1299" s="60">
        <v>28</v>
      </c>
      <c r="G1299" s="61">
        <v>27</v>
      </c>
      <c r="H1299" s="60">
        <v>17</v>
      </c>
      <c r="I1299" s="60">
        <v>19</v>
      </c>
      <c r="J1299" s="61">
        <v>18</v>
      </c>
    </row>
    <row r="1300" spans="1:10" x14ac:dyDescent="0.35">
      <c r="A1300" s="58">
        <v>41277</v>
      </c>
      <c r="B1300" s="55">
        <f t="shared" si="40"/>
        <v>2013</v>
      </c>
      <c r="C1300" s="55"/>
      <c r="D1300" s="55">
        <f t="shared" si="41"/>
        <v>1</v>
      </c>
      <c r="E1300" s="60">
        <v>26</v>
      </c>
      <c r="F1300" s="60">
        <v>28</v>
      </c>
      <c r="G1300" s="61">
        <v>27</v>
      </c>
      <c r="H1300" s="60">
        <v>17</v>
      </c>
      <c r="I1300" s="60">
        <v>19</v>
      </c>
      <c r="J1300" s="61">
        <v>18</v>
      </c>
    </row>
    <row r="1301" spans="1:10" x14ac:dyDescent="0.35">
      <c r="A1301" s="58">
        <v>41284</v>
      </c>
      <c r="B1301" s="55">
        <f t="shared" si="40"/>
        <v>2013</v>
      </c>
      <c r="C1301" s="55"/>
      <c r="D1301" s="55">
        <f t="shared" si="41"/>
        <v>1</v>
      </c>
      <c r="E1301" s="60">
        <v>26</v>
      </c>
      <c r="F1301" s="60">
        <v>28</v>
      </c>
      <c r="G1301" s="61">
        <v>27</v>
      </c>
      <c r="H1301" s="60">
        <v>17</v>
      </c>
      <c r="I1301" s="60">
        <v>19</v>
      </c>
      <c r="J1301" s="61">
        <v>18</v>
      </c>
    </row>
    <row r="1302" spans="1:10" x14ac:dyDescent="0.35">
      <c r="A1302" s="58">
        <v>41291</v>
      </c>
      <c r="B1302" s="55">
        <f t="shared" si="40"/>
        <v>2013</v>
      </c>
      <c r="C1302" s="55"/>
      <c r="D1302" s="55">
        <f t="shared" si="41"/>
        <v>1</v>
      </c>
      <c r="E1302" s="60">
        <v>26</v>
      </c>
      <c r="F1302" s="60">
        <v>28</v>
      </c>
      <c r="G1302" s="61">
        <v>27</v>
      </c>
      <c r="H1302" s="60">
        <v>17</v>
      </c>
      <c r="I1302" s="60">
        <v>19</v>
      </c>
      <c r="J1302" s="61">
        <v>18</v>
      </c>
    </row>
    <row r="1303" spans="1:10" x14ac:dyDescent="0.35">
      <c r="A1303" s="58">
        <v>41298</v>
      </c>
      <c r="B1303" s="55">
        <f t="shared" si="40"/>
        <v>2013</v>
      </c>
      <c r="C1303" s="55"/>
      <c r="D1303" s="55">
        <f t="shared" si="41"/>
        <v>1</v>
      </c>
      <c r="E1303" s="60">
        <v>26</v>
      </c>
      <c r="F1303" s="60">
        <v>28</v>
      </c>
      <c r="G1303" s="61">
        <v>27</v>
      </c>
      <c r="H1303" s="60">
        <v>17</v>
      </c>
      <c r="I1303" s="60">
        <v>19</v>
      </c>
      <c r="J1303" s="61">
        <v>18</v>
      </c>
    </row>
    <row r="1304" spans="1:10" x14ac:dyDescent="0.35">
      <c r="A1304" s="58">
        <v>41305</v>
      </c>
      <c r="B1304" s="55">
        <f t="shared" si="40"/>
        <v>2013</v>
      </c>
      <c r="C1304" s="55"/>
      <c r="D1304" s="55">
        <f t="shared" si="41"/>
        <v>1</v>
      </c>
      <c r="E1304" s="60">
        <v>26</v>
      </c>
      <c r="F1304" s="60">
        <v>28</v>
      </c>
      <c r="G1304" s="61">
        <v>27</v>
      </c>
      <c r="H1304" s="60">
        <v>16</v>
      </c>
      <c r="I1304" s="60">
        <v>18</v>
      </c>
      <c r="J1304" s="61">
        <v>17</v>
      </c>
    </row>
    <row r="1305" spans="1:10" x14ac:dyDescent="0.35">
      <c r="A1305" s="58">
        <v>41312</v>
      </c>
      <c r="B1305" s="55">
        <f t="shared" si="40"/>
        <v>2013</v>
      </c>
      <c r="C1305" s="55"/>
      <c r="D1305" s="55">
        <f t="shared" si="41"/>
        <v>2</v>
      </c>
      <c r="E1305" s="60">
        <v>26</v>
      </c>
      <c r="F1305" s="60">
        <v>28</v>
      </c>
      <c r="G1305" s="61">
        <v>27</v>
      </c>
      <c r="H1305" s="60">
        <v>16</v>
      </c>
      <c r="I1305" s="60">
        <v>18</v>
      </c>
      <c r="J1305" s="61">
        <v>17</v>
      </c>
    </row>
    <row r="1306" spans="1:10" x14ac:dyDescent="0.35">
      <c r="A1306" s="58">
        <v>41319</v>
      </c>
      <c r="B1306" s="55">
        <f t="shared" si="40"/>
        <v>2013</v>
      </c>
      <c r="C1306" s="55"/>
      <c r="D1306" s="55">
        <f t="shared" si="41"/>
        <v>2</v>
      </c>
      <c r="E1306" s="60">
        <v>27</v>
      </c>
      <c r="F1306" s="60">
        <v>29</v>
      </c>
      <c r="G1306" s="61">
        <v>28</v>
      </c>
      <c r="H1306" s="60">
        <v>16</v>
      </c>
      <c r="I1306" s="60">
        <v>18</v>
      </c>
      <c r="J1306" s="61">
        <v>17</v>
      </c>
    </row>
    <row r="1307" spans="1:10" x14ac:dyDescent="0.35">
      <c r="A1307" s="58">
        <v>41326</v>
      </c>
      <c r="B1307" s="55">
        <f t="shared" si="40"/>
        <v>2013</v>
      </c>
      <c r="C1307" s="55"/>
      <c r="D1307" s="55">
        <f t="shared" si="41"/>
        <v>2</v>
      </c>
      <c r="E1307" s="60">
        <v>26</v>
      </c>
      <c r="F1307" s="60">
        <v>28</v>
      </c>
      <c r="G1307" s="61">
        <v>27</v>
      </c>
      <c r="H1307" s="60">
        <v>16</v>
      </c>
      <c r="I1307" s="60">
        <v>18</v>
      </c>
      <c r="J1307" s="61">
        <v>17</v>
      </c>
    </row>
    <row r="1308" spans="1:10" x14ac:dyDescent="0.35">
      <c r="A1308" s="58">
        <v>41333</v>
      </c>
      <c r="B1308" s="55">
        <f t="shared" si="40"/>
        <v>2013</v>
      </c>
      <c r="C1308" s="55"/>
      <c r="D1308" s="55">
        <f t="shared" si="41"/>
        <v>2</v>
      </c>
      <c r="E1308" s="60">
        <v>26</v>
      </c>
      <c r="F1308" s="60">
        <v>28</v>
      </c>
      <c r="G1308" s="61">
        <v>27</v>
      </c>
      <c r="H1308" s="60">
        <v>16</v>
      </c>
      <c r="I1308" s="60">
        <v>18</v>
      </c>
      <c r="J1308" s="61">
        <v>17</v>
      </c>
    </row>
    <row r="1309" spans="1:10" x14ac:dyDescent="0.35">
      <c r="A1309" s="58">
        <v>41340</v>
      </c>
      <c r="B1309" s="55">
        <f t="shared" si="40"/>
        <v>2013</v>
      </c>
      <c r="C1309" s="55"/>
      <c r="D1309" s="55">
        <f t="shared" si="41"/>
        <v>3</v>
      </c>
      <c r="E1309" s="60">
        <v>27</v>
      </c>
      <c r="F1309" s="60">
        <v>29</v>
      </c>
      <c r="G1309" s="61">
        <v>28</v>
      </c>
      <c r="H1309" s="60">
        <v>17</v>
      </c>
      <c r="I1309" s="60">
        <v>19</v>
      </c>
      <c r="J1309" s="61">
        <v>18</v>
      </c>
    </row>
    <row r="1310" spans="1:10" x14ac:dyDescent="0.35">
      <c r="A1310" s="58">
        <v>41347</v>
      </c>
      <c r="B1310" s="55">
        <f t="shared" si="40"/>
        <v>2013</v>
      </c>
      <c r="C1310" s="55"/>
      <c r="D1310" s="55">
        <f t="shared" si="41"/>
        <v>3</v>
      </c>
      <c r="E1310" s="60">
        <v>27</v>
      </c>
      <c r="F1310" s="60">
        <v>29</v>
      </c>
      <c r="G1310" s="61">
        <v>28</v>
      </c>
      <c r="H1310" s="60">
        <v>17</v>
      </c>
      <c r="I1310" s="60">
        <v>19</v>
      </c>
      <c r="J1310" s="61">
        <v>18</v>
      </c>
    </row>
    <row r="1311" spans="1:10" x14ac:dyDescent="0.35">
      <c r="A1311" s="58">
        <v>41354</v>
      </c>
      <c r="B1311" s="55">
        <f t="shared" si="40"/>
        <v>2013</v>
      </c>
      <c r="C1311" s="55"/>
      <c r="D1311" s="55">
        <f t="shared" si="41"/>
        <v>3</v>
      </c>
      <c r="E1311" s="60">
        <v>27</v>
      </c>
      <c r="F1311" s="60">
        <v>29</v>
      </c>
      <c r="G1311" s="61">
        <v>28</v>
      </c>
      <c r="H1311" s="60">
        <v>17</v>
      </c>
      <c r="I1311" s="60">
        <v>19</v>
      </c>
      <c r="J1311" s="61">
        <v>18</v>
      </c>
    </row>
    <row r="1312" spans="1:10" x14ac:dyDescent="0.35">
      <c r="A1312" s="58">
        <v>41361</v>
      </c>
      <c r="B1312" s="55">
        <f t="shared" si="40"/>
        <v>2013</v>
      </c>
      <c r="C1312" s="55"/>
      <c r="D1312" s="55">
        <f t="shared" si="41"/>
        <v>3</v>
      </c>
      <c r="E1312" s="60">
        <v>27</v>
      </c>
      <c r="F1312" s="60">
        <v>29</v>
      </c>
      <c r="G1312" s="61">
        <v>28</v>
      </c>
      <c r="H1312" s="60">
        <v>17</v>
      </c>
      <c r="I1312" s="60">
        <v>19</v>
      </c>
      <c r="J1312" s="61">
        <v>18</v>
      </c>
    </row>
    <row r="1313" spans="1:10" x14ac:dyDescent="0.35">
      <c r="A1313" s="58">
        <v>41368</v>
      </c>
      <c r="B1313" s="55">
        <f t="shared" si="40"/>
        <v>2013</v>
      </c>
      <c r="C1313" s="55"/>
      <c r="D1313" s="55">
        <f t="shared" si="41"/>
        <v>4</v>
      </c>
      <c r="E1313" s="60">
        <v>27</v>
      </c>
      <c r="F1313" s="60">
        <v>29</v>
      </c>
      <c r="G1313" s="61">
        <v>28</v>
      </c>
      <c r="H1313" s="60">
        <v>17</v>
      </c>
      <c r="I1313" s="60">
        <v>19</v>
      </c>
      <c r="J1313" s="61">
        <v>18</v>
      </c>
    </row>
    <row r="1314" spans="1:10" x14ac:dyDescent="0.35">
      <c r="A1314" s="58">
        <v>41375</v>
      </c>
      <c r="B1314" s="55">
        <f t="shared" si="40"/>
        <v>2013</v>
      </c>
      <c r="C1314" s="55"/>
      <c r="D1314" s="55">
        <f t="shared" si="41"/>
        <v>4</v>
      </c>
      <c r="E1314" s="60">
        <v>28</v>
      </c>
      <c r="F1314" s="60">
        <v>30</v>
      </c>
      <c r="G1314" s="61">
        <v>29</v>
      </c>
      <c r="H1314" s="60">
        <v>17</v>
      </c>
      <c r="I1314" s="60">
        <v>19</v>
      </c>
      <c r="J1314" s="61">
        <v>18</v>
      </c>
    </row>
    <row r="1315" spans="1:10" x14ac:dyDescent="0.35">
      <c r="A1315" s="58">
        <v>41382</v>
      </c>
      <c r="B1315" s="55">
        <f t="shared" si="40"/>
        <v>2013</v>
      </c>
      <c r="C1315" s="55"/>
      <c r="D1315" s="55">
        <f t="shared" si="41"/>
        <v>4</v>
      </c>
      <c r="E1315" s="60">
        <v>27</v>
      </c>
      <c r="F1315" s="60">
        <v>29</v>
      </c>
      <c r="G1315" s="61">
        <v>28</v>
      </c>
      <c r="H1315" s="60">
        <v>17</v>
      </c>
      <c r="I1315" s="60">
        <v>19</v>
      </c>
      <c r="J1315" s="61">
        <v>18</v>
      </c>
    </row>
    <row r="1316" spans="1:10" x14ac:dyDescent="0.35">
      <c r="A1316" s="58">
        <v>41389</v>
      </c>
      <c r="B1316" s="55">
        <f t="shared" si="40"/>
        <v>2013</v>
      </c>
      <c r="C1316" s="55"/>
      <c r="D1316" s="55">
        <f t="shared" si="41"/>
        <v>4</v>
      </c>
      <c r="E1316" s="60">
        <v>27</v>
      </c>
      <c r="F1316" s="60">
        <v>29</v>
      </c>
      <c r="G1316" s="61">
        <v>28</v>
      </c>
      <c r="H1316" s="60">
        <v>17</v>
      </c>
      <c r="I1316" s="60">
        <v>19</v>
      </c>
      <c r="J1316" s="61">
        <v>18</v>
      </c>
    </row>
    <row r="1317" spans="1:10" x14ac:dyDescent="0.35">
      <c r="A1317" s="58">
        <v>41396</v>
      </c>
      <c r="B1317" s="55">
        <f t="shared" si="40"/>
        <v>2013</v>
      </c>
      <c r="C1317" s="55"/>
      <c r="D1317" s="55">
        <f t="shared" si="41"/>
        <v>5</v>
      </c>
      <c r="E1317" s="60">
        <v>27</v>
      </c>
      <c r="F1317" s="60">
        <v>29</v>
      </c>
      <c r="G1317" s="61">
        <v>28</v>
      </c>
      <c r="H1317" s="60">
        <v>17</v>
      </c>
      <c r="I1317" s="60">
        <v>19</v>
      </c>
      <c r="J1317" s="61">
        <v>18</v>
      </c>
    </row>
    <row r="1318" spans="1:10" x14ac:dyDescent="0.35">
      <c r="A1318" s="58">
        <v>41403</v>
      </c>
      <c r="B1318" s="55">
        <f t="shared" si="40"/>
        <v>2013</v>
      </c>
      <c r="C1318" s="55"/>
      <c r="D1318" s="55">
        <f t="shared" si="41"/>
        <v>5</v>
      </c>
      <c r="E1318" s="60">
        <v>27</v>
      </c>
      <c r="F1318" s="60">
        <v>29</v>
      </c>
      <c r="G1318" s="61">
        <v>28</v>
      </c>
      <c r="H1318" s="60">
        <v>17</v>
      </c>
      <c r="I1318" s="60">
        <v>19</v>
      </c>
      <c r="J1318" s="61">
        <v>18</v>
      </c>
    </row>
    <row r="1319" spans="1:10" x14ac:dyDescent="0.35">
      <c r="A1319" s="58">
        <v>41410</v>
      </c>
      <c r="B1319" s="55">
        <f t="shared" si="40"/>
        <v>2013</v>
      </c>
      <c r="C1319" s="55"/>
      <c r="D1319" s="55">
        <f t="shared" si="41"/>
        <v>5</v>
      </c>
      <c r="E1319" s="60">
        <v>26</v>
      </c>
      <c r="F1319" s="60">
        <v>28</v>
      </c>
      <c r="G1319" s="61">
        <v>27</v>
      </c>
      <c r="H1319" s="60">
        <v>17</v>
      </c>
      <c r="I1319" s="60">
        <v>19</v>
      </c>
      <c r="J1319" s="61">
        <v>18</v>
      </c>
    </row>
    <row r="1320" spans="1:10" x14ac:dyDescent="0.35">
      <c r="A1320" s="58">
        <v>41417</v>
      </c>
      <c r="B1320" s="55">
        <f t="shared" si="40"/>
        <v>2013</v>
      </c>
      <c r="C1320" s="55"/>
      <c r="D1320" s="55">
        <f t="shared" si="41"/>
        <v>5</v>
      </c>
      <c r="E1320" s="60">
        <v>26</v>
      </c>
      <c r="F1320" s="60">
        <v>28</v>
      </c>
      <c r="G1320" s="61">
        <v>27</v>
      </c>
      <c r="H1320" s="60">
        <v>17</v>
      </c>
      <c r="I1320" s="60">
        <v>19</v>
      </c>
      <c r="J1320" s="61">
        <v>18</v>
      </c>
    </row>
    <row r="1321" spans="1:10" x14ac:dyDescent="0.35">
      <c r="A1321" s="58">
        <v>41424</v>
      </c>
      <c r="B1321" s="55">
        <f t="shared" si="40"/>
        <v>2013</v>
      </c>
      <c r="C1321" s="55"/>
      <c r="D1321" s="55">
        <f t="shared" si="41"/>
        <v>5</v>
      </c>
      <c r="E1321" s="60">
        <v>26</v>
      </c>
      <c r="F1321" s="60">
        <v>28</v>
      </c>
      <c r="G1321" s="61">
        <v>27</v>
      </c>
      <c r="H1321" s="60">
        <v>17</v>
      </c>
      <c r="I1321" s="60">
        <v>19</v>
      </c>
      <c r="J1321" s="61">
        <v>18</v>
      </c>
    </row>
    <row r="1322" spans="1:10" x14ac:dyDescent="0.35">
      <c r="A1322" s="58">
        <v>41431</v>
      </c>
      <c r="B1322" s="55">
        <f t="shared" si="40"/>
        <v>2013</v>
      </c>
      <c r="C1322" s="55"/>
      <c r="D1322" s="55">
        <f t="shared" si="41"/>
        <v>6</v>
      </c>
      <c r="E1322" s="60">
        <v>26</v>
      </c>
      <c r="F1322" s="60">
        <v>28</v>
      </c>
      <c r="G1322" s="61">
        <v>27</v>
      </c>
      <c r="H1322" s="60">
        <v>16</v>
      </c>
      <c r="I1322" s="60">
        <v>18</v>
      </c>
      <c r="J1322" s="61">
        <v>17</v>
      </c>
    </row>
    <row r="1323" spans="1:10" x14ac:dyDescent="0.35">
      <c r="A1323" s="58">
        <v>41438</v>
      </c>
      <c r="B1323" s="55">
        <f t="shared" si="40"/>
        <v>2013</v>
      </c>
      <c r="C1323" s="55"/>
      <c r="D1323" s="55">
        <f t="shared" si="41"/>
        <v>6</v>
      </c>
      <c r="E1323" s="60">
        <v>25</v>
      </c>
      <c r="F1323" s="60">
        <v>27</v>
      </c>
      <c r="G1323" s="61">
        <v>26</v>
      </c>
      <c r="H1323" s="60">
        <v>16</v>
      </c>
      <c r="I1323" s="60">
        <v>18</v>
      </c>
      <c r="J1323" s="61">
        <v>17</v>
      </c>
    </row>
    <row r="1324" spans="1:10" x14ac:dyDescent="0.35">
      <c r="A1324" s="58">
        <v>41445</v>
      </c>
      <c r="B1324" s="55">
        <f t="shared" si="40"/>
        <v>2013</v>
      </c>
      <c r="C1324" s="55"/>
      <c r="D1324" s="55">
        <f t="shared" si="41"/>
        <v>6</v>
      </c>
      <c r="E1324" s="60">
        <v>26</v>
      </c>
      <c r="F1324" s="60">
        <v>28</v>
      </c>
      <c r="G1324" s="61">
        <v>27</v>
      </c>
      <c r="H1324" s="60">
        <v>17</v>
      </c>
      <c r="I1324" s="60">
        <v>19</v>
      </c>
      <c r="J1324" s="61">
        <v>18</v>
      </c>
    </row>
    <row r="1325" spans="1:10" x14ac:dyDescent="0.35">
      <c r="A1325" s="58">
        <v>41452</v>
      </c>
      <c r="B1325" s="55">
        <f t="shared" si="40"/>
        <v>2013</v>
      </c>
      <c r="C1325" s="55"/>
      <c r="D1325" s="55">
        <f t="shared" si="41"/>
        <v>6</v>
      </c>
      <c r="E1325" s="60">
        <v>25</v>
      </c>
      <c r="F1325" s="60">
        <v>27</v>
      </c>
      <c r="G1325" s="61">
        <v>26</v>
      </c>
      <c r="H1325" s="60">
        <v>16</v>
      </c>
      <c r="I1325" s="60">
        <v>18</v>
      </c>
      <c r="J1325" s="61">
        <v>17</v>
      </c>
    </row>
    <row r="1326" spans="1:10" x14ac:dyDescent="0.35">
      <c r="A1326" s="58">
        <v>41459</v>
      </c>
      <c r="B1326" s="55">
        <f t="shared" si="40"/>
        <v>2013</v>
      </c>
      <c r="C1326" s="55"/>
      <c r="D1326" s="55">
        <f t="shared" si="41"/>
        <v>7</v>
      </c>
      <c r="E1326" s="60">
        <v>26</v>
      </c>
      <c r="F1326" s="60">
        <v>28</v>
      </c>
      <c r="G1326" s="61">
        <v>27</v>
      </c>
      <c r="H1326" s="60">
        <v>17</v>
      </c>
      <c r="I1326" s="60">
        <v>19</v>
      </c>
      <c r="J1326" s="61">
        <v>18</v>
      </c>
    </row>
    <row r="1327" spans="1:10" x14ac:dyDescent="0.35">
      <c r="A1327" s="58">
        <v>41466</v>
      </c>
      <c r="B1327" s="55">
        <f t="shared" si="40"/>
        <v>2013</v>
      </c>
      <c r="C1327" s="55"/>
      <c r="D1327" s="55">
        <f t="shared" si="41"/>
        <v>7</v>
      </c>
      <c r="E1327" s="60">
        <v>26</v>
      </c>
      <c r="F1327" s="60">
        <v>28</v>
      </c>
      <c r="G1327" s="61">
        <v>27</v>
      </c>
      <c r="H1327" s="60">
        <v>17</v>
      </c>
      <c r="I1327" s="60">
        <v>19</v>
      </c>
      <c r="J1327" s="61">
        <v>18</v>
      </c>
    </row>
    <row r="1328" spans="1:10" x14ac:dyDescent="0.35">
      <c r="A1328" s="58">
        <v>41473</v>
      </c>
      <c r="B1328" s="55">
        <f t="shared" si="40"/>
        <v>2013</v>
      </c>
      <c r="C1328" s="55"/>
      <c r="D1328" s="55">
        <f t="shared" si="41"/>
        <v>7</v>
      </c>
      <c r="E1328" s="60">
        <v>25</v>
      </c>
      <c r="F1328" s="60">
        <v>27</v>
      </c>
      <c r="G1328" s="61">
        <v>26</v>
      </c>
      <c r="H1328" s="60">
        <v>17</v>
      </c>
      <c r="I1328" s="60">
        <v>19</v>
      </c>
      <c r="J1328" s="61">
        <v>18</v>
      </c>
    </row>
    <row r="1329" spans="1:10" x14ac:dyDescent="0.35">
      <c r="A1329" s="58">
        <v>41480</v>
      </c>
      <c r="B1329" s="55">
        <f t="shared" si="40"/>
        <v>2013</v>
      </c>
      <c r="C1329" s="55"/>
      <c r="D1329" s="55">
        <f t="shared" si="41"/>
        <v>7</v>
      </c>
      <c r="E1329" s="60">
        <v>25</v>
      </c>
      <c r="F1329" s="60">
        <v>27</v>
      </c>
      <c r="G1329" s="61">
        <v>26</v>
      </c>
      <c r="H1329" s="60">
        <v>17</v>
      </c>
      <c r="I1329" s="60">
        <v>19</v>
      </c>
      <c r="J1329" s="61">
        <v>18</v>
      </c>
    </row>
    <row r="1330" spans="1:10" x14ac:dyDescent="0.35">
      <c r="A1330" s="58">
        <v>41487</v>
      </c>
      <c r="B1330" s="55">
        <f t="shared" si="40"/>
        <v>2013</v>
      </c>
      <c r="C1330" s="55"/>
      <c r="D1330" s="55">
        <f t="shared" si="41"/>
        <v>8</v>
      </c>
      <c r="E1330" s="60">
        <v>25</v>
      </c>
      <c r="F1330" s="60">
        <v>27</v>
      </c>
      <c r="G1330" s="61">
        <v>26</v>
      </c>
      <c r="H1330" s="60">
        <v>18</v>
      </c>
      <c r="I1330" s="60">
        <v>20</v>
      </c>
      <c r="J1330" s="61">
        <v>19</v>
      </c>
    </row>
    <row r="1331" spans="1:10" x14ac:dyDescent="0.35">
      <c r="A1331" s="58">
        <v>41494</v>
      </c>
      <c r="B1331" s="55">
        <f t="shared" si="40"/>
        <v>2013</v>
      </c>
      <c r="C1331" s="55"/>
      <c r="D1331" s="55">
        <f t="shared" si="41"/>
        <v>8</v>
      </c>
      <c r="E1331" s="60">
        <v>25</v>
      </c>
      <c r="F1331" s="60">
        <v>27</v>
      </c>
      <c r="G1331" s="61">
        <v>26</v>
      </c>
      <c r="H1331" s="60">
        <v>18</v>
      </c>
      <c r="I1331" s="60">
        <v>20</v>
      </c>
      <c r="J1331" s="61">
        <v>19</v>
      </c>
    </row>
    <row r="1332" spans="1:10" x14ac:dyDescent="0.35">
      <c r="A1332" s="58">
        <v>41501</v>
      </c>
      <c r="B1332" s="55">
        <f t="shared" si="40"/>
        <v>2013</v>
      </c>
      <c r="C1332" s="55"/>
      <c r="D1332" s="55">
        <f t="shared" si="41"/>
        <v>8</v>
      </c>
      <c r="E1332" s="60">
        <v>25</v>
      </c>
      <c r="F1332" s="60">
        <v>27</v>
      </c>
      <c r="G1332" s="61">
        <v>26</v>
      </c>
      <c r="H1332" s="60">
        <v>18</v>
      </c>
      <c r="I1332" s="60">
        <v>20</v>
      </c>
      <c r="J1332" s="61">
        <v>19</v>
      </c>
    </row>
    <row r="1333" spans="1:10" x14ac:dyDescent="0.35">
      <c r="A1333" s="58">
        <v>41508</v>
      </c>
      <c r="B1333" s="55">
        <f t="shared" si="40"/>
        <v>2013</v>
      </c>
      <c r="C1333" s="55"/>
      <c r="D1333" s="55">
        <f t="shared" si="41"/>
        <v>8</v>
      </c>
      <c r="E1333" s="60">
        <v>25</v>
      </c>
      <c r="F1333" s="60">
        <v>27</v>
      </c>
      <c r="G1333" s="61">
        <v>26</v>
      </c>
      <c r="H1333" s="60">
        <v>19</v>
      </c>
      <c r="I1333" s="60">
        <v>21</v>
      </c>
      <c r="J1333" s="61">
        <v>20</v>
      </c>
    </row>
    <row r="1334" spans="1:10" x14ac:dyDescent="0.35">
      <c r="A1334" s="58">
        <v>41515</v>
      </c>
      <c r="B1334" s="55">
        <f t="shared" si="40"/>
        <v>2013</v>
      </c>
      <c r="C1334" s="55"/>
      <c r="D1334" s="55">
        <f t="shared" si="41"/>
        <v>8</v>
      </c>
      <c r="E1334" s="60">
        <v>25</v>
      </c>
      <c r="F1334" s="60">
        <v>27</v>
      </c>
      <c r="G1334" s="61">
        <v>26</v>
      </c>
      <c r="H1334" s="60">
        <v>19</v>
      </c>
      <c r="I1334" s="60">
        <v>21</v>
      </c>
      <c r="J1334" s="61">
        <v>20</v>
      </c>
    </row>
    <row r="1335" spans="1:10" x14ac:dyDescent="0.35">
      <c r="A1335" s="58">
        <v>41522</v>
      </c>
      <c r="B1335" s="55">
        <f t="shared" si="40"/>
        <v>2013</v>
      </c>
      <c r="C1335" s="55"/>
      <c r="D1335" s="55">
        <f t="shared" si="41"/>
        <v>9</v>
      </c>
      <c r="E1335" s="60">
        <v>26</v>
      </c>
      <c r="F1335" s="60">
        <v>28</v>
      </c>
      <c r="G1335" s="61">
        <v>27</v>
      </c>
      <c r="H1335" s="60">
        <v>19</v>
      </c>
      <c r="I1335" s="60">
        <v>21</v>
      </c>
      <c r="J1335" s="61">
        <v>20</v>
      </c>
    </row>
    <row r="1336" spans="1:10" x14ac:dyDescent="0.35">
      <c r="A1336" s="58">
        <v>41529</v>
      </c>
      <c r="B1336" s="55">
        <f t="shared" si="40"/>
        <v>2013</v>
      </c>
      <c r="C1336" s="55"/>
      <c r="D1336" s="55">
        <f t="shared" si="41"/>
        <v>9</v>
      </c>
      <c r="E1336" s="60">
        <v>26</v>
      </c>
      <c r="F1336" s="60">
        <v>28</v>
      </c>
      <c r="G1336" s="61">
        <v>27</v>
      </c>
      <c r="H1336" s="60">
        <v>19</v>
      </c>
      <c r="I1336" s="60">
        <v>21</v>
      </c>
      <c r="J1336" s="61">
        <v>20</v>
      </c>
    </row>
    <row r="1337" spans="1:10" x14ac:dyDescent="0.35">
      <c r="A1337" s="58">
        <v>41536</v>
      </c>
      <c r="B1337" s="55">
        <f t="shared" si="40"/>
        <v>2013</v>
      </c>
      <c r="C1337" s="55"/>
      <c r="D1337" s="55">
        <f t="shared" si="41"/>
        <v>9</v>
      </c>
      <c r="E1337" s="60">
        <v>26</v>
      </c>
      <c r="F1337" s="60">
        <v>28</v>
      </c>
      <c r="G1337" s="61">
        <v>27</v>
      </c>
      <c r="H1337" s="60">
        <v>19</v>
      </c>
      <c r="I1337" s="60">
        <v>21</v>
      </c>
      <c r="J1337" s="61">
        <v>20</v>
      </c>
    </row>
    <row r="1338" spans="1:10" x14ac:dyDescent="0.35">
      <c r="A1338" s="58">
        <v>41543</v>
      </c>
      <c r="B1338" s="55">
        <f t="shared" si="40"/>
        <v>2013</v>
      </c>
      <c r="C1338" s="55"/>
      <c r="D1338" s="55">
        <f t="shared" si="41"/>
        <v>9</v>
      </c>
      <c r="E1338" s="60">
        <v>26</v>
      </c>
      <c r="F1338" s="60">
        <v>28</v>
      </c>
      <c r="G1338" s="61">
        <v>27</v>
      </c>
      <c r="H1338" s="60">
        <v>19</v>
      </c>
      <c r="I1338" s="60">
        <v>21</v>
      </c>
      <c r="J1338" s="61">
        <v>20</v>
      </c>
    </row>
    <row r="1339" spans="1:10" x14ac:dyDescent="0.35">
      <c r="A1339" s="58">
        <v>41550</v>
      </c>
      <c r="B1339" s="55">
        <f t="shared" si="40"/>
        <v>2013</v>
      </c>
      <c r="C1339" s="55"/>
      <c r="D1339" s="55">
        <f t="shared" si="41"/>
        <v>10</v>
      </c>
      <c r="E1339" s="60">
        <v>26</v>
      </c>
      <c r="F1339" s="60">
        <v>28</v>
      </c>
      <c r="G1339" s="61">
        <v>27</v>
      </c>
      <c r="H1339" s="60">
        <v>19</v>
      </c>
      <c r="I1339" s="60">
        <v>21</v>
      </c>
      <c r="J1339" s="61">
        <v>20</v>
      </c>
    </row>
    <row r="1340" spans="1:10" x14ac:dyDescent="0.35">
      <c r="A1340" s="58">
        <v>41557</v>
      </c>
      <c r="B1340" s="55">
        <f t="shared" si="40"/>
        <v>2013</v>
      </c>
      <c r="C1340" s="55"/>
      <c r="D1340" s="55">
        <f t="shared" si="41"/>
        <v>10</v>
      </c>
      <c r="E1340" s="60">
        <v>26</v>
      </c>
      <c r="F1340" s="60">
        <v>28</v>
      </c>
      <c r="G1340" s="61">
        <v>27</v>
      </c>
      <c r="H1340" s="60">
        <v>21</v>
      </c>
      <c r="I1340" s="60">
        <v>23</v>
      </c>
      <c r="J1340" s="61">
        <v>22</v>
      </c>
    </row>
    <row r="1341" spans="1:10" x14ac:dyDescent="0.35">
      <c r="A1341" s="58">
        <v>41564</v>
      </c>
      <c r="B1341" s="55">
        <f t="shared" si="40"/>
        <v>2013</v>
      </c>
      <c r="C1341" s="55"/>
      <c r="D1341" s="55">
        <f t="shared" si="41"/>
        <v>10</v>
      </c>
      <c r="E1341" s="60">
        <v>27</v>
      </c>
      <c r="F1341" s="60">
        <v>29</v>
      </c>
      <c r="G1341" s="61">
        <v>28</v>
      </c>
      <c r="H1341" s="60">
        <v>21</v>
      </c>
      <c r="I1341" s="60">
        <v>23</v>
      </c>
      <c r="J1341" s="61">
        <v>22</v>
      </c>
    </row>
    <row r="1342" spans="1:10" x14ac:dyDescent="0.35">
      <c r="A1342" s="58">
        <v>41571</v>
      </c>
      <c r="B1342" s="55">
        <f t="shared" si="40"/>
        <v>2013</v>
      </c>
      <c r="C1342" s="55"/>
      <c r="D1342" s="55">
        <f t="shared" si="41"/>
        <v>10</v>
      </c>
      <c r="E1342" s="60">
        <v>27</v>
      </c>
      <c r="F1342" s="60">
        <v>29</v>
      </c>
      <c r="G1342" s="61">
        <v>28</v>
      </c>
      <c r="H1342" s="60">
        <v>22</v>
      </c>
      <c r="I1342" s="60">
        <v>24</v>
      </c>
      <c r="J1342" s="61">
        <v>23</v>
      </c>
    </row>
    <row r="1343" spans="1:10" x14ac:dyDescent="0.35">
      <c r="A1343" s="58">
        <v>41578</v>
      </c>
      <c r="B1343" s="55">
        <f t="shared" si="40"/>
        <v>2013</v>
      </c>
      <c r="C1343" s="55"/>
      <c r="D1343" s="55">
        <f t="shared" si="41"/>
        <v>10</v>
      </c>
      <c r="E1343" s="60">
        <v>27</v>
      </c>
      <c r="F1343" s="60">
        <v>29</v>
      </c>
      <c r="G1343" s="61">
        <v>28</v>
      </c>
      <c r="H1343" s="60">
        <v>22</v>
      </c>
      <c r="I1343" s="60">
        <v>24</v>
      </c>
      <c r="J1343" s="61">
        <v>23</v>
      </c>
    </row>
    <row r="1344" spans="1:10" x14ac:dyDescent="0.35">
      <c r="A1344" s="58">
        <v>41585</v>
      </c>
      <c r="B1344" s="55">
        <f t="shared" si="40"/>
        <v>2013</v>
      </c>
      <c r="C1344" s="55"/>
      <c r="D1344" s="55">
        <f t="shared" si="41"/>
        <v>11</v>
      </c>
      <c r="E1344" s="60">
        <v>27</v>
      </c>
      <c r="F1344" s="60">
        <v>29</v>
      </c>
      <c r="G1344" s="61">
        <v>28</v>
      </c>
      <c r="H1344" s="60">
        <v>22</v>
      </c>
      <c r="I1344" s="60">
        <v>24</v>
      </c>
      <c r="J1344" s="61">
        <v>23</v>
      </c>
    </row>
    <row r="1345" spans="1:10" x14ac:dyDescent="0.35">
      <c r="A1345" s="58">
        <v>41592</v>
      </c>
      <c r="B1345" s="55">
        <f t="shared" si="40"/>
        <v>2013</v>
      </c>
      <c r="C1345" s="55"/>
      <c r="D1345" s="55">
        <f t="shared" si="41"/>
        <v>11</v>
      </c>
      <c r="E1345" s="60">
        <v>28</v>
      </c>
      <c r="F1345" s="60">
        <v>30</v>
      </c>
      <c r="G1345" s="61">
        <v>29</v>
      </c>
      <c r="H1345" s="60">
        <v>22</v>
      </c>
      <c r="I1345" s="60">
        <v>24</v>
      </c>
      <c r="J1345" s="61">
        <v>23</v>
      </c>
    </row>
    <row r="1346" spans="1:10" x14ac:dyDescent="0.35">
      <c r="A1346" s="58">
        <v>41599</v>
      </c>
      <c r="B1346" s="55">
        <f t="shared" si="40"/>
        <v>2013</v>
      </c>
      <c r="C1346" s="55"/>
      <c r="D1346" s="55">
        <f t="shared" si="41"/>
        <v>11</v>
      </c>
      <c r="E1346" s="60">
        <v>29</v>
      </c>
      <c r="F1346" s="60">
        <v>31</v>
      </c>
      <c r="G1346" s="61">
        <v>30</v>
      </c>
      <c r="H1346" s="60">
        <v>22</v>
      </c>
      <c r="I1346" s="60">
        <v>24</v>
      </c>
      <c r="J1346" s="61">
        <v>23</v>
      </c>
    </row>
    <row r="1347" spans="1:10" x14ac:dyDescent="0.35">
      <c r="A1347" s="58">
        <v>41606</v>
      </c>
      <c r="B1347" s="55">
        <f t="shared" si="40"/>
        <v>2013</v>
      </c>
      <c r="C1347" s="55"/>
      <c r="D1347" s="55">
        <f t="shared" si="41"/>
        <v>11</v>
      </c>
      <c r="E1347" s="60">
        <v>29</v>
      </c>
      <c r="F1347" s="60">
        <v>31</v>
      </c>
      <c r="G1347" s="61">
        <v>30</v>
      </c>
      <c r="H1347" s="60">
        <v>22</v>
      </c>
      <c r="I1347" s="60">
        <v>24</v>
      </c>
      <c r="J1347" s="61">
        <v>23</v>
      </c>
    </row>
    <row r="1348" spans="1:10" x14ac:dyDescent="0.35">
      <c r="A1348" s="58">
        <v>41613</v>
      </c>
      <c r="B1348" s="55">
        <f t="shared" ref="B1348:B1411" si="42">YEAR(A1348)</f>
        <v>2013</v>
      </c>
      <c r="C1348" s="55"/>
      <c r="D1348" s="55">
        <f t="shared" ref="D1348:D1411" si="43">MONTH(A1348)</f>
        <v>12</v>
      </c>
      <c r="E1348" s="60">
        <v>29</v>
      </c>
      <c r="F1348" s="60">
        <v>31</v>
      </c>
      <c r="G1348" s="61">
        <v>30</v>
      </c>
      <c r="H1348" s="60">
        <v>21</v>
      </c>
      <c r="I1348" s="60">
        <v>23</v>
      </c>
      <c r="J1348" s="61">
        <v>22</v>
      </c>
    </row>
    <row r="1349" spans="1:10" x14ac:dyDescent="0.35">
      <c r="A1349" s="58">
        <v>41620</v>
      </c>
      <c r="B1349" s="55">
        <f t="shared" si="42"/>
        <v>2013</v>
      </c>
      <c r="C1349" s="55"/>
      <c r="D1349" s="55">
        <f t="shared" si="43"/>
        <v>12</v>
      </c>
      <c r="E1349" s="60">
        <v>30</v>
      </c>
      <c r="F1349" s="60">
        <v>32</v>
      </c>
      <c r="G1349" s="61">
        <v>31</v>
      </c>
      <c r="H1349" s="60">
        <v>21</v>
      </c>
      <c r="I1349" s="60">
        <v>23</v>
      </c>
      <c r="J1349" s="61">
        <v>22</v>
      </c>
    </row>
    <row r="1350" spans="1:10" x14ac:dyDescent="0.35">
      <c r="A1350" s="58">
        <v>41627</v>
      </c>
      <c r="B1350" s="55">
        <f t="shared" si="42"/>
        <v>2013</v>
      </c>
      <c r="C1350" s="55"/>
      <c r="D1350" s="55">
        <f t="shared" si="43"/>
        <v>12</v>
      </c>
      <c r="E1350" s="60">
        <v>30</v>
      </c>
      <c r="F1350" s="60">
        <v>32</v>
      </c>
      <c r="G1350" s="61">
        <v>31</v>
      </c>
      <c r="H1350" s="60">
        <v>21</v>
      </c>
      <c r="I1350" s="60">
        <v>23</v>
      </c>
      <c r="J1350" s="61">
        <v>22</v>
      </c>
    </row>
    <row r="1351" spans="1:10" x14ac:dyDescent="0.35">
      <c r="A1351" s="58">
        <v>41634</v>
      </c>
      <c r="B1351" s="55">
        <f t="shared" si="42"/>
        <v>2013</v>
      </c>
      <c r="C1351" s="55"/>
      <c r="D1351" s="55">
        <f t="shared" si="43"/>
        <v>12</v>
      </c>
      <c r="E1351" s="60">
        <v>30</v>
      </c>
      <c r="F1351" s="60">
        <v>32</v>
      </c>
      <c r="G1351" s="61">
        <v>31</v>
      </c>
      <c r="H1351" s="60">
        <v>21</v>
      </c>
      <c r="I1351" s="60">
        <v>23</v>
      </c>
      <c r="J1351" s="61">
        <v>22</v>
      </c>
    </row>
    <row r="1352" spans="1:10" x14ac:dyDescent="0.35">
      <c r="A1352" s="58">
        <v>41641</v>
      </c>
      <c r="B1352" s="55">
        <f t="shared" si="42"/>
        <v>2014</v>
      </c>
      <c r="C1352" s="55"/>
      <c r="D1352" s="55">
        <f t="shared" si="43"/>
        <v>1</v>
      </c>
      <c r="E1352" s="60">
        <v>30</v>
      </c>
      <c r="F1352" s="60">
        <v>32</v>
      </c>
      <c r="G1352" s="61">
        <v>31</v>
      </c>
      <c r="H1352" s="60">
        <v>21</v>
      </c>
      <c r="I1352" s="60">
        <v>23</v>
      </c>
      <c r="J1352" s="61">
        <v>22</v>
      </c>
    </row>
    <row r="1353" spans="1:10" x14ac:dyDescent="0.35">
      <c r="A1353" s="58">
        <v>41648</v>
      </c>
      <c r="B1353" s="55">
        <f t="shared" si="42"/>
        <v>2014</v>
      </c>
      <c r="C1353" s="55"/>
      <c r="D1353" s="55">
        <f t="shared" si="43"/>
        <v>1</v>
      </c>
      <c r="E1353" s="60">
        <v>30</v>
      </c>
      <c r="F1353" s="60">
        <v>32</v>
      </c>
      <c r="G1353" s="61">
        <v>31</v>
      </c>
      <c r="H1353" s="60">
        <v>20</v>
      </c>
      <c r="I1353" s="60">
        <v>22</v>
      </c>
      <c r="J1353" s="61">
        <v>21</v>
      </c>
    </row>
    <row r="1354" spans="1:10" x14ac:dyDescent="0.35">
      <c r="A1354" s="58">
        <v>41655</v>
      </c>
      <c r="B1354" s="55">
        <f t="shared" si="42"/>
        <v>2014</v>
      </c>
      <c r="C1354" s="55"/>
      <c r="D1354" s="55">
        <f t="shared" si="43"/>
        <v>1</v>
      </c>
      <c r="E1354" s="60">
        <v>29</v>
      </c>
      <c r="F1354" s="60">
        <v>31</v>
      </c>
      <c r="G1354" s="61">
        <v>30</v>
      </c>
      <c r="H1354" s="60">
        <v>19</v>
      </c>
      <c r="I1354" s="60">
        <v>21</v>
      </c>
      <c r="J1354" s="61">
        <v>20</v>
      </c>
    </row>
    <row r="1355" spans="1:10" x14ac:dyDescent="0.35">
      <c r="A1355" s="58">
        <v>41662</v>
      </c>
      <c r="B1355" s="55">
        <f t="shared" si="42"/>
        <v>2014</v>
      </c>
      <c r="C1355" s="55"/>
      <c r="D1355" s="55">
        <f t="shared" si="43"/>
        <v>1</v>
      </c>
      <c r="E1355" s="60">
        <v>28</v>
      </c>
      <c r="F1355" s="60">
        <v>30</v>
      </c>
      <c r="G1355" s="61">
        <v>29</v>
      </c>
      <c r="H1355" s="60">
        <v>18</v>
      </c>
      <c r="I1355" s="60">
        <v>20</v>
      </c>
      <c r="J1355" s="61">
        <v>19</v>
      </c>
    </row>
    <row r="1356" spans="1:10" x14ac:dyDescent="0.35">
      <c r="A1356" s="58">
        <v>41669</v>
      </c>
      <c r="B1356" s="55">
        <f t="shared" si="42"/>
        <v>2014</v>
      </c>
      <c r="C1356" s="55"/>
      <c r="D1356" s="55">
        <f t="shared" si="43"/>
        <v>1</v>
      </c>
      <c r="E1356" s="60">
        <v>28</v>
      </c>
      <c r="F1356" s="60">
        <v>30</v>
      </c>
      <c r="G1356" s="61">
        <v>29</v>
      </c>
      <c r="H1356" s="60">
        <v>18</v>
      </c>
      <c r="I1356" s="60">
        <v>20</v>
      </c>
      <c r="J1356" s="61">
        <v>19</v>
      </c>
    </row>
    <row r="1357" spans="1:10" x14ac:dyDescent="0.35">
      <c r="A1357" s="58">
        <v>41676</v>
      </c>
      <c r="B1357" s="55">
        <f t="shared" si="42"/>
        <v>2014</v>
      </c>
      <c r="C1357" s="55"/>
      <c r="D1357" s="55">
        <f t="shared" si="43"/>
        <v>2</v>
      </c>
      <c r="E1357" s="60">
        <v>28</v>
      </c>
      <c r="F1357" s="60">
        <v>30</v>
      </c>
      <c r="G1357" s="61">
        <v>29</v>
      </c>
      <c r="H1357" s="60">
        <v>18</v>
      </c>
      <c r="I1357" s="60">
        <v>20</v>
      </c>
      <c r="J1357" s="61">
        <v>19</v>
      </c>
    </row>
    <row r="1358" spans="1:10" x14ac:dyDescent="0.35">
      <c r="A1358" s="58">
        <v>41683</v>
      </c>
      <c r="B1358" s="55">
        <f t="shared" si="42"/>
        <v>2014</v>
      </c>
      <c r="C1358" s="55"/>
      <c r="D1358" s="55">
        <f t="shared" si="43"/>
        <v>2</v>
      </c>
      <c r="E1358" s="60">
        <v>30</v>
      </c>
      <c r="F1358" s="60">
        <v>32</v>
      </c>
      <c r="G1358" s="61">
        <v>31</v>
      </c>
      <c r="H1358" s="60">
        <v>17</v>
      </c>
      <c r="I1358" s="60">
        <v>19</v>
      </c>
      <c r="J1358" s="61">
        <v>18</v>
      </c>
    </row>
    <row r="1359" spans="1:10" x14ac:dyDescent="0.35">
      <c r="A1359" s="58">
        <v>41690</v>
      </c>
      <c r="B1359" s="55">
        <f t="shared" si="42"/>
        <v>2014</v>
      </c>
      <c r="C1359" s="55"/>
      <c r="D1359" s="55">
        <f t="shared" si="43"/>
        <v>2</v>
      </c>
      <c r="E1359" s="60">
        <v>30</v>
      </c>
      <c r="F1359" s="60">
        <v>32</v>
      </c>
      <c r="G1359" s="61">
        <v>31</v>
      </c>
      <c r="H1359" s="60">
        <v>17</v>
      </c>
      <c r="I1359" s="60">
        <v>19</v>
      </c>
      <c r="J1359" s="61">
        <v>18</v>
      </c>
    </row>
    <row r="1360" spans="1:10" x14ac:dyDescent="0.35">
      <c r="A1360" s="58">
        <v>41697</v>
      </c>
      <c r="B1360" s="55">
        <f t="shared" si="42"/>
        <v>2014</v>
      </c>
      <c r="C1360" s="55"/>
      <c r="D1360" s="55">
        <f t="shared" si="43"/>
        <v>2</v>
      </c>
      <c r="E1360" s="60">
        <v>30</v>
      </c>
      <c r="F1360" s="60">
        <v>32</v>
      </c>
      <c r="G1360" s="61">
        <v>31</v>
      </c>
      <c r="H1360" s="60">
        <v>17</v>
      </c>
      <c r="I1360" s="60">
        <v>19</v>
      </c>
      <c r="J1360" s="61">
        <v>18</v>
      </c>
    </row>
    <row r="1361" spans="1:10" x14ac:dyDescent="0.35">
      <c r="A1361" s="58">
        <v>41704</v>
      </c>
      <c r="B1361" s="55">
        <f t="shared" si="42"/>
        <v>2014</v>
      </c>
      <c r="C1361" s="55"/>
      <c r="D1361" s="55">
        <f t="shared" si="43"/>
        <v>3</v>
      </c>
      <c r="E1361" s="60">
        <v>30</v>
      </c>
      <c r="F1361" s="60">
        <v>32</v>
      </c>
      <c r="G1361" s="61">
        <v>31</v>
      </c>
      <c r="H1361" s="60">
        <v>17</v>
      </c>
      <c r="I1361" s="60">
        <v>19</v>
      </c>
      <c r="J1361" s="61">
        <v>18</v>
      </c>
    </row>
    <row r="1362" spans="1:10" x14ac:dyDescent="0.35">
      <c r="A1362" s="58">
        <v>41711</v>
      </c>
      <c r="B1362" s="55">
        <f t="shared" si="42"/>
        <v>2014</v>
      </c>
      <c r="C1362" s="55"/>
      <c r="D1362" s="55">
        <f t="shared" si="43"/>
        <v>3</v>
      </c>
      <c r="E1362" s="60">
        <v>31</v>
      </c>
      <c r="F1362" s="60">
        <v>33</v>
      </c>
      <c r="G1362" s="61">
        <v>32</v>
      </c>
      <c r="H1362" s="60">
        <v>17</v>
      </c>
      <c r="I1362" s="60">
        <v>19</v>
      </c>
      <c r="J1362" s="61">
        <v>18</v>
      </c>
    </row>
    <row r="1363" spans="1:10" x14ac:dyDescent="0.35">
      <c r="A1363" s="58">
        <v>41718</v>
      </c>
      <c r="B1363" s="55">
        <f t="shared" si="42"/>
        <v>2014</v>
      </c>
      <c r="C1363" s="55"/>
      <c r="D1363" s="55">
        <f t="shared" si="43"/>
        <v>3</v>
      </c>
      <c r="E1363" s="60">
        <v>31</v>
      </c>
      <c r="F1363" s="60">
        <v>33</v>
      </c>
      <c r="G1363" s="61">
        <v>32</v>
      </c>
      <c r="H1363" s="60">
        <v>18</v>
      </c>
      <c r="I1363" s="60">
        <v>20</v>
      </c>
      <c r="J1363" s="61">
        <v>19</v>
      </c>
    </row>
    <row r="1364" spans="1:10" x14ac:dyDescent="0.35">
      <c r="A1364" s="58">
        <v>41725</v>
      </c>
      <c r="B1364" s="55">
        <f t="shared" si="42"/>
        <v>2014</v>
      </c>
      <c r="C1364" s="55"/>
      <c r="D1364" s="55">
        <f t="shared" si="43"/>
        <v>3</v>
      </c>
      <c r="E1364" s="60">
        <v>30</v>
      </c>
      <c r="F1364" s="60">
        <v>32</v>
      </c>
      <c r="G1364" s="61">
        <v>31</v>
      </c>
      <c r="H1364" s="60">
        <v>18</v>
      </c>
      <c r="I1364" s="60">
        <v>20</v>
      </c>
      <c r="J1364" s="61">
        <v>19</v>
      </c>
    </row>
    <row r="1365" spans="1:10" x14ac:dyDescent="0.35">
      <c r="A1365" s="58">
        <v>41732</v>
      </c>
      <c r="B1365" s="55">
        <f t="shared" si="42"/>
        <v>2014</v>
      </c>
      <c r="C1365" s="55"/>
      <c r="D1365" s="55">
        <f t="shared" si="43"/>
        <v>4</v>
      </c>
      <c r="E1365" s="60">
        <v>31</v>
      </c>
      <c r="F1365" s="60">
        <v>33</v>
      </c>
      <c r="G1365" s="61">
        <v>32</v>
      </c>
      <c r="H1365" s="60">
        <v>18</v>
      </c>
      <c r="I1365" s="60">
        <v>20</v>
      </c>
      <c r="J1365" s="61">
        <v>19</v>
      </c>
    </row>
    <row r="1366" spans="1:10" x14ac:dyDescent="0.35">
      <c r="A1366" s="58">
        <v>41739</v>
      </c>
      <c r="B1366" s="55">
        <f t="shared" si="42"/>
        <v>2014</v>
      </c>
      <c r="C1366" s="55"/>
      <c r="D1366" s="55">
        <f t="shared" si="43"/>
        <v>4</v>
      </c>
      <c r="E1366" s="60">
        <v>29</v>
      </c>
      <c r="F1366" s="60">
        <v>31</v>
      </c>
      <c r="G1366" s="61">
        <v>30</v>
      </c>
      <c r="H1366" s="60">
        <v>18</v>
      </c>
      <c r="I1366" s="60">
        <v>20</v>
      </c>
      <c r="J1366" s="61">
        <v>19</v>
      </c>
    </row>
    <row r="1367" spans="1:10" x14ac:dyDescent="0.35">
      <c r="A1367" s="58">
        <v>41746</v>
      </c>
      <c r="B1367" s="55">
        <f t="shared" si="42"/>
        <v>2014</v>
      </c>
      <c r="C1367" s="55"/>
      <c r="D1367" s="55">
        <f t="shared" si="43"/>
        <v>4</v>
      </c>
      <c r="E1367" s="60">
        <v>29</v>
      </c>
      <c r="F1367" s="60">
        <v>31</v>
      </c>
      <c r="G1367" s="61">
        <v>30</v>
      </c>
      <c r="H1367" s="60">
        <v>18</v>
      </c>
      <c r="I1367" s="60">
        <v>20</v>
      </c>
      <c r="J1367" s="61">
        <v>19</v>
      </c>
    </row>
    <row r="1368" spans="1:10" x14ac:dyDescent="0.35">
      <c r="A1368" s="58">
        <v>41753</v>
      </c>
      <c r="B1368" s="55">
        <f t="shared" si="42"/>
        <v>2014</v>
      </c>
      <c r="C1368" s="55"/>
      <c r="D1368" s="55">
        <f t="shared" si="43"/>
        <v>4</v>
      </c>
      <c r="E1368" s="60">
        <v>28</v>
      </c>
      <c r="F1368" s="60">
        <v>30</v>
      </c>
      <c r="G1368" s="61">
        <v>29</v>
      </c>
      <c r="H1368" s="60">
        <v>17</v>
      </c>
      <c r="I1368" s="60">
        <v>19</v>
      </c>
      <c r="J1368" s="61">
        <v>18</v>
      </c>
    </row>
    <row r="1369" spans="1:10" x14ac:dyDescent="0.35">
      <c r="A1369" s="58">
        <v>41760</v>
      </c>
      <c r="B1369" s="55">
        <f t="shared" si="42"/>
        <v>2014</v>
      </c>
      <c r="C1369" s="55"/>
      <c r="D1369" s="55">
        <f t="shared" si="43"/>
        <v>5</v>
      </c>
      <c r="E1369" s="60">
        <v>28</v>
      </c>
      <c r="F1369" s="60">
        <v>30</v>
      </c>
      <c r="G1369" s="61">
        <v>29</v>
      </c>
      <c r="H1369" s="60">
        <v>17</v>
      </c>
      <c r="I1369" s="60">
        <v>19</v>
      </c>
      <c r="J1369" s="61">
        <v>18</v>
      </c>
    </row>
    <row r="1370" spans="1:10" x14ac:dyDescent="0.35">
      <c r="A1370" s="58">
        <v>41767</v>
      </c>
      <c r="B1370" s="55">
        <f t="shared" si="42"/>
        <v>2014</v>
      </c>
      <c r="C1370" s="55"/>
      <c r="D1370" s="55">
        <f t="shared" si="43"/>
        <v>5</v>
      </c>
      <c r="E1370" s="60">
        <v>28</v>
      </c>
      <c r="F1370" s="60">
        <v>30</v>
      </c>
      <c r="G1370" s="61">
        <v>29</v>
      </c>
      <c r="H1370" s="60">
        <v>17</v>
      </c>
      <c r="I1370" s="60">
        <v>19</v>
      </c>
      <c r="J1370" s="61">
        <v>18</v>
      </c>
    </row>
    <row r="1371" spans="1:10" x14ac:dyDescent="0.35">
      <c r="A1371" s="58">
        <v>41774</v>
      </c>
      <c r="B1371" s="55">
        <f t="shared" si="42"/>
        <v>2014</v>
      </c>
      <c r="C1371" s="55"/>
      <c r="D1371" s="55">
        <f t="shared" si="43"/>
        <v>5</v>
      </c>
      <c r="E1371" s="60">
        <v>29</v>
      </c>
      <c r="F1371" s="60">
        <v>31</v>
      </c>
      <c r="G1371" s="61">
        <v>30</v>
      </c>
      <c r="H1371" s="60">
        <v>17</v>
      </c>
      <c r="I1371" s="60">
        <v>19</v>
      </c>
      <c r="J1371" s="61">
        <v>18</v>
      </c>
    </row>
    <row r="1372" spans="1:10" x14ac:dyDescent="0.35">
      <c r="A1372" s="58">
        <v>41781</v>
      </c>
      <c r="B1372" s="55">
        <f t="shared" si="42"/>
        <v>2014</v>
      </c>
      <c r="C1372" s="55"/>
      <c r="D1372" s="55">
        <f t="shared" si="43"/>
        <v>5</v>
      </c>
      <c r="E1372" s="60">
        <v>30</v>
      </c>
      <c r="F1372" s="60">
        <v>32</v>
      </c>
      <c r="G1372" s="61">
        <v>31</v>
      </c>
      <c r="H1372" s="60">
        <v>17</v>
      </c>
      <c r="I1372" s="60">
        <v>19</v>
      </c>
      <c r="J1372" s="61">
        <v>18</v>
      </c>
    </row>
    <row r="1373" spans="1:10" x14ac:dyDescent="0.35">
      <c r="A1373" s="58">
        <v>41788</v>
      </c>
      <c r="B1373" s="55">
        <f t="shared" si="42"/>
        <v>2014</v>
      </c>
      <c r="C1373" s="55"/>
      <c r="D1373" s="55">
        <f t="shared" si="43"/>
        <v>5</v>
      </c>
      <c r="E1373" s="60">
        <v>30</v>
      </c>
      <c r="F1373" s="60">
        <v>32</v>
      </c>
      <c r="G1373" s="61">
        <v>31</v>
      </c>
      <c r="H1373" s="60">
        <v>17</v>
      </c>
      <c r="I1373" s="60">
        <v>19</v>
      </c>
      <c r="J1373" s="61">
        <v>18</v>
      </c>
    </row>
    <row r="1374" spans="1:10" x14ac:dyDescent="0.35">
      <c r="A1374" s="58">
        <v>41795</v>
      </c>
      <c r="B1374" s="55">
        <f t="shared" si="42"/>
        <v>2014</v>
      </c>
      <c r="C1374" s="55"/>
      <c r="D1374" s="55">
        <f t="shared" si="43"/>
        <v>6</v>
      </c>
      <c r="E1374" s="60">
        <v>30</v>
      </c>
      <c r="F1374" s="60">
        <v>32</v>
      </c>
      <c r="G1374" s="61">
        <v>31</v>
      </c>
      <c r="H1374" s="60">
        <v>17</v>
      </c>
      <c r="I1374" s="60">
        <v>19</v>
      </c>
      <c r="J1374" s="61">
        <v>18</v>
      </c>
    </row>
    <row r="1375" spans="1:10" x14ac:dyDescent="0.35">
      <c r="A1375" s="58">
        <v>41802</v>
      </c>
      <c r="B1375" s="55">
        <f t="shared" si="42"/>
        <v>2014</v>
      </c>
      <c r="C1375" s="55"/>
      <c r="D1375" s="55">
        <f t="shared" si="43"/>
        <v>6</v>
      </c>
      <c r="E1375" s="60">
        <v>29</v>
      </c>
      <c r="F1375" s="60">
        <v>31</v>
      </c>
      <c r="G1375" s="61">
        <v>30</v>
      </c>
      <c r="H1375" s="60">
        <v>15</v>
      </c>
      <c r="I1375" s="60">
        <v>17</v>
      </c>
      <c r="J1375" s="61">
        <v>16</v>
      </c>
    </row>
    <row r="1376" spans="1:10" x14ac:dyDescent="0.35">
      <c r="A1376" s="58">
        <v>41809</v>
      </c>
      <c r="B1376" s="55">
        <f t="shared" si="42"/>
        <v>2014</v>
      </c>
      <c r="C1376" s="55"/>
      <c r="D1376" s="55">
        <f t="shared" si="43"/>
        <v>6</v>
      </c>
      <c r="E1376" s="60">
        <v>29</v>
      </c>
      <c r="F1376" s="60">
        <v>31</v>
      </c>
      <c r="G1376" s="61">
        <v>30</v>
      </c>
      <c r="H1376" s="60">
        <v>15</v>
      </c>
      <c r="I1376" s="60">
        <v>17</v>
      </c>
      <c r="J1376" s="61">
        <v>16</v>
      </c>
    </row>
    <row r="1377" spans="1:10" x14ac:dyDescent="0.35">
      <c r="A1377" s="58">
        <v>41816</v>
      </c>
      <c r="B1377" s="55">
        <f t="shared" si="42"/>
        <v>2014</v>
      </c>
      <c r="C1377" s="55"/>
      <c r="D1377" s="55">
        <f t="shared" si="43"/>
        <v>6</v>
      </c>
      <c r="E1377" s="60">
        <v>29</v>
      </c>
      <c r="F1377" s="60">
        <v>31</v>
      </c>
      <c r="G1377" s="61">
        <v>30</v>
      </c>
      <c r="H1377" s="60">
        <v>15</v>
      </c>
      <c r="I1377" s="60">
        <v>17</v>
      </c>
      <c r="J1377" s="61">
        <v>16</v>
      </c>
    </row>
    <row r="1378" spans="1:10" x14ac:dyDescent="0.35">
      <c r="A1378" s="58">
        <v>41823</v>
      </c>
      <c r="B1378" s="55">
        <f t="shared" si="42"/>
        <v>2014</v>
      </c>
      <c r="C1378" s="55"/>
      <c r="D1378" s="55">
        <f t="shared" si="43"/>
        <v>7</v>
      </c>
      <c r="E1378" s="60">
        <v>29</v>
      </c>
      <c r="F1378" s="60">
        <v>31</v>
      </c>
      <c r="G1378" s="61">
        <v>30</v>
      </c>
      <c r="H1378" s="60">
        <v>15</v>
      </c>
      <c r="I1378" s="60">
        <v>17</v>
      </c>
      <c r="J1378" s="61">
        <v>16</v>
      </c>
    </row>
    <row r="1379" spans="1:10" x14ac:dyDescent="0.35">
      <c r="A1379" s="58">
        <v>41830</v>
      </c>
      <c r="B1379" s="55">
        <f t="shared" si="42"/>
        <v>2014</v>
      </c>
      <c r="C1379" s="55"/>
      <c r="D1379" s="55">
        <f t="shared" si="43"/>
        <v>7</v>
      </c>
      <c r="E1379" s="60">
        <v>29</v>
      </c>
      <c r="F1379" s="60">
        <v>31</v>
      </c>
      <c r="G1379" s="61">
        <v>30</v>
      </c>
      <c r="H1379" s="60">
        <v>15</v>
      </c>
      <c r="I1379" s="60">
        <v>17</v>
      </c>
      <c r="J1379" s="61">
        <v>16</v>
      </c>
    </row>
    <row r="1380" spans="1:10" x14ac:dyDescent="0.35">
      <c r="A1380" s="58">
        <v>41837</v>
      </c>
      <c r="B1380" s="55">
        <f t="shared" si="42"/>
        <v>2014</v>
      </c>
      <c r="C1380" s="55"/>
      <c r="D1380" s="55">
        <f t="shared" si="43"/>
        <v>7</v>
      </c>
      <c r="E1380" s="60">
        <v>25</v>
      </c>
      <c r="F1380" s="60">
        <v>27</v>
      </c>
      <c r="G1380" s="61">
        <v>26</v>
      </c>
      <c r="H1380" s="60">
        <v>15</v>
      </c>
      <c r="I1380" s="60">
        <v>17</v>
      </c>
      <c r="J1380" s="61">
        <v>16</v>
      </c>
    </row>
    <row r="1381" spans="1:10" x14ac:dyDescent="0.35">
      <c r="A1381" s="58">
        <v>41844</v>
      </c>
      <c r="B1381" s="55">
        <f t="shared" si="42"/>
        <v>2014</v>
      </c>
      <c r="C1381" s="55"/>
      <c r="D1381" s="55">
        <f t="shared" si="43"/>
        <v>7</v>
      </c>
      <c r="E1381" s="60">
        <v>25</v>
      </c>
      <c r="F1381" s="60">
        <v>27</v>
      </c>
      <c r="G1381" s="61">
        <v>26</v>
      </c>
      <c r="H1381" s="60">
        <v>15</v>
      </c>
      <c r="I1381" s="60">
        <v>17</v>
      </c>
      <c r="J1381" s="61">
        <v>16</v>
      </c>
    </row>
    <row r="1382" spans="1:10" x14ac:dyDescent="0.35">
      <c r="A1382" s="58">
        <v>41851</v>
      </c>
      <c r="B1382" s="55">
        <f t="shared" si="42"/>
        <v>2014</v>
      </c>
      <c r="C1382" s="55"/>
      <c r="D1382" s="55">
        <f t="shared" si="43"/>
        <v>7</v>
      </c>
      <c r="E1382" s="60">
        <v>26</v>
      </c>
      <c r="F1382" s="60">
        <v>28</v>
      </c>
      <c r="G1382" s="61">
        <v>27</v>
      </c>
      <c r="H1382" s="60">
        <v>15</v>
      </c>
      <c r="I1382" s="60">
        <v>17</v>
      </c>
      <c r="J1382" s="61">
        <v>16</v>
      </c>
    </row>
    <row r="1383" spans="1:10" x14ac:dyDescent="0.35">
      <c r="A1383" s="58">
        <v>41858</v>
      </c>
      <c r="B1383" s="55">
        <f t="shared" si="42"/>
        <v>2014</v>
      </c>
      <c r="C1383" s="55"/>
      <c r="D1383" s="55">
        <f t="shared" si="43"/>
        <v>8</v>
      </c>
      <c r="E1383" s="60">
        <v>26</v>
      </c>
      <c r="F1383" s="60">
        <v>28</v>
      </c>
      <c r="G1383" s="61">
        <v>27</v>
      </c>
      <c r="H1383" s="60">
        <v>15</v>
      </c>
      <c r="I1383" s="60">
        <v>17</v>
      </c>
      <c r="J1383" s="61">
        <v>16</v>
      </c>
    </row>
    <row r="1384" spans="1:10" x14ac:dyDescent="0.35">
      <c r="A1384" s="58">
        <v>41865</v>
      </c>
      <c r="B1384" s="55">
        <f t="shared" si="42"/>
        <v>2014</v>
      </c>
      <c r="C1384" s="55"/>
      <c r="D1384" s="55">
        <f t="shared" si="43"/>
        <v>8</v>
      </c>
      <c r="E1384" s="60">
        <v>26</v>
      </c>
      <c r="F1384" s="60">
        <v>28</v>
      </c>
      <c r="G1384" s="61">
        <v>27</v>
      </c>
      <c r="H1384" s="60">
        <v>16</v>
      </c>
      <c r="I1384" s="60">
        <v>18</v>
      </c>
      <c r="J1384" s="61">
        <v>17</v>
      </c>
    </row>
    <row r="1385" spans="1:10" x14ac:dyDescent="0.35">
      <c r="A1385" s="58">
        <v>41872</v>
      </c>
      <c r="B1385" s="55">
        <f t="shared" si="42"/>
        <v>2014</v>
      </c>
      <c r="C1385" s="55"/>
      <c r="D1385" s="55">
        <f t="shared" si="43"/>
        <v>8</v>
      </c>
      <c r="E1385" s="60">
        <v>26</v>
      </c>
      <c r="F1385" s="60">
        <v>28</v>
      </c>
      <c r="G1385" s="61">
        <v>27</v>
      </c>
      <c r="H1385" s="60">
        <v>16</v>
      </c>
      <c r="I1385" s="60">
        <v>18</v>
      </c>
      <c r="J1385" s="61">
        <v>17</v>
      </c>
    </row>
    <row r="1386" spans="1:10" x14ac:dyDescent="0.35">
      <c r="A1386" s="58">
        <v>41879</v>
      </c>
      <c r="B1386" s="55">
        <f t="shared" si="42"/>
        <v>2014</v>
      </c>
      <c r="C1386" s="55"/>
      <c r="D1386" s="55">
        <f t="shared" si="43"/>
        <v>8</v>
      </c>
      <c r="E1386" s="60">
        <v>27</v>
      </c>
      <c r="F1386" s="60">
        <v>29</v>
      </c>
      <c r="G1386" s="61">
        <v>28</v>
      </c>
      <c r="H1386" s="60">
        <v>17</v>
      </c>
      <c r="I1386" s="60">
        <v>19</v>
      </c>
      <c r="J1386" s="61">
        <v>18</v>
      </c>
    </row>
    <row r="1387" spans="1:10" x14ac:dyDescent="0.35">
      <c r="A1387" s="58">
        <v>41886</v>
      </c>
      <c r="B1387" s="55">
        <f t="shared" si="42"/>
        <v>2014</v>
      </c>
      <c r="C1387" s="55"/>
      <c r="D1387" s="55">
        <f t="shared" si="43"/>
        <v>9</v>
      </c>
      <c r="E1387" s="60">
        <v>26</v>
      </c>
      <c r="F1387" s="60">
        <v>28</v>
      </c>
      <c r="G1387" s="61">
        <v>27</v>
      </c>
      <c r="H1387" s="60">
        <v>18</v>
      </c>
      <c r="I1387" s="60">
        <v>20</v>
      </c>
      <c r="J1387" s="61">
        <v>19</v>
      </c>
    </row>
    <row r="1388" spans="1:10" x14ac:dyDescent="0.35">
      <c r="A1388" s="58">
        <v>41893</v>
      </c>
      <c r="B1388" s="55">
        <f t="shared" si="42"/>
        <v>2014</v>
      </c>
      <c r="C1388" s="55"/>
      <c r="D1388" s="55">
        <f t="shared" si="43"/>
        <v>9</v>
      </c>
      <c r="E1388" s="60">
        <v>26</v>
      </c>
      <c r="F1388" s="60">
        <v>28</v>
      </c>
      <c r="G1388" s="61">
        <v>27</v>
      </c>
      <c r="H1388" s="60">
        <v>18</v>
      </c>
      <c r="I1388" s="60">
        <v>20</v>
      </c>
      <c r="J1388" s="61">
        <v>19</v>
      </c>
    </row>
    <row r="1389" spans="1:10" x14ac:dyDescent="0.35">
      <c r="A1389" s="58">
        <v>41900</v>
      </c>
      <c r="B1389" s="55">
        <f t="shared" si="42"/>
        <v>2014</v>
      </c>
      <c r="C1389" s="55"/>
      <c r="D1389" s="55">
        <f t="shared" si="43"/>
        <v>9</v>
      </c>
      <c r="E1389" s="60">
        <v>26</v>
      </c>
      <c r="F1389" s="60">
        <v>28</v>
      </c>
      <c r="G1389" s="61">
        <v>27</v>
      </c>
      <c r="H1389" s="60">
        <v>18</v>
      </c>
      <c r="I1389" s="60">
        <v>20</v>
      </c>
      <c r="J1389" s="61">
        <v>19</v>
      </c>
    </row>
    <row r="1390" spans="1:10" x14ac:dyDescent="0.35">
      <c r="A1390" s="58">
        <v>41907</v>
      </c>
      <c r="B1390" s="55">
        <f t="shared" si="42"/>
        <v>2014</v>
      </c>
      <c r="C1390" s="55"/>
      <c r="D1390" s="55">
        <f t="shared" si="43"/>
        <v>9</v>
      </c>
      <c r="E1390" s="60">
        <v>26</v>
      </c>
      <c r="F1390" s="60">
        <v>28</v>
      </c>
      <c r="G1390" s="61">
        <v>27</v>
      </c>
      <c r="H1390" s="60">
        <v>18</v>
      </c>
      <c r="I1390" s="60">
        <v>20</v>
      </c>
      <c r="J1390" s="61">
        <v>19</v>
      </c>
    </row>
    <row r="1391" spans="1:10" x14ac:dyDescent="0.35">
      <c r="A1391" s="58">
        <v>41914</v>
      </c>
      <c r="B1391" s="55">
        <f t="shared" si="42"/>
        <v>2014</v>
      </c>
      <c r="C1391" s="55"/>
      <c r="D1391" s="55">
        <f t="shared" si="43"/>
        <v>10</v>
      </c>
      <c r="E1391" s="60">
        <v>24</v>
      </c>
      <c r="F1391" s="60">
        <v>26</v>
      </c>
      <c r="G1391" s="61">
        <v>25</v>
      </c>
      <c r="H1391" s="60">
        <v>18</v>
      </c>
      <c r="I1391" s="60">
        <v>20</v>
      </c>
      <c r="J1391" s="61">
        <v>19</v>
      </c>
    </row>
    <row r="1392" spans="1:10" x14ac:dyDescent="0.35">
      <c r="A1392" s="58">
        <v>41921</v>
      </c>
      <c r="B1392" s="55">
        <f t="shared" si="42"/>
        <v>2014</v>
      </c>
      <c r="C1392" s="55"/>
      <c r="D1392" s="55">
        <f t="shared" si="43"/>
        <v>10</v>
      </c>
      <c r="E1392" s="60">
        <v>24</v>
      </c>
      <c r="F1392" s="60">
        <v>26</v>
      </c>
      <c r="G1392" s="61">
        <v>25</v>
      </c>
      <c r="H1392" s="60">
        <v>18</v>
      </c>
      <c r="I1392" s="60">
        <v>20</v>
      </c>
      <c r="J1392" s="61">
        <v>19</v>
      </c>
    </row>
    <row r="1393" spans="1:10" x14ac:dyDescent="0.35">
      <c r="A1393" s="58">
        <v>41928</v>
      </c>
      <c r="B1393" s="55">
        <f t="shared" si="42"/>
        <v>2014</v>
      </c>
      <c r="C1393" s="55"/>
      <c r="D1393" s="55">
        <f t="shared" si="43"/>
        <v>10</v>
      </c>
      <c r="E1393" s="60">
        <v>23</v>
      </c>
      <c r="F1393" s="60">
        <v>25</v>
      </c>
      <c r="G1393" s="61">
        <v>24</v>
      </c>
      <c r="H1393" s="60">
        <v>18</v>
      </c>
      <c r="I1393" s="60">
        <v>20</v>
      </c>
      <c r="J1393" s="61">
        <v>19</v>
      </c>
    </row>
    <row r="1394" spans="1:10" x14ac:dyDescent="0.35">
      <c r="A1394" s="58">
        <v>41935</v>
      </c>
      <c r="B1394" s="55">
        <f t="shared" si="42"/>
        <v>2014</v>
      </c>
      <c r="C1394" s="55"/>
      <c r="D1394" s="55">
        <f t="shared" si="43"/>
        <v>10</v>
      </c>
      <c r="E1394" s="60">
        <v>23</v>
      </c>
      <c r="F1394" s="60">
        <v>25</v>
      </c>
      <c r="G1394" s="61">
        <v>24</v>
      </c>
      <c r="H1394" s="60">
        <v>18</v>
      </c>
      <c r="I1394" s="60">
        <v>20</v>
      </c>
      <c r="J1394" s="61">
        <v>19</v>
      </c>
    </row>
    <row r="1395" spans="1:10" x14ac:dyDescent="0.35">
      <c r="A1395" s="58">
        <v>41942</v>
      </c>
      <c r="B1395" s="55">
        <f t="shared" si="42"/>
        <v>2014</v>
      </c>
      <c r="C1395" s="55"/>
      <c r="D1395" s="55">
        <f t="shared" si="43"/>
        <v>10</v>
      </c>
      <c r="E1395" s="60">
        <v>23</v>
      </c>
      <c r="F1395" s="60">
        <v>25</v>
      </c>
      <c r="G1395" s="61">
        <v>24</v>
      </c>
      <c r="H1395" s="60">
        <v>18</v>
      </c>
      <c r="I1395" s="60">
        <v>20</v>
      </c>
      <c r="J1395" s="61">
        <v>19</v>
      </c>
    </row>
    <row r="1396" spans="1:10" x14ac:dyDescent="0.35">
      <c r="A1396" s="58">
        <v>41949</v>
      </c>
      <c r="B1396" s="55">
        <f t="shared" si="42"/>
        <v>2014</v>
      </c>
      <c r="C1396" s="55"/>
      <c r="D1396" s="55">
        <f t="shared" si="43"/>
        <v>11</v>
      </c>
      <c r="E1396" s="60">
        <v>23</v>
      </c>
      <c r="F1396" s="60">
        <v>25</v>
      </c>
      <c r="G1396" s="61">
        <v>24</v>
      </c>
      <c r="H1396" s="60">
        <v>18</v>
      </c>
      <c r="I1396" s="60">
        <v>20</v>
      </c>
      <c r="J1396" s="61">
        <v>19</v>
      </c>
    </row>
    <row r="1397" spans="1:10" x14ac:dyDescent="0.35">
      <c r="A1397" s="58">
        <v>41956</v>
      </c>
      <c r="B1397" s="55">
        <f t="shared" si="42"/>
        <v>2014</v>
      </c>
      <c r="C1397" s="55"/>
      <c r="D1397" s="55">
        <f t="shared" si="43"/>
        <v>11</v>
      </c>
      <c r="E1397" s="60">
        <v>23</v>
      </c>
      <c r="F1397" s="60">
        <v>25</v>
      </c>
      <c r="G1397" s="61">
        <v>24</v>
      </c>
      <c r="H1397" s="60">
        <v>18</v>
      </c>
      <c r="I1397" s="60">
        <v>20</v>
      </c>
      <c r="J1397" s="61">
        <v>19</v>
      </c>
    </row>
    <row r="1398" spans="1:10" x14ac:dyDescent="0.35">
      <c r="A1398" s="58">
        <v>41963</v>
      </c>
      <c r="B1398" s="55">
        <f t="shared" si="42"/>
        <v>2014</v>
      </c>
      <c r="C1398" s="55"/>
      <c r="D1398" s="55">
        <f t="shared" si="43"/>
        <v>11</v>
      </c>
      <c r="E1398" s="60">
        <v>24</v>
      </c>
      <c r="F1398" s="60">
        <v>26</v>
      </c>
      <c r="G1398" s="61">
        <v>25</v>
      </c>
      <c r="H1398" s="60">
        <v>18</v>
      </c>
      <c r="I1398" s="60">
        <v>20</v>
      </c>
      <c r="J1398" s="61">
        <v>19</v>
      </c>
    </row>
    <row r="1399" spans="1:10" x14ac:dyDescent="0.35">
      <c r="A1399" s="58">
        <v>41970</v>
      </c>
      <c r="B1399" s="55">
        <f t="shared" si="42"/>
        <v>2014</v>
      </c>
      <c r="C1399" s="55"/>
      <c r="D1399" s="55">
        <f t="shared" si="43"/>
        <v>11</v>
      </c>
      <c r="E1399" s="60">
        <v>24</v>
      </c>
      <c r="F1399" s="60">
        <v>26</v>
      </c>
      <c r="G1399" s="61">
        <v>25</v>
      </c>
      <c r="H1399" s="60">
        <v>17</v>
      </c>
      <c r="I1399" s="60">
        <v>19</v>
      </c>
      <c r="J1399" s="61">
        <v>18</v>
      </c>
    </row>
    <row r="1400" spans="1:10" x14ac:dyDescent="0.35">
      <c r="A1400" s="58">
        <v>41977</v>
      </c>
      <c r="B1400" s="55">
        <f t="shared" si="42"/>
        <v>2014</v>
      </c>
      <c r="C1400" s="55"/>
      <c r="D1400" s="55">
        <f t="shared" si="43"/>
        <v>12</v>
      </c>
      <c r="E1400" s="60">
        <v>24</v>
      </c>
      <c r="F1400" s="60">
        <v>26</v>
      </c>
      <c r="G1400" s="61">
        <v>25</v>
      </c>
      <c r="H1400" s="60">
        <v>17</v>
      </c>
      <c r="I1400" s="60">
        <v>19</v>
      </c>
      <c r="J1400" s="61">
        <v>18</v>
      </c>
    </row>
    <row r="1401" spans="1:10" x14ac:dyDescent="0.35">
      <c r="A1401" s="58">
        <v>41984</v>
      </c>
      <c r="B1401" s="55">
        <f t="shared" si="42"/>
        <v>2014</v>
      </c>
      <c r="C1401" s="55"/>
      <c r="D1401" s="55">
        <f t="shared" si="43"/>
        <v>12</v>
      </c>
      <c r="E1401" s="60">
        <v>23</v>
      </c>
      <c r="F1401" s="60">
        <v>25</v>
      </c>
      <c r="G1401" s="61">
        <v>24</v>
      </c>
      <c r="H1401" s="60">
        <v>16</v>
      </c>
      <c r="I1401" s="60">
        <v>18</v>
      </c>
      <c r="J1401" s="61">
        <v>17</v>
      </c>
    </row>
    <row r="1402" spans="1:10" x14ac:dyDescent="0.35">
      <c r="A1402" s="58">
        <v>41991</v>
      </c>
      <c r="B1402" s="55">
        <f t="shared" si="42"/>
        <v>2014</v>
      </c>
      <c r="C1402" s="55"/>
      <c r="D1402" s="55">
        <f t="shared" si="43"/>
        <v>12</v>
      </c>
      <c r="E1402" s="60">
        <v>22</v>
      </c>
      <c r="F1402" s="60">
        <v>24</v>
      </c>
      <c r="G1402" s="61">
        <v>23</v>
      </c>
      <c r="H1402" s="60">
        <v>14</v>
      </c>
      <c r="I1402" s="60">
        <v>16</v>
      </c>
      <c r="J1402" s="61">
        <v>15</v>
      </c>
    </row>
    <row r="1403" spans="1:10" x14ac:dyDescent="0.35">
      <c r="A1403" s="58">
        <v>41998</v>
      </c>
      <c r="B1403" s="55">
        <f t="shared" si="42"/>
        <v>2014</v>
      </c>
      <c r="C1403" s="55"/>
      <c r="D1403" s="55">
        <f t="shared" si="43"/>
        <v>12</v>
      </c>
      <c r="E1403" s="60">
        <v>22</v>
      </c>
      <c r="F1403" s="60">
        <v>24</v>
      </c>
      <c r="G1403" s="61">
        <v>23</v>
      </c>
      <c r="H1403" s="60">
        <v>14</v>
      </c>
      <c r="I1403" s="60">
        <v>16</v>
      </c>
      <c r="J1403" s="61">
        <v>15</v>
      </c>
    </row>
    <row r="1404" spans="1:10" x14ac:dyDescent="0.35">
      <c r="A1404" s="65">
        <v>42003</v>
      </c>
      <c r="B1404" s="55">
        <f t="shared" si="42"/>
        <v>2014</v>
      </c>
      <c r="C1404" s="55"/>
      <c r="D1404" s="55">
        <f t="shared" si="43"/>
        <v>12</v>
      </c>
    </row>
    <row r="1405" spans="1:10" x14ac:dyDescent="0.35">
      <c r="A1405" s="58">
        <v>42012</v>
      </c>
      <c r="B1405" s="55">
        <f t="shared" si="42"/>
        <v>2015</v>
      </c>
      <c r="C1405" s="55"/>
      <c r="D1405" s="55">
        <f t="shared" si="43"/>
        <v>1</v>
      </c>
      <c r="E1405" s="60">
        <v>21</v>
      </c>
      <c r="F1405" s="60">
        <v>23</v>
      </c>
      <c r="G1405" s="61">
        <v>22</v>
      </c>
      <c r="H1405" s="60">
        <v>12</v>
      </c>
      <c r="I1405" s="60">
        <v>14</v>
      </c>
      <c r="J1405" s="61">
        <v>13</v>
      </c>
    </row>
    <row r="1406" spans="1:10" x14ac:dyDescent="0.35">
      <c r="A1406" s="58">
        <v>42019</v>
      </c>
      <c r="B1406" s="55">
        <f t="shared" si="42"/>
        <v>2015</v>
      </c>
      <c r="C1406" s="55"/>
      <c r="D1406" s="55">
        <f t="shared" si="43"/>
        <v>1</v>
      </c>
      <c r="E1406" s="60">
        <v>21</v>
      </c>
      <c r="F1406" s="60">
        <v>23</v>
      </c>
      <c r="G1406" s="61">
        <v>22</v>
      </c>
      <c r="H1406" s="60">
        <v>12</v>
      </c>
      <c r="I1406" s="60">
        <v>14</v>
      </c>
      <c r="J1406" s="61">
        <v>13</v>
      </c>
    </row>
    <row r="1407" spans="1:10" x14ac:dyDescent="0.35">
      <c r="A1407" s="58">
        <v>42026</v>
      </c>
      <c r="B1407" s="55">
        <f t="shared" si="42"/>
        <v>2015</v>
      </c>
      <c r="C1407" s="55"/>
      <c r="D1407" s="55">
        <f t="shared" si="43"/>
        <v>1</v>
      </c>
      <c r="E1407" s="60">
        <v>21</v>
      </c>
      <c r="F1407" s="60">
        <v>23</v>
      </c>
      <c r="G1407" s="61">
        <v>22</v>
      </c>
      <c r="H1407" s="60">
        <v>12</v>
      </c>
      <c r="I1407" s="60">
        <v>14</v>
      </c>
      <c r="J1407" s="61">
        <v>13</v>
      </c>
    </row>
    <row r="1408" spans="1:10" x14ac:dyDescent="0.35">
      <c r="A1408" s="58">
        <v>42033</v>
      </c>
      <c r="B1408" s="55">
        <f t="shared" si="42"/>
        <v>2015</v>
      </c>
      <c r="C1408" s="55"/>
      <c r="D1408" s="55">
        <f t="shared" si="43"/>
        <v>1</v>
      </c>
      <c r="E1408" s="60">
        <v>21</v>
      </c>
      <c r="F1408" s="60">
        <v>23</v>
      </c>
      <c r="G1408" s="61">
        <v>22</v>
      </c>
      <c r="H1408" s="60">
        <v>12</v>
      </c>
      <c r="I1408" s="60">
        <v>14</v>
      </c>
      <c r="J1408" s="61">
        <v>13</v>
      </c>
    </row>
    <row r="1409" spans="1:10" x14ac:dyDescent="0.35">
      <c r="A1409" s="58">
        <v>42040</v>
      </c>
      <c r="B1409" s="55">
        <f t="shared" si="42"/>
        <v>2015</v>
      </c>
      <c r="C1409" s="55"/>
      <c r="D1409" s="55">
        <f t="shared" si="43"/>
        <v>2</v>
      </c>
      <c r="E1409" s="60">
        <v>21</v>
      </c>
      <c r="F1409" s="60">
        <v>23</v>
      </c>
      <c r="G1409" s="61">
        <v>22</v>
      </c>
      <c r="H1409" s="60">
        <v>12</v>
      </c>
      <c r="I1409" s="60">
        <v>14</v>
      </c>
      <c r="J1409" s="61">
        <v>13</v>
      </c>
    </row>
    <row r="1410" spans="1:10" x14ac:dyDescent="0.35">
      <c r="A1410" s="58">
        <v>42047</v>
      </c>
      <c r="B1410" s="55">
        <f t="shared" si="42"/>
        <v>2015</v>
      </c>
      <c r="C1410" s="55"/>
      <c r="D1410" s="55">
        <f t="shared" si="43"/>
        <v>2</v>
      </c>
      <c r="E1410" s="60">
        <v>21</v>
      </c>
      <c r="F1410" s="60">
        <v>23</v>
      </c>
      <c r="G1410" s="61">
        <v>22</v>
      </c>
      <c r="H1410" s="60">
        <v>12</v>
      </c>
      <c r="I1410" s="60">
        <v>14</v>
      </c>
      <c r="J1410" s="61">
        <v>13</v>
      </c>
    </row>
    <row r="1411" spans="1:10" x14ac:dyDescent="0.35">
      <c r="A1411" s="58">
        <v>42054</v>
      </c>
      <c r="B1411" s="55">
        <f t="shared" si="42"/>
        <v>2015</v>
      </c>
      <c r="C1411" s="55"/>
      <c r="D1411" s="55">
        <f t="shared" si="43"/>
        <v>2</v>
      </c>
      <c r="E1411" s="60">
        <v>22</v>
      </c>
      <c r="F1411" s="60">
        <v>24</v>
      </c>
      <c r="G1411" s="61">
        <v>23</v>
      </c>
      <c r="H1411" s="60">
        <v>12</v>
      </c>
      <c r="I1411" s="60">
        <v>14</v>
      </c>
      <c r="J1411" s="61">
        <v>13</v>
      </c>
    </row>
    <row r="1412" spans="1:10" x14ac:dyDescent="0.35">
      <c r="A1412" s="58">
        <v>42061</v>
      </c>
      <c r="B1412" s="55">
        <f t="shared" ref="B1412:B1475" si="44">YEAR(A1412)</f>
        <v>2015</v>
      </c>
      <c r="C1412" s="55"/>
      <c r="D1412" s="55">
        <f t="shared" ref="D1412:D1475" si="45">MONTH(A1412)</f>
        <v>2</v>
      </c>
      <c r="E1412" s="60">
        <v>21</v>
      </c>
      <c r="F1412" s="60">
        <v>23</v>
      </c>
      <c r="G1412" s="61">
        <v>22</v>
      </c>
      <c r="H1412" s="60">
        <v>12</v>
      </c>
      <c r="I1412" s="60">
        <v>14</v>
      </c>
      <c r="J1412" s="61">
        <v>13</v>
      </c>
    </row>
    <row r="1413" spans="1:10" x14ac:dyDescent="0.35">
      <c r="A1413" s="58">
        <v>42068</v>
      </c>
      <c r="B1413" s="55">
        <f t="shared" si="44"/>
        <v>2015</v>
      </c>
      <c r="C1413" s="55"/>
      <c r="D1413" s="55">
        <f t="shared" si="45"/>
        <v>3</v>
      </c>
      <c r="E1413" s="60">
        <v>21</v>
      </c>
      <c r="F1413" s="60">
        <v>23</v>
      </c>
      <c r="G1413" s="61">
        <v>22</v>
      </c>
      <c r="H1413" s="60">
        <v>12</v>
      </c>
      <c r="I1413" s="60">
        <v>14</v>
      </c>
      <c r="J1413" s="61">
        <v>13</v>
      </c>
    </row>
    <row r="1414" spans="1:10" x14ac:dyDescent="0.35">
      <c r="A1414" s="58">
        <v>42075</v>
      </c>
      <c r="B1414" s="55">
        <f t="shared" si="44"/>
        <v>2015</v>
      </c>
      <c r="C1414" s="55"/>
      <c r="D1414" s="55">
        <f t="shared" si="45"/>
        <v>3</v>
      </c>
      <c r="E1414" s="60">
        <v>21</v>
      </c>
      <c r="F1414" s="60">
        <v>23</v>
      </c>
      <c r="G1414" s="61">
        <v>22</v>
      </c>
      <c r="H1414" s="60">
        <v>12</v>
      </c>
      <c r="I1414" s="60">
        <v>14</v>
      </c>
      <c r="J1414" s="61">
        <v>13</v>
      </c>
    </row>
    <row r="1415" spans="1:10" x14ac:dyDescent="0.35">
      <c r="A1415" s="58">
        <v>42082</v>
      </c>
      <c r="B1415" s="55">
        <f t="shared" si="44"/>
        <v>2015</v>
      </c>
      <c r="C1415" s="55"/>
      <c r="D1415" s="55">
        <f t="shared" si="45"/>
        <v>3</v>
      </c>
      <c r="E1415" s="60">
        <v>21</v>
      </c>
      <c r="F1415" s="60">
        <v>23</v>
      </c>
      <c r="G1415" s="61">
        <v>22</v>
      </c>
      <c r="H1415" s="60">
        <v>12</v>
      </c>
      <c r="I1415" s="60">
        <v>14</v>
      </c>
      <c r="J1415" s="61">
        <v>13</v>
      </c>
    </row>
    <row r="1416" spans="1:10" x14ac:dyDescent="0.35">
      <c r="A1416" s="58">
        <v>42089</v>
      </c>
      <c r="B1416" s="55">
        <f t="shared" si="44"/>
        <v>2015</v>
      </c>
      <c r="C1416" s="55"/>
      <c r="D1416" s="55">
        <f t="shared" si="45"/>
        <v>3</v>
      </c>
      <c r="E1416" s="60">
        <v>21</v>
      </c>
      <c r="F1416" s="60">
        <v>23</v>
      </c>
      <c r="G1416" s="61">
        <v>22</v>
      </c>
      <c r="H1416" s="60">
        <v>12</v>
      </c>
      <c r="I1416" s="60">
        <v>14</v>
      </c>
      <c r="J1416" s="61">
        <v>13</v>
      </c>
    </row>
    <row r="1417" spans="1:10" x14ac:dyDescent="0.35">
      <c r="A1417" s="58">
        <v>42096</v>
      </c>
      <c r="B1417" s="55">
        <f t="shared" si="44"/>
        <v>2015</v>
      </c>
      <c r="C1417" s="55"/>
      <c r="D1417" s="55">
        <f t="shared" si="45"/>
        <v>4</v>
      </c>
      <c r="E1417" s="60">
        <v>21</v>
      </c>
      <c r="F1417" s="60">
        <v>23</v>
      </c>
      <c r="G1417" s="61">
        <v>22</v>
      </c>
      <c r="H1417" s="60">
        <v>12</v>
      </c>
      <c r="I1417" s="60">
        <v>14</v>
      </c>
      <c r="J1417" s="61">
        <v>13</v>
      </c>
    </row>
    <row r="1418" spans="1:10" x14ac:dyDescent="0.35">
      <c r="A1418" s="58">
        <v>42103</v>
      </c>
      <c r="B1418" s="55">
        <f t="shared" si="44"/>
        <v>2015</v>
      </c>
      <c r="C1418" s="55"/>
      <c r="D1418" s="55">
        <f t="shared" si="45"/>
        <v>4</v>
      </c>
      <c r="E1418" s="60">
        <v>21</v>
      </c>
      <c r="F1418" s="60">
        <v>23</v>
      </c>
      <c r="G1418" s="61">
        <v>22</v>
      </c>
      <c r="H1418" s="60">
        <v>12</v>
      </c>
      <c r="I1418" s="60">
        <v>14</v>
      </c>
      <c r="J1418" s="61">
        <v>13</v>
      </c>
    </row>
    <row r="1419" spans="1:10" x14ac:dyDescent="0.35">
      <c r="A1419" s="58">
        <v>42110</v>
      </c>
      <c r="B1419" s="55">
        <f t="shared" si="44"/>
        <v>2015</v>
      </c>
      <c r="C1419" s="55"/>
      <c r="D1419" s="55">
        <f t="shared" si="45"/>
        <v>4</v>
      </c>
      <c r="E1419" s="60">
        <v>21</v>
      </c>
      <c r="F1419" s="60">
        <v>23</v>
      </c>
      <c r="G1419" s="61">
        <v>22</v>
      </c>
      <c r="H1419" s="60">
        <v>12</v>
      </c>
      <c r="I1419" s="60">
        <v>14</v>
      </c>
      <c r="J1419" s="61">
        <v>13</v>
      </c>
    </row>
    <row r="1420" spans="1:10" x14ac:dyDescent="0.35">
      <c r="A1420" s="58">
        <v>42117</v>
      </c>
      <c r="B1420" s="55">
        <f t="shared" si="44"/>
        <v>2015</v>
      </c>
      <c r="C1420" s="55"/>
      <c r="D1420" s="55">
        <f t="shared" si="45"/>
        <v>4</v>
      </c>
      <c r="E1420" s="60">
        <v>22</v>
      </c>
      <c r="F1420" s="60">
        <v>24</v>
      </c>
      <c r="G1420" s="61">
        <v>23</v>
      </c>
      <c r="H1420" s="60">
        <v>12</v>
      </c>
      <c r="I1420" s="60">
        <v>14</v>
      </c>
      <c r="J1420" s="61">
        <v>13</v>
      </c>
    </row>
    <row r="1421" spans="1:10" x14ac:dyDescent="0.35">
      <c r="A1421" s="58">
        <v>42124</v>
      </c>
      <c r="B1421" s="55">
        <f t="shared" si="44"/>
        <v>2015</v>
      </c>
      <c r="C1421" s="55"/>
      <c r="D1421" s="55">
        <f t="shared" si="45"/>
        <v>4</v>
      </c>
      <c r="E1421" s="60">
        <v>21</v>
      </c>
      <c r="F1421" s="60">
        <v>23</v>
      </c>
      <c r="G1421" s="61">
        <v>22</v>
      </c>
      <c r="H1421" s="60">
        <v>12</v>
      </c>
      <c r="I1421" s="60">
        <v>14</v>
      </c>
      <c r="J1421" s="61">
        <v>13</v>
      </c>
    </row>
    <row r="1422" spans="1:10" x14ac:dyDescent="0.35">
      <c r="A1422" s="58">
        <v>42131</v>
      </c>
      <c r="B1422" s="55">
        <f t="shared" si="44"/>
        <v>2015</v>
      </c>
      <c r="C1422" s="55"/>
      <c r="D1422" s="55">
        <f t="shared" si="45"/>
        <v>5</v>
      </c>
      <c r="E1422" s="60">
        <v>22</v>
      </c>
      <c r="F1422" s="60">
        <v>24</v>
      </c>
      <c r="G1422" s="61">
        <v>23</v>
      </c>
      <c r="H1422" s="60">
        <v>12</v>
      </c>
      <c r="I1422" s="60">
        <v>14</v>
      </c>
      <c r="J1422" s="61">
        <v>13</v>
      </c>
    </row>
    <row r="1423" spans="1:10" x14ac:dyDescent="0.35">
      <c r="A1423" s="58">
        <v>42138</v>
      </c>
      <c r="B1423" s="55">
        <f t="shared" si="44"/>
        <v>2015</v>
      </c>
      <c r="C1423" s="55"/>
      <c r="D1423" s="55">
        <f t="shared" si="45"/>
        <v>5</v>
      </c>
      <c r="E1423" s="60">
        <v>22</v>
      </c>
      <c r="F1423" s="60">
        <v>24</v>
      </c>
      <c r="G1423" s="61">
        <v>23</v>
      </c>
      <c r="H1423" s="60">
        <v>12</v>
      </c>
      <c r="I1423" s="60">
        <v>14</v>
      </c>
      <c r="J1423" s="61">
        <v>13</v>
      </c>
    </row>
    <row r="1424" spans="1:10" x14ac:dyDescent="0.35">
      <c r="A1424" s="58">
        <v>42145</v>
      </c>
      <c r="B1424" s="55">
        <f t="shared" si="44"/>
        <v>2015</v>
      </c>
      <c r="C1424" s="55"/>
      <c r="D1424" s="55">
        <f t="shared" si="45"/>
        <v>5</v>
      </c>
      <c r="E1424" s="60">
        <v>22</v>
      </c>
      <c r="F1424" s="60">
        <v>24</v>
      </c>
      <c r="G1424" s="61">
        <v>23</v>
      </c>
      <c r="H1424" s="60">
        <v>12</v>
      </c>
      <c r="I1424" s="60">
        <v>14</v>
      </c>
      <c r="J1424" s="61">
        <v>13</v>
      </c>
    </row>
    <row r="1425" spans="1:10" x14ac:dyDescent="0.35">
      <c r="A1425" s="58">
        <v>42152</v>
      </c>
      <c r="B1425" s="55">
        <f t="shared" si="44"/>
        <v>2015</v>
      </c>
      <c r="C1425" s="55"/>
      <c r="D1425" s="55">
        <f t="shared" si="45"/>
        <v>5</v>
      </c>
      <c r="E1425" s="60">
        <v>22</v>
      </c>
      <c r="F1425" s="60">
        <v>24</v>
      </c>
      <c r="G1425" s="61">
        <v>23</v>
      </c>
      <c r="H1425" s="60">
        <v>12</v>
      </c>
      <c r="I1425" s="60">
        <v>14</v>
      </c>
      <c r="J1425" s="61">
        <v>13</v>
      </c>
    </row>
    <row r="1426" spans="1:10" x14ac:dyDescent="0.35">
      <c r="A1426" s="58">
        <v>42159</v>
      </c>
      <c r="B1426" s="55">
        <f t="shared" si="44"/>
        <v>2015</v>
      </c>
      <c r="C1426" s="55"/>
      <c r="D1426" s="55">
        <f t="shared" si="45"/>
        <v>6</v>
      </c>
      <c r="E1426" s="60">
        <v>22</v>
      </c>
      <c r="F1426" s="60">
        <v>24</v>
      </c>
      <c r="G1426" s="61">
        <v>23</v>
      </c>
      <c r="H1426" s="60">
        <v>12</v>
      </c>
      <c r="I1426" s="60">
        <v>14</v>
      </c>
      <c r="J1426" s="61">
        <v>13</v>
      </c>
    </row>
    <row r="1427" spans="1:10" x14ac:dyDescent="0.35">
      <c r="A1427" s="58">
        <v>42166</v>
      </c>
      <c r="B1427" s="55">
        <f t="shared" si="44"/>
        <v>2015</v>
      </c>
      <c r="C1427" s="55"/>
      <c r="D1427" s="55">
        <f t="shared" si="45"/>
        <v>6</v>
      </c>
      <c r="E1427" s="60">
        <v>22</v>
      </c>
      <c r="F1427" s="60">
        <v>24</v>
      </c>
      <c r="G1427" s="61">
        <v>23</v>
      </c>
      <c r="H1427" s="60">
        <v>12</v>
      </c>
      <c r="I1427" s="60">
        <v>14</v>
      </c>
      <c r="J1427" s="61">
        <v>13</v>
      </c>
    </row>
    <row r="1428" spans="1:10" x14ac:dyDescent="0.35">
      <c r="A1428" s="58">
        <v>42173</v>
      </c>
      <c r="B1428" s="55">
        <f t="shared" si="44"/>
        <v>2015</v>
      </c>
      <c r="C1428" s="55"/>
      <c r="D1428" s="55">
        <f t="shared" si="45"/>
        <v>6</v>
      </c>
      <c r="E1428" s="60">
        <v>23</v>
      </c>
      <c r="F1428" s="60">
        <v>25</v>
      </c>
      <c r="G1428" s="61">
        <v>24</v>
      </c>
      <c r="H1428" s="60">
        <v>12</v>
      </c>
      <c r="I1428" s="60">
        <v>14</v>
      </c>
      <c r="J1428" s="61">
        <v>13</v>
      </c>
    </row>
    <row r="1429" spans="1:10" x14ac:dyDescent="0.35">
      <c r="A1429" s="58">
        <v>42180</v>
      </c>
      <c r="B1429" s="55">
        <f t="shared" si="44"/>
        <v>2015</v>
      </c>
      <c r="C1429" s="55"/>
      <c r="D1429" s="55">
        <f t="shared" si="45"/>
        <v>6</v>
      </c>
      <c r="E1429" s="60">
        <v>23</v>
      </c>
      <c r="F1429" s="60">
        <v>25</v>
      </c>
      <c r="G1429" s="61">
        <v>24</v>
      </c>
      <c r="H1429" s="60">
        <v>12</v>
      </c>
      <c r="I1429" s="60">
        <v>14</v>
      </c>
      <c r="J1429" s="61">
        <v>13</v>
      </c>
    </row>
    <row r="1430" spans="1:10" x14ac:dyDescent="0.35">
      <c r="A1430" s="58">
        <v>42187</v>
      </c>
      <c r="B1430" s="55">
        <f t="shared" si="44"/>
        <v>2015</v>
      </c>
      <c r="C1430" s="55"/>
      <c r="D1430" s="55">
        <f t="shared" si="45"/>
        <v>7</v>
      </c>
      <c r="E1430" s="60">
        <v>23</v>
      </c>
      <c r="F1430" s="60">
        <v>25</v>
      </c>
      <c r="G1430" s="61">
        <v>24</v>
      </c>
      <c r="H1430" s="60">
        <v>12</v>
      </c>
      <c r="I1430" s="60">
        <v>14</v>
      </c>
      <c r="J1430" s="61">
        <v>13</v>
      </c>
    </row>
    <row r="1431" spans="1:10" x14ac:dyDescent="0.35">
      <c r="A1431" s="58">
        <v>42194</v>
      </c>
      <c r="B1431" s="55">
        <f t="shared" si="44"/>
        <v>2015</v>
      </c>
      <c r="C1431" s="55"/>
      <c r="D1431" s="55">
        <f t="shared" si="45"/>
        <v>7</v>
      </c>
      <c r="E1431" s="60">
        <v>22</v>
      </c>
      <c r="F1431" s="60">
        <v>24</v>
      </c>
      <c r="G1431" s="61">
        <v>23</v>
      </c>
      <c r="H1431" s="60">
        <v>12</v>
      </c>
      <c r="I1431" s="60">
        <v>14</v>
      </c>
      <c r="J1431" s="61">
        <v>13</v>
      </c>
    </row>
    <row r="1432" spans="1:10" x14ac:dyDescent="0.35">
      <c r="A1432" s="58">
        <v>42201</v>
      </c>
      <c r="B1432" s="55">
        <f t="shared" si="44"/>
        <v>2015</v>
      </c>
      <c r="C1432" s="55"/>
      <c r="D1432" s="55">
        <f t="shared" si="45"/>
        <v>7</v>
      </c>
      <c r="E1432" s="60">
        <v>22</v>
      </c>
      <c r="F1432" s="60">
        <v>24</v>
      </c>
      <c r="G1432" s="61">
        <v>23</v>
      </c>
      <c r="H1432" s="60">
        <v>12</v>
      </c>
      <c r="I1432" s="60">
        <v>14</v>
      </c>
      <c r="J1432" s="61">
        <v>13</v>
      </c>
    </row>
    <row r="1433" spans="1:10" x14ac:dyDescent="0.35">
      <c r="A1433" s="58">
        <v>42208</v>
      </c>
      <c r="B1433" s="55">
        <f t="shared" si="44"/>
        <v>2015</v>
      </c>
      <c r="C1433" s="55"/>
      <c r="D1433" s="55">
        <f t="shared" si="45"/>
        <v>7</v>
      </c>
      <c r="E1433" s="60">
        <v>23</v>
      </c>
      <c r="F1433" s="60">
        <v>25</v>
      </c>
      <c r="G1433" s="61">
        <v>24</v>
      </c>
      <c r="H1433" s="60">
        <v>13</v>
      </c>
      <c r="I1433" s="60">
        <v>15</v>
      </c>
      <c r="J1433" s="61">
        <v>14</v>
      </c>
    </row>
    <row r="1434" spans="1:10" x14ac:dyDescent="0.35">
      <c r="A1434" s="58">
        <v>42215</v>
      </c>
      <c r="B1434" s="55">
        <f t="shared" si="44"/>
        <v>2015</v>
      </c>
      <c r="C1434" s="55"/>
      <c r="D1434" s="55">
        <f t="shared" si="45"/>
        <v>7</v>
      </c>
      <c r="E1434" s="60">
        <v>22</v>
      </c>
      <c r="F1434" s="60">
        <v>24</v>
      </c>
      <c r="G1434" s="61">
        <v>23</v>
      </c>
      <c r="H1434" s="60">
        <v>12</v>
      </c>
      <c r="I1434" s="60">
        <v>14</v>
      </c>
      <c r="J1434" s="61">
        <v>13</v>
      </c>
    </row>
    <row r="1435" spans="1:10" x14ac:dyDescent="0.35">
      <c r="A1435" s="58">
        <v>42222</v>
      </c>
      <c r="B1435" s="55">
        <f t="shared" si="44"/>
        <v>2015</v>
      </c>
      <c r="C1435" s="55"/>
      <c r="D1435" s="55">
        <f t="shared" si="45"/>
        <v>8</v>
      </c>
      <c r="E1435" s="60">
        <v>21</v>
      </c>
      <c r="F1435" s="60">
        <v>23</v>
      </c>
      <c r="G1435" s="61">
        <v>22</v>
      </c>
      <c r="H1435" s="60">
        <v>12</v>
      </c>
      <c r="I1435" s="60">
        <v>14</v>
      </c>
      <c r="J1435" s="61">
        <v>13</v>
      </c>
    </row>
    <row r="1436" spans="1:10" x14ac:dyDescent="0.35">
      <c r="A1436" s="58">
        <v>42229</v>
      </c>
      <c r="B1436" s="55">
        <f t="shared" si="44"/>
        <v>2015</v>
      </c>
      <c r="C1436" s="55"/>
      <c r="D1436" s="55">
        <f t="shared" si="45"/>
        <v>8</v>
      </c>
      <c r="E1436" s="60">
        <v>20</v>
      </c>
      <c r="F1436" s="60">
        <v>22</v>
      </c>
      <c r="G1436" s="61">
        <v>21</v>
      </c>
      <c r="H1436" s="60">
        <v>16</v>
      </c>
      <c r="I1436" s="60">
        <v>18</v>
      </c>
      <c r="J1436" s="61">
        <v>17</v>
      </c>
    </row>
    <row r="1437" spans="1:10" x14ac:dyDescent="0.35">
      <c r="A1437" s="58">
        <v>42236</v>
      </c>
      <c r="B1437" s="55">
        <f t="shared" si="44"/>
        <v>2015</v>
      </c>
      <c r="C1437" s="55"/>
      <c r="D1437" s="55">
        <f t="shared" si="45"/>
        <v>8</v>
      </c>
      <c r="E1437" s="60">
        <v>20</v>
      </c>
      <c r="F1437" s="60">
        <v>22</v>
      </c>
      <c r="G1437" s="61">
        <v>21</v>
      </c>
      <c r="H1437" s="60">
        <v>16</v>
      </c>
      <c r="I1437" s="60">
        <v>18</v>
      </c>
      <c r="J1437" s="61">
        <v>17</v>
      </c>
    </row>
    <row r="1438" spans="1:10" x14ac:dyDescent="0.35">
      <c r="A1438" s="58">
        <v>42243</v>
      </c>
      <c r="B1438" s="55">
        <f t="shared" si="44"/>
        <v>2015</v>
      </c>
      <c r="C1438" s="55"/>
      <c r="D1438" s="55">
        <f t="shared" si="45"/>
        <v>8</v>
      </c>
      <c r="E1438" s="60">
        <v>20</v>
      </c>
      <c r="F1438" s="60">
        <v>22</v>
      </c>
      <c r="G1438" s="61">
        <v>21</v>
      </c>
      <c r="H1438" s="60">
        <v>16</v>
      </c>
      <c r="I1438" s="60">
        <v>18</v>
      </c>
      <c r="J1438" s="61">
        <v>17</v>
      </c>
    </row>
    <row r="1439" spans="1:10" x14ac:dyDescent="0.35">
      <c r="A1439" s="58">
        <v>42250</v>
      </c>
      <c r="B1439" s="55">
        <f t="shared" si="44"/>
        <v>2015</v>
      </c>
      <c r="C1439" s="55"/>
      <c r="D1439" s="55">
        <f t="shared" si="45"/>
        <v>9</v>
      </c>
      <c r="E1439" s="60">
        <v>20</v>
      </c>
      <c r="F1439" s="60">
        <v>22</v>
      </c>
      <c r="G1439" s="61">
        <v>21</v>
      </c>
      <c r="H1439" s="60">
        <v>16</v>
      </c>
      <c r="I1439" s="60">
        <v>18</v>
      </c>
      <c r="J1439" s="61">
        <v>17</v>
      </c>
    </row>
    <row r="1440" spans="1:10" x14ac:dyDescent="0.35">
      <c r="A1440" s="58">
        <v>42257</v>
      </c>
      <c r="B1440" s="55">
        <f t="shared" si="44"/>
        <v>2015</v>
      </c>
      <c r="C1440" s="55"/>
      <c r="D1440" s="55">
        <f t="shared" si="45"/>
        <v>9</v>
      </c>
      <c r="E1440" s="60">
        <v>20</v>
      </c>
      <c r="F1440" s="60">
        <v>22</v>
      </c>
      <c r="G1440" s="61">
        <v>21</v>
      </c>
      <c r="H1440" s="60">
        <v>15</v>
      </c>
      <c r="I1440" s="60">
        <v>17</v>
      </c>
      <c r="J1440" s="61">
        <v>16</v>
      </c>
    </row>
    <row r="1441" spans="1:10" x14ac:dyDescent="0.35">
      <c r="A1441" s="58">
        <v>42264</v>
      </c>
      <c r="B1441" s="55">
        <f t="shared" si="44"/>
        <v>2015</v>
      </c>
      <c r="C1441" s="55"/>
      <c r="D1441" s="55">
        <f t="shared" si="45"/>
        <v>9</v>
      </c>
      <c r="E1441" s="60">
        <v>20</v>
      </c>
      <c r="F1441" s="60">
        <v>22</v>
      </c>
      <c r="G1441" s="61">
        <v>21</v>
      </c>
      <c r="H1441" s="60">
        <v>14</v>
      </c>
      <c r="I1441" s="60">
        <v>16</v>
      </c>
      <c r="J1441" s="61">
        <v>15</v>
      </c>
    </row>
    <row r="1442" spans="1:10" x14ac:dyDescent="0.35">
      <c r="A1442" s="58">
        <v>42271</v>
      </c>
      <c r="B1442" s="55">
        <f t="shared" si="44"/>
        <v>2015</v>
      </c>
      <c r="C1442" s="55"/>
      <c r="D1442" s="55">
        <f t="shared" si="45"/>
        <v>9</v>
      </c>
      <c r="E1442" s="60">
        <v>20</v>
      </c>
      <c r="F1442" s="60">
        <v>22</v>
      </c>
      <c r="G1442" s="61">
        <v>21</v>
      </c>
      <c r="H1442" s="60">
        <v>14</v>
      </c>
      <c r="I1442" s="60">
        <v>16</v>
      </c>
      <c r="J1442" s="61">
        <v>15</v>
      </c>
    </row>
    <row r="1443" spans="1:10" x14ac:dyDescent="0.35">
      <c r="A1443" s="58">
        <v>42278</v>
      </c>
      <c r="B1443" s="55">
        <f t="shared" si="44"/>
        <v>2015</v>
      </c>
      <c r="C1443" s="55"/>
      <c r="D1443" s="55">
        <f t="shared" si="45"/>
        <v>10</v>
      </c>
      <c r="E1443" s="60">
        <v>21</v>
      </c>
      <c r="F1443" s="60">
        <v>23</v>
      </c>
      <c r="G1443" s="61">
        <v>22</v>
      </c>
      <c r="H1443" s="60">
        <v>13</v>
      </c>
      <c r="I1443" s="60">
        <v>15</v>
      </c>
      <c r="J1443" s="61">
        <v>14</v>
      </c>
    </row>
    <row r="1444" spans="1:10" x14ac:dyDescent="0.35">
      <c r="A1444" s="58">
        <v>42285</v>
      </c>
      <c r="B1444" s="55">
        <f t="shared" si="44"/>
        <v>2015</v>
      </c>
      <c r="C1444" s="55"/>
      <c r="D1444" s="55">
        <f t="shared" si="45"/>
        <v>10</v>
      </c>
      <c r="E1444" s="60">
        <v>21</v>
      </c>
      <c r="F1444" s="60">
        <v>23</v>
      </c>
      <c r="G1444" s="61">
        <v>22</v>
      </c>
      <c r="H1444" s="60">
        <v>13</v>
      </c>
      <c r="I1444" s="60">
        <v>15</v>
      </c>
      <c r="J1444" s="61">
        <v>14</v>
      </c>
    </row>
    <row r="1445" spans="1:10" x14ac:dyDescent="0.35">
      <c r="A1445" s="58">
        <v>42292</v>
      </c>
      <c r="B1445" s="55">
        <f t="shared" si="44"/>
        <v>2015</v>
      </c>
      <c r="C1445" s="55"/>
      <c r="D1445" s="55">
        <f t="shared" si="45"/>
        <v>10</v>
      </c>
      <c r="E1445" s="60">
        <v>20</v>
      </c>
      <c r="F1445" s="60">
        <v>22</v>
      </c>
      <c r="G1445" s="61">
        <v>21</v>
      </c>
      <c r="H1445" s="60">
        <v>13</v>
      </c>
      <c r="I1445" s="60">
        <v>15</v>
      </c>
      <c r="J1445" s="61">
        <v>14</v>
      </c>
    </row>
    <row r="1446" spans="1:10" x14ac:dyDescent="0.35">
      <c r="A1446" s="58">
        <v>42299</v>
      </c>
      <c r="B1446" s="55">
        <f t="shared" si="44"/>
        <v>2015</v>
      </c>
      <c r="C1446" s="55"/>
      <c r="D1446" s="55">
        <f t="shared" si="45"/>
        <v>10</v>
      </c>
      <c r="E1446" s="60">
        <v>20</v>
      </c>
      <c r="F1446" s="60">
        <v>22</v>
      </c>
      <c r="G1446" s="61">
        <v>21</v>
      </c>
      <c r="H1446" s="60">
        <v>13</v>
      </c>
      <c r="I1446" s="60">
        <v>15</v>
      </c>
      <c r="J1446" s="61">
        <v>14</v>
      </c>
    </row>
    <row r="1447" spans="1:10" x14ac:dyDescent="0.35">
      <c r="A1447" s="58">
        <v>42306</v>
      </c>
      <c r="B1447" s="55">
        <f t="shared" si="44"/>
        <v>2015</v>
      </c>
      <c r="C1447" s="55"/>
      <c r="D1447" s="55">
        <f t="shared" si="45"/>
        <v>10</v>
      </c>
      <c r="E1447" s="60">
        <v>20</v>
      </c>
      <c r="F1447" s="60">
        <v>22</v>
      </c>
      <c r="G1447" s="61">
        <v>21</v>
      </c>
      <c r="H1447" s="60">
        <v>13</v>
      </c>
      <c r="I1447" s="60">
        <v>15</v>
      </c>
      <c r="J1447" s="61">
        <v>14</v>
      </c>
    </row>
    <row r="1448" spans="1:10" x14ac:dyDescent="0.35">
      <c r="A1448" s="58">
        <v>42313</v>
      </c>
      <c r="B1448" s="55">
        <f t="shared" si="44"/>
        <v>2015</v>
      </c>
      <c r="C1448" s="55"/>
      <c r="D1448" s="55">
        <f t="shared" si="45"/>
        <v>11</v>
      </c>
      <c r="E1448" s="60">
        <v>17</v>
      </c>
      <c r="F1448" s="60">
        <v>19</v>
      </c>
      <c r="G1448" s="61">
        <v>18</v>
      </c>
      <c r="H1448" s="60">
        <v>12</v>
      </c>
      <c r="I1448" s="60">
        <v>14</v>
      </c>
      <c r="J1448" s="61">
        <v>13</v>
      </c>
    </row>
    <row r="1449" spans="1:10" x14ac:dyDescent="0.35">
      <c r="A1449" s="58">
        <v>42320</v>
      </c>
      <c r="B1449" s="55">
        <f t="shared" si="44"/>
        <v>2015</v>
      </c>
      <c r="C1449" s="55"/>
      <c r="D1449" s="55">
        <f t="shared" si="45"/>
        <v>11</v>
      </c>
      <c r="E1449" s="60">
        <v>18</v>
      </c>
      <c r="F1449" s="60">
        <v>20</v>
      </c>
      <c r="G1449" s="61">
        <v>19</v>
      </c>
      <c r="H1449" s="60">
        <v>12</v>
      </c>
      <c r="I1449" s="60">
        <v>14</v>
      </c>
      <c r="J1449" s="61">
        <v>13</v>
      </c>
    </row>
    <row r="1450" spans="1:10" x14ac:dyDescent="0.35">
      <c r="A1450" s="58">
        <v>42327</v>
      </c>
      <c r="B1450" s="55">
        <f t="shared" si="44"/>
        <v>2015</v>
      </c>
      <c r="C1450" s="55"/>
      <c r="D1450" s="55">
        <f t="shared" si="45"/>
        <v>11</v>
      </c>
      <c r="E1450" s="60">
        <v>18</v>
      </c>
      <c r="F1450" s="60">
        <v>20</v>
      </c>
      <c r="G1450" s="61">
        <v>19</v>
      </c>
      <c r="H1450" s="60">
        <v>11</v>
      </c>
      <c r="I1450" s="60">
        <v>13</v>
      </c>
      <c r="J1450" s="61">
        <v>12</v>
      </c>
    </row>
    <row r="1451" spans="1:10" x14ac:dyDescent="0.35">
      <c r="A1451" s="58">
        <v>42334</v>
      </c>
      <c r="B1451" s="55">
        <f t="shared" si="44"/>
        <v>2015</v>
      </c>
      <c r="C1451" s="55"/>
      <c r="D1451" s="55">
        <f t="shared" si="45"/>
        <v>11</v>
      </c>
      <c r="E1451" s="60">
        <v>18</v>
      </c>
      <c r="F1451" s="60">
        <v>20</v>
      </c>
      <c r="G1451" s="61">
        <v>19</v>
      </c>
      <c r="H1451" s="60">
        <v>11</v>
      </c>
      <c r="I1451" s="60">
        <v>13</v>
      </c>
      <c r="J1451" s="61">
        <v>12</v>
      </c>
    </row>
    <row r="1452" spans="1:10" x14ac:dyDescent="0.35">
      <c r="A1452" s="58">
        <v>42341</v>
      </c>
      <c r="B1452" s="55">
        <f t="shared" si="44"/>
        <v>2015</v>
      </c>
      <c r="C1452" s="55"/>
      <c r="D1452" s="55">
        <f t="shared" si="45"/>
        <v>12</v>
      </c>
      <c r="E1452" s="60">
        <v>17</v>
      </c>
      <c r="F1452" s="60">
        <v>19</v>
      </c>
      <c r="G1452" s="61">
        <v>18</v>
      </c>
      <c r="H1452" s="60">
        <v>11</v>
      </c>
      <c r="I1452" s="60">
        <v>13</v>
      </c>
      <c r="J1452" s="61">
        <v>12</v>
      </c>
    </row>
    <row r="1453" spans="1:10" x14ac:dyDescent="0.35">
      <c r="A1453" s="58">
        <v>42348</v>
      </c>
      <c r="B1453" s="55">
        <f t="shared" si="44"/>
        <v>2015</v>
      </c>
      <c r="C1453" s="55"/>
      <c r="D1453" s="55">
        <f t="shared" si="45"/>
        <v>12</v>
      </c>
      <c r="E1453" s="60">
        <v>16</v>
      </c>
      <c r="F1453" s="60">
        <v>18</v>
      </c>
      <c r="G1453" s="61">
        <v>17</v>
      </c>
      <c r="H1453" s="60">
        <v>10</v>
      </c>
      <c r="I1453" s="60">
        <v>12</v>
      </c>
      <c r="J1453" s="61">
        <v>11</v>
      </c>
    </row>
    <row r="1454" spans="1:10" x14ac:dyDescent="0.35">
      <c r="A1454" s="58">
        <v>42355</v>
      </c>
      <c r="B1454" s="55">
        <f t="shared" si="44"/>
        <v>2015</v>
      </c>
      <c r="C1454" s="55"/>
      <c r="D1454" s="55">
        <f t="shared" si="45"/>
        <v>12</v>
      </c>
      <c r="E1454" s="60">
        <v>15</v>
      </c>
      <c r="F1454" s="60">
        <v>17</v>
      </c>
      <c r="G1454" s="61">
        <v>16</v>
      </c>
      <c r="H1454" s="60">
        <v>10</v>
      </c>
      <c r="I1454" s="60">
        <v>12</v>
      </c>
      <c r="J1454" s="61">
        <v>11</v>
      </c>
    </row>
    <row r="1455" spans="1:10" x14ac:dyDescent="0.35">
      <c r="A1455" s="58">
        <v>42362</v>
      </c>
      <c r="B1455" s="55">
        <f t="shared" si="44"/>
        <v>2015</v>
      </c>
      <c r="C1455" s="55"/>
      <c r="D1455" s="55">
        <f t="shared" si="45"/>
        <v>12</v>
      </c>
      <c r="E1455" s="60">
        <v>14</v>
      </c>
      <c r="F1455" s="60">
        <v>16</v>
      </c>
      <c r="G1455" s="61">
        <v>15</v>
      </c>
      <c r="H1455" s="60">
        <v>10</v>
      </c>
      <c r="I1455" s="60">
        <v>12</v>
      </c>
      <c r="J1455" s="61">
        <v>11</v>
      </c>
    </row>
    <row r="1456" spans="1:10" x14ac:dyDescent="0.35">
      <c r="A1456" s="58">
        <v>42369</v>
      </c>
      <c r="B1456" s="55">
        <f t="shared" si="44"/>
        <v>2015</v>
      </c>
      <c r="C1456" s="55"/>
      <c r="D1456" s="55">
        <f t="shared" si="45"/>
        <v>12</v>
      </c>
    </row>
    <row r="1457" spans="1:10" x14ac:dyDescent="0.35">
      <c r="A1457" s="58">
        <v>42376</v>
      </c>
      <c r="B1457" s="55">
        <f t="shared" si="44"/>
        <v>2016</v>
      </c>
      <c r="C1457" s="55"/>
      <c r="D1457" s="55">
        <f t="shared" si="45"/>
        <v>1</v>
      </c>
      <c r="E1457" s="60">
        <v>12</v>
      </c>
      <c r="F1457" s="60">
        <v>14</v>
      </c>
      <c r="G1457" s="61">
        <v>13</v>
      </c>
      <c r="H1457" s="60">
        <v>9</v>
      </c>
      <c r="I1457" s="60">
        <v>11</v>
      </c>
      <c r="J1457" s="61">
        <v>10</v>
      </c>
    </row>
    <row r="1458" spans="1:10" x14ac:dyDescent="0.35">
      <c r="A1458" s="58">
        <v>42383</v>
      </c>
      <c r="B1458" s="55">
        <f t="shared" si="44"/>
        <v>2016</v>
      </c>
      <c r="C1458" s="55"/>
      <c r="D1458" s="55">
        <f t="shared" si="45"/>
        <v>1</v>
      </c>
      <c r="E1458" s="60">
        <v>12</v>
      </c>
      <c r="F1458" s="60">
        <v>14</v>
      </c>
      <c r="G1458" s="61">
        <v>13</v>
      </c>
      <c r="H1458" s="60">
        <v>8</v>
      </c>
      <c r="I1458" s="60">
        <v>10</v>
      </c>
      <c r="J1458" s="61">
        <v>9</v>
      </c>
    </row>
    <row r="1459" spans="1:10" x14ac:dyDescent="0.35">
      <c r="A1459" s="58">
        <v>42390</v>
      </c>
      <c r="B1459" s="55">
        <f t="shared" si="44"/>
        <v>2016</v>
      </c>
      <c r="C1459" s="55"/>
      <c r="D1459" s="55">
        <f t="shared" si="45"/>
        <v>1</v>
      </c>
      <c r="E1459" s="60">
        <v>12</v>
      </c>
      <c r="F1459" s="60">
        <v>14</v>
      </c>
      <c r="G1459" s="61">
        <v>13</v>
      </c>
      <c r="H1459" s="60">
        <v>8</v>
      </c>
      <c r="I1459" s="60">
        <v>10</v>
      </c>
      <c r="J1459" s="61">
        <v>9</v>
      </c>
    </row>
    <row r="1460" spans="1:10" x14ac:dyDescent="0.35">
      <c r="A1460" s="58">
        <v>42397</v>
      </c>
      <c r="B1460" s="55">
        <f t="shared" si="44"/>
        <v>2016</v>
      </c>
      <c r="C1460" s="55"/>
      <c r="D1460" s="55">
        <f t="shared" si="45"/>
        <v>1</v>
      </c>
      <c r="E1460" s="60">
        <v>12</v>
      </c>
      <c r="F1460" s="60">
        <v>14</v>
      </c>
      <c r="G1460" s="61">
        <v>13</v>
      </c>
      <c r="H1460" s="60">
        <v>8</v>
      </c>
      <c r="I1460" s="60">
        <v>10</v>
      </c>
      <c r="J1460" s="61">
        <v>9</v>
      </c>
    </row>
    <row r="1461" spans="1:10" x14ac:dyDescent="0.35">
      <c r="A1461" s="58">
        <v>42404</v>
      </c>
      <c r="B1461" s="55">
        <f t="shared" si="44"/>
        <v>2016</v>
      </c>
      <c r="C1461" s="55"/>
      <c r="D1461" s="55">
        <f t="shared" si="45"/>
        <v>2</v>
      </c>
      <c r="E1461" s="60">
        <v>11</v>
      </c>
      <c r="F1461" s="60">
        <v>13</v>
      </c>
      <c r="G1461" s="61">
        <v>12</v>
      </c>
      <c r="H1461" s="60">
        <v>8</v>
      </c>
      <c r="I1461" s="60">
        <v>10</v>
      </c>
      <c r="J1461" s="61">
        <v>9</v>
      </c>
    </row>
    <row r="1462" spans="1:10" x14ac:dyDescent="0.35">
      <c r="A1462" s="58">
        <v>42411</v>
      </c>
      <c r="B1462" s="55">
        <f t="shared" si="44"/>
        <v>2016</v>
      </c>
      <c r="C1462" s="55"/>
      <c r="D1462" s="55">
        <f t="shared" si="45"/>
        <v>2</v>
      </c>
      <c r="E1462" s="60">
        <v>11</v>
      </c>
      <c r="F1462" s="60">
        <v>13</v>
      </c>
      <c r="G1462" s="61">
        <v>12</v>
      </c>
      <c r="H1462" s="60">
        <v>8</v>
      </c>
      <c r="I1462" s="60">
        <v>10</v>
      </c>
      <c r="J1462" s="61">
        <v>9</v>
      </c>
    </row>
    <row r="1463" spans="1:10" x14ac:dyDescent="0.35">
      <c r="A1463" s="58">
        <v>42418</v>
      </c>
      <c r="B1463" s="55">
        <f t="shared" si="44"/>
        <v>2016</v>
      </c>
      <c r="C1463" s="55"/>
      <c r="D1463" s="55">
        <f t="shared" si="45"/>
        <v>2</v>
      </c>
      <c r="E1463" s="60">
        <v>11</v>
      </c>
      <c r="F1463" s="60">
        <v>13</v>
      </c>
      <c r="G1463" s="61">
        <v>12</v>
      </c>
      <c r="H1463" s="60">
        <v>8</v>
      </c>
      <c r="I1463" s="60">
        <v>10</v>
      </c>
      <c r="J1463" s="61">
        <v>9</v>
      </c>
    </row>
    <row r="1464" spans="1:10" x14ac:dyDescent="0.35">
      <c r="A1464" s="58">
        <v>42425</v>
      </c>
      <c r="B1464" s="55">
        <f t="shared" si="44"/>
        <v>2016</v>
      </c>
      <c r="C1464" s="55"/>
      <c r="D1464" s="55">
        <f t="shared" si="45"/>
        <v>2</v>
      </c>
      <c r="E1464" s="60">
        <v>12</v>
      </c>
      <c r="F1464" s="60">
        <v>14</v>
      </c>
      <c r="G1464" s="61">
        <v>13</v>
      </c>
      <c r="H1464" s="60">
        <v>9</v>
      </c>
      <c r="I1464" s="60">
        <v>11</v>
      </c>
      <c r="J1464" s="61">
        <v>10</v>
      </c>
    </row>
    <row r="1465" spans="1:10" x14ac:dyDescent="0.35">
      <c r="A1465" s="58">
        <v>42432</v>
      </c>
      <c r="B1465" s="55">
        <f t="shared" si="44"/>
        <v>2016</v>
      </c>
      <c r="C1465" s="55"/>
      <c r="D1465" s="55">
        <f t="shared" si="45"/>
        <v>3</v>
      </c>
      <c r="E1465" s="60">
        <v>13</v>
      </c>
      <c r="F1465" s="60">
        <v>15</v>
      </c>
      <c r="G1465" s="61">
        <v>14</v>
      </c>
      <c r="H1465" s="60">
        <v>10</v>
      </c>
      <c r="I1465" s="60">
        <v>12</v>
      </c>
      <c r="J1465" s="61">
        <v>11</v>
      </c>
    </row>
    <row r="1466" spans="1:10" x14ac:dyDescent="0.35">
      <c r="A1466" s="58">
        <v>42439</v>
      </c>
      <c r="B1466" s="55">
        <f t="shared" si="44"/>
        <v>2016</v>
      </c>
      <c r="C1466" s="55"/>
      <c r="D1466" s="55">
        <f t="shared" si="45"/>
        <v>3</v>
      </c>
      <c r="E1466" s="60">
        <v>15</v>
      </c>
      <c r="F1466" s="60">
        <v>17</v>
      </c>
      <c r="G1466" s="61">
        <v>16</v>
      </c>
      <c r="H1466" s="60">
        <v>10</v>
      </c>
      <c r="I1466" s="60">
        <v>12</v>
      </c>
      <c r="J1466" s="61">
        <v>11</v>
      </c>
    </row>
    <row r="1467" spans="1:10" x14ac:dyDescent="0.35">
      <c r="A1467" s="58">
        <v>42446</v>
      </c>
      <c r="B1467" s="55">
        <f t="shared" si="44"/>
        <v>2016</v>
      </c>
      <c r="C1467" s="55"/>
      <c r="D1467" s="55">
        <f t="shared" si="45"/>
        <v>3</v>
      </c>
      <c r="E1467" s="60">
        <v>16</v>
      </c>
      <c r="F1467" s="60">
        <v>18</v>
      </c>
      <c r="G1467" s="61">
        <v>17</v>
      </c>
      <c r="H1467" s="60">
        <v>10</v>
      </c>
      <c r="I1467" s="60">
        <v>12</v>
      </c>
      <c r="J1467" s="61">
        <v>11</v>
      </c>
    </row>
    <row r="1468" spans="1:10" x14ac:dyDescent="0.35">
      <c r="A1468" s="58">
        <v>42453</v>
      </c>
      <c r="B1468" s="55">
        <f t="shared" si="44"/>
        <v>2016</v>
      </c>
      <c r="C1468" s="55"/>
      <c r="D1468" s="55">
        <f t="shared" si="45"/>
        <v>3</v>
      </c>
      <c r="E1468" s="60">
        <v>14</v>
      </c>
      <c r="F1468" s="60">
        <v>16</v>
      </c>
      <c r="G1468" s="61">
        <v>15</v>
      </c>
      <c r="H1468" s="60">
        <v>10</v>
      </c>
      <c r="I1468" s="60">
        <v>12</v>
      </c>
      <c r="J1468" s="61">
        <v>11</v>
      </c>
    </row>
    <row r="1469" spans="1:10" x14ac:dyDescent="0.35">
      <c r="A1469" s="58">
        <v>42460</v>
      </c>
      <c r="B1469" s="55">
        <f t="shared" si="44"/>
        <v>2016</v>
      </c>
      <c r="C1469" s="55"/>
      <c r="D1469" s="55">
        <f t="shared" si="45"/>
        <v>3</v>
      </c>
      <c r="E1469" s="60">
        <v>13</v>
      </c>
      <c r="F1469" s="60">
        <v>15</v>
      </c>
      <c r="G1469" s="61">
        <v>14</v>
      </c>
      <c r="H1469" s="60">
        <v>10</v>
      </c>
      <c r="I1469" s="60">
        <v>12</v>
      </c>
      <c r="J1469" s="61">
        <v>11</v>
      </c>
    </row>
    <row r="1470" spans="1:10" x14ac:dyDescent="0.35">
      <c r="A1470" s="58">
        <v>42467</v>
      </c>
      <c r="B1470" s="55">
        <f t="shared" si="44"/>
        <v>2016</v>
      </c>
      <c r="C1470" s="55"/>
      <c r="D1470" s="55">
        <f t="shared" si="45"/>
        <v>4</v>
      </c>
      <c r="E1470" s="60">
        <v>13</v>
      </c>
      <c r="F1470" s="60">
        <v>15</v>
      </c>
      <c r="G1470" s="61">
        <v>14</v>
      </c>
      <c r="H1470" s="60">
        <v>11</v>
      </c>
      <c r="I1470" s="60">
        <v>13</v>
      </c>
      <c r="J1470" s="61">
        <v>12</v>
      </c>
    </row>
    <row r="1471" spans="1:10" x14ac:dyDescent="0.35">
      <c r="A1471" s="58">
        <v>42474</v>
      </c>
      <c r="B1471" s="55">
        <f t="shared" si="44"/>
        <v>2016</v>
      </c>
      <c r="C1471" s="55"/>
      <c r="D1471" s="55">
        <f t="shared" si="45"/>
        <v>4</v>
      </c>
      <c r="E1471" s="60">
        <v>13</v>
      </c>
      <c r="F1471" s="60">
        <v>15</v>
      </c>
      <c r="G1471" s="61">
        <v>14</v>
      </c>
      <c r="H1471" s="60">
        <v>11</v>
      </c>
      <c r="I1471" s="60">
        <v>13</v>
      </c>
      <c r="J1471" s="61">
        <v>12</v>
      </c>
    </row>
    <row r="1472" spans="1:10" x14ac:dyDescent="0.35">
      <c r="A1472" s="58">
        <v>42481</v>
      </c>
      <c r="B1472" s="55">
        <f t="shared" si="44"/>
        <v>2016</v>
      </c>
      <c r="C1472" s="55"/>
      <c r="D1472" s="55">
        <f t="shared" si="45"/>
        <v>4</v>
      </c>
      <c r="E1472" s="60">
        <v>15</v>
      </c>
      <c r="F1472" s="60">
        <v>17</v>
      </c>
      <c r="G1472" s="61">
        <v>16</v>
      </c>
      <c r="H1472" s="60">
        <v>11</v>
      </c>
      <c r="I1472" s="60">
        <v>13</v>
      </c>
      <c r="J1472" s="61">
        <v>12</v>
      </c>
    </row>
    <row r="1473" spans="1:10" x14ac:dyDescent="0.35">
      <c r="A1473" s="58">
        <v>42488</v>
      </c>
      <c r="B1473" s="55">
        <f t="shared" si="44"/>
        <v>2016</v>
      </c>
      <c r="C1473" s="55"/>
      <c r="D1473" s="55">
        <f t="shared" si="45"/>
        <v>4</v>
      </c>
      <c r="E1473" s="60">
        <v>16</v>
      </c>
      <c r="F1473" s="60">
        <v>18</v>
      </c>
      <c r="G1473" s="61">
        <v>17</v>
      </c>
      <c r="H1473" s="60">
        <v>11</v>
      </c>
      <c r="I1473" s="60">
        <v>13</v>
      </c>
      <c r="J1473" s="61">
        <v>12</v>
      </c>
    </row>
    <row r="1474" spans="1:10" x14ac:dyDescent="0.35">
      <c r="A1474" s="58">
        <v>42495</v>
      </c>
      <c r="B1474" s="55">
        <f t="shared" si="44"/>
        <v>2016</v>
      </c>
      <c r="C1474" s="55"/>
      <c r="D1474" s="55">
        <f t="shared" si="45"/>
        <v>5</v>
      </c>
      <c r="E1474" s="60">
        <v>17</v>
      </c>
      <c r="F1474" s="60">
        <v>19</v>
      </c>
      <c r="G1474" s="61">
        <v>18</v>
      </c>
      <c r="H1474" s="60">
        <v>11</v>
      </c>
      <c r="I1474" s="60">
        <v>13</v>
      </c>
      <c r="J1474" s="61">
        <v>12</v>
      </c>
    </row>
    <row r="1475" spans="1:10" x14ac:dyDescent="0.35">
      <c r="A1475" s="58">
        <v>42502</v>
      </c>
      <c r="B1475" s="55">
        <f t="shared" si="44"/>
        <v>2016</v>
      </c>
      <c r="C1475" s="55"/>
      <c r="D1475" s="55">
        <f t="shared" si="45"/>
        <v>5</v>
      </c>
      <c r="E1475" s="60">
        <v>15</v>
      </c>
      <c r="F1475" s="60">
        <v>17</v>
      </c>
      <c r="G1475" s="61">
        <v>16</v>
      </c>
      <c r="H1475" s="60">
        <v>11</v>
      </c>
      <c r="I1475" s="60">
        <v>13</v>
      </c>
      <c r="J1475" s="61">
        <v>12</v>
      </c>
    </row>
    <row r="1476" spans="1:10" x14ac:dyDescent="0.35">
      <c r="A1476" s="58">
        <v>42509</v>
      </c>
      <c r="B1476" s="55">
        <f t="shared" ref="B1476:B1539" si="46">YEAR(A1476)</f>
        <v>2016</v>
      </c>
      <c r="C1476" s="55"/>
      <c r="D1476" s="55">
        <f t="shared" ref="D1476:D1539" si="47">MONTH(A1476)</f>
        <v>5</v>
      </c>
      <c r="E1476" s="60">
        <v>15</v>
      </c>
      <c r="F1476" s="60">
        <v>17</v>
      </c>
      <c r="G1476" s="61">
        <v>16</v>
      </c>
      <c r="H1476" s="60">
        <v>11</v>
      </c>
      <c r="I1476" s="60">
        <v>13</v>
      </c>
      <c r="J1476" s="61">
        <v>12</v>
      </c>
    </row>
    <row r="1477" spans="1:10" x14ac:dyDescent="0.35">
      <c r="A1477" s="58">
        <v>42516</v>
      </c>
      <c r="B1477" s="55">
        <f t="shared" si="46"/>
        <v>2016</v>
      </c>
      <c r="C1477" s="55"/>
      <c r="D1477" s="55">
        <f t="shared" si="47"/>
        <v>5</v>
      </c>
      <c r="E1477" s="60">
        <v>15</v>
      </c>
      <c r="F1477" s="60">
        <v>17</v>
      </c>
      <c r="G1477" s="61">
        <v>16</v>
      </c>
      <c r="H1477" s="60">
        <v>11</v>
      </c>
      <c r="I1477" s="60">
        <v>13</v>
      </c>
      <c r="J1477" s="61">
        <v>12</v>
      </c>
    </row>
    <row r="1478" spans="1:10" x14ac:dyDescent="0.35">
      <c r="A1478" s="58">
        <v>42523</v>
      </c>
      <c r="B1478" s="55">
        <f t="shared" si="46"/>
        <v>2016</v>
      </c>
      <c r="C1478" s="55"/>
      <c r="D1478" s="55">
        <f t="shared" si="47"/>
        <v>6</v>
      </c>
      <c r="E1478" s="60">
        <v>14</v>
      </c>
      <c r="F1478" s="60">
        <v>16</v>
      </c>
      <c r="G1478" s="61">
        <v>15</v>
      </c>
      <c r="H1478" s="60">
        <v>11</v>
      </c>
      <c r="I1478" s="60">
        <v>13</v>
      </c>
      <c r="J1478" s="61">
        <v>12</v>
      </c>
    </row>
    <row r="1479" spans="1:10" x14ac:dyDescent="0.35">
      <c r="A1479" s="58">
        <v>42530</v>
      </c>
      <c r="B1479" s="55">
        <f t="shared" si="46"/>
        <v>2016</v>
      </c>
      <c r="C1479" s="55"/>
      <c r="D1479" s="55">
        <f t="shared" si="47"/>
        <v>6</v>
      </c>
      <c r="E1479" s="60">
        <v>14</v>
      </c>
      <c r="F1479" s="60">
        <v>16</v>
      </c>
      <c r="G1479" s="61">
        <v>15</v>
      </c>
      <c r="H1479" s="60">
        <v>11</v>
      </c>
      <c r="I1479" s="60">
        <v>13</v>
      </c>
      <c r="J1479" s="61">
        <v>12</v>
      </c>
    </row>
    <row r="1480" spans="1:10" x14ac:dyDescent="0.35">
      <c r="A1480" s="58">
        <v>42537</v>
      </c>
      <c r="B1480" s="55">
        <f t="shared" si="46"/>
        <v>2016</v>
      </c>
      <c r="C1480" s="55"/>
      <c r="D1480" s="55">
        <f t="shared" si="47"/>
        <v>6</v>
      </c>
      <c r="E1480" s="60">
        <v>14</v>
      </c>
      <c r="F1480" s="60">
        <v>16</v>
      </c>
      <c r="G1480" s="61">
        <v>15</v>
      </c>
      <c r="H1480" s="60">
        <v>10</v>
      </c>
      <c r="I1480" s="60">
        <v>12</v>
      </c>
      <c r="J1480" s="61">
        <v>11</v>
      </c>
    </row>
    <row r="1481" spans="1:10" x14ac:dyDescent="0.35">
      <c r="A1481" s="58">
        <v>42544</v>
      </c>
      <c r="B1481" s="55">
        <f t="shared" si="46"/>
        <v>2016</v>
      </c>
      <c r="C1481" s="55"/>
      <c r="D1481" s="55">
        <f t="shared" si="47"/>
        <v>6</v>
      </c>
      <c r="E1481" s="60">
        <v>14</v>
      </c>
      <c r="F1481" s="60">
        <v>16</v>
      </c>
      <c r="G1481" s="61">
        <v>15</v>
      </c>
      <c r="H1481" s="60">
        <v>10</v>
      </c>
      <c r="I1481" s="60">
        <v>12</v>
      </c>
      <c r="J1481" s="61">
        <v>11</v>
      </c>
    </row>
    <row r="1482" spans="1:10" x14ac:dyDescent="0.35">
      <c r="A1482" s="58">
        <v>42551</v>
      </c>
      <c r="B1482" s="55">
        <f t="shared" si="46"/>
        <v>2016</v>
      </c>
      <c r="C1482" s="55"/>
      <c r="D1482" s="55">
        <f t="shared" si="47"/>
        <v>6</v>
      </c>
      <c r="E1482" s="60">
        <v>14</v>
      </c>
      <c r="F1482" s="60">
        <v>16</v>
      </c>
      <c r="G1482" s="61">
        <v>15</v>
      </c>
      <c r="H1482" s="60">
        <v>10</v>
      </c>
      <c r="I1482" s="60">
        <v>12</v>
      </c>
      <c r="J1482" s="61">
        <v>11</v>
      </c>
    </row>
    <row r="1483" spans="1:10" x14ac:dyDescent="0.35">
      <c r="A1483" s="58">
        <v>42558</v>
      </c>
      <c r="B1483" s="55">
        <f t="shared" si="46"/>
        <v>2016</v>
      </c>
      <c r="C1483" s="55"/>
      <c r="D1483" s="55">
        <f t="shared" si="47"/>
        <v>7</v>
      </c>
      <c r="E1483" s="60">
        <v>14</v>
      </c>
      <c r="F1483" s="60">
        <v>16</v>
      </c>
      <c r="G1483" s="61">
        <v>15</v>
      </c>
      <c r="H1483" s="60">
        <v>10</v>
      </c>
      <c r="I1483" s="60">
        <v>12</v>
      </c>
      <c r="J1483" s="61">
        <v>11</v>
      </c>
    </row>
    <row r="1484" spans="1:10" x14ac:dyDescent="0.35">
      <c r="A1484" s="58">
        <v>42565</v>
      </c>
      <c r="B1484" s="55">
        <f t="shared" si="46"/>
        <v>2016</v>
      </c>
      <c r="C1484" s="55"/>
      <c r="D1484" s="55">
        <f t="shared" si="47"/>
        <v>7</v>
      </c>
      <c r="E1484" s="60">
        <v>14</v>
      </c>
      <c r="F1484" s="60">
        <v>16</v>
      </c>
      <c r="G1484" s="61">
        <v>15</v>
      </c>
      <c r="H1484" s="60">
        <v>11</v>
      </c>
      <c r="I1484" s="60">
        <v>13</v>
      </c>
      <c r="J1484" s="61">
        <v>12</v>
      </c>
    </row>
    <row r="1485" spans="1:10" x14ac:dyDescent="0.35">
      <c r="A1485" s="58">
        <v>42572</v>
      </c>
      <c r="B1485" s="55">
        <f t="shared" si="46"/>
        <v>2016</v>
      </c>
      <c r="C1485" s="55"/>
      <c r="D1485" s="55">
        <f t="shared" si="47"/>
        <v>7</v>
      </c>
      <c r="E1485" s="60">
        <v>14</v>
      </c>
      <c r="F1485" s="60">
        <v>16</v>
      </c>
      <c r="G1485" s="61">
        <v>15</v>
      </c>
      <c r="H1485" s="60">
        <v>12</v>
      </c>
      <c r="I1485" s="60">
        <v>14</v>
      </c>
      <c r="J1485" s="61">
        <v>13</v>
      </c>
    </row>
    <row r="1486" spans="1:10" x14ac:dyDescent="0.35">
      <c r="A1486" s="58">
        <v>42579</v>
      </c>
      <c r="B1486" s="55">
        <f t="shared" si="46"/>
        <v>2016</v>
      </c>
      <c r="C1486" s="55"/>
      <c r="D1486" s="55">
        <f t="shared" si="47"/>
        <v>7</v>
      </c>
      <c r="E1486" s="60">
        <v>14</v>
      </c>
      <c r="F1486" s="60">
        <v>16</v>
      </c>
      <c r="G1486" s="61">
        <v>15</v>
      </c>
      <c r="H1486" s="60">
        <v>12</v>
      </c>
      <c r="I1486" s="60">
        <v>14</v>
      </c>
      <c r="J1486" s="61">
        <v>13</v>
      </c>
    </row>
    <row r="1487" spans="1:10" x14ac:dyDescent="0.35">
      <c r="A1487" s="58">
        <v>42586</v>
      </c>
      <c r="B1487" s="55">
        <f t="shared" si="46"/>
        <v>2016</v>
      </c>
      <c r="C1487" s="55"/>
      <c r="D1487" s="55">
        <f t="shared" si="47"/>
        <v>8</v>
      </c>
      <c r="E1487" s="60">
        <v>13</v>
      </c>
      <c r="F1487" s="60">
        <v>15</v>
      </c>
      <c r="G1487" s="61">
        <v>14</v>
      </c>
      <c r="H1487" s="60">
        <v>12</v>
      </c>
      <c r="I1487" s="60">
        <v>14</v>
      </c>
      <c r="J1487" s="61">
        <v>13</v>
      </c>
    </row>
    <row r="1488" spans="1:10" x14ac:dyDescent="0.35">
      <c r="A1488" s="58">
        <v>42593</v>
      </c>
      <c r="B1488" s="55">
        <f t="shared" si="46"/>
        <v>2016</v>
      </c>
      <c r="C1488" s="55"/>
      <c r="D1488" s="55">
        <f t="shared" si="47"/>
        <v>8</v>
      </c>
      <c r="E1488" s="60">
        <v>13</v>
      </c>
      <c r="F1488" s="60">
        <v>15</v>
      </c>
      <c r="G1488" s="61">
        <v>14</v>
      </c>
      <c r="H1488" s="60">
        <v>12</v>
      </c>
      <c r="I1488" s="60">
        <v>14</v>
      </c>
      <c r="J1488" s="61">
        <v>13</v>
      </c>
    </row>
    <row r="1489" spans="1:10" x14ac:dyDescent="0.35">
      <c r="A1489" s="58">
        <v>42600</v>
      </c>
      <c r="B1489" s="55">
        <f t="shared" si="46"/>
        <v>2016</v>
      </c>
      <c r="C1489" s="55"/>
      <c r="D1489" s="55">
        <f t="shared" si="47"/>
        <v>8</v>
      </c>
      <c r="E1489" s="60">
        <v>14</v>
      </c>
      <c r="F1489" s="60">
        <v>16</v>
      </c>
      <c r="G1489" s="61">
        <v>15</v>
      </c>
      <c r="H1489" s="60">
        <v>15</v>
      </c>
      <c r="I1489" s="60">
        <v>17</v>
      </c>
      <c r="J1489" s="61">
        <v>16</v>
      </c>
    </row>
    <row r="1490" spans="1:10" x14ac:dyDescent="0.35">
      <c r="A1490" s="58">
        <v>42607</v>
      </c>
      <c r="B1490" s="55">
        <f t="shared" si="46"/>
        <v>2016</v>
      </c>
      <c r="C1490" s="55"/>
      <c r="D1490" s="55">
        <f t="shared" si="47"/>
        <v>8</v>
      </c>
      <c r="E1490" s="60">
        <v>13</v>
      </c>
      <c r="F1490" s="60">
        <v>15</v>
      </c>
      <c r="G1490" s="61">
        <v>14</v>
      </c>
      <c r="H1490" s="60">
        <v>13</v>
      </c>
      <c r="I1490" s="60">
        <v>15</v>
      </c>
      <c r="J1490" s="61">
        <v>14</v>
      </c>
    </row>
    <row r="1491" spans="1:10" x14ac:dyDescent="0.35">
      <c r="A1491" s="58">
        <v>42614</v>
      </c>
      <c r="B1491" s="55">
        <f t="shared" si="46"/>
        <v>2016</v>
      </c>
      <c r="C1491" s="55"/>
      <c r="D1491" s="55">
        <f t="shared" si="47"/>
        <v>9</v>
      </c>
      <c r="E1491" s="60">
        <v>15</v>
      </c>
      <c r="F1491" s="60">
        <v>17</v>
      </c>
      <c r="G1491" s="61">
        <v>16</v>
      </c>
      <c r="H1491" s="60">
        <v>13</v>
      </c>
      <c r="I1491" s="60">
        <v>15</v>
      </c>
      <c r="J1491" s="61">
        <v>14</v>
      </c>
    </row>
    <row r="1492" spans="1:10" x14ac:dyDescent="0.35">
      <c r="A1492" s="58">
        <v>42621</v>
      </c>
      <c r="B1492" s="55">
        <f t="shared" si="46"/>
        <v>2016</v>
      </c>
      <c r="C1492" s="55"/>
      <c r="D1492" s="55">
        <f t="shared" si="47"/>
        <v>9</v>
      </c>
      <c r="E1492" s="60">
        <v>16</v>
      </c>
      <c r="F1492" s="60">
        <v>18</v>
      </c>
      <c r="G1492" s="61">
        <v>17</v>
      </c>
      <c r="H1492" s="60">
        <v>12</v>
      </c>
      <c r="I1492" s="60">
        <v>14</v>
      </c>
      <c r="J1492" s="61">
        <v>13</v>
      </c>
    </row>
    <row r="1493" spans="1:10" x14ac:dyDescent="0.35">
      <c r="A1493" s="58">
        <v>42628</v>
      </c>
      <c r="B1493" s="55">
        <f t="shared" si="46"/>
        <v>2016</v>
      </c>
      <c r="C1493" s="55"/>
      <c r="D1493" s="55">
        <f t="shared" si="47"/>
        <v>9</v>
      </c>
      <c r="E1493" s="60">
        <v>14</v>
      </c>
      <c r="F1493" s="60">
        <v>16</v>
      </c>
      <c r="G1493" s="61">
        <v>15</v>
      </c>
      <c r="H1493" s="60">
        <v>12</v>
      </c>
      <c r="I1493" s="60">
        <v>14</v>
      </c>
      <c r="J1493" s="61">
        <v>13</v>
      </c>
    </row>
    <row r="1494" spans="1:10" x14ac:dyDescent="0.35">
      <c r="A1494" s="58">
        <v>42635</v>
      </c>
      <c r="B1494" s="55">
        <f t="shared" si="46"/>
        <v>2016</v>
      </c>
      <c r="C1494" s="55"/>
      <c r="D1494" s="55">
        <f t="shared" si="47"/>
        <v>9</v>
      </c>
      <c r="E1494" s="60">
        <v>15</v>
      </c>
      <c r="F1494" s="60">
        <v>17</v>
      </c>
      <c r="G1494" s="61">
        <v>16</v>
      </c>
      <c r="H1494" s="60">
        <v>12</v>
      </c>
      <c r="I1494" s="60">
        <v>14</v>
      </c>
      <c r="J1494" s="61">
        <v>13</v>
      </c>
    </row>
    <row r="1495" spans="1:10" x14ac:dyDescent="0.35">
      <c r="A1495" s="58">
        <v>42642</v>
      </c>
      <c r="B1495" s="55">
        <f t="shared" si="46"/>
        <v>2016</v>
      </c>
      <c r="C1495" s="55"/>
      <c r="D1495" s="55">
        <f t="shared" si="47"/>
        <v>9</v>
      </c>
      <c r="E1495" s="60">
        <v>15</v>
      </c>
      <c r="F1495" s="60">
        <v>17</v>
      </c>
      <c r="G1495" s="61">
        <v>16</v>
      </c>
      <c r="H1495" s="60">
        <v>14</v>
      </c>
      <c r="I1495" s="60">
        <v>16</v>
      </c>
      <c r="J1495" s="61">
        <v>15</v>
      </c>
    </row>
    <row r="1496" spans="1:10" x14ac:dyDescent="0.35">
      <c r="A1496" s="58">
        <v>42649</v>
      </c>
      <c r="B1496" s="55">
        <f t="shared" si="46"/>
        <v>2016</v>
      </c>
      <c r="C1496" s="55"/>
      <c r="D1496" s="55">
        <f t="shared" si="47"/>
        <v>10</v>
      </c>
      <c r="E1496" s="60">
        <v>15</v>
      </c>
      <c r="F1496" s="60">
        <v>17</v>
      </c>
      <c r="G1496" s="61">
        <v>16</v>
      </c>
      <c r="H1496" s="60">
        <v>13</v>
      </c>
      <c r="I1496" s="60">
        <v>15</v>
      </c>
      <c r="J1496" s="61">
        <v>14</v>
      </c>
    </row>
    <row r="1497" spans="1:10" x14ac:dyDescent="0.35">
      <c r="A1497" s="58">
        <v>42656</v>
      </c>
      <c r="B1497" s="55">
        <f t="shared" si="46"/>
        <v>2016</v>
      </c>
      <c r="C1497" s="55"/>
      <c r="D1497" s="55">
        <f t="shared" si="47"/>
        <v>10</v>
      </c>
      <c r="E1497" s="60">
        <v>15</v>
      </c>
      <c r="F1497" s="60">
        <v>17</v>
      </c>
      <c r="G1497" s="61">
        <v>16</v>
      </c>
      <c r="H1497" s="60">
        <v>13</v>
      </c>
      <c r="I1497" s="60">
        <v>15</v>
      </c>
      <c r="J1497" s="61">
        <v>14</v>
      </c>
    </row>
    <row r="1498" spans="1:10" x14ac:dyDescent="0.35">
      <c r="A1498" s="58">
        <v>42663</v>
      </c>
      <c r="B1498" s="55">
        <f t="shared" si="46"/>
        <v>2016</v>
      </c>
      <c r="C1498" s="55"/>
      <c r="D1498" s="55">
        <f t="shared" si="47"/>
        <v>10</v>
      </c>
      <c r="E1498" s="60">
        <v>16</v>
      </c>
      <c r="F1498" s="60">
        <v>18</v>
      </c>
      <c r="G1498" s="61">
        <v>17</v>
      </c>
      <c r="H1498" s="60">
        <v>14</v>
      </c>
      <c r="I1498" s="60">
        <v>16</v>
      </c>
      <c r="J1498" s="61">
        <v>15</v>
      </c>
    </row>
    <row r="1499" spans="1:10" x14ac:dyDescent="0.35">
      <c r="A1499" s="58">
        <v>42670</v>
      </c>
      <c r="B1499" s="55">
        <f t="shared" si="46"/>
        <v>2016</v>
      </c>
      <c r="C1499" s="55"/>
      <c r="D1499" s="55">
        <f t="shared" si="47"/>
        <v>10</v>
      </c>
      <c r="E1499" s="60">
        <v>16</v>
      </c>
      <c r="F1499" s="60">
        <v>18</v>
      </c>
      <c r="G1499" s="61">
        <v>17</v>
      </c>
      <c r="H1499" s="60">
        <v>14</v>
      </c>
      <c r="I1499" s="60">
        <v>16</v>
      </c>
      <c r="J1499" s="61">
        <v>15</v>
      </c>
    </row>
    <row r="1500" spans="1:10" x14ac:dyDescent="0.35">
      <c r="A1500" s="58">
        <v>42677</v>
      </c>
      <c r="B1500" s="55">
        <f t="shared" si="46"/>
        <v>2016</v>
      </c>
      <c r="C1500" s="55"/>
      <c r="D1500" s="55">
        <f t="shared" si="47"/>
        <v>11</v>
      </c>
      <c r="E1500" s="60">
        <v>16</v>
      </c>
      <c r="F1500" s="60">
        <v>18</v>
      </c>
      <c r="G1500" s="61">
        <v>17</v>
      </c>
      <c r="H1500" s="60">
        <v>14</v>
      </c>
      <c r="I1500" s="60">
        <v>16</v>
      </c>
      <c r="J1500" s="61">
        <v>15</v>
      </c>
    </row>
    <row r="1501" spans="1:10" x14ac:dyDescent="0.35">
      <c r="A1501" s="58">
        <v>42684</v>
      </c>
      <c r="B1501" s="55">
        <f t="shared" si="46"/>
        <v>2016</v>
      </c>
      <c r="C1501" s="55"/>
      <c r="D1501" s="55">
        <f t="shared" si="47"/>
        <v>11</v>
      </c>
      <c r="E1501" s="60">
        <v>16</v>
      </c>
      <c r="F1501" s="60">
        <v>18</v>
      </c>
      <c r="G1501" s="61">
        <v>17</v>
      </c>
      <c r="H1501" s="60">
        <v>14</v>
      </c>
      <c r="I1501" s="60">
        <v>16</v>
      </c>
      <c r="J1501" s="61">
        <v>15</v>
      </c>
    </row>
    <row r="1502" spans="1:10" x14ac:dyDescent="0.35">
      <c r="A1502" s="58">
        <v>42691</v>
      </c>
      <c r="B1502" s="55">
        <f t="shared" si="46"/>
        <v>2016</v>
      </c>
      <c r="C1502" s="55"/>
      <c r="D1502" s="55">
        <f t="shared" si="47"/>
        <v>11</v>
      </c>
      <c r="E1502" s="60">
        <v>17</v>
      </c>
      <c r="F1502" s="60">
        <v>19</v>
      </c>
      <c r="G1502" s="61">
        <v>18</v>
      </c>
      <c r="H1502" s="60">
        <v>14</v>
      </c>
      <c r="I1502" s="60">
        <v>16</v>
      </c>
      <c r="J1502" s="61">
        <v>15</v>
      </c>
    </row>
    <row r="1503" spans="1:10" x14ac:dyDescent="0.35">
      <c r="A1503" s="58">
        <v>42698</v>
      </c>
      <c r="B1503" s="55">
        <f t="shared" si="46"/>
        <v>2016</v>
      </c>
      <c r="C1503" s="55"/>
      <c r="D1503" s="55">
        <f t="shared" si="47"/>
        <v>11</v>
      </c>
      <c r="E1503" s="60">
        <v>17</v>
      </c>
      <c r="F1503" s="60">
        <v>19</v>
      </c>
      <c r="G1503" s="61">
        <v>18</v>
      </c>
      <c r="H1503" s="60">
        <v>15</v>
      </c>
      <c r="I1503" s="60">
        <v>17</v>
      </c>
      <c r="J1503" s="61">
        <v>16</v>
      </c>
    </row>
    <row r="1504" spans="1:10" x14ac:dyDescent="0.35">
      <c r="A1504" s="58">
        <v>42705</v>
      </c>
      <c r="B1504" s="55">
        <f t="shared" si="46"/>
        <v>2016</v>
      </c>
      <c r="C1504" s="55"/>
      <c r="D1504" s="55">
        <f t="shared" si="47"/>
        <v>12</v>
      </c>
      <c r="E1504" s="60">
        <v>17</v>
      </c>
      <c r="F1504" s="60">
        <v>19</v>
      </c>
      <c r="G1504" s="61">
        <v>18</v>
      </c>
      <c r="H1504" s="60">
        <v>15</v>
      </c>
      <c r="I1504" s="60">
        <v>17</v>
      </c>
      <c r="J1504" s="61">
        <v>16</v>
      </c>
    </row>
    <row r="1505" spans="1:10" x14ac:dyDescent="0.35">
      <c r="A1505" s="58">
        <v>42712</v>
      </c>
      <c r="B1505" s="55">
        <f t="shared" si="46"/>
        <v>2016</v>
      </c>
      <c r="C1505" s="55"/>
      <c r="D1505" s="55">
        <f t="shared" si="47"/>
        <v>12</v>
      </c>
      <c r="E1505" s="60">
        <v>17</v>
      </c>
      <c r="F1505" s="60">
        <v>19</v>
      </c>
      <c r="G1505" s="61">
        <v>18</v>
      </c>
      <c r="H1505" s="60">
        <v>15</v>
      </c>
      <c r="I1505" s="60">
        <v>17</v>
      </c>
      <c r="J1505" s="61">
        <v>16</v>
      </c>
    </row>
    <row r="1506" spans="1:10" x14ac:dyDescent="0.35">
      <c r="A1506" s="58">
        <v>42719</v>
      </c>
      <c r="B1506" s="55">
        <f t="shared" si="46"/>
        <v>2016</v>
      </c>
      <c r="C1506" s="55"/>
      <c r="D1506" s="55">
        <f t="shared" si="47"/>
        <v>12</v>
      </c>
      <c r="E1506" s="60">
        <v>19</v>
      </c>
      <c r="F1506" s="60">
        <v>21</v>
      </c>
      <c r="G1506" s="61">
        <v>20</v>
      </c>
      <c r="H1506" s="60">
        <v>15</v>
      </c>
      <c r="I1506" s="60">
        <v>17</v>
      </c>
      <c r="J1506" s="61">
        <v>16</v>
      </c>
    </row>
    <row r="1507" spans="1:10" x14ac:dyDescent="0.35">
      <c r="A1507" s="58">
        <v>42726</v>
      </c>
      <c r="B1507" s="55">
        <f t="shared" si="46"/>
        <v>2016</v>
      </c>
      <c r="C1507" s="55"/>
      <c r="D1507" s="55">
        <f t="shared" si="47"/>
        <v>12</v>
      </c>
      <c r="E1507" s="60">
        <v>18</v>
      </c>
      <c r="F1507" s="60">
        <v>20</v>
      </c>
      <c r="G1507" s="61">
        <v>19</v>
      </c>
      <c r="H1507" s="60">
        <v>15</v>
      </c>
      <c r="I1507" s="60">
        <v>17</v>
      </c>
      <c r="J1507" s="61">
        <v>16</v>
      </c>
    </row>
    <row r="1508" spans="1:10" x14ac:dyDescent="0.35">
      <c r="A1508" s="58">
        <v>42733</v>
      </c>
      <c r="B1508" s="55">
        <f t="shared" si="46"/>
        <v>2016</v>
      </c>
      <c r="C1508" s="55"/>
      <c r="D1508" s="55">
        <f t="shared" si="47"/>
        <v>12</v>
      </c>
      <c r="E1508" s="60">
        <v>18</v>
      </c>
      <c r="F1508" s="60">
        <v>20</v>
      </c>
      <c r="G1508" s="61">
        <v>19</v>
      </c>
      <c r="H1508" s="60">
        <v>15</v>
      </c>
      <c r="I1508" s="60">
        <v>17</v>
      </c>
      <c r="J1508" s="61">
        <v>16</v>
      </c>
    </row>
    <row r="1509" spans="1:10" x14ac:dyDescent="0.35">
      <c r="A1509" s="58">
        <v>42740</v>
      </c>
      <c r="B1509" s="55">
        <f t="shared" si="46"/>
        <v>2017</v>
      </c>
      <c r="C1509" s="55"/>
      <c r="D1509" s="55">
        <f t="shared" si="47"/>
        <v>1</v>
      </c>
      <c r="E1509" s="60">
        <v>18</v>
      </c>
      <c r="F1509" s="60">
        <v>20</v>
      </c>
      <c r="G1509" s="61">
        <v>19</v>
      </c>
      <c r="H1509" s="60">
        <v>13</v>
      </c>
      <c r="I1509" s="60">
        <v>15</v>
      </c>
      <c r="J1509" s="61">
        <v>14</v>
      </c>
    </row>
    <row r="1510" spans="1:10" x14ac:dyDescent="0.35">
      <c r="A1510" s="58">
        <v>42747</v>
      </c>
      <c r="B1510" s="55">
        <f t="shared" si="46"/>
        <v>2017</v>
      </c>
      <c r="C1510" s="55"/>
      <c r="D1510" s="55">
        <f t="shared" si="47"/>
        <v>1</v>
      </c>
      <c r="E1510" s="60">
        <v>20</v>
      </c>
      <c r="F1510" s="60">
        <v>22</v>
      </c>
      <c r="G1510" s="61">
        <v>21</v>
      </c>
      <c r="H1510" s="60">
        <v>13</v>
      </c>
      <c r="I1510" s="60">
        <v>15</v>
      </c>
      <c r="J1510" s="61">
        <v>14</v>
      </c>
    </row>
    <row r="1511" spans="1:10" x14ac:dyDescent="0.35">
      <c r="A1511" s="58">
        <v>42754</v>
      </c>
      <c r="B1511" s="55">
        <f t="shared" si="46"/>
        <v>2017</v>
      </c>
      <c r="C1511" s="55"/>
      <c r="D1511" s="55">
        <f t="shared" si="47"/>
        <v>1</v>
      </c>
      <c r="E1511" s="60">
        <v>20</v>
      </c>
      <c r="F1511" s="60">
        <v>22</v>
      </c>
      <c r="G1511" s="61">
        <v>21</v>
      </c>
      <c r="H1511" s="60">
        <v>13</v>
      </c>
      <c r="I1511" s="60">
        <v>15</v>
      </c>
      <c r="J1511" s="61">
        <v>14</v>
      </c>
    </row>
    <row r="1512" spans="1:10" x14ac:dyDescent="0.35">
      <c r="A1512" s="58">
        <v>42761</v>
      </c>
      <c r="B1512" s="55">
        <f t="shared" si="46"/>
        <v>2017</v>
      </c>
      <c r="C1512" s="55"/>
      <c r="D1512" s="55">
        <f t="shared" si="47"/>
        <v>1</v>
      </c>
      <c r="E1512" s="60">
        <v>18</v>
      </c>
      <c r="F1512" s="60">
        <v>20</v>
      </c>
      <c r="G1512" s="61">
        <v>19</v>
      </c>
      <c r="H1512" s="60">
        <v>13</v>
      </c>
      <c r="I1512" s="60">
        <v>15</v>
      </c>
      <c r="J1512" s="61">
        <v>14</v>
      </c>
    </row>
    <row r="1513" spans="1:10" x14ac:dyDescent="0.35">
      <c r="A1513" s="58">
        <v>42768</v>
      </c>
      <c r="B1513" s="55">
        <f t="shared" si="46"/>
        <v>2017</v>
      </c>
      <c r="C1513" s="55"/>
      <c r="D1513" s="55">
        <f t="shared" si="47"/>
        <v>2</v>
      </c>
      <c r="E1513" s="60">
        <v>19</v>
      </c>
      <c r="F1513" s="60">
        <v>21</v>
      </c>
      <c r="G1513" s="61">
        <v>20</v>
      </c>
      <c r="H1513" s="60">
        <v>13</v>
      </c>
      <c r="I1513" s="60">
        <v>15</v>
      </c>
      <c r="J1513" s="61">
        <v>14</v>
      </c>
    </row>
    <row r="1514" spans="1:10" x14ac:dyDescent="0.35">
      <c r="A1514" s="58">
        <v>42775</v>
      </c>
      <c r="B1514" s="55">
        <f t="shared" si="46"/>
        <v>2017</v>
      </c>
      <c r="C1514" s="55"/>
      <c r="D1514" s="55">
        <f t="shared" si="47"/>
        <v>2</v>
      </c>
      <c r="E1514" s="60">
        <v>18</v>
      </c>
      <c r="F1514" s="60">
        <v>20</v>
      </c>
      <c r="G1514" s="61">
        <v>19</v>
      </c>
      <c r="H1514" s="60">
        <v>13</v>
      </c>
      <c r="I1514" s="60">
        <v>15</v>
      </c>
      <c r="J1514" s="61">
        <v>14</v>
      </c>
    </row>
    <row r="1515" spans="1:10" x14ac:dyDescent="0.35">
      <c r="A1515" s="58">
        <v>42782</v>
      </c>
      <c r="B1515" s="55">
        <f t="shared" si="46"/>
        <v>2017</v>
      </c>
      <c r="C1515" s="55"/>
      <c r="D1515" s="55">
        <f t="shared" si="47"/>
        <v>2</v>
      </c>
      <c r="E1515" s="60">
        <v>18</v>
      </c>
      <c r="F1515" s="60">
        <v>20</v>
      </c>
      <c r="G1515" s="61">
        <v>19</v>
      </c>
      <c r="H1515" s="60">
        <v>13</v>
      </c>
      <c r="I1515" s="60">
        <v>15</v>
      </c>
      <c r="J1515" s="61">
        <v>14</v>
      </c>
    </row>
    <row r="1516" spans="1:10" x14ac:dyDescent="0.35">
      <c r="A1516" s="58">
        <v>42789</v>
      </c>
      <c r="B1516" s="55">
        <f t="shared" si="46"/>
        <v>2017</v>
      </c>
      <c r="C1516" s="55"/>
      <c r="D1516" s="55">
        <f t="shared" si="47"/>
        <v>2</v>
      </c>
      <c r="E1516" s="60">
        <v>18</v>
      </c>
      <c r="F1516" s="60">
        <v>20</v>
      </c>
      <c r="G1516" s="61">
        <v>19</v>
      </c>
      <c r="H1516" s="60">
        <v>13</v>
      </c>
      <c r="I1516" s="60">
        <v>15</v>
      </c>
      <c r="J1516" s="61">
        <v>14</v>
      </c>
    </row>
    <row r="1517" spans="1:10" x14ac:dyDescent="0.35">
      <c r="A1517" s="58">
        <v>42796</v>
      </c>
      <c r="B1517" s="55">
        <f t="shared" si="46"/>
        <v>2017</v>
      </c>
      <c r="C1517" s="55"/>
      <c r="D1517" s="55">
        <f t="shared" si="47"/>
        <v>3</v>
      </c>
      <c r="E1517" s="60">
        <v>19</v>
      </c>
      <c r="F1517" s="60">
        <v>21</v>
      </c>
      <c r="G1517" s="61">
        <v>20</v>
      </c>
      <c r="H1517" s="60">
        <v>13</v>
      </c>
      <c r="I1517" s="60">
        <v>15</v>
      </c>
      <c r="J1517" s="61">
        <v>14</v>
      </c>
    </row>
    <row r="1518" spans="1:10" x14ac:dyDescent="0.35">
      <c r="A1518" s="58">
        <v>42803</v>
      </c>
      <c r="B1518" s="55">
        <f t="shared" si="46"/>
        <v>2017</v>
      </c>
      <c r="C1518" s="55"/>
      <c r="D1518" s="55">
        <f t="shared" si="47"/>
        <v>3</v>
      </c>
      <c r="E1518" s="60">
        <v>19</v>
      </c>
      <c r="F1518" s="60">
        <v>21</v>
      </c>
      <c r="G1518" s="61">
        <v>20</v>
      </c>
      <c r="H1518" s="60">
        <v>14</v>
      </c>
      <c r="I1518" s="60">
        <v>16</v>
      </c>
      <c r="J1518" s="61">
        <v>15</v>
      </c>
    </row>
    <row r="1519" spans="1:10" x14ac:dyDescent="0.35">
      <c r="A1519" s="58">
        <v>42810</v>
      </c>
      <c r="B1519" s="55">
        <f t="shared" si="46"/>
        <v>2017</v>
      </c>
      <c r="C1519" s="55"/>
      <c r="D1519" s="55">
        <f t="shared" si="47"/>
        <v>3</v>
      </c>
      <c r="E1519" s="60">
        <v>19</v>
      </c>
      <c r="F1519" s="60">
        <v>21</v>
      </c>
      <c r="G1519" s="61">
        <v>20</v>
      </c>
      <c r="H1519" s="60">
        <v>14</v>
      </c>
      <c r="I1519" s="60">
        <v>16</v>
      </c>
      <c r="J1519" s="61">
        <v>15</v>
      </c>
    </row>
    <row r="1520" spans="1:10" x14ac:dyDescent="0.35">
      <c r="A1520" s="58">
        <v>42817</v>
      </c>
      <c r="B1520" s="55">
        <f t="shared" si="46"/>
        <v>2017</v>
      </c>
      <c r="C1520" s="55"/>
      <c r="D1520" s="55">
        <f t="shared" si="47"/>
        <v>3</v>
      </c>
      <c r="E1520" s="60">
        <v>19</v>
      </c>
      <c r="F1520" s="60">
        <v>21</v>
      </c>
      <c r="G1520" s="61">
        <v>20</v>
      </c>
      <c r="H1520" s="60">
        <v>14</v>
      </c>
      <c r="I1520" s="60">
        <v>16</v>
      </c>
      <c r="J1520" s="61">
        <v>15</v>
      </c>
    </row>
    <row r="1521" spans="1:10" x14ac:dyDescent="0.35">
      <c r="A1521" s="58">
        <v>42824</v>
      </c>
      <c r="B1521" s="55">
        <f t="shared" si="46"/>
        <v>2017</v>
      </c>
      <c r="C1521" s="55"/>
      <c r="D1521" s="55">
        <f t="shared" si="47"/>
        <v>3</v>
      </c>
      <c r="E1521" s="60">
        <v>20</v>
      </c>
      <c r="F1521" s="60">
        <v>22</v>
      </c>
      <c r="G1521" s="61">
        <v>21</v>
      </c>
      <c r="H1521" s="60">
        <v>14</v>
      </c>
      <c r="I1521" s="60">
        <v>16</v>
      </c>
      <c r="J1521" s="61">
        <v>15</v>
      </c>
    </row>
    <row r="1522" spans="1:10" x14ac:dyDescent="0.35">
      <c r="A1522" s="58">
        <v>42831</v>
      </c>
      <c r="B1522" s="55">
        <f t="shared" si="46"/>
        <v>2017</v>
      </c>
      <c r="C1522" s="55"/>
      <c r="D1522" s="55">
        <f t="shared" si="47"/>
        <v>4</v>
      </c>
      <c r="E1522" s="60">
        <v>20</v>
      </c>
      <c r="F1522" s="60">
        <v>22</v>
      </c>
      <c r="G1522" s="61">
        <v>21</v>
      </c>
      <c r="H1522" s="60">
        <v>15</v>
      </c>
      <c r="I1522" s="60">
        <v>17</v>
      </c>
      <c r="J1522" s="61">
        <v>16</v>
      </c>
    </row>
    <row r="1523" spans="1:10" x14ac:dyDescent="0.35">
      <c r="A1523" s="58">
        <v>42838</v>
      </c>
      <c r="B1523" s="55">
        <f t="shared" si="46"/>
        <v>2017</v>
      </c>
      <c r="C1523" s="55"/>
      <c r="D1523" s="55">
        <f t="shared" si="47"/>
        <v>4</v>
      </c>
      <c r="E1523" s="60">
        <v>20</v>
      </c>
      <c r="F1523" s="60">
        <v>22</v>
      </c>
      <c r="G1523" s="61">
        <v>21</v>
      </c>
      <c r="H1523" s="60">
        <v>15</v>
      </c>
      <c r="I1523" s="60">
        <v>17</v>
      </c>
      <c r="J1523" s="61">
        <v>16</v>
      </c>
    </row>
    <row r="1524" spans="1:10" x14ac:dyDescent="0.35">
      <c r="A1524" s="58">
        <v>42845</v>
      </c>
      <c r="B1524" s="55">
        <f t="shared" si="46"/>
        <v>2017</v>
      </c>
      <c r="C1524" s="55"/>
      <c r="D1524" s="55">
        <f t="shared" si="47"/>
        <v>4</v>
      </c>
      <c r="E1524" s="60">
        <v>19</v>
      </c>
      <c r="F1524" s="60">
        <v>21</v>
      </c>
      <c r="G1524" s="61">
        <v>20</v>
      </c>
      <c r="H1524" s="60">
        <v>15</v>
      </c>
      <c r="I1524" s="60">
        <v>17</v>
      </c>
      <c r="J1524" s="61">
        <v>16</v>
      </c>
    </row>
    <row r="1525" spans="1:10" x14ac:dyDescent="0.35">
      <c r="A1525" s="58">
        <v>42852</v>
      </c>
      <c r="B1525" s="55">
        <f t="shared" si="46"/>
        <v>2017</v>
      </c>
      <c r="C1525" s="55"/>
      <c r="D1525" s="55">
        <f t="shared" si="47"/>
        <v>4</v>
      </c>
      <c r="E1525" s="60">
        <v>20</v>
      </c>
      <c r="F1525" s="60">
        <v>22</v>
      </c>
      <c r="G1525" s="61">
        <v>21</v>
      </c>
      <c r="H1525" s="60">
        <v>15</v>
      </c>
      <c r="I1525" s="60">
        <v>17</v>
      </c>
      <c r="J1525" s="61">
        <v>16</v>
      </c>
    </row>
    <row r="1526" spans="1:10" x14ac:dyDescent="0.35">
      <c r="A1526" s="58">
        <v>42859</v>
      </c>
      <c r="B1526" s="55">
        <f t="shared" si="46"/>
        <v>2017</v>
      </c>
      <c r="C1526" s="55"/>
      <c r="D1526" s="55">
        <f t="shared" si="47"/>
        <v>5</v>
      </c>
      <c r="E1526" s="60">
        <v>20</v>
      </c>
      <c r="F1526" s="60">
        <v>22</v>
      </c>
      <c r="G1526" s="61">
        <v>21</v>
      </c>
      <c r="H1526" s="60">
        <v>14</v>
      </c>
      <c r="I1526" s="60">
        <v>16</v>
      </c>
      <c r="J1526" s="61">
        <v>15</v>
      </c>
    </row>
    <row r="1527" spans="1:10" x14ac:dyDescent="0.35">
      <c r="A1527" s="58">
        <v>42866</v>
      </c>
      <c r="B1527" s="55">
        <f t="shared" si="46"/>
        <v>2017</v>
      </c>
      <c r="C1527" s="55"/>
      <c r="D1527" s="55">
        <f t="shared" si="47"/>
        <v>5</v>
      </c>
      <c r="E1527" s="60">
        <v>20</v>
      </c>
      <c r="F1527" s="60">
        <v>22</v>
      </c>
      <c r="G1527" s="61">
        <v>21</v>
      </c>
      <c r="H1527" s="60">
        <v>14</v>
      </c>
      <c r="I1527" s="60">
        <v>16</v>
      </c>
      <c r="J1527" s="61">
        <v>15</v>
      </c>
    </row>
    <row r="1528" spans="1:10" x14ac:dyDescent="0.35">
      <c r="A1528" s="58">
        <v>42873</v>
      </c>
      <c r="B1528" s="55">
        <f t="shared" si="46"/>
        <v>2017</v>
      </c>
      <c r="C1528" s="55"/>
      <c r="D1528" s="55">
        <f t="shared" si="47"/>
        <v>5</v>
      </c>
      <c r="E1528" s="60">
        <v>20</v>
      </c>
      <c r="F1528" s="60">
        <v>22</v>
      </c>
      <c r="G1528" s="61">
        <v>21</v>
      </c>
      <c r="H1528" s="60">
        <v>14</v>
      </c>
      <c r="I1528" s="60">
        <v>16</v>
      </c>
      <c r="J1528" s="61">
        <v>15</v>
      </c>
    </row>
    <row r="1529" spans="1:10" x14ac:dyDescent="0.35">
      <c r="A1529" s="58">
        <v>42880</v>
      </c>
      <c r="B1529" s="55">
        <f t="shared" si="46"/>
        <v>2017</v>
      </c>
      <c r="C1529" s="55"/>
      <c r="D1529" s="55">
        <f t="shared" si="47"/>
        <v>5</v>
      </c>
      <c r="E1529" s="60">
        <v>19</v>
      </c>
      <c r="F1529" s="60">
        <v>21</v>
      </c>
      <c r="G1529" s="61">
        <v>20</v>
      </c>
      <c r="H1529" s="60">
        <v>14</v>
      </c>
      <c r="I1529" s="60">
        <v>16</v>
      </c>
      <c r="J1529" s="61">
        <v>15</v>
      </c>
    </row>
    <row r="1530" spans="1:10" x14ac:dyDescent="0.35">
      <c r="A1530" s="58">
        <v>42887</v>
      </c>
      <c r="B1530" s="55">
        <f t="shared" si="46"/>
        <v>2017</v>
      </c>
      <c r="C1530" s="55"/>
      <c r="D1530" s="55">
        <f t="shared" si="47"/>
        <v>6</v>
      </c>
      <c r="E1530" s="60">
        <v>19</v>
      </c>
      <c r="F1530" s="60">
        <v>21</v>
      </c>
      <c r="G1530" s="61">
        <v>20</v>
      </c>
      <c r="H1530" s="60">
        <v>14</v>
      </c>
      <c r="I1530" s="60">
        <v>16</v>
      </c>
      <c r="J1530" s="61">
        <v>15</v>
      </c>
    </row>
    <row r="1531" spans="1:10" x14ac:dyDescent="0.35">
      <c r="A1531" s="58">
        <v>42894</v>
      </c>
      <c r="B1531" s="55">
        <f t="shared" si="46"/>
        <v>2017</v>
      </c>
      <c r="C1531" s="55"/>
      <c r="D1531" s="55">
        <f t="shared" si="47"/>
        <v>6</v>
      </c>
      <c r="E1531" s="60">
        <v>19</v>
      </c>
      <c r="F1531" s="60">
        <v>21</v>
      </c>
      <c r="G1531" s="61">
        <v>20</v>
      </c>
      <c r="H1531" s="60">
        <v>14</v>
      </c>
      <c r="I1531" s="60">
        <v>16</v>
      </c>
      <c r="J1531" s="61">
        <v>15</v>
      </c>
    </row>
    <row r="1532" spans="1:10" x14ac:dyDescent="0.35">
      <c r="A1532" s="58">
        <v>42901</v>
      </c>
      <c r="B1532" s="55">
        <f t="shared" si="46"/>
        <v>2017</v>
      </c>
      <c r="C1532" s="55"/>
      <c r="D1532" s="55">
        <f t="shared" si="47"/>
        <v>6</v>
      </c>
      <c r="E1532" s="60">
        <v>19</v>
      </c>
      <c r="F1532" s="60">
        <v>21</v>
      </c>
      <c r="G1532" s="61">
        <v>20</v>
      </c>
      <c r="H1532" s="60">
        <v>14</v>
      </c>
      <c r="I1532" s="60">
        <v>16</v>
      </c>
      <c r="J1532" s="61">
        <v>15</v>
      </c>
    </row>
    <row r="1533" spans="1:10" x14ac:dyDescent="0.35">
      <c r="A1533" s="58">
        <v>42908</v>
      </c>
      <c r="B1533" s="55">
        <f t="shared" si="46"/>
        <v>2017</v>
      </c>
      <c r="C1533" s="55"/>
      <c r="D1533" s="55">
        <f t="shared" si="47"/>
        <v>6</v>
      </c>
      <c r="E1533" s="60">
        <v>19</v>
      </c>
      <c r="F1533" s="60">
        <v>21</v>
      </c>
      <c r="G1533" s="61">
        <v>20</v>
      </c>
      <c r="H1533" s="60">
        <v>14</v>
      </c>
      <c r="I1533" s="60">
        <v>16</v>
      </c>
      <c r="J1533" s="61">
        <v>15</v>
      </c>
    </row>
    <row r="1534" spans="1:10" x14ac:dyDescent="0.35">
      <c r="A1534" s="58">
        <v>42915</v>
      </c>
      <c r="B1534" s="55">
        <f t="shared" si="46"/>
        <v>2017</v>
      </c>
      <c r="C1534" s="55"/>
      <c r="D1534" s="55">
        <f t="shared" si="47"/>
        <v>6</v>
      </c>
      <c r="E1534" s="60">
        <v>19</v>
      </c>
      <c r="F1534" s="60">
        <v>21</v>
      </c>
      <c r="G1534" s="61">
        <v>20</v>
      </c>
      <c r="H1534" s="60">
        <v>14</v>
      </c>
      <c r="I1534" s="60">
        <v>16</v>
      </c>
      <c r="J1534" s="61">
        <v>15</v>
      </c>
    </row>
    <row r="1535" spans="1:10" x14ac:dyDescent="0.35">
      <c r="A1535" s="58">
        <v>42922</v>
      </c>
      <c r="B1535" s="55">
        <f t="shared" si="46"/>
        <v>2017</v>
      </c>
      <c r="C1535" s="55"/>
      <c r="D1535" s="55">
        <f t="shared" si="47"/>
        <v>7</v>
      </c>
      <c r="E1535" s="60">
        <v>19</v>
      </c>
      <c r="F1535" s="60">
        <v>21</v>
      </c>
      <c r="G1535" s="61">
        <v>20</v>
      </c>
      <c r="H1535" s="60">
        <v>14</v>
      </c>
      <c r="I1535" s="60">
        <v>16</v>
      </c>
      <c r="J1535" s="61">
        <v>15</v>
      </c>
    </row>
    <row r="1536" spans="1:10" x14ac:dyDescent="0.35">
      <c r="A1536" s="58">
        <v>42929</v>
      </c>
      <c r="B1536" s="55">
        <f t="shared" si="46"/>
        <v>2017</v>
      </c>
      <c r="C1536" s="55"/>
      <c r="D1536" s="55">
        <f t="shared" si="47"/>
        <v>7</v>
      </c>
      <c r="E1536" s="60">
        <v>19</v>
      </c>
      <c r="F1536" s="60">
        <v>21</v>
      </c>
      <c r="G1536" s="61">
        <v>20</v>
      </c>
      <c r="H1536" s="60">
        <v>14</v>
      </c>
      <c r="I1536" s="60">
        <v>16</v>
      </c>
      <c r="J1536" s="61">
        <v>15</v>
      </c>
    </row>
    <row r="1537" spans="1:10" x14ac:dyDescent="0.35">
      <c r="A1537" s="58">
        <v>42936</v>
      </c>
      <c r="B1537" s="55">
        <f t="shared" si="46"/>
        <v>2017</v>
      </c>
      <c r="C1537" s="55"/>
      <c r="D1537" s="55">
        <f t="shared" si="47"/>
        <v>7</v>
      </c>
      <c r="E1537" s="60">
        <v>19</v>
      </c>
      <c r="F1537" s="60">
        <v>21</v>
      </c>
      <c r="G1537" s="61">
        <v>20</v>
      </c>
      <c r="H1537" s="60">
        <v>15</v>
      </c>
      <c r="I1537" s="60">
        <v>17</v>
      </c>
      <c r="J1537" s="61">
        <v>16</v>
      </c>
    </row>
    <row r="1538" spans="1:10" x14ac:dyDescent="0.35">
      <c r="A1538" s="58">
        <v>42943</v>
      </c>
      <c r="B1538" s="55">
        <f t="shared" si="46"/>
        <v>2017</v>
      </c>
      <c r="C1538" s="55"/>
      <c r="D1538" s="55">
        <f t="shared" si="47"/>
        <v>7</v>
      </c>
      <c r="E1538" s="60">
        <v>19</v>
      </c>
      <c r="F1538" s="60">
        <v>21</v>
      </c>
      <c r="G1538" s="61">
        <v>20</v>
      </c>
      <c r="H1538" s="60">
        <v>15</v>
      </c>
      <c r="I1538" s="60">
        <v>17</v>
      </c>
      <c r="J1538" s="61">
        <v>16</v>
      </c>
    </row>
    <row r="1539" spans="1:10" x14ac:dyDescent="0.35">
      <c r="A1539" s="58">
        <v>42950</v>
      </c>
      <c r="B1539" s="55">
        <f t="shared" si="46"/>
        <v>2017</v>
      </c>
      <c r="C1539" s="55"/>
      <c r="D1539" s="55">
        <f t="shared" si="47"/>
        <v>8</v>
      </c>
      <c r="E1539" s="60">
        <v>19</v>
      </c>
      <c r="F1539" s="60">
        <v>21</v>
      </c>
      <c r="G1539" s="61">
        <v>20</v>
      </c>
      <c r="H1539" s="60">
        <v>15</v>
      </c>
      <c r="I1539" s="60">
        <v>17</v>
      </c>
      <c r="J1539" s="61">
        <v>16</v>
      </c>
    </row>
    <row r="1540" spans="1:10" x14ac:dyDescent="0.35">
      <c r="A1540" s="58">
        <v>42957</v>
      </c>
      <c r="B1540" s="55">
        <f t="shared" ref="B1540:B1603" si="48">YEAR(A1540)</f>
        <v>2017</v>
      </c>
      <c r="C1540" s="55"/>
      <c r="D1540" s="55">
        <f t="shared" ref="D1540:D1603" si="49">MONTH(A1540)</f>
        <v>8</v>
      </c>
      <c r="E1540" s="60">
        <v>19</v>
      </c>
      <c r="F1540" s="60">
        <v>21</v>
      </c>
      <c r="G1540" s="61">
        <v>20</v>
      </c>
      <c r="H1540" s="60">
        <v>15</v>
      </c>
      <c r="I1540" s="60">
        <v>17</v>
      </c>
      <c r="J1540" s="61">
        <v>16</v>
      </c>
    </row>
    <row r="1541" spans="1:10" x14ac:dyDescent="0.35">
      <c r="A1541" s="58">
        <v>42964</v>
      </c>
      <c r="B1541" s="55">
        <f t="shared" si="48"/>
        <v>2017</v>
      </c>
      <c r="C1541" s="55"/>
      <c r="D1541" s="55">
        <f t="shared" si="49"/>
        <v>8</v>
      </c>
      <c r="E1541" s="60">
        <v>19</v>
      </c>
      <c r="F1541" s="60">
        <v>21</v>
      </c>
      <c r="G1541" s="61">
        <v>20</v>
      </c>
      <c r="H1541" s="60">
        <v>15</v>
      </c>
      <c r="I1541" s="60">
        <v>17</v>
      </c>
      <c r="J1541" s="61">
        <v>16</v>
      </c>
    </row>
    <row r="1542" spans="1:10" x14ac:dyDescent="0.35">
      <c r="A1542" s="58">
        <v>42971</v>
      </c>
      <c r="B1542" s="55">
        <f t="shared" si="48"/>
        <v>2017</v>
      </c>
      <c r="C1542" s="55"/>
      <c r="D1542" s="55">
        <f t="shared" si="49"/>
        <v>8</v>
      </c>
      <c r="E1542" s="60">
        <v>19</v>
      </c>
      <c r="F1542" s="60">
        <v>21</v>
      </c>
      <c r="G1542" s="61">
        <v>20</v>
      </c>
      <c r="H1542" s="60">
        <v>15</v>
      </c>
      <c r="I1542" s="60">
        <v>17</v>
      </c>
      <c r="J1542" s="61">
        <v>16</v>
      </c>
    </row>
    <row r="1543" spans="1:10" x14ac:dyDescent="0.35">
      <c r="A1543" s="58">
        <v>42978</v>
      </c>
      <c r="B1543" s="55">
        <f t="shared" si="48"/>
        <v>2017</v>
      </c>
      <c r="C1543" s="55"/>
      <c r="D1543" s="55">
        <f t="shared" si="49"/>
        <v>8</v>
      </c>
      <c r="E1543" s="60">
        <v>19</v>
      </c>
      <c r="F1543" s="60">
        <v>21</v>
      </c>
      <c r="G1543" s="61">
        <v>20</v>
      </c>
      <c r="H1543" s="60">
        <v>15</v>
      </c>
      <c r="I1543" s="60">
        <v>17</v>
      </c>
      <c r="J1543" s="61">
        <v>16</v>
      </c>
    </row>
    <row r="1544" spans="1:10" x14ac:dyDescent="0.35">
      <c r="A1544" s="58">
        <v>42985</v>
      </c>
      <c r="B1544" s="55">
        <f t="shared" si="48"/>
        <v>2017</v>
      </c>
      <c r="C1544" s="55"/>
      <c r="D1544" s="55">
        <f t="shared" si="49"/>
        <v>9</v>
      </c>
      <c r="E1544" s="60">
        <v>20</v>
      </c>
      <c r="F1544" s="60">
        <v>22</v>
      </c>
      <c r="G1544" s="61">
        <v>21</v>
      </c>
      <c r="H1544" s="60">
        <v>15</v>
      </c>
      <c r="I1544" s="60">
        <v>17</v>
      </c>
      <c r="J1544" s="61">
        <v>16</v>
      </c>
    </row>
    <row r="1545" spans="1:10" x14ac:dyDescent="0.35">
      <c r="A1545" s="58">
        <v>42992</v>
      </c>
      <c r="B1545" s="55">
        <f t="shared" si="48"/>
        <v>2017</v>
      </c>
      <c r="C1545" s="55"/>
      <c r="D1545" s="55">
        <f t="shared" si="49"/>
        <v>9</v>
      </c>
      <c r="E1545" s="60">
        <v>21</v>
      </c>
      <c r="F1545" s="60">
        <v>23</v>
      </c>
      <c r="G1545" s="61">
        <v>22</v>
      </c>
      <c r="H1545" s="60">
        <v>15</v>
      </c>
      <c r="I1545" s="60">
        <v>17</v>
      </c>
      <c r="J1545" s="61">
        <v>16</v>
      </c>
    </row>
    <row r="1546" spans="1:10" x14ac:dyDescent="0.35">
      <c r="A1546" s="58">
        <v>42999</v>
      </c>
      <c r="B1546" s="55">
        <f t="shared" si="48"/>
        <v>2017</v>
      </c>
      <c r="C1546" s="55"/>
      <c r="D1546" s="55">
        <f t="shared" si="49"/>
        <v>9</v>
      </c>
      <c r="E1546" s="60">
        <v>21</v>
      </c>
      <c r="F1546" s="60">
        <v>23</v>
      </c>
      <c r="G1546" s="61">
        <v>22</v>
      </c>
      <c r="H1546" s="60">
        <v>15</v>
      </c>
      <c r="I1546" s="60">
        <v>17</v>
      </c>
      <c r="J1546" s="61">
        <v>16</v>
      </c>
    </row>
    <row r="1547" spans="1:10" x14ac:dyDescent="0.35">
      <c r="A1547" s="58">
        <v>43006</v>
      </c>
      <c r="B1547" s="55">
        <f t="shared" si="48"/>
        <v>2017</v>
      </c>
      <c r="C1547" s="55"/>
      <c r="D1547" s="55">
        <f t="shared" si="49"/>
        <v>9</v>
      </c>
      <c r="E1547" s="60">
        <v>20</v>
      </c>
      <c r="F1547" s="60">
        <v>22</v>
      </c>
      <c r="G1547" s="61">
        <v>21</v>
      </c>
      <c r="H1547" s="60">
        <v>15</v>
      </c>
      <c r="I1547" s="60">
        <v>17</v>
      </c>
      <c r="J1547" s="61">
        <v>16</v>
      </c>
    </row>
    <row r="1548" spans="1:10" x14ac:dyDescent="0.35">
      <c r="A1548" s="58">
        <v>43013</v>
      </c>
      <c r="B1548" s="55">
        <f t="shared" si="48"/>
        <v>2017</v>
      </c>
      <c r="C1548" s="55"/>
      <c r="D1548" s="55">
        <f t="shared" si="49"/>
        <v>10</v>
      </c>
      <c r="E1548" s="60">
        <v>20</v>
      </c>
      <c r="F1548" s="60">
        <v>22</v>
      </c>
      <c r="G1548" s="61">
        <v>21</v>
      </c>
      <c r="H1548" s="60">
        <v>15</v>
      </c>
      <c r="I1548" s="60">
        <v>17</v>
      </c>
      <c r="J1548" s="61">
        <v>16</v>
      </c>
    </row>
    <row r="1549" spans="1:10" x14ac:dyDescent="0.35">
      <c r="A1549" s="58">
        <v>43020</v>
      </c>
      <c r="B1549" s="55">
        <f t="shared" si="48"/>
        <v>2017</v>
      </c>
      <c r="C1549" s="55"/>
      <c r="D1549" s="55">
        <f t="shared" si="49"/>
        <v>10</v>
      </c>
      <c r="E1549" s="60">
        <v>22</v>
      </c>
      <c r="F1549" s="60">
        <v>24</v>
      </c>
      <c r="G1549" s="61">
        <v>23</v>
      </c>
      <c r="H1549" s="60">
        <v>16</v>
      </c>
      <c r="I1549" s="60">
        <v>18</v>
      </c>
      <c r="J1549" s="61">
        <v>17</v>
      </c>
    </row>
    <row r="1550" spans="1:10" x14ac:dyDescent="0.35">
      <c r="A1550" s="58">
        <v>43027</v>
      </c>
      <c r="B1550" s="55">
        <f t="shared" si="48"/>
        <v>2017</v>
      </c>
      <c r="C1550" s="55"/>
      <c r="D1550" s="55">
        <f t="shared" si="49"/>
        <v>10</v>
      </c>
      <c r="E1550" s="60">
        <v>23</v>
      </c>
      <c r="F1550" s="60">
        <v>25</v>
      </c>
      <c r="G1550" s="61">
        <v>24</v>
      </c>
      <c r="H1550" s="60">
        <v>16</v>
      </c>
      <c r="I1550" s="60">
        <v>18</v>
      </c>
      <c r="J1550" s="61">
        <v>17</v>
      </c>
    </row>
    <row r="1551" spans="1:10" x14ac:dyDescent="0.35">
      <c r="A1551" s="58">
        <v>43034</v>
      </c>
      <c r="B1551" s="55">
        <f t="shared" si="48"/>
        <v>2017</v>
      </c>
      <c r="C1551" s="55"/>
      <c r="D1551" s="55">
        <f t="shared" si="49"/>
        <v>10</v>
      </c>
      <c r="E1551" s="60">
        <v>22</v>
      </c>
      <c r="F1551" s="60">
        <v>24</v>
      </c>
      <c r="G1551" s="61">
        <v>23</v>
      </c>
      <c r="H1551" s="60">
        <v>16</v>
      </c>
      <c r="I1551" s="60">
        <v>18</v>
      </c>
      <c r="J1551" s="61">
        <v>17</v>
      </c>
    </row>
    <row r="1552" spans="1:10" x14ac:dyDescent="0.35">
      <c r="A1552" s="58">
        <v>43041</v>
      </c>
      <c r="B1552" s="55">
        <f t="shared" si="48"/>
        <v>2017</v>
      </c>
      <c r="C1552" s="55"/>
      <c r="D1552" s="55">
        <f t="shared" si="49"/>
        <v>11</v>
      </c>
      <c r="E1552" s="60">
        <v>21</v>
      </c>
      <c r="F1552" s="60">
        <v>23</v>
      </c>
      <c r="G1552" s="61">
        <v>22</v>
      </c>
      <c r="H1552" s="60">
        <v>16</v>
      </c>
      <c r="I1552" s="60">
        <v>18</v>
      </c>
      <c r="J1552" s="61">
        <v>17</v>
      </c>
    </row>
    <row r="1553" spans="1:10" x14ac:dyDescent="0.35">
      <c r="A1553" s="58">
        <v>43048</v>
      </c>
      <c r="B1553" s="55">
        <f t="shared" si="48"/>
        <v>2017</v>
      </c>
      <c r="C1553" s="55"/>
      <c r="D1553" s="55">
        <f t="shared" si="49"/>
        <v>11</v>
      </c>
      <c r="E1553" s="60">
        <v>21</v>
      </c>
      <c r="F1553" s="60">
        <v>23</v>
      </c>
      <c r="G1553" s="61">
        <v>22</v>
      </c>
      <c r="H1553" s="60">
        <v>16</v>
      </c>
      <c r="I1553" s="60">
        <v>18</v>
      </c>
      <c r="J1553" s="61">
        <v>17</v>
      </c>
    </row>
    <row r="1554" spans="1:10" x14ac:dyDescent="0.35">
      <c r="A1554" s="58">
        <v>43055</v>
      </c>
      <c r="B1554" s="55">
        <f t="shared" si="48"/>
        <v>2017</v>
      </c>
      <c r="C1554" s="55"/>
      <c r="D1554" s="55">
        <f t="shared" si="49"/>
        <v>11</v>
      </c>
      <c r="E1554" s="60">
        <v>21</v>
      </c>
      <c r="F1554" s="60">
        <v>23</v>
      </c>
      <c r="G1554" s="61">
        <v>22</v>
      </c>
      <c r="H1554" s="60">
        <v>16</v>
      </c>
      <c r="I1554" s="60">
        <v>18</v>
      </c>
      <c r="J1554" s="61">
        <v>17</v>
      </c>
    </row>
    <row r="1555" spans="1:10" x14ac:dyDescent="0.35">
      <c r="A1555" s="58">
        <v>43062</v>
      </c>
      <c r="B1555" s="55">
        <f t="shared" si="48"/>
        <v>2017</v>
      </c>
      <c r="C1555" s="55"/>
      <c r="D1555" s="55">
        <f t="shared" si="49"/>
        <v>11</v>
      </c>
      <c r="E1555" s="60">
        <v>22</v>
      </c>
      <c r="F1555" s="60">
        <v>24</v>
      </c>
      <c r="G1555" s="61">
        <v>23</v>
      </c>
      <c r="H1555" s="60">
        <v>16</v>
      </c>
      <c r="I1555" s="60">
        <v>18</v>
      </c>
      <c r="J1555" s="61">
        <v>17</v>
      </c>
    </row>
    <row r="1556" spans="1:10" x14ac:dyDescent="0.35">
      <c r="A1556" s="58">
        <v>43069</v>
      </c>
      <c r="B1556" s="55">
        <f t="shared" si="48"/>
        <v>2017</v>
      </c>
      <c r="C1556" s="55"/>
      <c r="D1556" s="55">
        <f t="shared" si="49"/>
        <v>11</v>
      </c>
      <c r="E1556" s="60">
        <v>22</v>
      </c>
      <c r="F1556" s="60">
        <v>24</v>
      </c>
      <c r="G1556" s="61">
        <v>23</v>
      </c>
      <c r="H1556" s="60">
        <v>16</v>
      </c>
      <c r="I1556" s="60">
        <v>18</v>
      </c>
      <c r="J1556" s="61">
        <v>17</v>
      </c>
    </row>
    <row r="1557" spans="1:10" x14ac:dyDescent="0.35">
      <c r="A1557" s="58">
        <v>43076</v>
      </c>
      <c r="B1557" s="55">
        <f t="shared" si="48"/>
        <v>2017</v>
      </c>
      <c r="C1557" s="55"/>
      <c r="D1557" s="55">
        <f t="shared" si="49"/>
        <v>12</v>
      </c>
      <c r="E1557" s="60">
        <v>22</v>
      </c>
      <c r="F1557" s="60">
        <v>24</v>
      </c>
      <c r="G1557" s="61">
        <v>23</v>
      </c>
      <c r="H1557" s="60">
        <v>16</v>
      </c>
      <c r="I1557" s="60">
        <v>18</v>
      </c>
      <c r="J1557" s="61">
        <v>17</v>
      </c>
    </row>
    <row r="1558" spans="1:10" x14ac:dyDescent="0.35">
      <c r="A1558" s="58">
        <v>43083</v>
      </c>
      <c r="B1558" s="55">
        <f t="shared" si="48"/>
        <v>2017</v>
      </c>
      <c r="C1558" s="55"/>
      <c r="D1558" s="55">
        <f t="shared" si="49"/>
        <v>12</v>
      </c>
      <c r="E1558" s="60">
        <v>22</v>
      </c>
      <c r="F1558" s="60">
        <v>24</v>
      </c>
      <c r="G1558" s="61">
        <v>23</v>
      </c>
      <c r="H1558" s="60">
        <v>16</v>
      </c>
      <c r="I1558" s="60">
        <v>18</v>
      </c>
      <c r="J1558" s="61">
        <v>17</v>
      </c>
    </row>
    <row r="1559" spans="1:10" x14ac:dyDescent="0.35">
      <c r="A1559" s="58">
        <v>43090</v>
      </c>
      <c r="B1559" s="55">
        <f t="shared" si="48"/>
        <v>2017</v>
      </c>
      <c r="C1559" s="55"/>
      <c r="D1559" s="55">
        <f t="shared" si="49"/>
        <v>12</v>
      </c>
      <c r="E1559" s="60">
        <v>21</v>
      </c>
      <c r="F1559" s="60">
        <v>23</v>
      </c>
      <c r="G1559" s="61">
        <v>22</v>
      </c>
      <c r="H1559" s="60">
        <v>16</v>
      </c>
      <c r="I1559" s="60">
        <v>18</v>
      </c>
      <c r="J1559" s="61">
        <v>17</v>
      </c>
    </row>
    <row r="1560" spans="1:10" x14ac:dyDescent="0.35">
      <c r="A1560" s="58">
        <v>43097</v>
      </c>
      <c r="B1560" s="55">
        <f t="shared" si="48"/>
        <v>2017</v>
      </c>
      <c r="C1560" s="55"/>
      <c r="D1560" s="55">
        <f t="shared" si="49"/>
        <v>12</v>
      </c>
      <c r="E1560" s="60">
        <v>21</v>
      </c>
      <c r="F1560" s="60">
        <v>23</v>
      </c>
      <c r="G1560" s="61">
        <v>22</v>
      </c>
      <c r="H1560" s="60">
        <v>16</v>
      </c>
      <c r="I1560" s="60">
        <v>18</v>
      </c>
      <c r="J1560" s="61">
        <v>17</v>
      </c>
    </row>
    <row r="1561" spans="1:10" x14ac:dyDescent="0.35">
      <c r="A1561" s="58">
        <v>43104</v>
      </c>
      <c r="B1561" s="55">
        <f t="shared" si="48"/>
        <v>2018</v>
      </c>
      <c r="C1561" s="55"/>
      <c r="D1561" s="55">
        <f t="shared" si="49"/>
        <v>1</v>
      </c>
      <c r="E1561" s="60">
        <v>22</v>
      </c>
      <c r="F1561" s="60">
        <v>24</v>
      </c>
      <c r="G1561" s="61">
        <v>23</v>
      </c>
      <c r="H1561" s="60">
        <v>16</v>
      </c>
      <c r="I1561" s="60">
        <v>18</v>
      </c>
      <c r="J1561" s="61">
        <v>17</v>
      </c>
    </row>
    <row r="1562" spans="1:10" x14ac:dyDescent="0.35">
      <c r="A1562" s="58">
        <v>43111</v>
      </c>
      <c r="B1562" s="55">
        <f t="shared" si="48"/>
        <v>2018</v>
      </c>
      <c r="C1562" s="55"/>
      <c r="D1562" s="55">
        <f t="shared" si="49"/>
        <v>1</v>
      </c>
      <c r="E1562" s="60">
        <v>22</v>
      </c>
      <c r="F1562" s="60">
        <v>24</v>
      </c>
      <c r="G1562" s="61">
        <v>23</v>
      </c>
      <c r="H1562" s="60">
        <v>16</v>
      </c>
      <c r="I1562" s="60">
        <v>18</v>
      </c>
      <c r="J1562" s="61">
        <v>17</v>
      </c>
    </row>
    <row r="1563" spans="1:10" x14ac:dyDescent="0.35">
      <c r="A1563" s="58">
        <v>43118</v>
      </c>
      <c r="B1563" s="55">
        <f t="shared" si="48"/>
        <v>2018</v>
      </c>
      <c r="C1563" s="55"/>
      <c r="D1563" s="55">
        <f t="shared" si="49"/>
        <v>1</v>
      </c>
      <c r="E1563" s="60">
        <v>22</v>
      </c>
      <c r="F1563" s="60">
        <v>24</v>
      </c>
      <c r="G1563" s="61">
        <v>23</v>
      </c>
      <c r="H1563" s="60">
        <v>16</v>
      </c>
      <c r="I1563" s="60">
        <v>18</v>
      </c>
      <c r="J1563" s="61">
        <v>17</v>
      </c>
    </row>
    <row r="1564" spans="1:10" x14ac:dyDescent="0.35">
      <c r="A1564" s="58">
        <v>43125</v>
      </c>
      <c r="B1564" s="55">
        <f t="shared" si="48"/>
        <v>2018</v>
      </c>
      <c r="C1564" s="55"/>
      <c r="D1564" s="55">
        <f t="shared" si="49"/>
        <v>1</v>
      </c>
      <c r="E1564" s="60">
        <v>21</v>
      </c>
      <c r="F1564" s="60">
        <v>23</v>
      </c>
      <c r="G1564" s="61">
        <v>22</v>
      </c>
      <c r="H1564" s="60">
        <v>15</v>
      </c>
      <c r="I1564" s="60">
        <v>17</v>
      </c>
      <c r="J1564" s="61">
        <v>16</v>
      </c>
    </row>
    <row r="1565" spans="1:10" x14ac:dyDescent="0.35">
      <c r="A1565" s="58">
        <v>43132</v>
      </c>
      <c r="B1565" s="55">
        <f t="shared" si="48"/>
        <v>2018</v>
      </c>
      <c r="C1565" s="55"/>
      <c r="D1565" s="55">
        <f t="shared" si="49"/>
        <v>2</v>
      </c>
      <c r="E1565" s="60">
        <v>21</v>
      </c>
      <c r="F1565" s="60">
        <v>23</v>
      </c>
      <c r="G1565" s="61">
        <v>22</v>
      </c>
      <c r="H1565" s="60">
        <v>15</v>
      </c>
      <c r="I1565" s="60">
        <v>17</v>
      </c>
      <c r="J1565" s="61">
        <v>16</v>
      </c>
    </row>
    <row r="1566" spans="1:10" x14ac:dyDescent="0.35">
      <c r="A1566" s="58">
        <v>43139</v>
      </c>
      <c r="B1566" s="55">
        <f t="shared" si="48"/>
        <v>2018</v>
      </c>
      <c r="C1566" s="55"/>
      <c r="D1566" s="55">
        <f t="shared" si="49"/>
        <v>2</v>
      </c>
      <c r="E1566" s="60">
        <v>21</v>
      </c>
      <c r="F1566" s="60">
        <v>23</v>
      </c>
      <c r="G1566" s="61">
        <v>22</v>
      </c>
      <c r="H1566" s="60">
        <v>15</v>
      </c>
      <c r="I1566" s="60">
        <v>17</v>
      </c>
      <c r="J1566" s="61">
        <v>16</v>
      </c>
    </row>
    <row r="1567" spans="1:10" x14ac:dyDescent="0.35">
      <c r="A1567" s="58">
        <v>43146</v>
      </c>
      <c r="B1567" s="55">
        <f t="shared" si="48"/>
        <v>2018</v>
      </c>
      <c r="C1567" s="55"/>
      <c r="D1567" s="55">
        <f t="shared" si="49"/>
        <v>2</v>
      </c>
      <c r="E1567" s="60">
        <v>21</v>
      </c>
      <c r="F1567" s="60">
        <v>23</v>
      </c>
      <c r="G1567" s="61">
        <v>22</v>
      </c>
      <c r="H1567" s="60">
        <v>15</v>
      </c>
      <c r="I1567" s="60">
        <v>17</v>
      </c>
      <c r="J1567" s="61">
        <v>16</v>
      </c>
    </row>
    <row r="1568" spans="1:10" x14ac:dyDescent="0.35">
      <c r="A1568" s="58">
        <v>43153</v>
      </c>
      <c r="B1568" s="55">
        <f t="shared" si="48"/>
        <v>2018</v>
      </c>
      <c r="C1568" s="55"/>
      <c r="D1568" s="55">
        <f t="shared" si="49"/>
        <v>2</v>
      </c>
      <c r="E1568" s="60">
        <v>22</v>
      </c>
      <c r="F1568" s="60">
        <v>24</v>
      </c>
      <c r="G1568" s="61">
        <v>23</v>
      </c>
      <c r="H1568" s="60">
        <v>15</v>
      </c>
      <c r="I1568" s="60">
        <v>17</v>
      </c>
      <c r="J1568" s="61">
        <v>16</v>
      </c>
    </row>
    <row r="1569" spans="1:10" x14ac:dyDescent="0.35">
      <c r="A1569" s="58">
        <v>43160</v>
      </c>
      <c r="B1569" s="55">
        <f t="shared" si="48"/>
        <v>2018</v>
      </c>
      <c r="C1569" s="55"/>
      <c r="D1569" s="55">
        <f t="shared" si="49"/>
        <v>3</v>
      </c>
      <c r="E1569" s="60">
        <v>23</v>
      </c>
      <c r="F1569" s="60">
        <v>25</v>
      </c>
      <c r="G1569" s="61">
        <v>24</v>
      </c>
      <c r="H1569" s="60">
        <v>16</v>
      </c>
      <c r="I1569" s="60">
        <v>18</v>
      </c>
      <c r="J1569" s="61">
        <v>17</v>
      </c>
    </row>
    <row r="1570" spans="1:10" x14ac:dyDescent="0.35">
      <c r="A1570" s="58">
        <v>43167</v>
      </c>
      <c r="B1570" s="55">
        <f t="shared" si="48"/>
        <v>2018</v>
      </c>
      <c r="C1570" s="55"/>
      <c r="D1570" s="55">
        <f t="shared" si="49"/>
        <v>3</v>
      </c>
      <c r="E1570" s="60">
        <v>23</v>
      </c>
      <c r="F1570" s="60">
        <v>25</v>
      </c>
      <c r="G1570" s="61">
        <v>24</v>
      </c>
      <c r="H1570" s="60">
        <v>16</v>
      </c>
      <c r="I1570" s="60">
        <v>18</v>
      </c>
      <c r="J1570" s="61">
        <v>17</v>
      </c>
    </row>
    <row r="1571" spans="1:10" x14ac:dyDescent="0.35">
      <c r="A1571" s="58">
        <v>43174</v>
      </c>
      <c r="B1571" s="55">
        <f t="shared" si="48"/>
        <v>2018</v>
      </c>
      <c r="C1571" s="55"/>
      <c r="D1571" s="55">
        <f t="shared" si="49"/>
        <v>3</v>
      </c>
      <c r="E1571" s="60">
        <v>23</v>
      </c>
      <c r="F1571" s="60">
        <v>25</v>
      </c>
      <c r="G1571" s="61">
        <v>24</v>
      </c>
      <c r="H1571" s="60">
        <v>17</v>
      </c>
      <c r="I1571" s="60">
        <v>19</v>
      </c>
      <c r="J1571" s="61">
        <v>18</v>
      </c>
    </row>
    <row r="1572" spans="1:10" x14ac:dyDescent="0.35">
      <c r="A1572" s="58">
        <v>43181</v>
      </c>
      <c r="B1572" s="55">
        <f t="shared" si="48"/>
        <v>2018</v>
      </c>
      <c r="C1572" s="55"/>
      <c r="D1572" s="55">
        <f t="shared" si="49"/>
        <v>3</v>
      </c>
      <c r="E1572" s="60">
        <v>22</v>
      </c>
      <c r="F1572" s="60">
        <v>24</v>
      </c>
      <c r="G1572" s="61">
        <v>23</v>
      </c>
      <c r="H1572" s="60">
        <v>17</v>
      </c>
      <c r="I1572" s="60">
        <v>19</v>
      </c>
      <c r="J1572" s="61">
        <v>18</v>
      </c>
    </row>
    <row r="1573" spans="1:10" x14ac:dyDescent="0.35">
      <c r="A1573" s="58">
        <v>43188</v>
      </c>
      <c r="B1573" s="55">
        <f t="shared" si="48"/>
        <v>2018</v>
      </c>
      <c r="C1573" s="55"/>
      <c r="D1573" s="55">
        <f t="shared" si="49"/>
        <v>3</v>
      </c>
      <c r="E1573" s="60">
        <v>21</v>
      </c>
      <c r="F1573" s="60">
        <v>23</v>
      </c>
      <c r="G1573" s="61">
        <v>22</v>
      </c>
      <c r="H1573" s="60">
        <v>17</v>
      </c>
      <c r="I1573" s="60">
        <v>19</v>
      </c>
      <c r="J1573" s="61">
        <v>18</v>
      </c>
    </row>
    <row r="1574" spans="1:10" x14ac:dyDescent="0.35">
      <c r="A1574" s="58">
        <v>43195</v>
      </c>
      <c r="B1574" s="55">
        <f t="shared" si="48"/>
        <v>2018</v>
      </c>
      <c r="C1574" s="55"/>
      <c r="D1574" s="55">
        <f t="shared" si="49"/>
        <v>4</v>
      </c>
      <c r="E1574" s="60">
        <v>21</v>
      </c>
      <c r="F1574" s="60">
        <v>23</v>
      </c>
      <c r="G1574" s="61">
        <v>22</v>
      </c>
      <c r="H1574" s="60">
        <v>17</v>
      </c>
      <c r="I1574" s="60">
        <v>19</v>
      </c>
      <c r="J1574" s="61">
        <v>18</v>
      </c>
    </row>
    <row r="1575" spans="1:10" x14ac:dyDescent="0.35">
      <c r="A1575" s="58">
        <v>43202</v>
      </c>
      <c r="B1575" s="55">
        <f t="shared" si="48"/>
        <v>2018</v>
      </c>
      <c r="C1575" s="55"/>
      <c r="D1575" s="55">
        <f t="shared" si="49"/>
        <v>4</v>
      </c>
      <c r="E1575" s="60">
        <v>21</v>
      </c>
      <c r="F1575" s="60">
        <v>23</v>
      </c>
      <c r="G1575" s="61">
        <v>22</v>
      </c>
      <c r="H1575" s="60">
        <v>16</v>
      </c>
      <c r="I1575" s="60">
        <v>18</v>
      </c>
      <c r="J1575" s="61">
        <v>17</v>
      </c>
    </row>
    <row r="1576" spans="1:10" x14ac:dyDescent="0.35">
      <c r="A1576" s="58">
        <v>43209</v>
      </c>
      <c r="B1576" s="55">
        <f t="shared" si="48"/>
        <v>2018</v>
      </c>
      <c r="C1576" s="55"/>
      <c r="D1576" s="55">
        <f t="shared" si="49"/>
        <v>4</v>
      </c>
      <c r="E1576" s="60">
        <v>21</v>
      </c>
      <c r="F1576" s="60">
        <v>23</v>
      </c>
      <c r="G1576" s="61">
        <v>22</v>
      </c>
      <c r="H1576" s="60">
        <v>16</v>
      </c>
      <c r="I1576" s="60">
        <v>18</v>
      </c>
      <c r="J1576" s="61">
        <v>17</v>
      </c>
    </row>
    <row r="1577" spans="1:10" x14ac:dyDescent="0.35">
      <c r="A1577" s="58">
        <v>43216</v>
      </c>
      <c r="B1577" s="55">
        <f t="shared" si="48"/>
        <v>2018</v>
      </c>
      <c r="C1577" s="55"/>
      <c r="D1577" s="55">
        <f t="shared" si="49"/>
        <v>4</v>
      </c>
      <c r="E1577" s="60">
        <v>21</v>
      </c>
      <c r="F1577" s="60">
        <v>23</v>
      </c>
      <c r="G1577" s="61">
        <v>22</v>
      </c>
      <c r="H1577" s="60">
        <v>17</v>
      </c>
      <c r="I1577" s="60">
        <v>19</v>
      </c>
      <c r="J1577" s="61">
        <v>18</v>
      </c>
    </row>
    <row r="1578" spans="1:10" x14ac:dyDescent="0.35">
      <c r="A1578" s="58">
        <v>43223</v>
      </c>
      <c r="B1578" s="55">
        <f t="shared" si="48"/>
        <v>2018</v>
      </c>
      <c r="C1578" s="55"/>
      <c r="D1578" s="55">
        <f t="shared" si="49"/>
        <v>5</v>
      </c>
      <c r="E1578" s="60">
        <v>21</v>
      </c>
      <c r="F1578" s="60">
        <v>23</v>
      </c>
      <c r="G1578" s="61">
        <v>22</v>
      </c>
      <c r="H1578" s="60">
        <v>17</v>
      </c>
      <c r="I1578" s="60">
        <v>19</v>
      </c>
      <c r="J1578" s="61">
        <v>18</v>
      </c>
    </row>
    <row r="1579" spans="1:10" x14ac:dyDescent="0.35">
      <c r="A1579" s="58">
        <v>43230</v>
      </c>
      <c r="B1579" s="55">
        <f t="shared" si="48"/>
        <v>2018</v>
      </c>
      <c r="C1579" s="55"/>
      <c r="D1579" s="55">
        <f t="shared" si="49"/>
        <v>5</v>
      </c>
      <c r="E1579" s="60">
        <v>21</v>
      </c>
      <c r="F1579" s="60">
        <v>23</v>
      </c>
      <c r="G1579" s="61">
        <v>22</v>
      </c>
      <c r="H1579" s="60">
        <v>17</v>
      </c>
      <c r="I1579" s="60">
        <v>19</v>
      </c>
      <c r="J1579" s="61">
        <v>18</v>
      </c>
    </row>
    <row r="1580" spans="1:10" x14ac:dyDescent="0.35">
      <c r="A1580" s="58">
        <v>43237</v>
      </c>
      <c r="B1580" s="55">
        <f t="shared" si="48"/>
        <v>2018</v>
      </c>
      <c r="C1580" s="55"/>
      <c r="D1580" s="55">
        <f t="shared" si="49"/>
        <v>5</v>
      </c>
      <c r="E1580" s="60">
        <v>21</v>
      </c>
      <c r="F1580" s="60">
        <v>23</v>
      </c>
      <c r="G1580" s="61">
        <v>22</v>
      </c>
      <c r="H1580" s="60">
        <v>18</v>
      </c>
      <c r="I1580" s="60">
        <v>20</v>
      </c>
      <c r="J1580" s="61">
        <v>19</v>
      </c>
    </row>
    <row r="1581" spans="1:10" x14ac:dyDescent="0.35">
      <c r="A1581" s="58">
        <v>43244</v>
      </c>
      <c r="B1581" s="55">
        <f t="shared" si="48"/>
        <v>2018</v>
      </c>
      <c r="C1581" s="55"/>
      <c r="D1581" s="55">
        <f t="shared" si="49"/>
        <v>5</v>
      </c>
      <c r="E1581" s="60">
        <v>20</v>
      </c>
      <c r="F1581" s="60">
        <v>22</v>
      </c>
      <c r="G1581" s="61">
        <v>21</v>
      </c>
      <c r="H1581" s="60">
        <v>18</v>
      </c>
      <c r="I1581" s="60">
        <v>20</v>
      </c>
      <c r="J1581" s="61">
        <v>19</v>
      </c>
    </row>
    <row r="1582" spans="1:10" x14ac:dyDescent="0.35">
      <c r="A1582" s="58">
        <v>43251</v>
      </c>
      <c r="B1582" s="55">
        <f t="shared" si="48"/>
        <v>2018</v>
      </c>
      <c r="C1582" s="55"/>
      <c r="D1582" s="55">
        <f t="shared" si="49"/>
        <v>5</v>
      </c>
      <c r="E1582" s="60">
        <v>20</v>
      </c>
      <c r="F1582" s="60">
        <v>22</v>
      </c>
      <c r="G1582" s="61">
        <v>21</v>
      </c>
      <c r="H1582" s="60">
        <v>18</v>
      </c>
      <c r="I1582" s="60">
        <v>20</v>
      </c>
      <c r="J1582" s="61">
        <v>19</v>
      </c>
    </row>
    <row r="1583" spans="1:10" x14ac:dyDescent="0.35">
      <c r="A1583" s="58">
        <v>43258</v>
      </c>
      <c r="B1583" s="55">
        <f t="shared" si="48"/>
        <v>2018</v>
      </c>
      <c r="C1583" s="55"/>
      <c r="D1583" s="55">
        <f t="shared" si="49"/>
        <v>6</v>
      </c>
      <c r="E1583" s="60">
        <v>20</v>
      </c>
      <c r="F1583" s="60">
        <v>22</v>
      </c>
      <c r="G1583" s="61">
        <v>21</v>
      </c>
      <c r="H1583" s="60">
        <v>17</v>
      </c>
      <c r="I1583" s="60">
        <v>19</v>
      </c>
      <c r="J1583" s="61">
        <v>18</v>
      </c>
    </row>
    <row r="1584" spans="1:10" x14ac:dyDescent="0.35">
      <c r="A1584" s="58">
        <v>43265</v>
      </c>
      <c r="B1584" s="55">
        <f t="shared" si="48"/>
        <v>2018</v>
      </c>
      <c r="C1584" s="55"/>
      <c r="D1584" s="55">
        <f t="shared" si="49"/>
        <v>6</v>
      </c>
      <c r="E1584" s="60">
        <v>20</v>
      </c>
      <c r="F1584" s="60">
        <v>22</v>
      </c>
      <c r="G1584" s="61">
        <v>21</v>
      </c>
      <c r="H1584" s="60">
        <v>16</v>
      </c>
      <c r="I1584" s="60">
        <v>18</v>
      </c>
      <c r="J1584" s="61">
        <v>17</v>
      </c>
    </row>
    <row r="1585" spans="1:10" x14ac:dyDescent="0.35">
      <c r="A1585" s="58">
        <v>43272</v>
      </c>
      <c r="B1585" s="55">
        <f t="shared" si="48"/>
        <v>2018</v>
      </c>
      <c r="C1585" s="55"/>
      <c r="D1585" s="55">
        <f t="shared" si="49"/>
        <v>6</v>
      </c>
      <c r="E1585" s="60">
        <v>20</v>
      </c>
      <c r="F1585" s="60">
        <v>22</v>
      </c>
      <c r="G1585" s="61">
        <v>21</v>
      </c>
      <c r="H1585" s="60">
        <v>16</v>
      </c>
      <c r="I1585" s="60">
        <v>18</v>
      </c>
      <c r="J1585" s="61">
        <v>17</v>
      </c>
    </row>
    <row r="1586" spans="1:10" x14ac:dyDescent="0.35">
      <c r="A1586" s="58">
        <v>43279</v>
      </c>
      <c r="B1586" s="55">
        <f t="shared" si="48"/>
        <v>2018</v>
      </c>
      <c r="C1586" s="55"/>
      <c r="D1586" s="55">
        <f t="shared" si="49"/>
        <v>6</v>
      </c>
      <c r="E1586" s="60">
        <v>20</v>
      </c>
      <c r="F1586" s="60">
        <v>22</v>
      </c>
      <c r="G1586" s="61">
        <v>21</v>
      </c>
      <c r="H1586" s="60">
        <v>16</v>
      </c>
      <c r="I1586" s="60">
        <v>18</v>
      </c>
      <c r="J1586" s="61">
        <v>17</v>
      </c>
    </row>
    <row r="1587" spans="1:10" x14ac:dyDescent="0.35">
      <c r="A1587" s="58">
        <v>43286</v>
      </c>
      <c r="B1587" s="55">
        <f t="shared" si="48"/>
        <v>2018</v>
      </c>
      <c r="C1587" s="55"/>
      <c r="D1587" s="55">
        <f t="shared" si="49"/>
        <v>7</v>
      </c>
      <c r="E1587" s="60">
        <v>21</v>
      </c>
      <c r="F1587" s="60">
        <v>23</v>
      </c>
      <c r="G1587" s="61">
        <v>22</v>
      </c>
      <c r="H1587" s="60">
        <v>16</v>
      </c>
      <c r="I1587" s="60">
        <v>18</v>
      </c>
      <c r="J1587" s="61">
        <v>17</v>
      </c>
    </row>
    <row r="1588" spans="1:10" x14ac:dyDescent="0.35">
      <c r="A1588" s="58">
        <v>43293</v>
      </c>
      <c r="B1588" s="55">
        <f t="shared" si="48"/>
        <v>2018</v>
      </c>
      <c r="C1588" s="55"/>
      <c r="D1588" s="55">
        <f t="shared" si="49"/>
        <v>7</v>
      </c>
      <c r="E1588" s="60">
        <v>21</v>
      </c>
      <c r="F1588" s="60">
        <v>23</v>
      </c>
      <c r="G1588" s="61">
        <v>22</v>
      </c>
      <c r="H1588" s="60">
        <v>16</v>
      </c>
      <c r="I1588" s="60">
        <v>18</v>
      </c>
      <c r="J1588" s="61">
        <v>17</v>
      </c>
    </row>
    <row r="1589" spans="1:10" x14ac:dyDescent="0.35">
      <c r="A1589" s="58">
        <v>43300</v>
      </c>
      <c r="B1589" s="55">
        <f t="shared" si="48"/>
        <v>2018</v>
      </c>
      <c r="C1589" s="55"/>
      <c r="D1589" s="55">
        <f t="shared" si="49"/>
        <v>7</v>
      </c>
      <c r="E1589" s="60">
        <v>21</v>
      </c>
      <c r="F1589" s="60">
        <v>23</v>
      </c>
      <c r="G1589" s="61">
        <v>22</v>
      </c>
      <c r="H1589" s="60">
        <v>17</v>
      </c>
      <c r="I1589" s="60">
        <v>19</v>
      </c>
      <c r="J1589" s="61">
        <v>18</v>
      </c>
    </row>
    <row r="1590" spans="1:10" x14ac:dyDescent="0.35">
      <c r="A1590" s="58">
        <v>43307</v>
      </c>
      <c r="B1590" s="55">
        <f t="shared" si="48"/>
        <v>2018</v>
      </c>
      <c r="C1590" s="55"/>
      <c r="D1590" s="55">
        <f t="shared" si="49"/>
        <v>7</v>
      </c>
      <c r="E1590" s="60">
        <v>22</v>
      </c>
      <c r="F1590" s="60">
        <v>24</v>
      </c>
      <c r="G1590" s="61">
        <v>23</v>
      </c>
      <c r="H1590" s="60">
        <v>18</v>
      </c>
      <c r="I1590" s="60">
        <v>20</v>
      </c>
      <c r="J1590" s="61">
        <v>19</v>
      </c>
    </row>
    <row r="1591" spans="1:10" x14ac:dyDescent="0.35">
      <c r="A1591" s="58">
        <v>43314</v>
      </c>
      <c r="B1591" s="55">
        <f t="shared" si="48"/>
        <v>2018</v>
      </c>
      <c r="C1591" s="55"/>
      <c r="D1591" s="55">
        <f t="shared" si="49"/>
        <v>8</v>
      </c>
      <c r="E1591" s="60">
        <v>22</v>
      </c>
      <c r="F1591" s="60">
        <v>24</v>
      </c>
      <c r="G1591" s="61">
        <v>23</v>
      </c>
      <c r="H1591" s="60">
        <v>18</v>
      </c>
      <c r="I1591" s="60">
        <v>20</v>
      </c>
      <c r="J1591" s="61">
        <v>19</v>
      </c>
    </row>
    <row r="1592" spans="1:10" x14ac:dyDescent="0.35">
      <c r="A1592" s="58">
        <v>43321</v>
      </c>
      <c r="B1592" s="55">
        <f t="shared" si="48"/>
        <v>2018</v>
      </c>
      <c r="C1592" s="55"/>
      <c r="D1592" s="55">
        <f t="shared" si="49"/>
        <v>8</v>
      </c>
      <c r="E1592" s="60">
        <v>22</v>
      </c>
      <c r="F1592" s="60">
        <v>24</v>
      </c>
      <c r="G1592" s="61">
        <v>23</v>
      </c>
      <c r="H1592" s="60">
        <v>18</v>
      </c>
      <c r="I1592" s="60">
        <v>20</v>
      </c>
      <c r="J1592" s="61">
        <v>19</v>
      </c>
    </row>
    <row r="1593" spans="1:10" x14ac:dyDescent="0.35">
      <c r="A1593" s="58">
        <v>43328</v>
      </c>
      <c r="B1593" s="55">
        <f t="shared" si="48"/>
        <v>2018</v>
      </c>
      <c r="C1593" s="55"/>
      <c r="D1593" s="55">
        <f t="shared" si="49"/>
        <v>8</v>
      </c>
      <c r="E1593" s="60">
        <v>22</v>
      </c>
      <c r="F1593" s="60">
        <v>24</v>
      </c>
      <c r="G1593" s="61">
        <v>23</v>
      </c>
      <c r="H1593" s="60">
        <v>18</v>
      </c>
      <c r="I1593" s="60">
        <v>20</v>
      </c>
      <c r="J1593" s="61">
        <v>19</v>
      </c>
    </row>
    <row r="1594" spans="1:10" x14ac:dyDescent="0.35">
      <c r="A1594" s="58">
        <v>43335</v>
      </c>
      <c r="B1594" s="55">
        <f t="shared" si="48"/>
        <v>2018</v>
      </c>
      <c r="C1594" s="55"/>
      <c r="D1594" s="55">
        <f t="shared" si="49"/>
        <v>8</v>
      </c>
      <c r="E1594" s="60">
        <v>21</v>
      </c>
      <c r="F1594" s="60">
        <v>23</v>
      </c>
      <c r="G1594" s="61">
        <v>22</v>
      </c>
      <c r="H1594" s="60">
        <v>18</v>
      </c>
      <c r="I1594" s="60">
        <v>20</v>
      </c>
      <c r="J1594" s="61">
        <v>19</v>
      </c>
    </row>
    <row r="1595" spans="1:10" x14ac:dyDescent="0.35">
      <c r="A1595" s="58">
        <v>43342</v>
      </c>
      <c r="B1595" s="55">
        <f t="shared" si="48"/>
        <v>2018</v>
      </c>
      <c r="C1595" s="55"/>
      <c r="D1595" s="55">
        <f t="shared" si="49"/>
        <v>8</v>
      </c>
      <c r="E1595" s="60">
        <v>21</v>
      </c>
      <c r="F1595" s="60">
        <v>23</v>
      </c>
      <c r="G1595" s="61">
        <v>22</v>
      </c>
      <c r="H1595" s="60">
        <v>18</v>
      </c>
      <c r="I1595" s="60">
        <v>20</v>
      </c>
      <c r="J1595" s="61">
        <v>19</v>
      </c>
    </row>
    <row r="1596" spans="1:10" x14ac:dyDescent="0.35">
      <c r="A1596" s="58">
        <v>43349</v>
      </c>
      <c r="B1596" s="55">
        <f t="shared" si="48"/>
        <v>2018</v>
      </c>
      <c r="C1596" s="55"/>
      <c r="D1596" s="55">
        <f t="shared" si="49"/>
        <v>9</v>
      </c>
      <c r="E1596" s="60">
        <v>21</v>
      </c>
      <c r="F1596" s="60">
        <v>23</v>
      </c>
      <c r="G1596" s="61">
        <v>22</v>
      </c>
      <c r="H1596" s="60">
        <v>18</v>
      </c>
      <c r="I1596" s="60">
        <v>20</v>
      </c>
      <c r="J1596" s="61">
        <v>19</v>
      </c>
    </row>
    <row r="1597" spans="1:10" x14ac:dyDescent="0.35">
      <c r="A1597" s="58">
        <v>43356</v>
      </c>
      <c r="B1597" s="55">
        <f t="shared" si="48"/>
        <v>2018</v>
      </c>
      <c r="C1597" s="55"/>
      <c r="D1597" s="55">
        <f t="shared" si="49"/>
        <v>9</v>
      </c>
      <c r="E1597" s="60">
        <v>21</v>
      </c>
      <c r="F1597" s="60">
        <v>23</v>
      </c>
      <c r="G1597" s="61">
        <v>22</v>
      </c>
      <c r="H1597" s="60">
        <v>18</v>
      </c>
      <c r="I1597" s="60">
        <v>20</v>
      </c>
      <c r="J1597" s="61">
        <v>19</v>
      </c>
    </row>
    <row r="1598" spans="1:10" x14ac:dyDescent="0.35">
      <c r="A1598" s="58">
        <v>43363</v>
      </c>
      <c r="B1598" s="55">
        <f t="shared" si="48"/>
        <v>2018</v>
      </c>
      <c r="C1598" s="55"/>
      <c r="D1598" s="55">
        <f t="shared" si="49"/>
        <v>9</v>
      </c>
      <c r="E1598" s="60">
        <v>22</v>
      </c>
      <c r="F1598" s="60">
        <v>24</v>
      </c>
      <c r="G1598" s="61">
        <v>23</v>
      </c>
      <c r="H1598" s="60">
        <v>18</v>
      </c>
      <c r="I1598" s="60">
        <v>20</v>
      </c>
      <c r="J1598" s="61">
        <v>19</v>
      </c>
    </row>
    <row r="1599" spans="1:10" x14ac:dyDescent="0.35">
      <c r="A1599" s="58">
        <v>43370</v>
      </c>
      <c r="B1599" s="55">
        <f t="shared" si="48"/>
        <v>2018</v>
      </c>
      <c r="C1599" s="55"/>
      <c r="D1599" s="55">
        <f t="shared" si="49"/>
        <v>9</v>
      </c>
      <c r="E1599" s="60">
        <v>22</v>
      </c>
      <c r="F1599" s="60">
        <v>24</v>
      </c>
      <c r="G1599" s="61">
        <v>23</v>
      </c>
      <c r="H1599" s="60">
        <v>18</v>
      </c>
      <c r="I1599" s="60">
        <v>20</v>
      </c>
      <c r="J1599" s="61">
        <v>19</v>
      </c>
    </row>
    <row r="1600" spans="1:10" x14ac:dyDescent="0.35">
      <c r="A1600" s="58">
        <v>43377</v>
      </c>
      <c r="B1600" s="55">
        <f t="shared" si="48"/>
        <v>2018</v>
      </c>
      <c r="C1600" s="55"/>
      <c r="D1600" s="55">
        <f t="shared" si="49"/>
        <v>10</v>
      </c>
      <c r="E1600" s="60">
        <v>24</v>
      </c>
      <c r="F1600" s="60">
        <v>26</v>
      </c>
      <c r="G1600" s="61">
        <v>25</v>
      </c>
      <c r="H1600" s="60">
        <v>20</v>
      </c>
      <c r="I1600" s="60">
        <v>22</v>
      </c>
      <c r="J1600" s="61">
        <v>21</v>
      </c>
    </row>
    <row r="1601" spans="1:10" x14ac:dyDescent="0.35">
      <c r="A1601" s="58">
        <v>43384</v>
      </c>
      <c r="B1601" s="55">
        <f t="shared" si="48"/>
        <v>2018</v>
      </c>
      <c r="C1601" s="55"/>
      <c r="D1601" s="55">
        <f t="shared" si="49"/>
        <v>10</v>
      </c>
      <c r="E1601" s="60">
        <v>24</v>
      </c>
      <c r="F1601" s="60">
        <v>26</v>
      </c>
      <c r="G1601" s="61">
        <v>25</v>
      </c>
      <c r="H1601" s="60">
        <v>20</v>
      </c>
      <c r="I1601" s="60">
        <v>22</v>
      </c>
      <c r="J1601" s="61">
        <v>21</v>
      </c>
    </row>
    <row r="1602" spans="1:10" x14ac:dyDescent="0.35">
      <c r="A1602" s="58">
        <v>43391</v>
      </c>
      <c r="B1602" s="55">
        <f t="shared" si="48"/>
        <v>2018</v>
      </c>
      <c r="C1602" s="55"/>
      <c r="D1602" s="55">
        <f t="shared" si="49"/>
        <v>10</v>
      </c>
      <c r="E1602" s="60">
        <v>23</v>
      </c>
      <c r="F1602" s="60">
        <v>25</v>
      </c>
      <c r="G1602" s="61">
        <v>24</v>
      </c>
      <c r="H1602" s="60">
        <v>21</v>
      </c>
      <c r="I1602" s="60">
        <v>23</v>
      </c>
      <c r="J1602" s="61">
        <v>22</v>
      </c>
    </row>
    <row r="1603" spans="1:10" x14ac:dyDescent="0.35">
      <c r="A1603" s="58">
        <v>43398</v>
      </c>
      <c r="B1603" s="55">
        <f t="shared" si="48"/>
        <v>2018</v>
      </c>
      <c r="C1603" s="55"/>
      <c r="D1603" s="55">
        <f t="shared" si="49"/>
        <v>10</v>
      </c>
      <c r="E1603" s="60">
        <v>22</v>
      </c>
      <c r="F1603" s="60">
        <v>24</v>
      </c>
      <c r="G1603" s="61">
        <v>23</v>
      </c>
      <c r="H1603" s="60">
        <v>23</v>
      </c>
      <c r="I1603" s="60">
        <v>25</v>
      </c>
      <c r="J1603" s="61">
        <v>24</v>
      </c>
    </row>
    <row r="1604" spans="1:10" x14ac:dyDescent="0.35">
      <c r="A1604" s="58">
        <v>43405</v>
      </c>
      <c r="B1604" s="55">
        <f t="shared" ref="B1604:B1667" si="50">YEAR(A1604)</f>
        <v>2018</v>
      </c>
      <c r="C1604" s="55"/>
      <c r="D1604" s="55">
        <f t="shared" ref="D1604:D1667" si="51">MONTH(A1604)</f>
        <v>11</v>
      </c>
      <c r="E1604" s="60">
        <v>22</v>
      </c>
      <c r="F1604" s="60">
        <v>24</v>
      </c>
      <c r="G1604" s="61">
        <v>23</v>
      </c>
      <c r="H1604" s="60">
        <v>23</v>
      </c>
      <c r="I1604" s="60">
        <v>25</v>
      </c>
      <c r="J1604" s="61">
        <v>24</v>
      </c>
    </row>
    <row r="1605" spans="1:10" x14ac:dyDescent="0.35">
      <c r="A1605" s="58">
        <v>43412</v>
      </c>
      <c r="B1605" s="55">
        <f t="shared" si="50"/>
        <v>2018</v>
      </c>
      <c r="C1605" s="55"/>
      <c r="D1605" s="55">
        <f t="shared" si="51"/>
        <v>11</v>
      </c>
      <c r="E1605" s="60">
        <v>22</v>
      </c>
      <c r="F1605" s="60">
        <v>24</v>
      </c>
      <c r="G1605" s="61">
        <v>23</v>
      </c>
      <c r="H1605" s="60">
        <v>22</v>
      </c>
      <c r="I1605" s="60">
        <v>24</v>
      </c>
      <c r="J1605" s="61">
        <v>23</v>
      </c>
    </row>
    <row r="1606" spans="1:10" x14ac:dyDescent="0.35">
      <c r="A1606" s="58">
        <v>43419</v>
      </c>
      <c r="B1606" s="55">
        <f t="shared" si="50"/>
        <v>2018</v>
      </c>
      <c r="C1606" s="55"/>
      <c r="D1606" s="55">
        <f t="shared" si="51"/>
        <v>11</v>
      </c>
      <c r="E1606" s="60">
        <v>22</v>
      </c>
      <c r="F1606" s="60">
        <v>24</v>
      </c>
      <c r="G1606" s="61">
        <v>23</v>
      </c>
      <c r="H1606" s="60">
        <v>21</v>
      </c>
      <c r="I1606" s="60">
        <v>23</v>
      </c>
      <c r="J1606" s="61">
        <v>22</v>
      </c>
    </row>
    <row r="1607" spans="1:10" x14ac:dyDescent="0.35">
      <c r="A1607" s="58">
        <v>43426</v>
      </c>
      <c r="B1607" s="55">
        <f t="shared" si="50"/>
        <v>2018</v>
      </c>
      <c r="C1607" s="55"/>
      <c r="D1607" s="55">
        <f t="shared" si="51"/>
        <v>11</v>
      </c>
      <c r="E1607" s="60">
        <v>22</v>
      </c>
      <c r="F1607" s="60">
        <v>24</v>
      </c>
      <c r="G1607" s="61">
        <v>23</v>
      </c>
      <c r="H1607" s="60">
        <v>20</v>
      </c>
      <c r="I1607" s="60">
        <v>22</v>
      </c>
      <c r="J1607" s="61">
        <v>21</v>
      </c>
    </row>
    <row r="1608" spans="1:10" x14ac:dyDescent="0.35">
      <c r="A1608" s="58">
        <v>43433</v>
      </c>
      <c r="B1608" s="55">
        <f t="shared" si="50"/>
        <v>2018</v>
      </c>
      <c r="C1608" s="55"/>
      <c r="D1608" s="55">
        <f t="shared" si="51"/>
        <v>11</v>
      </c>
      <c r="E1608" s="60">
        <v>21</v>
      </c>
      <c r="F1608" s="60">
        <v>23</v>
      </c>
      <c r="G1608" s="61">
        <v>22</v>
      </c>
      <c r="H1608" s="60">
        <v>19</v>
      </c>
      <c r="I1608" s="60">
        <v>21</v>
      </c>
      <c r="J1608" s="61">
        <v>20</v>
      </c>
    </row>
    <row r="1609" spans="1:10" x14ac:dyDescent="0.35">
      <c r="A1609" s="58">
        <v>43440</v>
      </c>
      <c r="B1609" s="55">
        <f t="shared" si="50"/>
        <v>2018</v>
      </c>
      <c r="C1609" s="55"/>
      <c r="D1609" s="55">
        <f t="shared" si="51"/>
        <v>12</v>
      </c>
      <c r="E1609" s="60">
        <v>20</v>
      </c>
      <c r="F1609" s="60">
        <v>22</v>
      </c>
      <c r="G1609" s="61">
        <v>21</v>
      </c>
      <c r="H1609" s="60">
        <v>19</v>
      </c>
      <c r="I1609" s="60">
        <v>21</v>
      </c>
      <c r="J1609" s="61">
        <v>20</v>
      </c>
    </row>
    <row r="1610" spans="1:10" x14ac:dyDescent="0.35">
      <c r="A1610" s="58">
        <v>43447</v>
      </c>
      <c r="B1610" s="55">
        <f t="shared" si="50"/>
        <v>2018</v>
      </c>
      <c r="C1610" s="55"/>
      <c r="D1610" s="55">
        <f t="shared" si="51"/>
        <v>12</v>
      </c>
      <c r="E1610" s="60">
        <v>20</v>
      </c>
      <c r="F1610" s="60">
        <v>22</v>
      </c>
      <c r="G1610" s="61">
        <v>21</v>
      </c>
      <c r="H1610" s="60">
        <v>19</v>
      </c>
      <c r="I1610" s="60">
        <v>21</v>
      </c>
      <c r="J1610" s="61">
        <v>20</v>
      </c>
    </row>
    <row r="1611" spans="1:10" x14ac:dyDescent="0.35">
      <c r="A1611" s="58">
        <v>43454</v>
      </c>
      <c r="B1611" s="55">
        <f t="shared" si="50"/>
        <v>2018</v>
      </c>
      <c r="C1611" s="55"/>
      <c r="D1611" s="55">
        <f t="shared" si="51"/>
        <v>12</v>
      </c>
      <c r="E1611" s="60">
        <v>20</v>
      </c>
      <c r="F1611" s="60">
        <v>22</v>
      </c>
      <c r="G1611" s="61">
        <v>21</v>
      </c>
      <c r="H1611" s="60">
        <v>19</v>
      </c>
      <c r="I1611" s="60">
        <v>21</v>
      </c>
      <c r="J1611" s="61">
        <v>20</v>
      </c>
    </row>
    <row r="1612" spans="1:10" x14ac:dyDescent="0.35">
      <c r="A1612" s="58">
        <v>43461</v>
      </c>
      <c r="B1612" s="55">
        <f t="shared" si="50"/>
        <v>2018</v>
      </c>
      <c r="C1612" s="55"/>
      <c r="D1612" s="55">
        <f t="shared" si="51"/>
        <v>12</v>
      </c>
      <c r="E1612" s="60">
        <v>20</v>
      </c>
      <c r="F1612" s="60">
        <v>22</v>
      </c>
      <c r="G1612" s="61">
        <v>21</v>
      </c>
      <c r="H1612" s="60">
        <v>19</v>
      </c>
      <c r="I1612" s="60">
        <v>21</v>
      </c>
      <c r="J1612" s="61">
        <v>20</v>
      </c>
    </row>
    <row r="1613" spans="1:10" x14ac:dyDescent="0.35">
      <c r="A1613" s="58">
        <v>43468</v>
      </c>
      <c r="B1613" s="55">
        <f t="shared" si="50"/>
        <v>2019</v>
      </c>
      <c r="C1613" s="55"/>
      <c r="D1613" s="55">
        <f t="shared" si="51"/>
        <v>1</v>
      </c>
      <c r="E1613" s="60">
        <v>20</v>
      </c>
      <c r="F1613" s="60">
        <v>22</v>
      </c>
      <c r="G1613" s="61">
        <v>21</v>
      </c>
      <c r="H1613" s="60">
        <v>19</v>
      </c>
      <c r="I1613" s="60">
        <v>21</v>
      </c>
      <c r="J1613" s="61">
        <v>20</v>
      </c>
    </row>
    <row r="1614" spans="1:10" x14ac:dyDescent="0.35">
      <c r="A1614" s="58">
        <v>43475</v>
      </c>
      <c r="B1614" s="55">
        <f t="shared" si="50"/>
        <v>2019</v>
      </c>
      <c r="C1614" s="55"/>
      <c r="D1614" s="55">
        <f t="shared" si="51"/>
        <v>1</v>
      </c>
      <c r="E1614" s="60">
        <v>19</v>
      </c>
      <c r="F1614" s="60">
        <v>21</v>
      </c>
      <c r="G1614" s="61">
        <v>20</v>
      </c>
      <c r="H1614" s="60">
        <v>17</v>
      </c>
      <c r="I1614" s="60">
        <v>19</v>
      </c>
      <c r="J1614" s="61">
        <v>18</v>
      </c>
    </row>
    <row r="1615" spans="1:10" x14ac:dyDescent="0.35">
      <c r="A1615" s="58">
        <v>43482</v>
      </c>
      <c r="B1615" s="55">
        <f t="shared" si="50"/>
        <v>2019</v>
      </c>
      <c r="C1615" s="55"/>
      <c r="D1615" s="55">
        <f t="shared" si="51"/>
        <v>1</v>
      </c>
      <c r="E1615" s="60">
        <v>19</v>
      </c>
      <c r="F1615" s="60">
        <v>21</v>
      </c>
      <c r="G1615" s="61">
        <v>20</v>
      </c>
      <c r="H1615" s="60">
        <v>16</v>
      </c>
      <c r="I1615" s="60">
        <v>18</v>
      </c>
      <c r="J1615" s="61">
        <v>17</v>
      </c>
    </row>
    <row r="1616" spans="1:10" x14ac:dyDescent="0.35">
      <c r="A1616" s="58">
        <v>43489</v>
      </c>
      <c r="B1616" s="55">
        <f t="shared" si="50"/>
        <v>2019</v>
      </c>
      <c r="C1616" s="55"/>
      <c r="D1616" s="55">
        <f t="shared" si="51"/>
        <v>1</v>
      </c>
      <c r="E1616" s="60">
        <v>19</v>
      </c>
      <c r="F1616" s="60">
        <v>21</v>
      </c>
      <c r="G1616" s="61">
        <v>20</v>
      </c>
      <c r="H1616" s="60">
        <v>15</v>
      </c>
      <c r="I1616" s="60">
        <v>17</v>
      </c>
      <c r="J1616" s="61">
        <v>16</v>
      </c>
    </row>
    <row r="1617" spans="1:10" x14ac:dyDescent="0.35">
      <c r="A1617" s="58">
        <v>43496</v>
      </c>
      <c r="B1617" s="55">
        <f t="shared" si="50"/>
        <v>2019</v>
      </c>
      <c r="C1617" s="55"/>
      <c r="D1617" s="55">
        <f t="shared" si="51"/>
        <v>1</v>
      </c>
      <c r="E1617" s="60">
        <v>18</v>
      </c>
      <c r="F1617" s="60">
        <v>20</v>
      </c>
      <c r="G1617" s="61">
        <v>19</v>
      </c>
      <c r="H1617" s="60">
        <v>14</v>
      </c>
      <c r="I1617" s="60">
        <v>16</v>
      </c>
      <c r="J1617" s="61">
        <v>15</v>
      </c>
    </row>
    <row r="1618" spans="1:10" x14ac:dyDescent="0.35">
      <c r="A1618" s="58">
        <v>43503</v>
      </c>
      <c r="B1618" s="55">
        <f t="shared" si="50"/>
        <v>2019</v>
      </c>
      <c r="C1618" s="55"/>
      <c r="D1618" s="55">
        <f t="shared" si="51"/>
        <v>2</v>
      </c>
      <c r="E1618" s="60">
        <v>16</v>
      </c>
      <c r="F1618" s="60">
        <v>18</v>
      </c>
      <c r="G1618" s="61">
        <v>17</v>
      </c>
      <c r="H1618" s="60">
        <v>14</v>
      </c>
      <c r="I1618" s="60">
        <v>16</v>
      </c>
      <c r="J1618" s="61">
        <v>15</v>
      </c>
    </row>
    <row r="1619" spans="1:10" x14ac:dyDescent="0.35">
      <c r="A1619" s="58">
        <v>43510</v>
      </c>
      <c r="B1619" s="55">
        <f t="shared" si="50"/>
        <v>2019</v>
      </c>
      <c r="C1619" s="55"/>
      <c r="D1619" s="55">
        <f t="shared" si="51"/>
        <v>2</v>
      </c>
      <c r="E1619" s="60">
        <v>16</v>
      </c>
      <c r="F1619" s="60">
        <v>18</v>
      </c>
      <c r="G1619" s="61">
        <v>17</v>
      </c>
      <c r="H1619" s="60">
        <v>14</v>
      </c>
      <c r="I1619" s="60">
        <v>16</v>
      </c>
      <c r="J1619" s="61">
        <v>15</v>
      </c>
    </row>
    <row r="1620" spans="1:10" x14ac:dyDescent="0.35">
      <c r="A1620" s="58">
        <v>43517</v>
      </c>
      <c r="B1620" s="55">
        <f t="shared" si="50"/>
        <v>2019</v>
      </c>
      <c r="C1620" s="55"/>
      <c r="D1620" s="55">
        <f t="shared" si="51"/>
        <v>2</v>
      </c>
      <c r="E1620" s="60">
        <v>15</v>
      </c>
      <c r="F1620" s="60">
        <v>17</v>
      </c>
      <c r="G1620" s="61">
        <v>16</v>
      </c>
      <c r="H1620" s="60">
        <v>15</v>
      </c>
      <c r="I1620" s="60">
        <v>17</v>
      </c>
      <c r="J1620" s="61">
        <v>16</v>
      </c>
    </row>
    <row r="1621" spans="1:10" x14ac:dyDescent="0.35">
      <c r="A1621" s="58">
        <v>43524</v>
      </c>
      <c r="B1621" s="55">
        <f t="shared" si="50"/>
        <v>2019</v>
      </c>
      <c r="C1621" s="55"/>
      <c r="D1621" s="55">
        <f t="shared" si="51"/>
        <v>2</v>
      </c>
      <c r="E1621" s="60">
        <v>15</v>
      </c>
      <c r="F1621" s="60">
        <v>17</v>
      </c>
      <c r="G1621" s="61">
        <v>16</v>
      </c>
      <c r="H1621" s="60">
        <v>15</v>
      </c>
      <c r="I1621" s="60">
        <v>17</v>
      </c>
      <c r="J1621" s="61">
        <v>16</v>
      </c>
    </row>
    <row r="1622" spans="1:10" x14ac:dyDescent="0.35">
      <c r="A1622" s="58">
        <v>43531</v>
      </c>
      <c r="B1622" s="55">
        <f t="shared" si="50"/>
        <v>2019</v>
      </c>
      <c r="C1622" s="55"/>
      <c r="D1622" s="55">
        <f t="shared" si="51"/>
        <v>3</v>
      </c>
      <c r="E1622" s="60">
        <v>15</v>
      </c>
      <c r="F1622" s="60">
        <v>17</v>
      </c>
      <c r="G1622" s="61">
        <v>16</v>
      </c>
      <c r="H1622" s="60">
        <v>15</v>
      </c>
      <c r="I1622" s="60">
        <v>17</v>
      </c>
      <c r="J1622" s="61">
        <v>16</v>
      </c>
    </row>
    <row r="1623" spans="1:10" x14ac:dyDescent="0.35">
      <c r="A1623" s="58">
        <v>43538</v>
      </c>
      <c r="B1623" s="55">
        <f t="shared" si="50"/>
        <v>2019</v>
      </c>
      <c r="C1623" s="55"/>
      <c r="D1623" s="55">
        <f t="shared" si="51"/>
        <v>3</v>
      </c>
      <c r="E1623" s="60">
        <v>15</v>
      </c>
      <c r="F1623" s="60">
        <v>17</v>
      </c>
      <c r="G1623" s="61">
        <v>16</v>
      </c>
      <c r="H1623" s="60">
        <v>15</v>
      </c>
      <c r="I1623" s="60">
        <v>17</v>
      </c>
      <c r="J1623" s="61">
        <v>16</v>
      </c>
    </row>
    <row r="1624" spans="1:10" x14ac:dyDescent="0.35">
      <c r="A1624" s="58">
        <v>43545</v>
      </c>
      <c r="B1624" s="55">
        <f t="shared" si="50"/>
        <v>2019</v>
      </c>
      <c r="C1624" s="55"/>
      <c r="D1624" s="55">
        <f t="shared" si="51"/>
        <v>3</v>
      </c>
      <c r="E1624" s="60">
        <v>17</v>
      </c>
      <c r="F1624" s="60">
        <v>19</v>
      </c>
      <c r="G1624" s="61">
        <v>18</v>
      </c>
      <c r="H1624" s="60">
        <v>14</v>
      </c>
      <c r="I1624" s="60">
        <v>16</v>
      </c>
      <c r="J1624" s="61">
        <v>15</v>
      </c>
    </row>
    <row r="1625" spans="1:10" x14ac:dyDescent="0.35">
      <c r="A1625" s="58">
        <v>43552</v>
      </c>
      <c r="B1625" s="55">
        <f t="shared" si="50"/>
        <v>2019</v>
      </c>
      <c r="C1625" s="55"/>
      <c r="D1625" s="55">
        <f t="shared" si="51"/>
        <v>3</v>
      </c>
      <c r="E1625" s="60">
        <v>17</v>
      </c>
      <c r="F1625" s="60">
        <v>19</v>
      </c>
      <c r="G1625" s="61">
        <v>18</v>
      </c>
      <c r="H1625" s="60">
        <v>14</v>
      </c>
      <c r="I1625" s="60">
        <v>16</v>
      </c>
      <c r="J1625" s="61">
        <v>15</v>
      </c>
    </row>
    <row r="1626" spans="1:10" x14ac:dyDescent="0.35">
      <c r="A1626" s="58">
        <v>43559</v>
      </c>
      <c r="B1626" s="55">
        <f t="shared" si="50"/>
        <v>2019</v>
      </c>
      <c r="C1626" s="55"/>
      <c r="D1626" s="55">
        <f t="shared" si="51"/>
        <v>4</v>
      </c>
      <c r="E1626" s="60">
        <v>17</v>
      </c>
      <c r="F1626" s="60">
        <v>19</v>
      </c>
      <c r="G1626" s="61">
        <v>18</v>
      </c>
      <c r="H1626" s="60">
        <v>14</v>
      </c>
      <c r="I1626" s="60">
        <v>16</v>
      </c>
      <c r="J1626" s="61">
        <v>15</v>
      </c>
    </row>
    <row r="1627" spans="1:10" x14ac:dyDescent="0.35">
      <c r="A1627" s="58">
        <v>43566</v>
      </c>
      <c r="B1627" s="55">
        <f t="shared" si="50"/>
        <v>2019</v>
      </c>
      <c r="C1627" s="55"/>
      <c r="D1627" s="55">
        <f t="shared" si="51"/>
        <v>4</v>
      </c>
      <c r="E1627" s="60">
        <v>17</v>
      </c>
      <c r="F1627" s="60">
        <v>19</v>
      </c>
      <c r="G1627" s="61">
        <v>18</v>
      </c>
      <c r="H1627" s="60">
        <v>14</v>
      </c>
      <c r="I1627" s="60">
        <v>16</v>
      </c>
      <c r="J1627" s="61">
        <v>15</v>
      </c>
    </row>
    <row r="1628" spans="1:10" x14ac:dyDescent="0.35">
      <c r="A1628" s="58">
        <v>43573</v>
      </c>
      <c r="B1628" s="55">
        <f t="shared" si="50"/>
        <v>2019</v>
      </c>
      <c r="C1628" s="55"/>
      <c r="D1628" s="55">
        <f t="shared" si="51"/>
        <v>4</v>
      </c>
      <c r="E1628" s="60">
        <v>17</v>
      </c>
      <c r="F1628" s="60">
        <v>19</v>
      </c>
      <c r="G1628" s="61">
        <v>18</v>
      </c>
      <c r="H1628" s="60">
        <v>14</v>
      </c>
      <c r="I1628" s="60">
        <v>16</v>
      </c>
      <c r="J1628" s="61">
        <v>15</v>
      </c>
    </row>
    <row r="1629" spans="1:10" x14ac:dyDescent="0.35">
      <c r="A1629" s="58">
        <v>43580</v>
      </c>
      <c r="B1629" s="55">
        <f t="shared" si="50"/>
        <v>2019</v>
      </c>
      <c r="C1629" s="55"/>
      <c r="D1629" s="55">
        <f t="shared" si="51"/>
        <v>4</v>
      </c>
      <c r="E1629" s="60">
        <v>17</v>
      </c>
      <c r="F1629" s="60">
        <v>19</v>
      </c>
      <c r="G1629" s="61">
        <v>18</v>
      </c>
      <c r="H1629" s="60">
        <v>14</v>
      </c>
      <c r="I1629" s="60">
        <v>16</v>
      </c>
      <c r="J1629" s="61">
        <v>15</v>
      </c>
    </row>
    <row r="1630" spans="1:10" x14ac:dyDescent="0.35">
      <c r="A1630" s="58">
        <v>43587</v>
      </c>
      <c r="B1630" s="55">
        <f t="shared" si="50"/>
        <v>2019</v>
      </c>
      <c r="C1630" s="55"/>
      <c r="D1630" s="55">
        <f t="shared" si="51"/>
        <v>5</v>
      </c>
      <c r="E1630" s="60">
        <v>17</v>
      </c>
      <c r="F1630" s="60">
        <v>19</v>
      </c>
      <c r="G1630" s="61">
        <v>18</v>
      </c>
      <c r="H1630" s="60">
        <v>14</v>
      </c>
      <c r="I1630" s="60">
        <v>16</v>
      </c>
      <c r="J1630" s="61">
        <v>15</v>
      </c>
    </row>
    <row r="1631" spans="1:10" x14ac:dyDescent="0.35">
      <c r="A1631" s="58">
        <v>43594</v>
      </c>
      <c r="B1631" s="55">
        <f t="shared" si="50"/>
        <v>2019</v>
      </c>
      <c r="C1631" s="55"/>
      <c r="D1631" s="55">
        <f t="shared" si="51"/>
        <v>5</v>
      </c>
      <c r="E1631" s="60">
        <v>17</v>
      </c>
      <c r="F1631" s="60">
        <v>19</v>
      </c>
      <c r="G1631" s="61">
        <v>18</v>
      </c>
      <c r="H1631" s="60">
        <v>14</v>
      </c>
      <c r="I1631" s="60">
        <v>16</v>
      </c>
      <c r="J1631" s="61">
        <v>15</v>
      </c>
    </row>
    <row r="1632" spans="1:10" x14ac:dyDescent="0.35">
      <c r="A1632" s="58">
        <v>43601</v>
      </c>
      <c r="B1632" s="55">
        <f t="shared" si="50"/>
        <v>2019</v>
      </c>
      <c r="C1632" s="55"/>
      <c r="D1632" s="55">
        <f t="shared" si="51"/>
        <v>5</v>
      </c>
      <c r="E1632" s="60">
        <v>16</v>
      </c>
      <c r="F1632" s="60">
        <v>18</v>
      </c>
      <c r="G1632" s="61">
        <v>17</v>
      </c>
      <c r="H1632" s="60">
        <v>14</v>
      </c>
      <c r="I1632" s="60">
        <v>16</v>
      </c>
      <c r="J1632" s="61">
        <v>15</v>
      </c>
    </row>
    <row r="1633" spans="1:10" x14ac:dyDescent="0.35">
      <c r="A1633" s="58">
        <v>43608</v>
      </c>
      <c r="B1633" s="55">
        <f t="shared" si="50"/>
        <v>2019</v>
      </c>
      <c r="C1633" s="55"/>
      <c r="D1633" s="55">
        <f t="shared" si="51"/>
        <v>5</v>
      </c>
      <c r="E1633" s="60">
        <v>16</v>
      </c>
      <c r="F1633" s="60">
        <v>18</v>
      </c>
      <c r="G1633" s="61">
        <v>17</v>
      </c>
      <c r="H1633" s="60">
        <v>14</v>
      </c>
      <c r="I1633" s="60">
        <v>16</v>
      </c>
      <c r="J1633" s="61">
        <v>15</v>
      </c>
    </row>
    <row r="1634" spans="1:10" x14ac:dyDescent="0.35">
      <c r="A1634" s="58">
        <v>43615</v>
      </c>
      <c r="B1634" s="55">
        <f t="shared" si="50"/>
        <v>2019</v>
      </c>
      <c r="C1634" s="55"/>
      <c r="D1634" s="55">
        <f t="shared" si="51"/>
        <v>5</v>
      </c>
      <c r="E1634" s="60">
        <v>16</v>
      </c>
      <c r="F1634" s="60">
        <v>18</v>
      </c>
      <c r="G1634" s="61">
        <v>17</v>
      </c>
      <c r="H1634" s="60">
        <v>14</v>
      </c>
      <c r="I1634" s="60">
        <v>16</v>
      </c>
      <c r="J1634" s="61">
        <v>15</v>
      </c>
    </row>
    <row r="1635" spans="1:10" x14ac:dyDescent="0.35">
      <c r="A1635" s="58">
        <v>43622</v>
      </c>
      <c r="B1635" s="55">
        <f t="shared" si="50"/>
        <v>2019</v>
      </c>
      <c r="C1635" s="55"/>
      <c r="D1635" s="55">
        <f t="shared" si="51"/>
        <v>6</v>
      </c>
      <c r="E1635" s="60">
        <v>16</v>
      </c>
      <c r="F1635" s="60">
        <v>18</v>
      </c>
      <c r="G1635" s="61">
        <v>17</v>
      </c>
      <c r="H1635" s="60">
        <v>14</v>
      </c>
      <c r="I1635" s="60">
        <v>16</v>
      </c>
      <c r="J1635" s="61">
        <v>15</v>
      </c>
    </row>
    <row r="1636" spans="1:10" x14ac:dyDescent="0.35">
      <c r="A1636" s="58">
        <v>43629</v>
      </c>
      <c r="B1636" s="55">
        <f t="shared" si="50"/>
        <v>2019</v>
      </c>
      <c r="C1636" s="55"/>
      <c r="D1636" s="55">
        <f t="shared" si="51"/>
        <v>6</v>
      </c>
      <c r="E1636" s="60">
        <v>16</v>
      </c>
      <c r="F1636" s="60">
        <v>18</v>
      </c>
      <c r="G1636" s="61">
        <v>17</v>
      </c>
      <c r="H1636" s="60">
        <v>14</v>
      </c>
      <c r="I1636" s="60">
        <v>16</v>
      </c>
      <c r="J1636" s="61">
        <v>15</v>
      </c>
    </row>
    <row r="1637" spans="1:10" x14ac:dyDescent="0.35">
      <c r="A1637" s="58">
        <v>43636</v>
      </c>
      <c r="B1637" s="55">
        <f t="shared" si="50"/>
        <v>2019</v>
      </c>
      <c r="C1637" s="55"/>
      <c r="D1637" s="55">
        <f t="shared" si="51"/>
        <v>6</v>
      </c>
      <c r="E1637" s="60">
        <v>18</v>
      </c>
      <c r="F1637" s="60">
        <v>20</v>
      </c>
      <c r="G1637" s="61">
        <v>19</v>
      </c>
      <c r="H1637" s="60">
        <v>14</v>
      </c>
      <c r="I1637" s="60">
        <v>16</v>
      </c>
      <c r="J1637" s="61">
        <v>15</v>
      </c>
    </row>
    <row r="1638" spans="1:10" x14ac:dyDescent="0.35">
      <c r="A1638" s="58">
        <v>43643</v>
      </c>
      <c r="B1638" s="55">
        <f t="shared" si="50"/>
        <v>2019</v>
      </c>
      <c r="C1638" s="55"/>
      <c r="D1638" s="55">
        <f t="shared" si="51"/>
        <v>6</v>
      </c>
      <c r="E1638" s="60">
        <v>19</v>
      </c>
      <c r="F1638" s="60">
        <v>21</v>
      </c>
      <c r="G1638" s="61">
        <v>20</v>
      </c>
      <c r="H1638" s="60">
        <v>16</v>
      </c>
      <c r="I1638" s="60">
        <v>18</v>
      </c>
      <c r="J1638" s="61">
        <v>17</v>
      </c>
    </row>
    <row r="1639" spans="1:10" x14ac:dyDescent="0.35">
      <c r="A1639" s="58">
        <v>43650</v>
      </c>
      <c r="B1639" s="55">
        <f t="shared" si="50"/>
        <v>2019</v>
      </c>
      <c r="C1639" s="55"/>
      <c r="D1639" s="55">
        <f t="shared" si="51"/>
        <v>7</v>
      </c>
      <c r="E1639" s="60">
        <v>18</v>
      </c>
      <c r="F1639" s="60">
        <v>20</v>
      </c>
      <c r="G1639" s="61">
        <v>19</v>
      </c>
      <c r="H1639" s="60">
        <v>16</v>
      </c>
      <c r="I1639" s="60">
        <v>18</v>
      </c>
      <c r="J1639" s="61">
        <v>17</v>
      </c>
    </row>
    <row r="1640" spans="1:10" x14ac:dyDescent="0.35">
      <c r="A1640" s="58">
        <v>43657</v>
      </c>
      <c r="B1640" s="55">
        <f t="shared" si="50"/>
        <v>2019</v>
      </c>
      <c r="C1640" s="55"/>
      <c r="D1640" s="55">
        <f t="shared" si="51"/>
        <v>7</v>
      </c>
      <c r="E1640" s="60">
        <v>19</v>
      </c>
      <c r="F1640" s="60">
        <v>21</v>
      </c>
      <c r="G1640" s="61">
        <v>20</v>
      </c>
      <c r="H1640" s="60">
        <v>16</v>
      </c>
      <c r="I1640" s="60">
        <v>18</v>
      </c>
      <c r="J1640" s="61">
        <v>17</v>
      </c>
    </row>
    <row r="1641" spans="1:10" x14ac:dyDescent="0.35">
      <c r="A1641" s="58">
        <v>43664</v>
      </c>
      <c r="B1641" s="55">
        <f t="shared" si="50"/>
        <v>2019</v>
      </c>
      <c r="C1641" s="55"/>
      <c r="D1641" s="55">
        <f t="shared" si="51"/>
        <v>7</v>
      </c>
      <c r="E1641" s="60">
        <v>19</v>
      </c>
      <c r="F1641" s="60">
        <v>21</v>
      </c>
      <c r="G1641" s="61">
        <v>20</v>
      </c>
      <c r="H1641" s="60">
        <v>18</v>
      </c>
      <c r="I1641" s="60">
        <v>20</v>
      </c>
      <c r="J1641" s="61">
        <v>19</v>
      </c>
    </row>
    <row r="1642" spans="1:10" x14ac:dyDescent="0.35">
      <c r="A1642" s="58">
        <v>43671</v>
      </c>
      <c r="B1642" s="55">
        <f t="shared" si="50"/>
        <v>2019</v>
      </c>
      <c r="C1642" s="55"/>
      <c r="D1642" s="55">
        <f t="shared" si="51"/>
        <v>7</v>
      </c>
      <c r="E1642" s="60">
        <v>19</v>
      </c>
      <c r="F1642" s="60">
        <v>21</v>
      </c>
      <c r="G1642" s="61">
        <v>20</v>
      </c>
      <c r="H1642" s="60">
        <v>18</v>
      </c>
      <c r="I1642" s="60">
        <v>20</v>
      </c>
      <c r="J1642" s="61">
        <v>19</v>
      </c>
    </row>
    <row r="1643" spans="1:10" x14ac:dyDescent="0.35">
      <c r="A1643" s="58">
        <v>43678</v>
      </c>
      <c r="B1643" s="55">
        <f t="shared" si="50"/>
        <v>2019</v>
      </c>
      <c r="C1643" s="55"/>
      <c r="D1643" s="55">
        <f t="shared" si="51"/>
        <v>8</v>
      </c>
      <c r="E1643" s="60">
        <v>21</v>
      </c>
      <c r="F1643" s="60">
        <v>23</v>
      </c>
      <c r="G1643" s="61">
        <v>22</v>
      </c>
      <c r="H1643" s="60">
        <v>18</v>
      </c>
      <c r="I1643" s="60">
        <v>20</v>
      </c>
      <c r="J1643" s="61">
        <v>19</v>
      </c>
    </row>
    <row r="1644" spans="1:10" x14ac:dyDescent="0.35">
      <c r="A1644" s="58">
        <v>43685</v>
      </c>
      <c r="B1644" s="55">
        <f t="shared" si="50"/>
        <v>2019</v>
      </c>
      <c r="C1644" s="55"/>
      <c r="D1644" s="55">
        <f t="shared" si="51"/>
        <v>8</v>
      </c>
      <c r="E1644" s="60">
        <v>20</v>
      </c>
      <c r="F1644" s="60">
        <v>22</v>
      </c>
      <c r="G1644" s="61">
        <v>21</v>
      </c>
      <c r="H1644" s="60">
        <v>17</v>
      </c>
      <c r="I1644" s="60">
        <v>19</v>
      </c>
      <c r="J1644" s="61">
        <v>18</v>
      </c>
    </row>
    <row r="1645" spans="1:10" x14ac:dyDescent="0.35">
      <c r="A1645" s="58">
        <v>43692</v>
      </c>
      <c r="B1645" s="55">
        <f t="shared" si="50"/>
        <v>2019</v>
      </c>
      <c r="C1645" s="55"/>
      <c r="D1645" s="55">
        <f t="shared" si="51"/>
        <v>8</v>
      </c>
      <c r="E1645" s="60">
        <v>20</v>
      </c>
      <c r="F1645" s="60">
        <v>22</v>
      </c>
      <c r="G1645" s="61">
        <v>21</v>
      </c>
      <c r="H1645" s="60">
        <v>18</v>
      </c>
      <c r="I1645" s="60">
        <v>20</v>
      </c>
      <c r="J1645" s="61">
        <v>19</v>
      </c>
    </row>
    <row r="1646" spans="1:10" x14ac:dyDescent="0.35">
      <c r="A1646" s="58">
        <v>43699</v>
      </c>
      <c r="B1646" s="55">
        <f t="shared" si="50"/>
        <v>2019</v>
      </c>
      <c r="C1646" s="55"/>
      <c r="D1646" s="55">
        <f t="shared" si="51"/>
        <v>8</v>
      </c>
      <c r="E1646" s="60">
        <v>20</v>
      </c>
      <c r="F1646" s="60">
        <v>22</v>
      </c>
      <c r="G1646" s="61">
        <v>21</v>
      </c>
      <c r="H1646" s="60">
        <v>19</v>
      </c>
      <c r="I1646" s="60">
        <v>21</v>
      </c>
      <c r="J1646" s="61">
        <v>20</v>
      </c>
    </row>
    <row r="1647" spans="1:10" x14ac:dyDescent="0.35">
      <c r="A1647" s="58">
        <v>43706</v>
      </c>
      <c r="B1647" s="55">
        <f t="shared" si="50"/>
        <v>2019</v>
      </c>
      <c r="C1647" s="55"/>
      <c r="D1647" s="55">
        <f t="shared" si="51"/>
        <v>8</v>
      </c>
      <c r="E1647" s="60">
        <v>20</v>
      </c>
      <c r="F1647" s="60">
        <v>22</v>
      </c>
      <c r="G1647" s="61">
        <v>21</v>
      </c>
      <c r="H1647" s="60">
        <v>19</v>
      </c>
      <c r="I1647" s="60">
        <v>21</v>
      </c>
      <c r="J1647" s="61">
        <v>20</v>
      </c>
    </row>
    <row r="1648" spans="1:10" x14ac:dyDescent="0.35">
      <c r="A1648" s="58">
        <v>43713</v>
      </c>
      <c r="B1648" s="55">
        <f t="shared" si="50"/>
        <v>2019</v>
      </c>
      <c r="C1648" s="55"/>
      <c r="D1648" s="55">
        <f t="shared" si="51"/>
        <v>9</v>
      </c>
      <c r="E1648" s="60">
        <v>20</v>
      </c>
      <c r="F1648" s="60">
        <v>22</v>
      </c>
      <c r="G1648" s="61">
        <v>21</v>
      </c>
      <c r="H1648" s="60">
        <v>19</v>
      </c>
      <c r="I1648" s="60">
        <v>21</v>
      </c>
      <c r="J1648" s="61">
        <v>20</v>
      </c>
    </row>
    <row r="1649" spans="1:10" x14ac:dyDescent="0.35">
      <c r="A1649" s="58">
        <v>43720</v>
      </c>
      <c r="B1649" s="55">
        <f t="shared" si="50"/>
        <v>2019</v>
      </c>
      <c r="C1649" s="55"/>
      <c r="D1649" s="55">
        <f t="shared" si="51"/>
        <v>9</v>
      </c>
      <c r="E1649" s="60">
        <v>20</v>
      </c>
      <c r="F1649" s="60">
        <v>22</v>
      </c>
      <c r="G1649" s="61">
        <v>21</v>
      </c>
      <c r="H1649" s="60">
        <v>19</v>
      </c>
      <c r="I1649" s="60">
        <v>21</v>
      </c>
      <c r="J1649" s="61">
        <v>20</v>
      </c>
    </row>
    <row r="1650" spans="1:10" x14ac:dyDescent="0.35">
      <c r="A1650" s="58">
        <v>43727</v>
      </c>
      <c r="B1650" s="55">
        <f t="shared" si="50"/>
        <v>2019</v>
      </c>
      <c r="C1650" s="55"/>
      <c r="D1650" s="55">
        <f t="shared" si="51"/>
        <v>9</v>
      </c>
      <c r="E1650" s="60">
        <v>23</v>
      </c>
      <c r="F1650" s="60">
        <v>25</v>
      </c>
      <c r="G1650" s="61">
        <v>24</v>
      </c>
      <c r="H1650" s="60">
        <v>21</v>
      </c>
      <c r="I1650" s="60">
        <v>23</v>
      </c>
      <c r="J1650" s="61">
        <v>22</v>
      </c>
    </row>
    <row r="1651" spans="1:10" x14ac:dyDescent="0.35">
      <c r="A1651" s="58">
        <v>43734</v>
      </c>
      <c r="B1651" s="55">
        <f t="shared" si="50"/>
        <v>2019</v>
      </c>
      <c r="C1651" s="55"/>
      <c r="D1651" s="55">
        <f t="shared" si="51"/>
        <v>9</v>
      </c>
      <c r="E1651" s="60">
        <v>22</v>
      </c>
      <c r="F1651" s="60">
        <v>24</v>
      </c>
      <c r="G1651" s="61">
        <v>23</v>
      </c>
      <c r="H1651" s="60">
        <v>20</v>
      </c>
      <c r="I1651" s="60">
        <v>22</v>
      </c>
      <c r="J1651" s="61">
        <v>21</v>
      </c>
    </row>
    <row r="1652" spans="1:10" x14ac:dyDescent="0.35">
      <c r="A1652" s="58">
        <v>43741</v>
      </c>
      <c r="B1652" s="55">
        <f t="shared" si="50"/>
        <v>2019</v>
      </c>
      <c r="C1652" s="55"/>
      <c r="D1652" s="55">
        <f t="shared" si="51"/>
        <v>10</v>
      </c>
      <c r="E1652" s="60">
        <v>22</v>
      </c>
      <c r="F1652" s="60">
        <v>24</v>
      </c>
      <c r="G1652" s="61">
        <v>23</v>
      </c>
      <c r="H1652" s="60">
        <v>20</v>
      </c>
      <c r="I1652" s="60">
        <v>22</v>
      </c>
      <c r="J1652" s="61">
        <v>21</v>
      </c>
    </row>
    <row r="1653" spans="1:10" x14ac:dyDescent="0.35">
      <c r="A1653" s="58">
        <v>43748</v>
      </c>
      <c r="B1653" s="55">
        <f t="shared" si="50"/>
        <v>2019</v>
      </c>
      <c r="C1653" s="55"/>
      <c r="D1653" s="55">
        <f t="shared" si="51"/>
        <v>10</v>
      </c>
      <c r="E1653" s="60">
        <v>20</v>
      </c>
      <c r="F1653" s="60">
        <v>22</v>
      </c>
      <c r="G1653" s="61">
        <v>21</v>
      </c>
      <c r="H1653" s="60">
        <v>20</v>
      </c>
      <c r="I1653" s="60">
        <v>22</v>
      </c>
      <c r="J1653" s="61">
        <v>21</v>
      </c>
    </row>
    <row r="1654" spans="1:10" x14ac:dyDescent="0.35">
      <c r="A1654" s="58">
        <v>43755</v>
      </c>
      <c r="B1654" s="55">
        <f t="shared" si="50"/>
        <v>2019</v>
      </c>
      <c r="C1654" s="55"/>
      <c r="D1654" s="55">
        <f t="shared" si="51"/>
        <v>10</v>
      </c>
      <c r="E1654" s="60">
        <v>19</v>
      </c>
      <c r="F1654" s="60">
        <v>21</v>
      </c>
      <c r="G1654" s="61">
        <v>20</v>
      </c>
      <c r="H1654" s="60">
        <v>18</v>
      </c>
      <c r="I1654" s="60">
        <v>20</v>
      </c>
      <c r="J1654" s="61">
        <v>19</v>
      </c>
    </row>
    <row r="1655" spans="1:10" x14ac:dyDescent="0.35">
      <c r="A1655" s="58">
        <v>43762</v>
      </c>
      <c r="B1655" s="55">
        <f t="shared" si="50"/>
        <v>2019</v>
      </c>
      <c r="C1655" s="55"/>
      <c r="D1655" s="55">
        <f t="shared" si="51"/>
        <v>10</v>
      </c>
      <c r="E1655" s="60">
        <v>19</v>
      </c>
      <c r="F1655" s="60">
        <v>21</v>
      </c>
      <c r="G1655" s="61">
        <v>20</v>
      </c>
      <c r="H1655" s="60">
        <v>17</v>
      </c>
      <c r="I1655" s="60">
        <v>19</v>
      </c>
      <c r="J1655" s="61">
        <v>18</v>
      </c>
    </row>
    <row r="1656" spans="1:10" x14ac:dyDescent="0.35">
      <c r="A1656" s="58">
        <v>43769</v>
      </c>
      <c r="B1656" s="55">
        <f t="shared" si="50"/>
        <v>2019</v>
      </c>
      <c r="C1656" s="55"/>
      <c r="D1656" s="55">
        <f t="shared" si="51"/>
        <v>10</v>
      </c>
      <c r="E1656" s="60">
        <v>19</v>
      </c>
      <c r="F1656" s="60">
        <v>21</v>
      </c>
      <c r="G1656" s="61">
        <v>20</v>
      </c>
      <c r="H1656" s="60">
        <v>17</v>
      </c>
      <c r="I1656" s="60">
        <v>19</v>
      </c>
      <c r="J1656" s="61">
        <v>18</v>
      </c>
    </row>
    <row r="1657" spans="1:10" x14ac:dyDescent="0.35">
      <c r="A1657" s="58">
        <v>43776</v>
      </c>
      <c r="B1657" s="55">
        <f t="shared" si="50"/>
        <v>2019</v>
      </c>
      <c r="C1657" s="55"/>
      <c r="D1657" s="55">
        <f t="shared" si="51"/>
        <v>11</v>
      </c>
      <c r="E1657" s="60">
        <v>19</v>
      </c>
      <c r="F1657" s="60">
        <v>21</v>
      </c>
      <c r="G1657" s="61">
        <v>20</v>
      </c>
      <c r="H1657" s="60">
        <v>17</v>
      </c>
      <c r="I1657" s="60">
        <v>19</v>
      </c>
      <c r="J1657" s="61">
        <v>18</v>
      </c>
    </row>
    <row r="1658" spans="1:10" x14ac:dyDescent="0.35">
      <c r="A1658" s="58">
        <v>43783</v>
      </c>
      <c r="B1658" s="55">
        <f t="shared" si="50"/>
        <v>2019</v>
      </c>
      <c r="C1658" s="55"/>
      <c r="D1658" s="55">
        <f t="shared" si="51"/>
        <v>11</v>
      </c>
      <c r="E1658" s="60">
        <v>18</v>
      </c>
      <c r="F1658" s="60">
        <v>20</v>
      </c>
      <c r="G1658" s="61">
        <v>19</v>
      </c>
      <c r="H1658" s="60">
        <v>16</v>
      </c>
      <c r="I1658" s="60">
        <v>18</v>
      </c>
      <c r="J1658" s="61">
        <v>17</v>
      </c>
    </row>
    <row r="1659" spans="1:10" x14ac:dyDescent="0.35">
      <c r="A1659" s="58">
        <v>43790</v>
      </c>
      <c r="B1659" s="55">
        <f t="shared" si="50"/>
        <v>2019</v>
      </c>
      <c r="C1659" s="55"/>
      <c r="D1659" s="55">
        <f t="shared" si="51"/>
        <v>11</v>
      </c>
      <c r="E1659" s="60">
        <v>19</v>
      </c>
      <c r="F1659" s="60">
        <v>21</v>
      </c>
      <c r="G1659" s="61">
        <v>20</v>
      </c>
      <c r="H1659" s="60">
        <v>17</v>
      </c>
      <c r="I1659" s="60">
        <v>19</v>
      </c>
      <c r="J1659" s="61">
        <v>18</v>
      </c>
    </row>
    <row r="1660" spans="1:10" x14ac:dyDescent="0.35">
      <c r="A1660" s="58">
        <v>43797</v>
      </c>
      <c r="B1660" s="55">
        <f t="shared" si="50"/>
        <v>2019</v>
      </c>
      <c r="C1660" s="55"/>
      <c r="D1660" s="55">
        <f t="shared" si="51"/>
        <v>11</v>
      </c>
      <c r="E1660" s="60">
        <v>19</v>
      </c>
      <c r="F1660" s="60">
        <v>21</v>
      </c>
      <c r="G1660" s="61">
        <v>20</v>
      </c>
      <c r="H1660" s="60">
        <v>18</v>
      </c>
      <c r="I1660" s="60">
        <v>20</v>
      </c>
      <c r="J1660" s="61">
        <v>19</v>
      </c>
    </row>
    <row r="1661" spans="1:10" x14ac:dyDescent="0.35">
      <c r="A1661" s="58">
        <v>43804</v>
      </c>
      <c r="B1661" s="55">
        <f t="shared" si="50"/>
        <v>2019</v>
      </c>
      <c r="C1661" s="55"/>
      <c r="D1661" s="55">
        <f t="shared" si="51"/>
        <v>12</v>
      </c>
      <c r="E1661" s="60">
        <v>19</v>
      </c>
      <c r="F1661" s="60">
        <v>21</v>
      </c>
      <c r="G1661" s="61">
        <v>20</v>
      </c>
      <c r="H1661" s="60">
        <v>18</v>
      </c>
      <c r="I1661" s="60">
        <v>20</v>
      </c>
      <c r="J1661" s="61">
        <v>19</v>
      </c>
    </row>
    <row r="1662" spans="1:10" x14ac:dyDescent="0.35">
      <c r="A1662" s="58">
        <v>43811</v>
      </c>
      <c r="B1662" s="55">
        <f t="shared" si="50"/>
        <v>2019</v>
      </c>
      <c r="C1662" s="55"/>
      <c r="D1662" s="55">
        <f t="shared" si="51"/>
        <v>12</v>
      </c>
      <c r="E1662" s="60">
        <v>22</v>
      </c>
      <c r="F1662" s="60">
        <v>24</v>
      </c>
      <c r="G1662" s="61">
        <v>23</v>
      </c>
      <c r="H1662" s="60">
        <v>18</v>
      </c>
      <c r="I1662" s="60">
        <v>20</v>
      </c>
      <c r="J1662" s="61">
        <v>19</v>
      </c>
    </row>
    <row r="1663" spans="1:10" x14ac:dyDescent="0.35">
      <c r="A1663" s="58">
        <v>43818</v>
      </c>
      <c r="B1663" s="55">
        <f t="shared" si="50"/>
        <v>2019</v>
      </c>
      <c r="C1663" s="55"/>
      <c r="D1663" s="55">
        <f t="shared" si="51"/>
        <v>12</v>
      </c>
      <c r="E1663" s="60">
        <v>24</v>
      </c>
      <c r="F1663" s="60">
        <v>26</v>
      </c>
      <c r="G1663" s="61">
        <v>25</v>
      </c>
      <c r="H1663" s="60">
        <v>19</v>
      </c>
      <c r="I1663" s="60">
        <v>21</v>
      </c>
      <c r="J1663" s="61">
        <v>20</v>
      </c>
    </row>
    <row r="1664" spans="1:10" x14ac:dyDescent="0.35">
      <c r="A1664" s="58">
        <v>43825</v>
      </c>
      <c r="B1664" s="55">
        <f t="shared" si="50"/>
        <v>2019</v>
      </c>
      <c r="C1664" s="55"/>
      <c r="D1664" s="55">
        <f t="shared" si="51"/>
        <v>12</v>
      </c>
      <c r="E1664" s="60">
        <v>24</v>
      </c>
      <c r="F1664" s="60">
        <v>26</v>
      </c>
      <c r="G1664" s="61">
        <v>25</v>
      </c>
      <c r="H1664" s="60">
        <v>19</v>
      </c>
      <c r="I1664" s="60">
        <v>21</v>
      </c>
      <c r="J1664" s="61">
        <v>20</v>
      </c>
    </row>
    <row r="1665" spans="1:10" x14ac:dyDescent="0.35">
      <c r="A1665" s="58">
        <v>43832</v>
      </c>
      <c r="B1665" s="55">
        <f t="shared" si="50"/>
        <v>2020</v>
      </c>
      <c r="C1665" s="55"/>
      <c r="D1665" s="55">
        <f t="shared" si="51"/>
        <v>1</v>
      </c>
      <c r="E1665" s="60">
        <v>25</v>
      </c>
      <c r="F1665" s="60">
        <v>27</v>
      </c>
      <c r="G1665" s="61">
        <v>26</v>
      </c>
      <c r="H1665" s="60">
        <v>19</v>
      </c>
      <c r="I1665" s="60">
        <v>21</v>
      </c>
      <c r="J1665" s="61">
        <v>20</v>
      </c>
    </row>
    <row r="1666" spans="1:10" x14ac:dyDescent="0.35">
      <c r="A1666" s="58">
        <v>43839</v>
      </c>
      <c r="B1666" s="55">
        <f t="shared" si="50"/>
        <v>2020</v>
      </c>
      <c r="C1666" s="55"/>
      <c r="D1666" s="55">
        <f t="shared" si="51"/>
        <v>1</v>
      </c>
      <c r="E1666" s="60">
        <v>21</v>
      </c>
      <c r="F1666" s="60">
        <v>23</v>
      </c>
      <c r="G1666" s="61">
        <v>22</v>
      </c>
      <c r="H1666" s="60">
        <v>17</v>
      </c>
      <c r="I1666" s="60">
        <v>19</v>
      </c>
      <c r="J1666" s="61">
        <v>18</v>
      </c>
    </row>
    <row r="1667" spans="1:10" x14ac:dyDescent="0.35">
      <c r="A1667" s="58">
        <v>43846</v>
      </c>
      <c r="B1667" s="55">
        <f t="shared" si="50"/>
        <v>2020</v>
      </c>
      <c r="C1667" s="55"/>
      <c r="D1667" s="55">
        <f t="shared" si="51"/>
        <v>1</v>
      </c>
      <c r="E1667" s="60">
        <v>19</v>
      </c>
      <c r="F1667" s="60">
        <v>21</v>
      </c>
      <c r="G1667" s="61">
        <v>20</v>
      </c>
      <c r="H1667" s="60">
        <v>16</v>
      </c>
      <c r="I1667" s="60">
        <v>18</v>
      </c>
      <c r="J1667" s="61">
        <v>17</v>
      </c>
    </row>
    <row r="1668" spans="1:10" x14ac:dyDescent="0.35">
      <c r="A1668" s="58">
        <v>43853</v>
      </c>
      <c r="B1668" s="55">
        <f t="shared" ref="B1668:B1731" si="52">YEAR(A1668)</f>
        <v>2020</v>
      </c>
      <c r="C1668" s="55"/>
      <c r="D1668" s="55">
        <f t="shared" ref="D1668:D1731" si="53">MONTH(A1668)</f>
        <v>1</v>
      </c>
      <c r="E1668" s="60">
        <v>18</v>
      </c>
      <c r="F1668" s="60">
        <v>20</v>
      </c>
      <c r="G1668" s="61">
        <v>19</v>
      </c>
      <c r="H1668" s="60">
        <v>16</v>
      </c>
      <c r="I1668" s="60">
        <v>18</v>
      </c>
      <c r="J1668" s="61">
        <v>17</v>
      </c>
    </row>
    <row r="1669" spans="1:10" x14ac:dyDescent="0.35">
      <c r="A1669" s="58">
        <v>43860</v>
      </c>
      <c r="B1669" s="55">
        <f t="shared" si="52"/>
        <v>2020</v>
      </c>
      <c r="C1669" s="55"/>
      <c r="D1669" s="55">
        <f t="shared" si="53"/>
        <v>1</v>
      </c>
      <c r="E1669" s="60">
        <v>18</v>
      </c>
      <c r="F1669" s="60">
        <v>20</v>
      </c>
      <c r="G1669" s="61">
        <v>19</v>
      </c>
      <c r="H1669" s="60">
        <v>15</v>
      </c>
      <c r="I1669" s="60">
        <v>17</v>
      </c>
      <c r="J1669" s="61">
        <v>16</v>
      </c>
    </row>
    <row r="1670" spans="1:10" x14ac:dyDescent="0.35">
      <c r="A1670" s="58">
        <v>43867</v>
      </c>
      <c r="B1670" s="55">
        <f t="shared" si="52"/>
        <v>2020</v>
      </c>
      <c r="C1670" s="55"/>
      <c r="D1670" s="55">
        <f t="shared" si="53"/>
        <v>2</v>
      </c>
      <c r="E1670" s="60">
        <v>16</v>
      </c>
      <c r="F1670" s="60">
        <v>18</v>
      </c>
      <c r="G1670" s="61">
        <v>17</v>
      </c>
      <c r="H1670" s="60">
        <v>15</v>
      </c>
      <c r="I1670" s="60">
        <v>17</v>
      </c>
      <c r="J1670" s="61">
        <v>16</v>
      </c>
    </row>
    <row r="1671" spans="1:10" x14ac:dyDescent="0.35">
      <c r="A1671" s="58">
        <v>43874</v>
      </c>
      <c r="B1671" s="55">
        <f t="shared" si="52"/>
        <v>2020</v>
      </c>
      <c r="C1671" s="55"/>
      <c r="D1671" s="55">
        <f t="shared" si="53"/>
        <v>2</v>
      </c>
      <c r="E1671" s="60">
        <v>16</v>
      </c>
      <c r="F1671" s="60">
        <v>18</v>
      </c>
      <c r="G1671" s="61">
        <v>17</v>
      </c>
      <c r="H1671" s="60">
        <v>15</v>
      </c>
      <c r="I1671" s="60">
        <v>17</v>
      </c>
      <c r="J1671" s="61">
        <v>16</v>
      </c>
    </row>
    <row r="1672" spans="1:10" x14ac:dyDescent="0.35">
      <c r="A1672" s="58">
        <v>43881</v>
      </c>
      <c r="B1672" s="55">
        <f t="shared" si="52"/>
        <v>2020</v>
      </c>
      <c r="C1672" s="55"/>
      <c r="D1672" s="55">
        <f t="shared" si="53"/>
        <v>2</v>
      </c>
      <c r="E1672" s="60">
        <v>16</v>
      </c>
      <c r="F1672" s="60">
        <v>18</v>
      </c>
      <c r="G1672" s="61">
        <v>17</v>
      </c>
      <c r="H1672" s="60">
        <v>16</v>
      </c>
      <c r="I1672" s="60">
        <v>18</v>
      </c>
      <c r="J1672" s="61">
        <v>17</v>
      </c>
    </row>
    <row r="1673" spans="1:10" x14ac:dyDescent="0.35">
      <c r="A1673" s="58">
        <v>43888</v>
      </c>
      <c r="B1673" s="55">
        <f t="shared" si="52"/>
        <v>2020</v>
      </c>
      <c r="C1673" s="55"/>
      <c r="D1673" s="55">
        <f t="shared" si="53"/>
        <v>2</v>
      </c>
      <c r="E1673" s="60">
        <v>17</v>
      </c>
      <c r="F1673" s="60">
        <v>19</v>
      </c>
      <c r="G1673" s="61">
        <v>18</v>
      </c>
      <c r="H1673" s="60">
        <v>16</v>
      </c>
      <c r="I1673" s="60">
        <v>18</v>
      </c>
      <c r="J1673" s="61">
        <v>17</v>
      </c>
    </row>
    <row r="1674" spans="1:10" x14ac:dyDescent="0.35">
      <c r="A1674" s="58">
        <v>43895</v>
      </c>
      <c r="B1674" s="55">
        <f t="shared" si="52"/>
        <v>2020</v>
      </c>
      <c r="C1674" s="55"/>
      <c r="D1674" s="55">
        <f t="shared" si="53"/>
        <v>3</v>
      </c>
      <c r="E1674" s="60">
        <v>18</v>
      </c>
      <c r="F1674" s="60">
        <v>20</v>
      </c>
      <c r="G1674" s="61">
        <v>19</v>
      </c>
      <c r="H1674" s="60">
        <v>16</v>
      </c>
      <c r="I1674" s="60">
        <v>18</v>
      </c>
      <c r="J1674" s="61">
        <v>17</v>
      </c>
    </row>
    <row r="1675" spans="1:10" x14ac:dyDescent="0.35">
      <c r="A1675" s="58">
        <v>43902</v>
      </c>
      <c r="B1675" s="55">
        <f t="shared" si="52"/>
        <v>2020</v>
      </c>
      <c r="C1675" s="55"/>
      <c r="D1675" s="55">
        <f t="shared" si="53"/>
        <v>3</v>
      </c>
      <c r="E1675" s="60">
        <v>18</v>
      </c>
      <c r="F1675" s="60">
        <v>20</v>
      </c>
      <c r="G1675" s="61">
        <v>19</v>
      </c>
      <c r="H1675" s="60">
        <v>15</v>
      </c>
      <c r="I1675" s="60">
        <v>17</v>
      </c>
      <c r="J1675" s="61">
        <v>16</v>
      </c>
    </row>
    <row r="1676" spans="1:10" x14ac:dyDescent="0.35">
      <c r="A1676" s="58">
        <v>43909</v>
      </c>
      <c r="B1676" s="55">
        <f t="shared" si="52"/>
        <v>2020</v>
      </c>
      <c r="C1676" s="55"/>
      <c r="D1676" s="55">
        <f t="shared" si="53"/>
        <v>3</v>
      </c>
      <c r="E1676" s="60">
        <v>15</v>
      </c>
      <c r="F1676" s="60">
        <v>17</v>
      </c>
      <c r="G1676" s="61">
        <v>16</v>
      </c>
      <c r="H1676" s="60">
        <v>14</v>
      </c>
      <c r="I1676" s="60">
        <v>16</v>
      </c>
      <c r="J1676" s="61">
        <v>15</v>
      </c>
    </row>
    <row r="1677" spans="1:10" x14ac:dyDescent="0.35">
      <c r="A1677" s="58">
        <v>43916</v>
      </c>
      <c r="B1677" s="55">
        <f t="shared" si="52"/>
        <v>2020</v>
      </c>
      <c r="C1677" s="55"/>
      <c r="D1677" s="55">
        <f t="shared" si="53"/>
        <v>3</v>
      </c>
      <c r="E1677" s="60">
        <v>15</v>
      </c>
      <c r="F1677" s="60">
        <v>17</v>
      </c>
      <c r="G1677" s="61">
        <v>16</v>
      </c>
      <c r="H1677" s="60">
        <v>14</v>
      </c>
      <c r="I1677" s="60">
        <v>16</v>
      </c>
      <c r="J1677" s="61">
        <v>15</v>
      </c>
    </row>
    <row r="1678" spans="1:10" x14ac:dyDescent="0.35">
      <c r="A1678" s="58">
        <v>43923</v>
      </c>
      <c r="B1678" s="55">
        <f t="shared" si="52"/>
        <v>2020</v>
      </c>
      <c r="C1678" s="55"/>
      <c r="D1678" s="55">
        <f t="shared" si="53"/>
        <v>4</v>
      </c>
      <c r="E1678" s="60">
        <v>15</v>
      </c>
      <c r="F1678" s="60">
        <v>17</v>
      </c>
      <c r="G1678" s="61">
        <v>16</v>
      </c>
      <c r="H1678" s="60">
        <v>13</v>
      </c>
      <c r="I1678" s="60">
        <v>15</v>
      </c>
      <c r="J1678" s="61">
        <v>14</v>
      </c>
    </row>
    <row r="1679" spans="1:10" x14ac:dyDescent="0.35">
      <c r="A1679" s="58">
        <v>43930</v>
      </c>
      <c r="B1679" s="55">
        <f t="shared" si="52"/>
        <v>2020</v>
      </c>
      <c r="C1679" s="55"/>
      <c r="D1679" s="55">
        <f t="shared" si="53"/>
        <v>4</v>
      </c>
      <c r="E1679" s="60">
        <v>14</v>
      </c>
      <c r="F1679" s="60">
        <v>16</v>
      </c>
      <c r="G1679" s="61">
        <v>15</v>
      </c>
      <c r="H1679" s="60">
        <v>13</v>
      </c>
      <c r="I1679" s="60">
        <v>15</v>
      </c>
      <c r="J1679" s="61">
        <v>14</v>
      </c>
    </row>
    <row r="1680" spans="1:10" x14ac:dyDescent="0.35">
      <c r="A1680" s="58">
        <v>43937</v>
      </c>
      <c r="B1680" s="55">
        <f t="shared" si="52"/>
        <v>2020</v>
      </c>
      <c r="C1680" s="55"/>
      <c r="D1680" s="55">
        <f t="shared" si="53"/>
        <v>4</v>
      </c>
      <c r="E1680" s="60">
        <v>14</v>
      </c>
      <c r="F1680" s="60">
        <v>16</v>
      </c>
      <c r="G1680" s="61">
        <v>15</v>
      </c>
      <c r="H1680" s="60">
        <v>13</v>
      </c>
      <c r="I1680" s="60">
        <v>15</v>
      </c>
      <c r="J1680" s="61">
        <v>14</v>
      </c>
    </row>
    <row r="1681" spans="1:10" x14ac:dyDescent="0.35">
      <c r="A1681" s="58">
        <v>43944</v>
      </c>
      <c r="B1681" s="55">
        <f t="shared" si="52"/>
        <v>2020</v>
      </c>
      <c r="C1681" s="55"/>
      <c r="D1681" s="55">
        <f t="shared" si="53"/>
        <v>4</v>
      </c>
      <c r="E1681" s="60">
        <v>14</v>
      </c>
      <c r="F1681" s="60">
        <v>16</v>
      </c>
      <c r="G1681" s="61">
        <v>15</v>
      </c>
      <c r="H1681" s="60">
        <v>12</v>
      </c>
      <c r="I1681" s="60">
        <v>14</v>
      </c>
      <c r="J1681" s="61">
        <v>13</v>
      </c>
    </row>
    <row r="1682" spans="1:10" x14ac:dyDescent="0.35">
      <c r="A1682" s="58">
        <v>43951</v>
      </c>
      <c r="B1682" s="55">
        <f t="shared" si="52"/>
        <v>2020</v>
      </c>
      <c r="C1682" s="55"/>
      <c r="D1682" s="55">
        <f t="shared" si="53"/>
        <v>4</v>
      </c>
      <c r="E1682" s="60">
        <v>13</v>
      </c>
      <c r="F1682" s="60">
        <v>15</v>
      </c>
      <c r="G1682" s="61">
        <v>14</v>
      </c>
      <c r="H1682" s="60">
        <v>11</v>
      </c>
      <c r="I1682" s="60">
        <v>13</v>
      </c>
      <c r="J1682" s="61">
        <v>12</v>
      </c>
    </row>
    <row r="1683" spans="1:10" x14ac:dyDescent="0.35">
      <c r="A1683" s="58">
        <v>43958</v>
      </c>
      <c r="B1683" s="55">
        <f t="shared" si="52"/>
        <v>2020</v>
      </c>
      <c r="C1683" s="55"/>
      <c r="D1683" s="55">
        <f t="shared" si="53"/>
        <v>5</v>
      </c>
      <c r="E1683" s="60">
        <v>14</v>
      </c>
      <c r="F1683" s="60">
        <v>16</v>
      </c>
      <c r="G1683" s="61">
        <v>15</v>
      </c>
      <c r="H1683" s="60">
        <v>11</v>
      </c>
      <c r="I1683" s="60">
        <v>13</v>
      </c>
      <c r="J1683" s="61">
        <v>12</v>
      </c>
    </row>
    <row r="1684" spans="1:10" x14ac:dyDescent="0.35">
      <c r="A1684" s="58">
        <v>43965</v>
      </c>
      <c r="B1684" s="55">
        <f t="shared" si="52"/>
        <v>2020</v>
      </c>
      <c r="C1684" s="55"/>
      <c r="D1684" s="55">
        <f t="shared" si="53"/>
        <v>5</v>
      </c>
      <c r="E1684" s="60">
        <v>14</v>
      </c>
      <c r="F1684" s="60">
        <v>16</v>
      </c>
      <c r="G1684" s="61">
        <v>15</v>
      </c>
      <c r="H1684" s="60">
        <v>11</v>
      </c>
      <c r="I1684" s="60">
        <v>13</v>
      </c>
      <c r="J1684" s="61">
        <v>12</v>
      </c>
    </row>
    <row r="1685" spans="1:10" x14ac:dyDescent="0.35">
      <c r="A1685" s="58">
        <v>43972</v>
      </c>
      <c r="B1685" s="55">
        <f t="shared" si="52"/>
        <v>2020</v>
      </c>
      <c r="C1685" s="55"/>
      <c r="D1685" s="55">
        <f t="shared" si="53"/>
        <v>5</v>
      </c>
      <c r="E1685" s="60">
        <v>14</v>
      </c>
      <c r="F1685" s="60">
        <v>16</v>
      </c>
      <c r="G1685" s="61">
        <v>15</v>
      </c>
      <c r="H1685" s="60">
        <v>12</v>
      </c>
      <c r="I1685" s="60">
        <v>14</v>
      </c>
      <c r="J1685" s="61">
        <v>13</v>
      </c>
    </row>
    <row r="1686" spans="1:10" x14ac:dyDescent="0.35">
      <c r="A1686" s="58">
        <v>43979</v>
      </c>
      <c r="B1686" s="55">
        <f t="shared" si="52"/>
        <v>2020</v>
      </c>
      <c r="C1686" s="55"/>
      <c r="D1686" s="55">
        <f t="shared" si="53"/>
        <v>5</v>
      </c>
      <c r="E1686" s="60">
        <v>15</v>
      </c>
      <c r="F1686" s="60">
        <v>17</v>
      </c>
      <c r="G1686" s="61">
        <v>16</v>
      </c>
      <c r="H1686" s="60">
        <v>12</v>
      </c>
      <c r="I1686" s="60">
        <v>14</v>
      </c>
      <c r="J1686" s="61">
        <v>13</v>
      </c>
    </row>
    <row r="1687" spans="1:10" x14ac:dyDescent="0.35">
      <c r="A1687" s="58">
        <v>43986</v>
      </c>
      <c r="B1687" s="55">
        <f t="shared" si="52"/>
        <v>2020</v>
      </c>
      <c r="C1687" s="55"/>
      <c r="D1687" s="55">
        <f t="shared" si="53"/>
        <v>6</v>
      </c>
      <c r="E1687" s="60">
        <v>15</v>
      </c>
      <c r="F1687" s="60">
        <v>17</v>
      </c>
      <c r="G1687" s="61">
        <v>16</v>
      </c>
      <c r="H1687" s="60">
        <v>12</v>
      </c>
      <c r="I1687" s="60">
        <v>14</v>
      </c>
      <c r="J1687" s="61">
        <v>13</v>
      </c>
    </row>
    <row r="1688" spans="1:10" x14ac:dyDescent="0.35">
      <c r="A1688" s="58">
        <v>43993</v>
      </c>
      <c r="B1688" s="55">
        <f t="shared" si="52"/>
        <v>2020</v>
      </c>
      <c r="C1688" s="55"/>
      <c r="D1688" s="55">
        <f t="shared" si="53"/>
        <v>6</v>
      </c>
      <c r="E1688" s="60">
        <v>18</v>
      </c>
      <c r="F1688" s="60">
        <v>20</v>
      </c>
      <c r="G1688" s="61">
        <v>19</v>
      </c>
      <c r="H1688" s="60">
        <v>12</v>
      </c>
      <c r="I1688" s="60">
        <v>14</v>
      </c>
      <c r="J1688" s="61">
        <v>13</v>
      </c>
    </row>
    <row r="1689" spans="1:10" x14ac:dyDescent="0.35">
      <c r="A1689" s="58">
        <v>44000</v>
      </c>
      <c r="B1689" s="55">
        <f t="shared" si="52"/>
        <v>2020</v>
      </c>
      <c r="C1689" s="55"/>
      <c r="D1689" s="55">
        <f t="shared" si="53"/>
        <v>6</v>
      </c>
      <c r="E1689" s="60">
        <v>19</v>
      </c>
      <c r="F1689" s="60">
        <v>21</v>
      </c>
      <c r="G1689" s="61">
        <v>20</v>
      </c>
      <c r="H1689" s="60">
        <v>12</v>
      </c>
      <c r="I1689" s="60">
        <v>14</v>
      </c>
      <c r="J1689" s="61">
        <v>13</v>
      </c>
    </row>
    <row r="1690" spans="1:10" x14ac:dyDescent="0.35">
      <c r="A1690" s="58">
        <v>44007</v>
      </c>
      <c r="B1690" s="55">
        <f t="shared" si="52"/>
        <v>2020</v>
      </c>
      <c r="C1690" s="55"/>
      <c r="D1690" s="55">
        <f t="shared" si="53"/>
        <v>6</v>
      </c>
      <c r="E1690" s="60">
        <v>19</v>
      </c>
      <c r="F1690" s="60">
        <v>21</v>
      </c>
      <c r="G1690" s="61">
        <v>20</v>
      </c>
      <c r="H1690" s="60">
        <v>12</v>
      </c>
      <c r="I1690" s="60">
        <v>14</v>
      </c>
      <c r="J1690" s="61">
        <v>13</v>
      </c>
    </row>
    <row r="1691" spans="1:10" x14ac:dyDescent="0.35">
      <c r="A1691" s="58">
        <v>44014</v>
      </c>
      <c r="B1691" s="55">
        <f t="shared" si="52"/>
        <v>2020</v>
      </c>
      <c r="C1691" s="55"/>
      <c r="D1691" s="55">
        <f t="shared" si="53"/>
        <v>7</v>
      </c>
      <c r="E1691" s="60">
        <v>19</v>
      </c>
      <c r="F1691" s="60">
        <v>21</v>
      </c>
      <c r="G1691" s="61">
        <v>20</v>
      </c>
      <c r="H1691" s="60">
        <v>12</v>
      </c>
      <c r="I1691" s="60">
        <v>14</v>
      </c>
      <c r="J1691" s="61">
        <v>13</v>
      </c>
    </row>
    <row r="1692" spans="1:10" x14ac:dyDescent="0.35">
      <c r="A1692" s="58">
        <v>44021</v>
      </c>
      <c r="B1692" s="55">
        <f t="shared" si="52"/>
        <v>2020</v>
      </c>
      <c r="C1692" s="55"/>
      <c r="D1692" s="55">
        <f t="shared" si="53"/>
        <v>7</v>
      </c>
      <c r="E1692" s="60">
        <v>18</v>
      </c>
      <c r="F1692" s="60">
        <v>20</v>
      </c>
      <c r="G1692" s="61">
        <v>19</v>
      </c>
      <c r="H1692" s="60">
        <v>13</v>
      </c>
      <c r="I1692" s="60">
        <v>15</v>
      </c>
      <c r="J1692" s="61">
        <v>14</v>
      </c>
    </row>
    <row r="1693" spans="1:10" x14ac:dyDescent="0.35">
      <c r="A1693" s="58">
        <v>44028</v>
      </c>
      <c r="B1693" s="55">
        <f t="shared" si="52"/>
        <v>2020</v>
      </c>
      <c r="C1693" s="55"/>
      <c r="D1693" s="55">
        <f t="shared" si="53"/>
        <v>7</v>
      </c>
      <c r="E1693" s="60">
        <v>18</v>
      </c>
      <c r="F1693" s="60">
        <v>20</v>
      </c>
      <c r="G1693" s="61">
        <v>19</v>
      </c>
      <c r="H1693" s="60">
        <v>14</v>
      </c>
      <c r="I1693" s="60">
        <v>16</v>
      </c>
      <c r="J1693" s="61">
        <v>15</v>
      </c>
    </row>
    <row r="1694" spans="1:10" x14ac:dyDescent="0.35">
      <c r="A1694" s="58">
        <v>44035</v>
      </c>
      <c r="B1694" s="55">
        <f t="shared" si="52"/>
        <v>2020</v>
      </c>
      <c r="C1694" s="55"/>
      <c r="D1694" s="55">
        <f t="shared" si="53"/>
        <v>7</v>
      </c>
      <c r="E1694" s="60">
        <v>18</v>
      </c>
      <c r="F1694" s="60">
        <v>20</v>
      </c>
      <c r="G1694" s="61">
        <v>19</v>
      </c>
      <c r="H1694" s="60">
        <v>15</v>
      </c>
      <c r="I1694" s="60">
        <v>17</v>
      </c>
      <c r="J1694" s="61">
        <v>16</v>
      </c>
    </row>
    <row r="1695" spans="1:10" x14ac:dyDescent="0.35">
      <c r="A1695" s="58">
        <v>44042</v>
      </c>
      <c r="B1695" s="55">
        <f t="shared" si="52"/>
        <v>2020</v>
      </c>
      <c r="C1695" s="55"/>
      <c r="D1695" s="55">
        <f t="shared" si="53"/>
        <v>7</v>
      </c>
      <c r="E1695" s="60">
        <v>18</v>
      </c>
      <c r="F1695" s="60">
        <v>20</v>
      </c>
      <c r="G1695" s="61">
        <v>19</v>
      </c>
      <c r="H1695" s="60">
        <v>14</v>
      </c>
      <c r="I1695" s="60">
        <v>16</v>
      </c>
      <c r="J1695" s="61">
        <v>15</v>
      </c>
    </row>
    <row r="1696" spans="1:10" x14ac:dyDescent="0.35">
      <c r="A1696" s="58">
        <v>44049</v>
      </c>
      <c r="B1696" s="55">
        <f t="shared" si="52"/>
        <v>2020</v>
      </c>
      <c r="C1696" s="55"/>
      <c r="D1696" s="55">
        <f t="shared" si="53"/>
        <v>8</v>
      </c>
      <c r="E1696" s="60">
        <v>18</v>
      </c>
      <c r="F1696" s="60">
        <v>20</v>
      </c>
      <c r="G1696" s="61">
        <v>19</v>
      </c>
      <c r="H1696" s="60">
        <v>15</v>
      </c>
      <c r="I1696" s="60">
        <v>17</v>
      </c>
      <c r="J1696" s="61">
        <v>16</v>
      </c>
    </row>
    <row r="1697" spans="1:10" x14ac:dyDescent="0.35">
      <c r="A1697" s="58">
        <v>44056</v>
      </c>
      <c r="B1697" s="55">
        <f t="shared" si="52"/>
        <v>2020</v>
      </c>
      <c r="C1697" s="55"/>
      <c r="D1697" s="55">
        <f t="shared" si="53"/>
        <v>8</v>
      </c>
      <c r="E1697" s="60">
        <v>18</v>
      </c>
      <c r="F1697" s="60">
        <v>20</v>
      </c>
      <c r="G1697" s="61">
        <v>19</v>
      </c>
      <c r="H1697" s="60">
        <v>15</v>
      </c>
      <c r="I1697" s="60">
        <v>17</v>
      </c>
      <c r="J1697" s="61">
        <v>16</v>
      </c>
    </row>
    <row r="1698" spans="1:10" x14ac:dyDescent="0.35">
      <c r="A1698" s="58">
        <v>44063</v>
      </c>
      <c r="B1698" s="55">
        <f t="shared" si="52"/>
        <v>2020</v>
      </c>
      <c r="C1698" s="55"/>
      <c r="D1698" s="55">
        <f t="shared" si="53"/>
        <v>8</v>
      </c>
      <c r="E1698" s="60">
        <v>18</v>
      </c>
      <c r="F1698" s="60">
        <v>20</v>
      </c>
      <c r="G1698" s="61">
        <v>19</v>
      </c>
      <c r="H1698" s="60">
        <v>18</v>
      </c>
      <c r="I1698" s="60">
        <v>20</v>
      </c>
      <c r="J1698" s="61">
        <v>19</v>
      </c>
    </row>
    <row r="1699" spans="1:10" x14ac:dyDescent="0.35">
      <c r="A1699" s="58">
        <v>44070</v>
      </c>
      <c r="B1699" s="55">
        <f t="shared" si="52"/>
        <v>2020</v>
      </c>
      <c r="C1699" s="55"/>
      <c r="D1699" s="55">
        <f t="shared" si="53"/>
        <v>8</v>
      </c>
      <c r="E1699" s="60">
        <v>17</v>
      </c>
      <c r="F1699" s="60">
        <v>19</v>
      </c>
      <c r="G1699" s="61">
        <v>18</v>
      </c>
      <c r="H1699" s="60">
        <v>21</v>
      </c>
      <c r="I1699" s="60">
        <v>23</v>
      </c>
      <c r="J1699" s="61">
        <v>22</v>
      </c>
    </row>
    <row r="1700" spans="1:10" x14ac:dyDescent="0.35">
      <c r="A1700" s="58">
        <v>44077</v>
      </c>
      <c r="B1700" s="55">
        <f t="shared" si="52"/>
        <v>2020</v>
      </c>
      <c r="C1700" s="55"/>
      <c r="D1700" s="55">
        <f t="shared" si="53"/>
        <v>9</v>
      </c>
      <c r="E1700" s="60">
        <v>17</v>
      </c>
      <c r="F1700" s="60">
        <v>19</v>
      </c>
      <c r="G1700" s="61">
        <v>18</v>
      </c>
      <c r="H1700" s="60">
        <v>22</v>
      </c>
      <c r="I1700" s="60">
        <v>24</v>
      </c>
      <c r="J1700" s="61">
        <v>23</v>
      </c>
    </row>
    <row r="1701" spans="1:10" x14ac:dyDescent="0.35">
      <c r="A1701" s="58">
        <v>44084</v>
      </c>
      <c r="B1701" s="55">
        <f t="shared" si="52"/>
        <v>2020</v>
      </c>
      <c r="C1701" s="55"/>
      <c r="D1701" s="55">
        <f t="shared" si="53"/>
        <v>9</v>
      </c>
      <c r="E1701" s="60">
        <v>17</v>
      </c>
      <c r="F1701" s="60">
        <v>19</v>
      </c>
      <c r="G1701" s="61">
        <v>18</v>
      </c>
      <c r="H1701" s="60">
        <v>21</v>
      </c>
      <c r="I1701" s="60">
        <v>23</v>
      </c>
      <c r="J1701" s="61">
        <v>22</v>
      </c>
    </row>
    <row r="1702" spans="1:10" x14ac:dyDescent="0.35">
      <c r="A1702" s="58">
        <v>44091</v>
      </c>
      <c r="B1702" s="55">
        <f t="shared" si="52"/>
        <v>2020</v>
      </c>
      <c r="C1702" s="55"/>
      <c r="D1702" s="55">
        <f t="shared" si="53"/>
        <v>9</v>
      </c>
      <c r="E1702" s="60">
        <v>17</v>
      </c>
      <c r="F1702" s="60">
        <v>19</v>
      </c>
      <c r="G1702" s="61">
        <v>18</v>
      </c>
      <c r="H1702" s="60">
        <v>19</v>
      </c>
      <c r="I1702" s="60">
        <v>21</v>
      </c>
      <c r="J1702" s="61">
        <v>20</v>
      </c>
    </row>
    <row r="1703" spans="1:10" x14ac:dyDescent="0.35">
      <c r="A1703" s="58">
        <v>44098</v>
      </c>
      <c r="B1703" s="55">
        <f t="shared" si="52"/>
        <v>2020</v>
      </c>
      <c r="C1703" s="55"/>
      <c r="D1703" s="55">
        <f t="shared" si="53"/>
        <v>9</v>
      </c>
      <c r="E1703" s="60">
        <v>17</v>
      </c>
      <c r="F1703" s="60">
        <v>19</v>
      </c>
      <c r="G1703" s="61">
        <v>18</v>
      </c>
      <c r="H1703" s="60">
        <v>21</v>
      </c>
      <c r="I1703" s="60">
        <v>23</v>
      </c>
      <c r="J1703" s="61">
        <v>22</v>
      </c>
    </row>
    <row r="1704" spans="1:10" x14ac:dyDescent="0.35">
      <c r="A1704" s="58">
        <v>44105</v>
      </c>
      <c r="B1704" s="55">
        <f t="shared" si="52"/>
        <v>2020</v>
      </c>
      <c r="C1704" s="55"/>
      <c r="D1704" s="55">
        <f t="shared" si="53"/>
        <v>10</v>
      </c>
      <c r="E1704" s="60">
        <v>17</v>
      </c>
      <c r="F1704" s="60">
        <v>19</v>
      </c>
      <c r="G1704" s="61">
        <v>18</v>
      </c>
      <c r="H1704" s="60">
        <v>20</v>
      </c>
      <c r="I1704" s="60">
        <v>22</v>
      </c>
      <c r="J1704" s="61">
        <v>21</v>
      </c>
    </row>
    <row r="1705" spans="1:10" x14ac:dyDescent="0.35">
      <c r="A1705" s="58">
        <v>44112</v>
      </c>
      <c r="B1705" s="55">
        <f t="shared" si="52"/>
        <v>2020</v>
      </c>
      <c r="C1705" s="55"/>
      <c r="D1705" s="55">
        <f t="shared" si="53"/>
        <v>10</v>
      </c>
      <c r="E1705" s="60">
        <v>17</v>
      </c>
      <c r="F1705" s="60">
        <v>19</v>
      </c>
      <c r="G1705" s="61">
        <v>18</v>
      </c>
      <c r="H1705" s="60">
        <v>18</v>
      </c>
      <c r="I1705" s="60">
        <v>20</v>
      </c>
      <c r="J1705" s="61">
        <v>19</v>
      </c>
    </row>
    <row r="1706" spans="1:10" x14ac:dyDescent="0.35">
      <c r="A1706" s="58">
        <v>44119</v>
      </c>
      <c r="B1706" s="55">
        <f t="shared" si="52"/>
        <v>2020</v>
      </c>
      <c r="C1706" s="55"/>
      <c r="D1706" s="55">
        <f t="shared" si="53"/>
        <v>10</v>
      </c>
      <c r="E1706" s="60">
        <v>17</v>
      </c>
      <c r="F1706" s="60">
        <v>19</v>
      </c>
      <c r="G1706" s="61">
        <v>18</v>
      </c>
      <c r="H1706" s="60">
        <v>17</v>
      </c>
      <c r="I1706" s="60">
        <v>19</v>
      </c>
      <c r="J1706" s="61">
        <v>18</v>
      </c>
    </row>
    <row r="1707" spans="1:10" x14ac:dyDescent="0.35">
      <c r="A1707" s="58">
        <v>44126</v>
      </c>
      <c r="B1707" s="55">
        <f t="shared" si="52"/>
        <v>2020</v>
      </c>
      <c r="C1707" s="55"/>
      <c r="D1707" s="55">
        <f t="shared" si="53"/>
        <v>10</v>
      </c>
      <c r="E1707" s="60">
        <v>17</v>
      </c>
      <c r="F1707" s="60">
        <v>19</v>
      </c>
      <c r="G1707" s="61">
        <v>18</v>
      </c>
      <c r="H1707" s="60">
        <v>19</v>
      </c>
      <c r="I1707" s="60">
        <v>21</v>
      </c>
      <c r="J1707" s="61">
        <v>20</v>
      </c>
    </row>
    <row r="1708" spans="1:10" x14ac:dyDescent="0.35">
      <c r="A1708" s="58">
        <v>44133</v>
      </c>
      <c r="B1708" s="55">
        <f t="shared" si="52"/>
        <v>2020</v>
      </c>
      <c r="C1708" s="55"/>
      <c r="D1708" s="55">
        <f t="shared" si="53"/>
        <v>10</v>
      </c>
      <c r="E1708" s="60">
        <v>17</v>
      </c>
      <c r="F1708" s="60">
        <v>19</v>
      </c>
      <c r="G1708" s="61">
        <v>18</v>
      </c>
      <c r="H1708" s="60">
        <v>21</v>
      </c>
      <c r="I1708" s="60">
        <v>23</v>
      </c>
      <c r="J1708" s="61">
        <v>22</v>
      </c>
    </row>
    <row r="1709" spans="1:10" x14ac:dyDescent="0.35">
      <c r="A1709" s="58">
        <v>44140</v>
      </c>
      <c r="B1709" s="55">
        <f t="shared" si="52"/>
        <v>2020</v>
      </c>
      <c r="C1709" s="55"/>
      <c r="D1709" s="55">
        <f t="shared" si="53"/>
        <v>11</v>
      </c>
      <c r="E1709" s="60">
        <v>17</v>
      </c>
      <c r="F1709" s="60">
        <v>19</v>
      </c>
      <c r="G1709" s="61">
        <v>18</v>
      </c>
      <c r="H1709" s="60">
        <v>21</v>
      </c>
      <c r="I1709" s="60">
        <v>23</v>
      </c>
      <c r="J1709" s="61">
        <v>22</v>
      </c>
    </row>
    <row r="1710" spans="1:10" x14ac:dyDescent="0.35">
      <c r="A1710" s="58">
        <v>44147</v>
      </c>
      <c r="B1710" s="55">
        <f t="shared" si="52"/>
        <v>2020</v>
      </c>
      <c r="C1710" s="55"/>
      <c r="D1710" s="55">
        <f t="shared" si="53"/>
        <v>11</v>
      </c>
      <c r="E1710" s="60">
        <v>18</v>
      </c>
      <c r="F1710" s="60">
        <v>20</v>
      </c>
      <c r="G1710" s="61">
        <v>19</v>
      </c>
      <c r="H1710" s="60">
        <v>21</v>
      </c>
      <c r="I1710" s="60">
        <v>23</v>
      </c>
      <c r="J1710" s="61">
        <v>22</v>
      </c>
    </row>
    <row r="1711" spans="1:10" x14ac:dyDescent="0.35">
      <c r="A1711" s="58">
        <v>44154</v>
      </c>
      <c r="B1711" s="55">
        <f t="shared" si="52"/>
        <v>2020</v>
      </c>
      <c r="C1711" s="55"/>
      <c r="D1711" s="55">
        <f t="shared" si="53"/>
        <v>11</v>
      </c>
      <c r="E1711" s="60">
        <v>18</v>
      </c>
      <c r="F1711" s="60">
        <v>20</v>
      </c>
      <c r="G1711" s="61">
        <v>19</v>
      </c>
      <c r="H1711" s="60">
        <v>20</v>
      </c>
      <c r="I1711" s="60">
        <v>22</v>
      </c>
      <c r="J1711" s="61">
        <v>21</v>
      </c>
    </row>
    <row r="1712" spans="1:10" x14ac:dyDescent="0.35">
      <c r="A1712" s="58">
        <v>44161</v>
      </c>
      <c r="B1712" s="55">
        <f t="shared" si="52"/>
        <v>2020</v>
      </c>
      <c r="C1712" s="55"/>
      <c r="D1712" s="55">
        <f t="shared" si="53"/>
        <v>11</v>
      </c>
      <c r="E1712" s="60">
        <v>18</v>
      </c>
      <c r="F1712" s="60">
        <v>20</v>
      </c>
      <c r="G1712" s="61">
        <v>19</v>
      </c>
      <c r="H1712" s="60">
        <v>21</v>
      </c>
      <c r="I1712" s="60">
        <v>23</v>
      </c>
      <c r="J1712" s="61">
        <v>22</v>
      </c>
    </row>
    <row r="1713" spans="1:10" x14ac:dyDescent="0.35">
      <c r="A1713" s="58">
        <v>44168</v>
      </c>
      <c r="B1713" s="55">
        <f t="shared" si="52"/>
        <v>2020</v>
      </c>
      <c r="C1713" s="55"/>
      <c r="D1713" s="55">
        <f t="shared" si="53"/>
        <v>12</v>
      </c>
      <c r="E1713" s="60">
        <v>17</v>
      </c>
      <c r="F1713" s="60">
        <v>19</v>
      </c>
      <c r="G1713" s="61">
        <v>18</v>
      </c>
      <c r="H1713" s="60">
        <v>21</v>
      </c>
      <c r="I1713" s="60">
        <v>23</v>
      </c>
      <c r="J1713" s="61">
        <v>22</v>
      </c>
    </row>
    <row r="1714" spans="1:10" x14ac:dyDescent="0.35">
      <c r="A1714" s="58">
        <v>44175</v>
      </c>
      <c r="B1714" s="55">
        <f t="shared" si="52"/>
        <v>2020</v>
      </c>
      <c r="C1714" s="55"/>
      <c r="D1714" s="55">
        <f t="shared" si="53"/>
        <v>12</v>
      </c>
      <c r="E1714" s="60">
        <v>16</v>
      </c>
      <c r="F1714" s="60">
        <v>18</v>
      </c>
      <c r="G1714" s="61">
        <v>17</v>
      </c>
      <c r="H1714" s="60">
        <v>21</v>
      </c>
      <c r="I1714" s="60">
        <v>23</v>
      </c>
      <c r="J1714" s="61">
        <v>22</v>
      </c>
    </row>
    <row r="1715" spans="1:10" x14ac:dyDescent="0.35">
      <c r="A1715" s="58">
        <v>44182</v>
      </c>
      <c r="B1715" s="55">
        <f t="shared" si="52"/>
        <v>2020</v>
      </c>
      <c r="C1715" s="55"/>
      <c r="D1715" s="55">
        <f t="shared" si="53"/>
        <v>12</v>
      </c>
      <c r="E1715" s="60">
        <v>19</v>
      </c>
      <c r="F1715" s="60">
        <v>21</v>
      </c>
      <c r="G1715" s="61">
        <v>20</v>
      </c>
      <c r="H1715" s="60">
        <v>21</v>
      </c>
      <c r="I1715" s="60">
        <v>23</v>
      </c>
      <c r="J1715" s="61">
        <v>22</v>
      </c>
    </row>
    <row r="1716" spans="1:10" x14ac:dyDescent="0.35">
      <c r="A1716" s="58">
        <v>44189</v>
      </c>
      <c r="B1716" s="55">
        <f t="shared" si="52"/>
        <v>2020</v>
      </c>
      <c r="C1716" s="55"/>
      <c r="D1716" s="55">
        <f t="shared" si="53"/>
        <v>12</v>
      </c>
      <c r="E1716" s="60">
        <v>17</v>
      </c>
      <c r="F1716" s="60">
        <v>19</v>
      </c>
      <c r="G1716" s="61">
        <v>18</v>
      </c>
      <c r="H1716" s="60">
        <v>21</v>
      </c>
      <c r="I1716" s="60">
        <v>23</v>
      </c>
      <c r="J1716" s="61">
        <v>22</v>
      </c>
    </row>
    <row r="1717" spans="1:10" x14ac:dyDescent="0.35">
      <c r="A1717" s="58">
        <v>44196</v>
      </c>
      <c r="B1717" s="55">
        <f t="shared" si="52"/>
        <v>2020</v>
      </c>
      <c r="C1717" s="55"/>
      <c r="D1717" s="55">
        <f t="shared" si="53"/>
        <v>12</v>
      </c>
    </row>
    <row r="1718" spans="1:10" x14ac:dyDescent="0.35">
      <c r="A1718" s="58">
        <v>44203</v>
      </c>
      <c r="B1718" s="55">
        <f t="shared" si="52"/>
        <v>2021</v>
      </c>
      <c r="C1718" s="55"/>
      <c r="D1718" s="55">
        <f t="shared" si="53"/>
        <v>1</v>
      </c>
      <c r="E1718" s="60">
        <v>19</v>
      </c>
      <c r="F1718" s="60">
        <v>21</v>
      </c>
      <c r="G1718" s="61">
        <v>20</v>
      </c>
      <c r="H1718" s="60">
        <v>21</v>
      </c>
      <c r="I1718" s="60">
        <v>23</v>
      </c>
      <c r="J1718" s="61">
        <v>22</v>
      </c>
    </row>
    <row r="1719" spans="1:10" x14ac:dyDescent="0.35">
      <c r="A1719" s="58">
        <v>44210</v>
      </c>
      <c r="B1719" s="55">
        <f t="shared" si="52"/>
        <v>2021</v>
      </c>
      <c r="C1719" s="55"/>
      <c r="D1719" s="55">
        <f t="shared" si="53"/>
        <v>1</v>
      </c>
      <c r="E1719" s="60">
        <v>22</v>
      </c>
      <c r="F1719" s="60">
        <v>24</v>
      </c>
      <c r="G1719" s="61">
        <v>23</v>
      </c>
      <c r="H1719" s="60">
        <v>21</v>
      </c>
      <c r="I1719" s="60">
        <v>23</v>
      </c>
      <c r="J1719" s="61">
        <v>22</v>
      </c>
    </row>
    <row r="1720" spans="1:10" x14ac:dyDescent="0.35">
      <c r="A1720" s="58">
        <v>44217</v>
      </c>
      <c r="B1720" s="55">
        <f t="shared" si="52"/>
        <v>2021</v>
      </c>
      <c r="C1720" s="55"/>
      <c r="D1720" s="55">
        <f t="shared" si="53"/>
        <v>1</v>
      </c>
      <c r="E1720" s="60">
        <v>22</v>
      </c>
      <c r="F1720" s="60">
        <v>24</v>
      </c>
      <c r="G1720" s="61">
        <v>23</v>
      </c>
      <c r="H1720" s="60">
        <v>19</v>
      </c>
      <c r="I1720" s="60">
        <v>21</v>
      </c>
      <c r="J1720" s="61">
        <v>20</v>
      </c>
    </row>
    <row r="1721" spans="1:10" x14ac:dyDescent="0.35">
      <c r="A1721" s="58">
        <v>44224</v>
      </c>
      <c r="B1721" s="55">
        <f t="shared" si="52"/>
        <v>2021</v>
      </c>
      <c r="C1721" s="55"/>
      <c r="D1721" s="55">
        <f t="shared" si="53"/>
        <v>1</v>
      </c>
      <c r="E1721" s="60">
        <v>23</v>
      </c>
      <c r="F1721" s="60">
        <v>25</v>
      </c>
      <c r="G1721" s="61">
        <v>24</v>
      </c>
      <c r="H1721" s="60">
        <v>22</v>
      </c>
      <c r="I1721" s="60">
        <v>24</v>
      </c>
      <c r="J1721" s="61">
        <v>23</v>
      </c>
    </row>
    <row r="1722" spans="1:10" x14ac:dyDescent="0.35">
      <c r="A1722" s="58">
        <v>44231</v>
      </c>
      <c r="B1722" s="55">
        <f t="shared" si="52"/>
        <v>2021</v>
      </c>
      <c r="C1722" s="55"/>
      <c r="D1722" s="55">
        <f t="shared" si="53"/>
        <v>2</v>
      </c>
      <c r="E1722" s="60">
        <v>24</v>
      </c>
      <c r="F1722" s="60">
        <v>26</v>
      </c>
      <c r="G1722" s="61">
        <v>25</v>
      </c>
      <c r="H1722" s="60">
        <v>23</v>
      </c>
      <c r="I1722" s="60">
        <v>25</v>
      </c>
      <c r="J1722" s="61">
        <v>24</v>
      </c>
    </row>
    <row r="1723" spans="1:10" x14ac:dyDescent="0.35">
      <c r="A1723" s="58">
        <v>44238</v>
      </c>
      <c r="B1723" s="55">
        <f t="shared" si="52"/>
        <v>2021</v>
      </c>
      <c r="C1723" s="55"/>
      <c r="D1723" s="55">
        <f t="shared" si="53"/>
        <v>2</v>
      </c>
      <c r="E1723" s="60">
        <v>27</v>
      </c>
      <c r="F1723" s="60">
        <v>29</v>
      </c>
      <c r="G1723" s="61">
        <v>28</v>
      </c>
      <c r="H1723" s="60">
        <v>23</v>
      </c>
      <c r="I1723" s="60">
        <v>25</v>
      </c>
      <c r="J1723" s="61">
        <v>24</v>
      </c>
    </row>
    <row r="1724" spans="1:10" x14ac:dyDescent="0.35">
      <c r="A1724" s="58">
        <v>44245</v>
      </c>
      <c r="B1724" s="55">
        <f t="shared" si="52"/>
        <v>2021</v>
      </c>
      <c r="C1724" s="55"/>
      <c r="D1724" s="55">
        <f t="shared" si="53"/>
        <v>2</v>
      </c>
      <c r="E1724" s="60">
        <v>27</v>
      </c>
      <c r="F1724" s="60">
        <v>29</v>
      </c>
      <c r="G1724" s="61">
        <v>28</v>
      </c>
      <c r="H1724" s="60">
        <v>26</v>
      </c>
      <c r="I1724" s="60">
        <v>28</v>
      </c>
      <c r="J1724" s="61">
        <v>27</v>
      </c>
    </row>
    <row r="1725" spans="1:10" x14ac:dyDescent="0.35">
      <c r="A1725" s="58">
        <v>44252</v>
      </c>
      <c r="B1725" s="55">
        <f t="shared" si="52"/>
        <v>2021</v>
      </c>
      <c r="C1725" s="55"/>
      <c r="D1725" s="55">
        <f t="shared" si="53"/>
        <v>2</v>
      </c>
      <c r="E1725" s="60">
        <v>29</v>
      </c>
      <c r="F1725" s="60">
        <v>31</v>
      </c>
      <c r="G1725" s="61">
        <v>30</v>
      </c>
      <c r="H1725" s="60">
        <v>26</v>
      </c>
      <c r="I1725" s="60">
        <v>28</v>
      </c>
      <c r="J1725" s="61">
        <v>27</v>
      </c>
    </row>
    <row r="1726" spans="1:10" x14ac:dyDescent="0.35">
      <c r="A1726" s="58">
        <v>44259</v>
      </c>
      <c r="B1726" s="55">
        <f t="shared" si="52"/>
        <v>2021</v>
      </c>
      <c r="C1726" s="55"/>
      <c r="D1726" s="55">
        <f t="shared" si="53"/>
        <v>3</v>
      </c>
      <c r="E1726" s="60">
        <v>31</v>
      </c>
      <c r="F1726" s="60">
        <v>33</v>
      </c>
      <c r="G1726" s="61">
        <v>32</v>
      </c>
      <c r="H1726" s="60">
        <v>31</v>
      </c>
      <c r="I1726" s="60">
        <v>33</v>
      </c>
      <c r="J1726" s="61">
        <v>32</v>
      </c>
    </row>
    <row r="1727" spans="1:10" x14ac:dyDescent="0.35">
      <c r="A1727" s="58">
        <v>44266</v>
      </c>
      <c r="B1727" s="55">
        <f t="shared" si="52"/>
        <v>2021</v>
      </c>
      <c r="C1727" s="55"/>
      <c r="D1727" s="55">
        <f t="shared" si="53"/>
        <v>3</v>
      </c>
      <c r="E1727" s="60">
        <v>31</v>
      </c>
      <c r="F1727" s="60">
        <v>33</v>
      </c>
      <c r="G1727" s="61">
        <v>32</v>
      </c>
      <c r="H1727" s="60">
        <v>31</v>
      </c>
      <c r="I1727" s="60">
        <v>33</v>
      </c>
      <c r="J1727" s="61">
        <v>32</v>
      </c>
    </row>
    <row r="1728" spans="1:10" x14ac:dyDescent="0.35">
      <c r="A1728" s="58">
        <v>44273</v>
      </c>
      <c r="B1728" s="55">
        <f t="shared" si="52"/>
        <v>2021</v>
      </c>
      <c r="C1728" s="55"/>
      <c r="D1728" s="55">
        <f t="shared" si="53"/>
        <v>3</v>
      </c>
      <c r="E1728" s="60">
        <v>29</v>
      </c>
      <c r="F1728" s="60">
        <v>31</v>
      </c>
      <c r="G1728" s="61">
        <v>30</v>
      </c>
      <c r="H1728" s="60">
        <v>31</v>
      </c>
      <c r="I1728" s="60">
        <v>33</v>
      </c>
      <c r="J1728" s="61">
        <v>32</v>
      </c>
    </row>
    <row r="1729" spans="1:10" x14ac:dyDescent="0.35">
      <c r="A1729" s="58">
        <v>44280</v>
      </c>
      <c r="B1729" s="55">
        <f t="shared" si="52"/>
        <v>2021</v>
      </c>
      <c r="C1729" s="55"/>
      <c r="D1729" s="55">
        <f t="shared" si="53"/>
        <v>3</v>
      </c>
      <c r="E1729" s="60">
        <v>41</v>
      </c>
      <c r="F1729" s="60">
        <v>43</v>
      </c>
      <c r="G1729" s="61">
        <v>42</v>
      </c>
      <c r="H1729" s="60">
        <v>29</v>
      </c>
      <c r="I1729" s="60">
        <v>31</v>
      </c>
      <c r="J1729" s="61">
        <v>30</v>
      </c>
    </row>
    <row r="1730" spans="1:10" x14ac:dyDescent="0.35">
      <c r="A1730" s="58">
        <v>44287</v>
      </c>
      <c r="B1730" s="55">
        <f t="shared" si="52"/>
        <v>2021</v>
      </c>
      <c r="C1730" s="55"/>
      <c r="D1730" s="55">
        <f t="shared" si="53"/>
        <v>4</v>
      </c>
      <c r="E1730" s="60">
        <v>39</v>
      </c>
      <c r="F1730" s="60">
        <v>41</v>
      </c>
      <c r="G1730" s="61">
        <v>40</v>
      </c>
      <c r="H1730" s="60">
        <v>28</v>
      </c>
      <c r="I1730" s="60">
        <v>30</v>
      </c>
      <c r="J1730" s="61">
        <v>29</v>
      </c>
    </row>
    <row r="1731" spans="1:10" x14ac:dyDescent="0.35">
      <c r="A1731" s="58">
        <v>44294</v>
      </c>
      <c r="B1731" s="55">
        <f t="shared" si="52"/>
        <v>2021</v>
      </c>
      <c r="C1731" s="55"/>
      <c r="D1731" s="55">
        <f t="shared" si="53"/>
        <v>4</v>
      </c>
      <c r="E1731" s="60">
        <v>36</v>
      </c>
      <c r="F1731" s="60">
        <v>38</v>
      </c>
      <c r="G1731" s="61">
        <v>37</v>
      </c>
      <c r="H1731" s="60">
        <v>25</v>
      </c>
      <c r="I1731" s="60">
        <v>27</v>
      </c>
      <c r="J1731" s="61">
        <v>26</v>
      </c>
    </row>
    <row r="1732" spans="1:10" x14ac:dyDescent="0.35">
      <c r="A1732" s="58">
        <v>44301</v>
      </c>
      <c r="B1732" s="55">
        <f t="shared" ref="B1732:B1795" si="54">YEAR(A1732)</f>
        <v>2021</v>
      </c>
      <c r="C1732" s="55"/>
      <c r="D1732" s="55">
        <f t="shared" ref="D1732:D1795" si="55">MONTH(A1732)</f>
        <v>4</v>
      </c>
      <c r="E1732" s="60">
        <v>35</v>
      </c>
      <c r="F1732" s="60">
        <v>37</v>
      </c>
      <c r="G1732" s="61">
        <v>36</v>
      </c>
      <c r="H1732" s="60">
        <v>23</v>
      </c>
      <c r="I1732" s="60">
        <v>25</v>
      </c>
      <c r="J1732" s="61">
        <v>24</v>
      </c>
    </row>
    <row r="1733" spans="1:10" x14ac:dyDescent="0.35">
      <c r="A1733" s="58">
        <v>44308</v>
      </c>
      <c r="B1733" s="55">
        <f t="shared" si="54"/>
        <v>2021</v>
      </c>
      <c r="C1733" s="55"/>
      <c r="D1733" s="55">
        <f t="shared" si="55"/>
        <v>4</v>
      </c>
      <c r="E1733" s="60">
        <v>35</v>
      </c>
      <c r="F1733" s="60">
        <v>37</v>
      </c>
      <c r="G1733" s="61">
        <v>36</v>
      </c>
      <c r="H1733" s="60">
        <v>23</v>
      </c>
      <c r="I1733" s="60">
        <v>25</v>
      </c>
      <c r="J1733" s="61">
        <v>24</v>
      </c>
    </row>
    <row r="1734" spans="1:10" x14ac:dyDescent="0.35">
      <c r="A1734" s="58">
        <v>44315</v>
      </c>
      <c r="B1734" s="55">
        <f t="shared" si="54"/>
        <v>2021</v>
      </c>
      <c r="C1734" s="55"/>
      <c r="D1734" s="55">
        <f t="shared" si="55"/>
        <v>4</v>
      </c>
      <c r="E1734" s="60">
        <v>36</v>
      </c>
      <c r="F1734" s="60">
        <v>38</v>
      </c>
      <c r="G1734" s="61">
        <v>37</v>
      </c>
      <c r="H1734" s="60">
        <v>24</v>
      </c>
      <c r="I1734" s="60">
        <v>26</v>
      </c>
      <c r="J1734" s="61">
        <v>25</v>
      </c>
    </row>
    <row r="1735" spans="1:10" x14ac:dyDescent="0.35">
      <c r="A1735" s="58">
        <v>44322</v>
      </c>
      <c r="B1735" s="55">
        <f t="shared" si="54"/>
        <v>2021</v>
      </c>
      <c r="C1735" s="55"/>
      <c r="D1735" s="55">
        <f t="shared" si="55"/>
        <v>5</v>
      </c>
      <c r="E1735" s="60">
        <v>38</v>
      </c>
      <c r="F1735" s="60">
        <v>40</v>
      </c>
      <c r="G1735" s="61">
        <v>39</v>
      </c>
      <c r="H1735" s="60">
        <v>25</v>
      </c>
      <c r="I1735" s="60">
        <v>27</v>
      </c>
      <c r="J1735" s="61">
        <v>26</v>
      </c>
    </row>
    <row r="1736" spans="1:10" x14ac:dyDescent="0.35">
      <c r="A1736" s="58">
        <v>44329</v>
      </c>
      <c r="B1736" s="55">
        <f t="shared" si="54"/>
        <v>2021</v>
      </c>
      <c r="C1736" s="55"/>
      <c r="D1736" s="55">
        <f t="shared" si="55"/>
        <v>5</v>
      </c>
      <c r="E1736" s="60">
        <v>40</v>
      </c>
      <c r="F1736" s="60">
        <v>42</v>
      </c>
      <c r="G1736" s="61">
        <v>41</v>
      </c>
      <c r="H1736" s="60">
        <v>27</v>
      </c>
      <c r="I1736" s="60">
        <v>29</v>
      </c>
      <c r="J1736" s="61">
        <v>28</v>
      </c>
    </row>
    <row r="1737" spans="1:10" x14ac:dyDescent="0.35">
      <c r="A1737" s="58">
        <v>44336</v>
      </c>
      <c r="B1737" s="55">
        <f t="shared" si="54"/>
        <v>2021</v>
      </c>
      <c r="C1737" s="55"/>
      <c r="D1737" s="55">
        <f t="shared" si="55"/>
        <v>5</v>
      </c>
      <c r="E1737" s="60">
        <v>41</v>
      </c>
      <c r="F1737" s="60">
        <v>43</v>
      </c>
      <c r="G1737" s="61">
        <v>42</v>
      </c>
      <c r="H1737" s="60">
        <v>27</v>
      </c>
      <c r="I1737" s="60">
        <v>29</v>
      </c>
      <c r="J1737" s="61">
        <v>28</v>
      </c>
    </row>
    <row r="1738" spans="1:10" x14ac:dyDescent="0.35">
      <c r="A1738" s="58">
        <v>44343</v>
      </c>
      <c r="B1738" s="55">
        <f t="shared" si="54"/>
        <v>2021</v>
      </c>
      <c r="C1738" s="55"/>
      <c r="D1738" s="55">
        <f t="shared" si="55"/>
        <v>5</v>
      </c>
      <c r="E1738" s="60">
        <v>45</v>
      </c>
      <c r="F1738" s="60">
        <v>47</v>
      </c>
      <c r="G1738" s="61">
        <v>46</v>
      </c>
      <c r="H1738" s="60">
        <v>29</v>
      </c>
      <c r="I1738" s="60">
        <v>31</v>
      </c>
      <c r="J1738" s="61">
        <v>30</v>
      </c>
    </row>
    <row r="1739" spans="1:10" x14ac:dyDescent="0.35">
      <c r="A1739" s="58">
        <v>44350</v>
      </c>
      <c r="B1739" s="55">
        <f t="shared" si="54"/>
        <v>2021</v>
      </c>
      <c r="C1739" s="55"/>
      <c r="D1739" s="55">
        <f t="shared" si="55"/>
        <v>6</v>
      </c>
      <c r="E1739" s="60">
        <v>45</v>
      </c>
      <c r="F1739" s="60">
        <v>47</v>
      </c>
      <c r="G1739" s="61">
        <v>46</v>
      </c>
      <c r="H1739" s="60">
        <v>32</v>
      </c>
      <c r="I1739" s="60">
        <v>34</v>
      </c>
      <c r="J1739" s="61">
        <v>33</v>
      </c>
    </row>
    <row r="1740" spans="1:10" x14ac:dyDescent="0.35">
      <c r="A1740" s="58">
        <v>44357</v>
      </c>
      <c r="B1740" s="55">
        <f t="shared" si="54"/>
        <v>2021</v>
      </c>
      <c r="C1740" s="55"/>
      <c r="D1740" s="55">
        <f t="shared" si="55"/>
        <v>6</v>
      </c>
      <c r="E1740" s="60">
        <v>44</v>
      </c>
      <c r="F1740" s="60">
        <v>46</v>
      </c>
      <c r="G1740" s="61">
        <v>45</v>
      </c>
      <c r="H1740" s="60">
        <v>34</v>
      </c>
      <c r="I1740" s="60">
        <v>36</v>
      </c>
      <c r="J1740" s="61">
        <v>35</v>
      </c>
    </row>
    <row r="1741" spans="1:10" x14ac:dyDescent="0.35">
      <c r="A1741" s="58">
        <v>44364</v>
      </c>
      <c r="B1741" s="55">
        <f t="shared" si="54"/>
        <v>2021</v>
      </c>
      <c r="C1741" s="55"/>
      <c r="D1741" s="55">
        <f t="shared" si="55"/>
        <v>6</v>
      </c>
      <c r="E1741" s="60">
        <v>46</v>
      </c>
      <c r="F1741" s="60">
        <v>48</v>
      </c>
      <c r="G1741" s="61">
        <v>47</v>
      </c>
      <c r="H1741" s="60">
        <v>37</v>
      </c>
      <c r="I1741" s="60">
        <v>39</v>
      </c>
      <c r="J1741" s="61">
        <v>38</v>
      </c>
    </row>
    <row r="1742" spans="1:10" x14ac:dyDescent="0.35">
      <c r="A1742" s="58">
        <v>44371</v>
      </c>
      <c r="B1742" s="55">
        <f t="shared" si="54"/>
        <v>2021</v>
      </c>
      <c r="C1742" s="55"/>
      <c r="D1742" s="55">
        <f t="shared" si="55"/>
        <v>6</v>
      </c>
      <c r="E1742" s="60">
        <v>48</v>
      </c>
      <c r="F1742" s="60">
        <v>50</v>
      </c>
      <c r="G1742" s="61">
        <v>49</v>
      </c>
      <c r="H1742" s="60">
        <v>37</v>
      </c>
      <c r="I1742" s="60">
        <v>39</v>
      </c>
      <c r="J1742" s="61">
        <v>38</v>
      </c>
    </row>
    <row r="1743" spans="1:10" x14ac:dyDescent="0.35">
      <c r="A1743" s="58">
        <v>44378</v>
      </c>
      <c r="B1743" s="55">
        <f t="shared" si="54"/>
        <v>2021</v>
      </c>
      <c r="C1743" s="55"/>
      <c r="D1743" s="55">
        <f t="shared" si="55"/>
        <v>7</v>
      </c>
      <c r="E1743" s="60">
        <v>49</v>
      </c>
      <c r="F1743" s="60">
        <v>51</v>
      </c>
      <c r="G1743" s="61">
        <v>50</v>
      </c>
      <c r="H1743" s="60">
        <v>37</v>
      </c>
      <c r="I1743" s="60">
        <v>39</v>
      </c>
      <c r="J1743" s="61">
        <v>38</v>
      </c>
    </row>
    <row r="1744" spans="1:10" x14ac:dyDescent="0.35">
      <c r="A1744" s="58">
        <v>44385</v>
      </c>
      <c r="B1744" s="55">
        <f t="shared" si="54"/>
        <v>2021</v>
      </c>
      <c r="C1744" s="55"/>
      <c r="D1744" s="55">
        <f t="shared" si="55"/>
        <v>7</v>
      </c>
      <c r="E1744" s="60">
        <v>52</v>
      </c>
      <c r="F1744" s="60">
        <v>54</v>
      </c>
      <c r="G1744" s="61">
        <v>53</v>
      </c>
      <c r="H1744" s="60">
        <v>38</v>
      </c>
      <c r="I1744" s="60">
        <v>40</v>
      </c>
      <c r="J1744" s="61">
        <v>39</v>
      </c>
    </row>
    <row r="1745" spans="1:10" x14ac:dyDescent="0.35">
      <c r="A1745" s="58">
        <v>44392</v>
      </c>
      <c r="B1745" s="55">
        <f t="shared" si="54"/>
        <v>2021</v>
      </c>
      <c r="C1745" s="55"/>
      <c r="D1745" s="55">
        <f t="shared" si="55"/>
        <v>7</v>
      </c>
      <c r="E1745" s="60">
        <v>54</v>
      </c>
      <c r="F1745" s="60">
        <v>56</v>
      </c>
      <c r="G1745" s="61">
        <v>55</v>
      </c>
      <c r="H1745" s="60">
        <v>38</v>
      </c>
      <c r="I1745" s="60">
        <v>40</v>
      </c>
      <c r="J1745" s="61">
        <v>39</v>
      </c>
    </row>
    <row r="1746" spans="1:10" x14ac:dyDescent="0.35">
      <c r="A1746" s="58">
        <v>44399</v>
      </c>
      <c r="B1746" s="55">
        <f t="shared" si="54"/>
        <v>2021</v>
      </c>
      <c r="C1746" s="55"/>
      <c r="D1746" s="55">
        <f t="shared" si="55"/>
        <v>7</v>
      </c>
      <c r="E1746" s="60">
        <v>55</v>
      </c>
      <c r="F1746" s="60">
        <v>57</v>
      </c>
      <c r="G1746" s="61">
        <v>56</v>
      </c>
      <c r="H1746" s="60">
        <v>38</v>
      </c>
      <c r="I1746" s="60">
        <v>40</v>
      </c>
      <c r="J1746" s="61">
        <v>39</v>
      </c>
    </row>
    <row r="1747" spans="1:10" x14ac:dyDescent="0.35">
      <c r="A1747" s="58">
        <v>44406</v>
      </c>
      <c r="B1747" s="55">
        <f t="shared" si="54"/>
        <v>2021</v>
      </c>
      <c r="C1747" s="55"/>
      <c r="D1747" s="55">
        <f t="shared" si="55"/>
        <v>7</v>
      </c>
      <c r="E1747" s="60">
        <v>58</v>
      </c>
      <c r="F1747" s="60">
        <v>60</v>
      </c>
      <c r="G1747" s="61">
        <v>59</v>
      </c>
      <c r="H1747" s="60">
        <v>41</v>
      </c>
      <c r="I1747" s="60">
        <v>43</v>
      </c>
      <c r="J1747" s="61">
        <v>42</v>
      </c>
    </row>
    <row r="1748" spans="1:10" x14ac:dyDescent="0.35">
      <c r="A1748" s="58">
        <v>44413</v>
      </c>
      <c r="B1748" s="55">
        <f t="shared" si="54"/>
        <v>2021</v>
      </c>
      <c r="C1748" s="55"/>
      <c r="D1748" s="55">
        <f t="shared" si="55"/>
        <v>8</v>
      </c>
      <c r="E1748" s="60">
        <v>56</v>
      </c>
      <c r="F1748" s="60">
        <v>58</v>
      </c>
      <c r="G1748" s="61">
        <v>57</v>
      </c>
      <c r="H1748" s="60">
        <v>43</v>
      </c>
      <c r="I1748" s="60">
        <v>45</v>
      </c>
      <c r="J1748" s="61">
        <v>44</v>
      </c>
    </row>
    <row r="1749" spans="1:10" x14ac:dyDescent="0.35">
      <c r="A1749" s="58">
        <v>44420</v>
      </c>
      <c r="B1749" s="55">
        <f t="shared" si="54"/>
        <v>2021</v>
      </c>
      <c r="C1749" s="55"/>
      <c r="D1749" s="55">
        <f t="shared" si="55"/>
        <v>8</v>
      </c>
      <c r="E1749" s="60">
        <v>57</v>
      </c>
      <c r="F1749" s="60">
        <v>59</v>
      </c>
      <c r="G1749" s="61">
        <v>58</v>
      </c>
      <c r="H1749" s="60">
        <v>47</v>
      </c>
      <c r="I1749" s="60">
        <v>49</v>
      </c>
      <c r="J1749" s="61">
        <v>48</v>
      </c>
    </row>
    <row r="1750" spans="1:10" x14ac:dyDescent="0.35">
      <c r="A1750" s="58">
        <v>44427</v>
      </c>
      <c r="B1750" s="55">
        <f t="shared" si="54"/>
        <v>2021</v>
      </c>
      <c r="C1750" s="55"/>
      <c r="D1750" s="55">
        <f t="shared" si="55"/>
        <v>8</v>
      </c>
      <c r="E1750" s="60">
        <v>57</v>
      </c>
      <c r="F1750" s="60">
        <v>59</v>
      </c>
      <c r="G1750" s="61">
        <v>58</v>
      </c>
      <c r="H1750" s="60">
        <v>47</v>
      </c>
      <c r="I1750" s="60">
        <v>49</v>
      </c>
      <c r="J1750" s="61">
        <v>48</v>
      </c>
    </row>
    <row r="1751" spans="1:10" x14ac:dyDescent="0.35">
      <c r="A1751" s="58">
        <v>44434</v>
      </c>
      <c r="B1751" s="55">
        <f t="shared" si="54"/>
        <v>2021</v>
      </c>
      <c r="C1751" s="55"/>
      <c r="D1751" s="55">
        <f t="shared" si="55"/>
        <v>8</v>
      </c>
      <c r="E1751" s="60">
        <v>59</v>
      </c>
      <c r="F1751" s="60">
        <v>61</v>
      </c>
      <c r="G1751" s="61">
        <v>60</v>
      </c>
      <c r="H1751" s="60">
        <v>45</v>
      </c>
      <c r="I1751" s="60">
        <v>47</v>
      </c>
      <c r="J1751" s="61">
        <v>46</v>
      </c>
    </row>
    <row r="1752" spans="1:10" x14ac:dyDescent="0.35">
      <c r="A1752" s="58">
        <v>44441</v>
      </c>
      <c r="B1752" s="55">
        <f t="shared" si="54"/>
        <v>2021</v>
      </c>
      <c r="C1752" s="55"/>
      <c r="D1752" s="55">
        <f t="shared" si="55"/>
        <v>9</v>
      </c>
      <c r="E1752" s="60">
        <v>57</v>
      </c>
      <c r="F1752" s="60">
        <v>59</v>
      </c>
      <c r="G1752" s="61">
        <v>58</v>
      </c>
      <c r="H1752" s="60">
        <v>42</v>
      </c>
      <c r="I1752" s="60">
        <v>44</v>
      </c>
      <c r="J1752" s="61">
        <v>43</v>
      </c>
    </row>
    <row r="1753" spans="1:10" x14ac:dyDescent="0.35">
      <c r="A1753" s="58">
        <v>44448</v>
      </c>
      <c r="B1753" s="55">
        <f t="shared" si="54"/>
        <v>2021</v>
      </c>
      <c r="C1753" s="55"/>
      <c r="D1753" s="55">
        <f t="shared" si="55"/>
        <v>9</v>
      </c>
      <c r="E1753" s="60">
        <v>54</v>
      </c>
      <c r="F1753" s="60">
        <v>56</v>
      </c>
      <c r="G1753" s="61">
        <v>55</v>
      </c>
      <c r="H1753" s="60">
        <v>46</v>
      </c>
      <c r="I1753" s="60">
        <v>48</v>
      </c>
      <c r="J1753" s="61">
        <v>47</v>
      </c>
    </row>
    <row r="1754" spans="1:10" x14ac:dyDescent="0.35">
      <c r="A1754" s="58">
        <v>44455</v>
      </c>
      <c r="B1754" s="55">
        <f t="shared" si="54"/>
        <v>2021</v>
      </c>
      <c r="C1754" s="55"/>
      <c r="D1754" s="55">
        <f t="shared" si="55"/>
        <v>9</v>
      </c>
      <c r="E1754" s="60">
        <v>56</v>
      </c>
      <c r="F1754" s="60">
        <v>58</v>
      </c>
      <c r="G1754" s="61">
        <v>57</v>
      </c>
      <c r="H1754" s="60">
        <v>43</v>
      </c>
      <c r="I1754" s="60">
        <v>45</v>
      </c>
      <c r="J1754" s="61">
        <v>44</v>
      </c>
    </row>
    <row r="1755" spans="1:10" x14ac:dyDescent="0.35">
      <c r="A1755" s="58">
        <v>44462</v>
      </c>
      <c r="B1755" s="55">
        <f t="shared" si="54"/>
        <v>2021</v>
      </c>
      <c r="C1755" s="55"/>
      <c r="D1755" s="55">
        <f t="shared" si="55"/>
        <v>9</v>
      </c>
      <c r="E1755" s="60">
        <v>56</v>
      </c>
      <c r="F1755" s="60">
        <v>58</v>
      </c>
      <c r="G1755" s="61">
        <v>57</v>
      </c>
      <c r="H1755" s="60">
        <v>48</v>
      </c>
      <c r="I1755" s="60">
        <v>50</v>
      </c>
      <c r="J1755" s="61">
        <v>49</v>
      </c>
    </row>
    <row r="1756" spans="1:10" x14ac:dyDescent="0.35">
      <c r="A1756" s="58">
        <v>44469</v>
      </c>
      <c r="B1756" s="55">
        <f t="shared" si="54"/>
        <v>2021</v>
      </c>
      <c r="C1756" s="55"/>
      <c r="D1756" s="55">
        <f t="shared" si="55"/>
        <v>9</v>
      </c>
      <c r="E1756" s="60">
        <v>56</v>
      </c>
      <c r="F1756" s="60">
        <v>58</v>
      </c>
      <c r="G1756" s="61">
        <v>57</v>
      </c>
      <c r="H1756" s="60">
        <v>48</v>
      </c>
      <c r="I1756" s="60">
        <v>50</v>
      </c>
      <c r="J1756" s="61">
        <v>49</v>
      </c>
    </row>
    <row r="1757" spans="1:10" x14ac:dyDescent="0.35">
      <c r="A1757" s="58">
        <v>44476</v>
      </c>
      <c r="B1757" s="55">
        <f t="shared" si="54"/>
        <v>2021</v>
      </c>
      <c r="C1757" s="55"/>
      <c r="D1757" s="55">
        <f t="shared" si="55"/>
        <v>10</v>
      </c>
      <c r="E1757" s="60">
        <v>56</v>
      </c>
      <c r="F1757" s="60">
        <v>58</v>
      </c>
      <c r="G1757" s="61">
        <v>57</v>
      </c>
      <c r="H1757" s="60">
        <v>50</v>
      </c>
      <c r="I1757" s="60">
        <v>52</v>
      </c>
      <c r="J1757" s="61">
        <v>51</v>
      </c>
    </row>
    <row r="1758" spans="1:10" x14ac:dyDescent="0.35">
      <c r="A1758" s="58">
        <v>44483</v>
      </c>
      <c r="B1758" s="55">
        <f t="shared" si="54"/>
        <v>2021</v>
      </c>
      <c r="C1758" s="55"/>
      <c r="D1758" s="55">
        <f t="shared" si="55"/>
        <v>10</v>
      </c>
      <c r="E1758" s="60">
        <v>54</v>
      </c>
      <c r="F1758" s="60">
        <v>56</v>
      </c>
      <c r="G1758" s="61">
        <v>55</v>
      </c>
      <c r="H1758" s="60">
        <v>49</v>
      </c>
      <c r="I1758" s="60">
        <v>51</v>
      </c>
      <c r="J1758" s="61">
        <v>50</v>
      </c>
    </row>
    <row r="1759" spans="1:10" x14ac:dyDescent="0.35">
      <c r="A1759" s="58">
        <v>44490</v>
      </c>
      <c r="B1759" s="55">
        <f t="shared" si="54"/>
        <v>2021</v>
      </c>
      <c r="C1759" s="55"/>
      <c r="D1759" s="55">
        <f t="shared" si="55"/>
        <v>10</v>
      </c>
      <c r="E1759" s="60">
        <v>50</v>
      </c>
      <c r="F1759" s="60">
        <v>52</v>
      </c>
      <c r="G1759" s="61">
        <v>51</v>
      </c>
      <c r="H1759" s="60">
        <v>50</v>
      </c>
      <c r="I1759" s="60">
        <v>52</v>
      </c>
      <c r="J1759" s="61">
        <v>51</v>
      </c>
    </row>
    <row r="1760" spans="1:10" x14ac:dyDescent="0.35">
      <c r="A1760" s="58">
        <v>44497</v>
      </c>
      <c r="B1760" s="55">
        <f t="shared" si="54"/>
        <v>2021</v>
      </c>
      <c r="C1760" s="55"/>
      <c r="D1760" s="55">
        <f t="shared" si="55"/>
        <v>10</v>
      </c>
      <c r="E1760" s="60">
        <v>46</v>
      </c>
      <c r="F1760" s="60">
        <v>48</v>
      </c>
      <c r="G1760" s="61">
        <v>47</v>
      </c>
      <c r="H1760" s="60">
        <v>50</v>
      </c>
      <c r="I1760" s="60">
        <v>52</v>
      </c>
      <c r="J1760" s="61">
        <v>51</v>
      </c>
    </row>
    <row r="1761" spans="1:10" x14ac:dyDescent="0.35">
      <c r="A1761" s="58">
        <v>44504</v>
      </c>
      <c r="B1761" s="55">
        <f t="shared" si="54"/>
        <v>2021</v>
      </c>
      <c r="C1761" s="55"/>
      <c r="D1761" s="55">
        <f t="shared" si="55"/>
        <v>11</v>
      </c>
      <c r="E1761" s="60">
        <v>41</v>
      </c>
      <c r="F1761" s="60">
        <v>43</v>
      </c>
      <c r="G1761" s="61">
        <v>42</v>
      </c>
      <c r="H1761" s="60">
        <v>46</v>
      </c>
      <c r="I1761" s="60">
        <v>48</v>
      </c>
      <c r="J1761" s="61">
        <v>47</v>
      </c>
    </row>
    <row r="1762" spans="1:10" x14ac:dyDescent="0.35">
      <c r="A1762" s="58">
        <v>44511</v>
      </c>
      <c r="B1762" s="55">
        <f t="shared" si="54"/>
        <v>2021</v>
      </c>
      <c r="C1762" s="55"/>
      <c r="D1762" s="55">
        <f t="shared" si="55"/>
        <v>11</v>
      </c>
      <c r="E1762" s="60">
        <v>40</v>
      </c>
      <c r="F1762" s="60">
        <v>42</v>
      </c>
      <c r="G1762" s="61">
        <v>41</v>
      </c>
      <c r="H1762" s="60">
        <v>43</v>
      </c>
      <c r="I1762" s="60">
        <v>45</v>
      </c>
      <c r="J1762" s="61">
        <v>44</v>
      </c>
    </row>
    <row r="1763" spans="1:10" x14ac:dyDescent="0.35">
      <c r="A1763" s="58">
        <v>44518</v>
      </c>
      <c r="B1763" s="55">
        <f t="shared" si="54"/>
        <v>2021</v>
      </c>
      <c r="C1763" s="55"/>
      <c r="D1763" s="55">
        <f t="shared" si="55"/>
        <v>11</v>
      </c>
      <c r="E1763" s="60">
        <v>34</v>
      </c>
      <c r="F1763" s="60">
        <v>36</v>
      </c>
      <c r="G1763" s="61">
        <v>35</v>
      </c>
      <c r="H1763" s="60">
        <v>42</v>
      </c>
      <c r="I1763" s="60">
        <v>44</v>
      </c>
      <c r="J1763" s="61">
        <v>43</v>
      </c>
    </row>
    <row r="1764" spans="1:10" x14ac:dyDescent="0.35">
      <c r="A1764" s="58">
        <v>44525</v>
      </c>
      <c r="B1764" s="55">
        <f t="shared" si="54"/>
        <v>2021</v>
      </c>
      <c r="C1764" s="55"/>
      <c r="D1764" s="55">
        <f t="shared" si="55"/>
        <v>11</v>
      </c>
      <c r="E1764" s="60">
        <v>36</v>
      </c>
      <c r="F1764" s="60">
        <v>38</v>
      </c>
      <c r="G1764" s="61">
        <v>37</v>
      </c>
      <c r="H1764" s="60">
        <v>41</v>
      </c>
      <c r="I1764" s="60">
        <v>43</v>
      </c>
      <c r="J1764" s="61">
        <v>42</v>
      </c>
    </row>
    <row r="1765" spans="1:10" x14ac:dyDescent="0.35">
      <c r="A1765" s="58">
        <v>44532</v>
      </c>
      <c r="B1765" s="55">
        <f t="shared" si="54"/>
        <v>2021</v>
      </c>
      <c r="C1765" s="55"/>
      <c r="D1765" s="55">
        <f t="shared" si="55"/>
        <v>12</v>
      </c>
      <c r="E1765" s="60">
        <v>39</v>
      </c>
      <c r="F1765" s="60">
        <v>41</v>
      </c>
      <c r="G1765" s="61">
        <v>40</v>
      </c>
      <c r="H1765" s="60">
        <v>41</v>
      </c>
      <c r="I1765" s="60">
        <v>43</v>
      </c>
      <c r="J1765" s="61">
        <v>42</v>
      </c>
    </row>
    <row r="1766" spans="1:10" x14ac:dyDescent="0.35">
      <c r="A1766" s="58">
        <v>44539</v>
      </c>
      <c r="B1766" s="55">
        <f t="shared" si="54"/>
        <v>2021</v>
      </c>
      <c r="C1766" s="55"/>
      <c r="D1766" s="55">
        <f t="shared" si="55"/>
        <v>12</v>
      </c>
      <c r="E1766" s="60">
        <v>43</v>
      </c>
      <c r="F1766" s="60">
        <v>45</v>
      </c>
      <c r="G1766" s="61">
        <v>44</v>
      </c>
      <c r="H1766" s="60">
        <v>41</v>
      </c>
      <c r="I1766" s="60">
        <v>43</v>
      </c>
      <c r="J1766" s="61">
        <v>42</v>
      </c>
    </row>
    <row r="1767" spans="1:10" x14ac:dyDescent="0.35">
      <c r="A1767" s="58">
        <v>44546</v>
      </c>
      <c r="B1767" s="55">
        <f t="shared" si="54"/>
        <v>2021</v>
      </c>
      <c r="C1767" s="55"/>
      <c r="D1767" s="55">
        <f t="shared" si="55"/>
        <v>12</v>
      </c>
      <c r="E1767" s="60">
        <v>42</v>
      </c>
      <c r="F1767" s="60">
        <v>44</v>
      </c>
      <c r="G1767" s="61">
        <v>43</v>
      </c>
      <c r="H1767" s="60">
        <v>41</v>
      </c>
      <c r="I1767" s="60">
        <v>43</v>
      </c>
      <c r="J1767" s="61">
        <v>42</v>
      </c>
    </row>
    <row r="1768" spans="1:10" x14ac:dyDescent="0.35">
      <c r="A1768" s="58">
        <v>44553</v>
      </c>
      <c r="B1768" s="55">
        <f t="shared" si="54"/>
        <v>2021</v>
      </c>
      <c r="C1768" s="55"/>
      <c r="D1768" s="55">
        <f t="shared" si="55"/>
        <v>12</v>
      </c>
      <c r="E1768" s="60">
        <v>42</v>
      </c>
      <c r="F1768" s="60">
        <v>44</v>
      </c>
      <c r="G1768" s="61">
        <v>43</v>
      </c>
      <c r="H1768" s="60">
        <v>40</v>
      </c>
      <c r="I1768" s="60">
        <v>42</v>
      </c>
      <c r="J1768" s="61">
        <v>41</v>
      </c>
    </row>
    <row r="1769" spans="1:10" x14ac:dyDescent="0.35">
      <c r="A1769" s="58">
        <v>44560</v>
      </c>
      <c r="B1769" s="55">
        <f t="shared" si="54"/>
        <v>2021</v>
      </c>
      <c r="C1769" s="55"/>
      <c r="D1769" s="55">
        <f t="shared" si="55"/>
        <v>12</v>
      </c>
    </row>
    <row r="1770" spans="1:10" x14ac:dyDescent="0.35">
      <c r="A1770" s="58">
        <v>44567</v>
      </c>
      <c r="B1770" s="55">
        <f t="shared" si="54"/>
        <v>2022</v>
      </c>
      <c r="C1770" s="55"/>
      <c r="D1770" s="55">
        <f t="shared" si="55"/>
        <v>1</v>
      </c>
      <c r="E1770" s="60">
        <v>37</v>
      </c>
      <c r="F1770" s="60">
        <v>39</v>
      </c>
      <c r="G1770" s="61">
        <v>38</v>
      </c>
      <c r="H1770" s="60">
        <v>35</v>
      </c>
      <c r="I1770" s="60">
        <v>37</v>
      </c>
      <c r="J1770" s="61">
        <v>36</v>
      </c>
    </row>
    <row r="1771" spans="1:10" x14ac:dyDescent="0.35">
      <c r="A1771" s="58">
        <v>44574</v>
      </c>
      <c r="B1771" s="55">
        <f t="shared" si="54"/>
        <v>2022</v>
      </c>
      <c r="C1771" s="55"/>
      <c r="D1771" s="55">
        <f t="shared" si="55"/>
        <v>1</v>
      </c>
      <c r="E1771" s="60">
        <v>35</v>
      </c>
      <c r="F1771" s="60">
        <v>37</v>
      </c>
      <c r="G1771" s="61">
        <v>36</v>
      </c>
      <c r="H1771" s="60">
        <v>34</v>
      </c>
      <c r="I1771" s="60">
        <v>36</v>
      </c>
      <c r="J1771" s="61">
        <v>35</v>
      </c>
    </row>
    <row r="1772" spans="1:10" x14ac:dyDescent="0.35">
      <c r="A1772" s="58">
        <v>44581</v>
      </c>
      <c r="B1772" s="55">
        <f t="shared" si="54"/>
        <v>2022</v>
      </c>
      <c r="C1772" s="55"/>
      <c r="D1772" s="55">
        <f t="shared" si="55"/>
        <v>1</v>
      </c>
      <c r="E1772" s="60">
        <v>35</v>
      </c>
      <c r="F1772" s="60">
        <v>37</v>
      </c>
      <c r="G1772" s="61">
        <v>36</v>
      </c>
      <c r="H1772" s="60">
        <v>30</v>
      </c>
      <c r="I1772" s="60">
        <v>32</v>
      </c>
      <c r="J1772" s="61">
        <v>31</v>
      </c>
    </row>
    <row r="1773" spans="1:10" x14ac:dyDescent="0.35">
      <c r="A1773" s="58">
        <v>44588</v>
      </c>
      <c r="B1773" s="55">
        <f t="shared" si="54"/>
        <v>2022</v>
      </c>
      <c r="C1773" s="55"/>
      <c r="D1773" s="55">
        <f t="shared" si="55"/>
        <v>1</v>
      </c>
      <c r="E1773" s="60">
        <v>35</v>
      </c>
      <c r="F1773" s="60">
        <v>37</v>
      </c>
      <c r="G1773" s="61">
        <v>36</v>
      </c>
      <c r="H1773" s="60">
        <v>27</v>
      </c>
      <c r="I1773" s="60">
        <v>29</v>
      </c>
      <c r="J1773" s="61">
        <v>28</v>
      </c>
    </row>
    <row r="1774" spans="1:10" x14ac:dyDescent="0.35">
      <c r="A1774" s="58">
        <v>44595</v>
      </c>
      <c r="B1774" s="55">
        <f t="shared" si="54"/>
        <v>2022</v>
      </c>
      <c r="C1774" s="55"/>
      <c r="D1774" s="55">
        <f t="shared" si="55"/>
        <v>2</v>
      </c>
      <c r="E1774" s="60">
        <v>35</v>
      </c>
      <c r="F1774" s="60">
        <v>37</v>
      </c>
      <c r="G1774" s="61">
        <v>36</v>
      </c>
      <c r="H1774" s="60">
        <v>26</v>
      </c>
      <c r="I1774" s="60">
        <v>28</v>
      </c>
      <c r="J1774" s="61">
        <v>27</v>
      </c>
    </row>
    <row r="1775" spans="1:10" x14ac:dyDescent="0.35">
      <c r="A1775" s="58">
        <v>44602</v>
      </c>
      <c r="B1775" s="55">
        <f t="shared" si="54"/>
        <v>2022</v>
      </c>
      <c r="C1775" s="55"/>
      <c r="D1775" s="55">
        <f t="shared" si="55"/>
        <v>2</v>
      </c>
      <c r="E1775" s="60">
        <v>40</v>
      </c>
      <c r="F1775" s="60">
        <v>42</v>
      </c>
      <c r="G1775" s="61">
        <v>41</v>
      </c>
      <c r="H1775" s="60">
        <v>28</v>
      </c>
      <c r="I1775" s="60">
        <v>30</v>
      </c>
      <c r="J1775" s="61">
        <v>29</v>
      </c>
    </row>
    <row r="1776" spans="1:10" x14ac:dyDescent="0.35">
      <c r="A1776" s="58">
        <v>44609</v>
      </c>
      <c r="B1776" s="55">
        <f t="shared" si="54"/>
        <v>2022</v>
      </c>
      <c r="C1776" s="55"/>
      <c r="D1776" s="55">
        <f t="shared" si="55"/>
        <v>2</v>
      </c>
      <c r="E1776" s="60">
        <v>45</v>
      </c>
      <c r="F1776" s="60">
        <v>47</v>
      </c>
      <c r="G1776" s="61">
        <v>46</v>
      </c>
      <c r="H1776" s="60">
        <v>30</v>
      </c>
      <c r="I1776" s="60">
        <v>32</v>
      </c>
      <c r="J1776" s="61">
        <v>31</v>
      </c>
    </row>
    <row r="1777" spans="1:10" x14ac:dyDescent="0.35">
      <c r="A1777" s="58">
        <v>44616</v>
      </c>
      <c r="B1777" s="55">
        <f t="shared" si="54"/>
        <v>2022</v>
      </c>
      <c r="C1777" s="55"/>
      <c r="D1777" s="55">
        <f t="shared" si="55"/>
        <v>2</v>
      </c>
      <c r="E1777" s="60">
        <v>54</v>
      </c>
      <c r="F1777" s="60">
        <v>56</v>
      </c>
      <c r="G1777" s="61">
        <v>55</v>
      </c>
      <c r="H1777" s="60">
        <v>33</v>
      </c>
      <c r="I1777" s="60">
        <v>35</v>
      </c>
      <c r="J1777" s="61">
        <v>34</v>
      </c>
    </row>
    <row r="1778" spans="1:10" x14ac:dyDescent="0.35">
      <c r="A1778" s="58">
        <v>44623</v>
      </c>
      <c r="B1778" s="55">
        <f t="shared" si="54"/>
        <v>2022</v>
      </c>
      <c r="C1778" s="55"/>
      <c r="D1778" s="55">
        <f t="shared" si="55"/>
        <v>3</v>
      </c>
      <c r="E1778" s="60">
        <v>66</v>
      </c>
      <c r="F1778" s="60">
        <v>68</v>
      </c>
      <c r="G1778" s="61">
        <v>67</v>
      </c>
      <c r="H1778" s="60">
        <v>24</v>
      </c>
      <c r="I1778" s="60">
        <v>26</v>
      </c>
      <c r="J1778" s="61">
        <v>25</v>
      </c>
    </row>
    <row r="1779" spans="1:10" x14ac:dyDescent="0.35">
      <c r="A1779" s="58">
        <v>44630</v>
      </c>
      <c r="B1779" s="55">
        <f t="shared" si="54"/>
        <v>2022</v>
      </c>
      <c r="C1779" s="55"/>
      <c r="D1779" s="55">
        <f t="shared" si="55"/>
        <v>3</v>
      </c>
      <c r="E1779" s="60">
        <v>69</v>
      </c>
      <c r="F1779" s="60">
        <v>71</v>
      </c>
      <c r="G1779" s="61">
        <v>70</v>
      </c>
      <c r="H1779" s="60">
        <v>26</v>
      </c>
      <c r="I1779" s="60">
        <v>28</v>
      </c>
      <c r="J1779" s="61">
        <v>27</v>
      </c>
    </row>
    <row r="1780" spans="1:10" x14ac:dyDescent="0.35">
      <c r="A1780" s="58">
        <v>44637</v>
      </c>
      <c r="B1780" s="55">
        <f t="shared" si="54"/>
        <v>2022</v>
      </c>
      <c r="C1780" s="55"/>
      <c r="D1780" s="55">
        <f t="shared" si="55"/>
        <v>3</v>
      </c>
      <c r="E1780" s="60">
        <v>68</v>
      </c>
      <c r="F1780" s="60">
        <v>70</v>
      </c>
      <c r="G1780" s="61">
        <v>69</v>
      </c>
      <c r="H1780" s="60">
        <v>33</v>
      </c>
      <c r="I1780" s="60">
        <v>35</v>
      </c>
      <c r="J1780" s="61">
        <v>34</v>
      </c>
    </row>
    <row r="1781" spans="1:10" x14ac:dyDescent="0.35">
      <c r="A1781" s="58">
        <v>44644</v>
      </c>
      <c r="B1781" s="55">
        <f t="shared" si="54"/>
        <v>2022</v>
      </c>
      <c r="C1781" s="55"/>
      <c r="D1781" s="55">
        <f t="shared" si="55"/>
        <v>3</v>
      </c>
      <c r="E1781" s="60">
        <v>67</v>
      </c>
      <c r="F1781" s="60">
        <v>69</v>
      </c>
      <c r="G1781" s="61">
        <v>68</v>
      </c>
      <c r="H1781" s="60">
        <v>34</v>
      </c>
      <c r="I1781" s="60">
        <v>36</v>
      </c>
      <c r="J1781" s="61">
        <v>35</v>
      </c>
    </row>
    <row r="1782" spans="1:10" x14ac:dyDescent="0.35">
      <c r="A1782" s="58">
        <v>44651</v>
      </c>
      <c r="B1782" s="55">
        <f t="shared" si="54"/>
        <v>2022</v>
      </c>
      <c r="C1782" s="55"/>
      <c r="D1782" s="55">
        <f t="shared" si="55"/>
        <v>3</v>
      </c>
      <c r="E1782" s="60">
        <v>63</v>
      </c>
      <c r="F1782" s="60">
        <v>65</v>
      </c>
      <c r="G1782" s="61">
        <v>64</v>
      </c>
      <c r="H1782" s="60">
        <v>35</v>
      </c>
      <c r="I1782" s="60">
        <v>37</v>
      </c>
      <c r="J1782" s="61">
        <v>36</v>
      </c>
    </row>
    <row r="1783" spans="1:10" x14ac:dyDescent="0.35">
      <c r="A1783" s="58">
        <v>44658</v>
      </c>
      <c r="B1783" s="55">
        <f t="shared" si="54"/>
        <v>2022</v>
      </c>
      <c r="C1783" s="55"/>
      <c r="D1783" s="55">
        <f t="shared" si="55"/>
        <v>4</v>
      </c>
      <c r="E1783" s="60">
        <v>55</v>
      </c>
      <c r="F1783" s="60">
        <v>57</v>
      </c>
      <c r="G1783" s="61">
        <v>56</v>
      </c>
      <c r="H1783" s="60">
        <v>34</v>
      </c>
      <c r="I1783" s="60">
        <v>36</v>
      </c>
      <c r="J1783" s="61">
        <v>35</v>
      </c>
    </row>
    <row r="1784" spans="1:10" x14ac:dyDescent="0.35">
      <c r="A1784" s="58">
        <v>44665</v>
      </c>
      <c r="B1784" s="55">
        <f t="shared" si="54"/>
        <v>2022</v>
      </c>
      <c r="C1784" s="55"/>
      <c r="D1784" s="55">
        <f t="shared" si="55"/>
        <v>4</v>
      </c>
      <c r="E1784" s="60">
        <v>59</v>
      </c>
      <c r="F1784" s="60">
        <v>61</v>
      </c>
      <c r="G1784" s="61">
        <v>60</v>
      </c>
      <c r="H1784" s="60">
        <v>32</v>
      </c>
      <c r="I1784" s="60">
        <v>34</v>
      </c>
      <c r="J1784" s="61">
        <v>33</v>
      </c>
    </row>
    <row r="1785" spans="1:10" x14ac:dyDescent="0.35">
      <c r="A1785" s="58">
        <v>44672</v>
      </c>
      <c r="B1785" s="55">
        <f t="shared" si="54"/>
        <v>2022</v>
      </c>
      <c r="C1785" s="55"/>
      <c r="D1785" s="55">
        <f t="shared" si="55"/>
        <v>4</v>
      </c>
      <c r="E1785" s="60">
        <v>60</v>
      </c>
      <c r="F1785" s="60">
        <v>62</v>
      </c>
      <c r="G1785" s="61">
        <v>61</v>
      </c>
      <c r="H1785" s="60">
        <v>32</v>
      </c>
      <c r="I1785" s="60">
        <v>34</v>
      </c>
      <c r="J1785" s="61">
        <v>33</v>
      </c>
    </row>
    <row r="1786" spans="1:10" x14ac:dyDescent="0.35">
      <c r="A1786" s="58">
        <v>44679</v>
      </c>
      <c r="B1786" s="55">
        <f t="shared" si="54"/>
        <v>2022</v>
      </c>
      <c r="C1786" s="55"/>
      <c r="D1786" s="55">
        <f t="shared" si="55"/>
        <v>4</v>
      </c>
      <c r="E1786" s="60">
        <v>61</v>
      </c>
      <c r="F1786" s="60">
        <v>63</v>
      </c>
      <c r="G1786" s="61">
        <v>62</v>
      </c>
      <c r="H1786" s="60">
        <v>41</v>
      </c>
      <c r="I1786" s="60">
        <v>43</v>
      </c>
      <c r="J1786" s="61">
        <v>42</v>
      </c>
    </row>
    <row r="1787" spans="1:10" x14ac:dyDescent="0.35">
      <c r="A1787" s="58">
        <v>44686</v>
      </c>
      <c r="B1787" s="55">
        <f t="shared" si="54"/>
        <v>2022</v>
      </c>
      <c r="C1787" s="55"/>
      <c r="D1787" s="55">
        <f t="shared" si="55"/>
        <v>5</v>
      </c>
      <c r="E1787" s="60">
        <v>62</v>
      </c>
      <c r="F1787" s="60">
        <v>64</v>
      </c>
      <c r="G1787" s="61">
        <v>63</v>
      </c>
      <c r="H1787" s="60">
        <v>41</v>
      </c>
      <c r="I1787" s="60">
        <v>43</v>
      </c>
      <c r="J1787" s="61">
        <v>42</v>
      </c>
    </row>
    <row r="1788" spans="1:10" x14ac:dyDescent="0.35">
      <c r="A1788" s="58">
        <v>44693</v>
      </c>
      <c r="B1788" s="55">
        <f t="shared" si="54"/>
        <v>2022</v>
      </c>
      <c r="C1788" s="55"/>
      <c r="D1788" s="55">
        <f t="shared" si="55"/>
        <v>5</v>
      </c>
      <c r="E1788" s="60">
        <v>60</v>
      </c>
      <c r="F1788" s="60">
        <v>62</v>
      </c>
      <c r="G1788" s="61">
        <v>61</v>
      </c>
      <c r="H1788" s="60">
        <v>39</v>
      </c>
      <c r="I1788" s="60">
        <v>41</v>
      </c>
      <c r="J1788" s="61">
        <v>40</v>
      </c>
    </row>
    <row r="1789" spans="1:10" x14ac:dyDescent="0.35">
      <c r="A1789" s="58">
        <v>44700</v>
      </c>
      <c r="B1789" s="55">
        <f t="shared" si="54"/>
        <v>2022</v>
      </c>
      <c r="C1789" s="55"/>
      <c r="D1789" s="55">
        <f t="shared" si="55"/>
        <v>5</v>
      </c>
      <c r="E1789" s="60">
        <v>60</v>
      </c>
      <c r="F1789" s="60">
        <v>62</v>
      </c>
      <c r="G1789" s="61">
        <v>61</v>
      </c>
      <c r="H1789" s="60">
        <v>39</v>
      </c>
      <c r="I1789" s="60">
        <v>41</v>
      </c>
      <c r="J1789" s="61">
        <v>40</v>
      </c>
    </row>
    <row r="1790" spans="1:10" x14ac:dyDescent="0.35">
      <c r="A1790" s="58">
        <v>44707</v>
      </c>
      <c r="B1790" s="55">
        <f t="shared" si="54"/>
        <v>2022</v>
      </c>
      <c r="C1790" s="55"/>
      <c r="D1790" s="55">
        <f t="shared" si="55"/>
        <v>5</v>
      </c>
      <c r="E1790" s="60">
        <v>61</v>
      </c>
      <c r="F1790" s="60">
        <v>63</v>
      </c>
      <c r="G1790" s="61">
        <v>62</v>
      </c>
      <c r="H1790" s="60">
        <v>35</v>
      </c>
      <c r="I1790" s="60">
        <v>37</v>
      </c>
      <c r="J1790" s="61">
        <v>36</v>
      </c>
    </row>
    <row r="1791" spans="1:10" x14ac:dyDescent="0.35">
      <c r="A1791" s="58">
        <v>44714</v>
      </c>
      <c r="B1791" s="55">
        <f t="shared" si="54"/>
        <v>2022</v>
      </c>
      <c r="C1791" s="55"/>
      <c r="D1791" s="55">
        <f t="shared" si="55"/>
        <v>6</v>
      </c>
      <c r="E1791" s="60">
        <v>58</v>
      </c>
      <c r="F1791" s="60">
        <v>60</v>
      </c>
      <c r="G1791" s="61">
        <v>59</v>
      </c>
      <c r="H1791" s="60">
        <v>36</v>
      </c>
      <c r="I1791" s="60">
        <v>38</v>
      </c>
      <c r="J1791" s="61">
        <v>37</v>
      </c>
    </row>
    <row r="1792" spans="1:10" x14ac:dyDescent="0.35">
      <c r="A1792" s="58">
        <v>44721</v>
      </c>
      <c r="B1792" s="55">
        <f t="shared" si="54"/>
        <v>2022</v>
      </c>
      <c r="C1792" s="55"/>
      <c r="D1792" s="55">
        <f t="shared" si="55"/>
        <v>6</v>
      </c>
      <c r="E1792" s="60">
        <v>61</v>
      </c>
      <c r="F1792" s="60">
        <v>63</v>
      </c>
      <c r="G1792" s="61">
        <v>62</v>
      </c>
      <c r="H1792" s="60">
        <v>33</v>
      </c>
      <c r="I1792" s="60">
        <v>35</v>
      </c>
      <c r="J1792" s="61">
        <v>34</v>
      </c>
    </row>
    <row r="1793" spans="1:10" x14ac:dyDescent="0.35">
      <c r="A1793" s="58">
        <v>44728</v>
      </c>
      <c r="B1793" s="55">
        <f t="shared" si="54"/>
        <v>2022</v>
      </c>
      <c r="C1793" s="55"/>
      <c r="D1793" s="55">
        <f t="shared" si="55"/>
        <v>6</v>
      </c>
      <c r="E1793" s="60">
        <v>65</v>
      </c>
      <c r="F1793" s="60">
        <v>67</v>
      </c>
      <c r="G1793" s="61">
        <v>66</v>
      </c>
      <c r="H1793" s="60">
        <v>33</v>
      </c>
      <c r="I1793" s="60">
        <v>35</v>
      </c>
      <c r="J1793" s="61">
        <v>34</v>
      </c>
    </row>
    <row r="1794" spans="1:10" x14ac:dyDescent="0.35">
      <c r="A1794" s="58">
        <v>44735</v>
      </c>
      <c r="B1794" s="55">
        <f t="shared" si="54"/>
        <v>2022</v>
      </c>
      <c r="C1794" s="55"/>
      <c r="D1794" s="55">
        <f t="shared" si="55"/>
        <v>6</v>
      </c>
      <c r="E1794" s="60">
        <v>62</v>
      </c>
      <c r="F1794" s="60">
        <v>64</v>
      </c>
      <c r="G1794" s="61">
        <v>63</v>
      </c>
      <c r="H1794" s="60">
        <v>34</v>
      </c>
      <c r="I1794" s="60">
        <v>36</v>
      </c>
      <c r="J1794" s="61">
        <v>35</v>
      </c>
    </row>
    <row r="1795" spans="1:10" x14ac:dyDescent="0.35">
      <c r="A1795" s="58">
        <v>44742</v>
      </c>
      <c r="B1795" s="55">
        <f t="shared" si="54"/>
        <v>2022</v>
      </c>
      <c r="C1795" s="55"/>
      <c r="D1795" s="55">
        <f t="shared" si="55"/>
        <v>6</v>
      </c>
      <c r="E1795" s="60">
        <v>62</v>
      </c>
      <c r="F1795" s="60">
        <v>64</v>
      </c>
      <c r="G1795" s="61">
        <v>63</v>
      </c>
      <c r="H1795" s="60">
        <v>32</v>
      </c>
      <c r="I1795" s="60">
        <v>34</v>
      </c>
      <c r="J1795" s="61">
        <v>33</v>
      </c>
    </row>
    <row r="1796" spans="1:10" x14ac:dyDescent="0.35">
      <c r="A1796" s="58">
        <v>44749</v>
      </c>
      <c r="B1796" s="55">
        <f t="shared" ref="B1796:B1859" si="56">YEAR(A1796)</f>
        <v>2022</v>
      </c>
      <c r="C1796" s="55"/>
      <c r="D1796" s="55">
        <f t="shared" ref="D1796:D1859" si="57">MONTH(A1796)</f>
        <v>7</v>
      </c>
      <c r="E1796" s="60">
        <v>56</v>
      </c>
      <c r="F1796" s="60">
        <v>58</v>
      </c>
      <c r="G1796" s="61">
        <v>57</v>
      </c>
      <c r="H1796" s="60">
        <v>31</v>
      </c>
      <c r="I1796" s="60">
        <v>33</v>
      </c>
      <c r="J1796" s="61">
        <v>32</v>
      </c>
    </row>
    <row r="1797" spans="1:10" x14ac:dyDescent="0.35">
      <c r="A1797" s="58">
        <v>44756</v>
      </c>
      <c r="B1797" s="55">
        <f t="shared" si="56"/>
        <v>2022</v>
      </c>
      <c r="C1797" s="55"/>
      <c r="D1797" s="55">
        <f t="shared" si="57"/>
        <v>7</v>
      </c>
      <c r="E1797" s="60">
        <v>54</v>
      </c>
      <c r="F1797" s="60">
        <v>56</v>
      </c>
      <c r="G1797" s="61">
        <v>55</v>
      </c>
      <c r="H1797" s="60">
        <v>30</v>
      </c>
      <c r="I1797" s="60">
        <v>32</v>
      </c>
      <c r="J1797" s="61">
        <v>31</v>
      </c>
    </row>
    <row r="1798" spans="1:10" x14ac:dyDescent="0.35">
      <c r="A1798" s="58">
        <v>44763</v>
      </c>
      <c r="B1798" s="55">
        <f t="shared" si="56"/>
        <v>2022</v>
      </c>
      <c r="C1798" s="55"/>
      <c r="D1798" s="55">
        <f t="shared" si="57"/>
        <v>7</v>
      </c>
      <c r="E1798" s="60">
        <v>49</v>
      </c>
      <c r="F1798" s="60">
        <v>51</v>
      </c>
      <c r="G1798" s="61">
        <v>50</v>
      </c>
      <c r="H1798" s="60">
        <v>31</v>
      </c>
      <c r="I1798" s="60">
        <v>33</v>
      </c>
      <c r="J1798" s="61">
        <v>32</v>
      </c>
    </row>
    <row r="1799" spans="1:10" x14ac:dyDescent="0.35">
      <c r="A1799" s="58">
        <v>44770</v>
      </c>
      <c r="B1799" s="55">
        <f t="shared" si="56"/>
        <v>2022</v>
      </c>
      <c r="C1799" s="55"/>
      <c r="D1799" s="55">
        <f t="shared" si="57"/>
        <v>7</v>
      </c>
      <c r="E1799" s="60">
        <v>46</v>
      </c>
      <c r="F1799" s="60">
        <v>48</v>
      </c>
      <c r="G1799" s="61">
        <v>47</v>
      </c>
      <c r="H1799" s="60">
        <v>30</v>
      </c>
      <c r="I1799" s="60">
        <v>32</v>
      </c>
      <c r="J1799" s="61">
        <v>31</v>
      </c>
    </row>
    <row r="1800" spans="1:10" x14ac:dyDescent="0.35">
      <c r="A1800" s="58">
        <v>44777</v>
      </c>
      <c r="B1800" s="55">
        <f t="shared" si="56"/>
        <v>2022</v>
      </c>
      <c r="C1800" s="55"/>
      <c r="D1800" s="55">
        <f t="shared" si="57"/>
        <v>8</v>
      </c>
      <c r="E1800" s="60">
        <v>45</v>
      </c>
      <c r="F1800" s="60">
        <v>47</v>
      </c>
      <c r="G1800" s="61">
        <v>46</v>
      </c>
      <c r="H1800" s="60">
        <v>30</v>
      </c>
      <c r="I1800" s="60">
        <v>32</v>
      </c>
      <c r="J1800" s="61">
        <v>31</v>
      </c>
    </row>
    <row r="1801" spans="1:10" x14ac:dyDescent="0.35">
      <c r="A1801" s="58">
        <v>44784</v>
      </c>
      <c r="B1801" s="55">
        <f t="shared" si="56"/>
        <v>2022</v>
      </c>
      <c r="C1801" s="55"/>
      <c r="D1801" s="55">
        <f t="shared" si="57"/>
        <v>8</v>
      </c>
      <c r="E1801" s="60">
        <v>39</v>
      </c>
      <c r="F1801" s="60">
        <v>41</v>
      </c>
      <c r="G1801" s="61">
        <v>40</v>
      </c>
      <c r="H1801" s="60">
        <v>30</v>
      </c>
      <c r="I1801" s="60">
        <v>32</v>
      </c>
      <c r="J1801" s="61">
        <v>31</v>
      </c>
    </row>
    <row r="1802" spans="1:10" x14ac:dyDescent="0.35">
      <c r="A1802" s="58">
        <v>44791</v>
      </c>
      <c r="B1802" s="55">
        <f t="shared" si="56"/>
        <v>2022</v>
      </c>
      <c r="C1802" s="55"/>
      <c r="D1802" s="55">
        <f t="shared" si="57"/>
        <v>8</v>
      </c>
      <c r="E1802" s="60">
        <v>43</v>
      </c>
      <c r="F1802" s="60">
        <v>45</v>
      </c>
      <c r="G1802" s="61">
        <v>44</v>
      </c>
      <c r="H1802" s="60">
        <v>30</v>
      </c>
      <c r="I1802" s="60">
        <v>32</v>
      </c>
      <c r="J1802" s="61">
        <v>31</v>
      </c>
    </row>
    <row r="1803" spans="1:10" x14ac:dyDescent="0.35">
      <c r="A1803" s="58">
        <v>44798</v>
      </c>
      <c r="B1803" s="55">
        <f t="shared" si="56"/>
        <v>2022</v>
      </c>
      <c r="C1803" s="55"/>
      <c r="D1803" s="55">
        <f t="shared" si="57"/>
        <v>8</v>
      </c>
      <c r="E1803" s="60">
        <v>42</v>
      </c>
      <c r="F1803" s="60">
        <v>44</v>
      </c>
      <c r="G1803" s="61">
        <v>43</v>
      </c>
      <c r="H1803" s="60">
        <v>30</v>
      </c>
      <c r="I1803" s="60">
        <v>32</v>
      </c>
      <c r="J1803" s="61">
        <v>31</v>
      </c>
    </row>
    <row r="1804" spans="1:10" x14ac:dyDescent="0.35">
      <c r="A1804" s="58">
        <v>44805</v>
      </c>
      <c r="B1804" s="55">
        <f t="shared" si="56"/>
        <v>2022</v>
      </c>
      <c r="C1804" s="55"/>
      <c r="D1804" s="55">
        <f t="shared" si="57"/>
        <v>9</v>
      </c>
      <c r="E1804" s="60">
        <v>41</v>
      </c>
      <c r="F1804" s="60">
        <v>43</v>
      </c>
      <c r="G1804" s="61">
        <v>42</v>
      </c>
      <c r="H1804" s="60">
        <v>28</v>
      </c>
      <c r="I1804" s="60">
        <v>30</v>
      </c>
      <c r="J1804" s="61">
        <v>29</v>
      </c>
    </row>
    <row r="1805" spans="1:10" x14ac:dyDescent="0.35">
      <c r="A1805" s="58">
        <v>44812</v>
      </c>
      <c r="B1805" s="55">
        <f t="shared" si="56"/>
        <v>2022</v>
      </c>
      <c r="C1805" s="55"/>
      <c r="D1805" s="55">
        <f t="shared" si="57"/>
        <v>9</v>
      </c>
      <c r="E1805" s="60">
        <v>37</v>
      </c>
      <c r="F1805" s="60">
        <v>39</v>
      </c>
      <c r="G1805" s="61">
        <v>38</v>
      </c>
      <c r="H1805" s="60">
        <v>28</v>
      </c>
      <c r="I1805" s="60">
        <v>30</v>
      </c>
      <c r="J1805" s="61">
        <v>29</v>
      </c>
    </row>
    <row r="1806" spans="1:10" x14ac:dyDescent="0.35">
      <c r="A1806" s="58">
        <v>44819</v>
      </c>
      <c r="B1806" s="55">
        <f t="shared" si="56"/>
        <v>2022</v>
      </c>
      <c r="C1806" s="55"/>
      <c r="D1806" s="55">
        <f t="shared" si="57"/>
        <v>9</v>
      </c>
      <c r="E1806" s="60">
        <v>38</v>
      </c>
      <c r="F1806" s="60">
        <v>40</v>
      </c>
      <c r="G1806" s="61">
        <v>39</v>
      </c>
      <c r="H1806" s="60">
        <v>28</v>
      </c>
      <c r="I1806" s="60">
        <v>30</v>
      </c>
      <c r="J1806" s="61">
        <v>29</v>
      </c>
    </row>
    <row r="1807" spans="1:10" x14ac:dyDescent="0.35">
      <c r="A1807" s="58">
        <v>44826</v>
      </c>
      <c r="B1807" s="55">
        <f t="shared" si="56"/>
        <v>2022</v>
      </c>
      <c r="C1807" s="55"/>
      <c r="D1807" s="55">
        <f t="shared" si="57"/>
        <v>9</v>
      </c>
      <c r="E1807" s="60">
        <v>39</v>
      </c>
      <c r="F1807" s="60">
        <v>41</v>
      </c>
      <c r="G1807" s="61">
        <v>40</v>
      </c>
      <c r="H1807" s="60">
        <v>28</v>
      </c>
      <c r="I1807" s="60">
        <v>30</v>
      </c>
      <c r="J1807" s="61">
        <v>29</v>
      </c>
    </row>
    <row r="1808" spans="1:10" x14ac:dyDescent="0.35">
      <c r="A1808" s="58">
        <v>44833</v>
      </c>
      <c r="B1808" s="55">
        <f t="shared" si="56"/>
        <v>2022</v>
      </c>
      <c r="C1808" s="55"/>
      <c r="D1808" s="55">
        <f t="shared" si="57"/>
        <v>9</v>
      </c>
      <c r="E1808" s="60">
        <v>40</v>
      </c>
      <c r="F1808" s="60">
        <v>42</v>
      </c>
      <c r="G1808" s="61">
        <v>41</v>
      </c>
      <c r="H1808" s="60">
        <v>32</v>
      </c>
      <c r="I1808" s="60">
        <v>34</v>
      </c>
      <c r="J1808" s="61">
        <v>33</v>
      </c>
    </row>
    <row r="1809" spans="1:10" x14ac:dyDescent="0.35">
      <c r="A1809" s="58">
        <v>44840</v>
      </c>
      <c r="B1809" s="55">
        <f t="shared" si="56"/>
        <v>2022</v>
      </c>
      <c r="C1809" s="55"/>
      <c r="D1809" s="55">
        <f t="shared" si="57"/>
        <v>10</v>
      </c>
      <c r="E1809" s="60">
        <v>38</v>
      </c>
      <c r="F1809" s="60">
        <v>40</v>
      </c>
      <c r="G1809" s="61">
        <v>39</v>
      </c>
      <c r="H1809" s="60">
        <v>33</v>
      </c>
      <c r="I1809" s="60">
        <v>35</v>
      </c>
      <c r="J1809" s="61">
        <v>34</v>
      </c>
    </row>
    <row r="1810" spans="1:10" x14ac:dyDescent="0.35">
      <c r="A1810" s="58">
        <v>44847</v>
      </c>
      <c r="B1810" s="55">
        <f t="shared" si="56"/>
        <v>2022</v>
      </c>
      <c r="C1810" s="55"/>
      <c r="D1810" s="55">
        <f t="shared" si="57"/>
        <v>10</v>
      </c>
      <c r="E1810" s="60">
        <v>38</v>
      </c>
      <c r="F1810" s="60">
        <v>40</v>
      </c>
      <c r="G1810" s="61">
        <v>39</v>
      </c>
      <c r="H1810" s="60">
        <v>35</v>
      </c>
      <c r="I1810" s="60">
        <v>37</v>
      </c>
      <c r="J1810" s="61">
        <v>36</v>
      </c>
    </row>
    <row r="1811" spans="1:10" x14ac:dyDescent="0.35">
      <c r="A1811" s="58">
        <v>44854</v>
      </c>
      <c r="B1811" s="55">
        <f t="shared" si="56"/>
        <v>2022</v>
      </c>
      <c r="C1811" s="55"/>
      <c r="D1811" s="55">
        <f t="shared" si="57"/>
        <v>10</v>
      </c>
      <c r="E1811" s="60">
        <v>38</v>
      </c>
      <c r="F1811" s="60">
        <v>40</v>
      </c>
      <c r="G1811" s="61">
        <v>39</v>
      </c>
      <c r="H1811" s="60">
        <v>36</v>
      </c>
      <c r="I1811" s="60">
        <v>38</v>
      </c>
      <c r="J1811" s="61">
        <v>37</v>
      </c>
    </row>
    <row r="1812" spans="1:10" x14ac:dyDescent="0.35">
      <c r="A1812" s="58">
        <v>44861</v>
      </c>
      <c r="B1812" s="55">
        <f t="shared" si="56"/>
        <v>2022</v>
      </c>
      <c r="C1812" s="55"/>
      <c r="D1812" s="55">
        <f t="shared" si="57"/>
        <v>10</v>
      </c>
      <c r="E1812" s="60">
        <v>37</v>
      </c>
      <c r="F1812" s="60">
        <v>39</v>
      </c>
      <c r="G1812" s="61">
        <v>38</v>
      </c>
      <c r="H1812" s="60">
        <v>37</v>
      </c>
      <c r="I1812" s="60">
        <v>39</v>
      </c>
      <c r="J1812" s="61">
        <v>38</v>
      </c>
    </row>
    <row r="1813" spans="1:10" x14ac:dyDescent="0.35">
      <c r="A1813" s="58">
        <v>44868</v>
      </c>
      <c r="B1813" s="55">
        <f t="shared" si="56"/>
        <v>2022</v>
      </c>
      <c r="C1813" s="55"/>
      <c r="D1813" s="55">
        <f t="shared" si="57"/>
        <v>11</v>
      </c>
      <c r="E1813" s="60">
        <v>35</v>
      </c>
      <c r="F1813" s="60">
        <v>37</v>
      </c>
      <c r="G1813" s="61">
        <v>36</v>
      </c>
      <c r="H1813" s="60">
        <v>35</v>
      </c>
      <c r="I1813" s="60">
        <v>37</v>
      </c>
      <c r="J1813" s="61">
        <v>36</v>
      </c>
    </row>
    <row r="1814" spans="1:10" x14ac:dyDescent="0.35">
      <c r="A1814" s="58">
        <v>44875</v>
      </c>
      <c r="B1814" s="55">
        <f t="shared" si="56"/>
        <v>2022</v>
      </c>
      <c r="C1814" s="55"/>
      <c r="D1814" s="55">
        <f t="shared" si="57"/>
        <v>11</v>
      </c>
      <c r="E1814" s="60">
        <v>32</v>
      </c>
      <c r="F1814" s="60">
        <v>34</v>
      </c>
      <c r="G1814" s="61">
        <v>33</v>
      </c>
      <c r="H1814" s="60">
        <v>34</v>
      </c>
      <c r="I1814" s="60">
        <v>36</v>
      </c>
      <c r="J1814" s="61">
        <v>35</v>
      </c>
    </row>
    <row r="1815" spans="1:10" x14ac:dyDescent="0.35">
      <c r="A1815" s="58">
        <v>44882</v>
      </c>
      <c r="B1815" s="55">
        <f t="shared" si="56"/>
        <v>2022</v>
      </c>
      <c r="C1815" s="55"/>
      <c r="D1815" s="55">
        <f t="shared" si="57"/>
        <v>11</v>
      </c>
      <c r="E1815" s="60">
        <v>30</v>
      </c>
      <c r="F1815" s="60">
        <v>32</v>
      </c>
      <c r="G1815" s="61">
        <v>31</v>
      </c>
      <c r="H1815" s="60">
        <v>34</v>
      </c>
      <c r="I1815" s="60">
        <v>36</v>
      </c>
      <c r="J1815" s="61">
        <v>35</v>
      </c>
    </row>
    <row r="1816" spans="1:10" x14ac:dyDescent="0.35">
      <c r="A1816" s="58">
        <v>44889</v>
      </c>
      <c r="B1816" s="55">
        <f t="shared" si="56"/>
        <v>2022</v>
      </c>
      <c r="C1816" s="55"/>
      <c r="D1816" s="55">
        <f t="shared" si="57"/>
        <v>11</v>
      </c>
      <c r="E1816" s="60">
        <v>28</v>
      </c>
      <c r="F1816" s="60">
        <v>30</v>
      </c>
      <c r="G1816" s="61">
        <v>29</v>
      </c>
      <c r="H1816" s="60">
        <v>33</v>
      </c>
      <c r="I1816" s="60">
        <v>35</v>
      </c>
      <c r="J1816" s="61">
        <v>34</v>
      </c>
    </row>
    <row r="1817" spans="1:10" x14ac:dyDescent="0.35">
      <c r="A1817" s="58">
        <v>44896</v>
      </c>
      <c r="B1817" s="55">
        <f t="shared" si="56"/>
        <v>2022</v>
      </c>
      <c r="C1817" s="55"/>
      <c r="D1817" s="55">
        <f t="shared" si="57"/>
        <v>12</v>
      </c>
      <c r="E1817" s="60">
        <v>28</v>
      </c>
      <c r="F1817" s="60">
        <v>30</v>
      </c>
      <c r="G1817" s="61">
        <v>29</v>
      </c>
      <c r="H1817" s="60">
        <v>32</v>
      </c>
      <c r="I1817" s="60">
        <v>34</v>
      </c>
      <c r="J1817" s="61">
        <v>33</v>
      </c>
    </row>
    <row r="1818" spans="1:10" x14ac:dyDescent="0.35">
      <c r="A1818" s="58">
        <v>44903</v>
      </c>
      <c r="B1818" s="55">
        <f t="shared" si="56"/>
        <v>2022</v>
      </c>
      <c r="C1818" s="55"/>
      <c r="D1818" s="55">
        <f t="shared" si="57"/>
        <v>12</v>
      </c>
      <c r="E1818" s="60">
        <v>28</v>
      </c>
      <c r="F1818" s="60">
        <v>30</v>
      </c>
      <c r="G1818" s="61">
        <v>29</v>
      </c>
      <c r="H1818" s="60">
        <v>31</v>
      </c>
      <c r="I1818" s="60">
        <v>33</v>
      </c>
      <c r="J1818" s="61">
        <v>32</v>
      </c>
    </row>
    <row r="1819" spans="1:10" x14ac:dyDescent="0.35">
      <c r="A1819" s="58">
        <v>44910</v>
      </c>
      <c r="B1819" s="55">
        <f t="shared" si="56"/>
        <v>2022</v>
      </c>
      <c r="C1819" s="55"/>
      <c r="D1819" s="55">
        <f t="shared" si="57"/>
        <v>12</v>
      </c>
      <c r="E1819" s="60">
        <v>30</v>
      </c>
      <c r="F1819" s="60">
        <v>32</v>
      </c>
      <c r="G1819" s="61">
        <v>31</v>
      </c>
      <c r="H1819" s="60">
        <v>29</v>
      </c>
      <c r="I1819" s="60">
        <v>31</v>
      </c>
      <c r="J1819" s="61">
        <v>30</v>
      </c>
    </row>
    <row r="1820" spans="1:10" x14ac:dyDescent="0.35">
      <c r="A1820" s="58">
        <v>44917</v>
      </c>
      <c r="B1820" s="55">
        <f t="shared" si="56"/>
        <v>2022</v>
      </c>
      <c r="C1820" s="55"/>
      <c r="D1820" s="55">
        <f t="shared" si="57"/>
        <v>12</v>
      </c>
      <c r="E1820" s="60">
        <v>25</v>
      </c>
      <c r="F1820" s="60">
        <v>27</v>
      </c>
      <c r="G1820" s="61">
        <v>26</v>
      </c>
      <c r="H1820" s="60">
        <v>27</v>
      </c>
      <c r="I1820" s="60">
        <v>29</v>
      </c>
      <c r="J1820" s="61">
        <v>28</v>
      </c>
    </row>
    <row r="1821" spans="1:10" x14ac:dyDescent="0.35">
      <c r="A1821" s="58">
        <v>44924</v>
      </c>
      <c r="B1821" s="55">
        <f t="shared" si="56"/>
        <v>2022</v>
      </c>
      <c r="C1821" s="55"/>
      <c r="D1821" s="55">
        <f t="shared" si="57"/>
        <v>12</v>
      </c>
    </row>
    <row r="1822" spans="1:10" x14ac:dyDescent="0.35">
      <c r="A1822" s="58">
        <v>44931</v>
      </c>
      <c r="B1822" s="55">
        <f t="shared" si="56"/>
        <v>2023</v>
      </c>
      <c r="C1822" s="55"/>
      <c r="D1822" s="55">
        <f t="shared" si="57"/>
        <v>1</v>
      </c>
      <c r="E1822" s="60">
        <v>27</v>
      </c>
      <c r="F1822" s="60">
        <v>29</v>
      </c>
      <c r="G1822" s="61">
        <v>28</v>
      </c>
      <c r="H1822" s="60">
        <v>25</v>
      </c>
      <c r="I1822" s="60">
        <v>27</v>
      </c>
      <c r="J1822" s="61">
        <v>26</v>
      </c>
    </row>
    <row r="1823" spans="1:10" x14ac:dyDescent="0.35">
      <c r="A1823" s="58">
        <v>44938</v>
      </c>
      <c r="B1823" s="55">
        <f t="shared" si="56"/>
        <v>2023</v>
      </c>
      <c r="C1823" s="55"/>
      <c r="D1823" s="55">
        <f t="shared" si="57"/>
        <v>1</v>
      </c>
      <c r="E1823" s="60">
        <v>27</v>
      </c>
      <c r="F1823" s="60">
        <v>29</v>
      </c>
      <c r="G1823" s="61">
        <v>28</v>
      </c>
      <c r="H1823" s="60">
        <v>20</v>
      </c>
      <c r="I1823" s="60">
        <v>22</v>
      </c>
      <c r="J1823" s="61">
        <v>21</v>
      </c>
    </row>
    <row r="1824" spans="1:10" x14ac:dyDescent="0.35">
      <c r="A1824" s="58">
        <v>44945</v>
      </c>
      <c r="B1824" s="55">
        <f t="shared" si="56"/>
        <v>2023</v>
      </c>
      <c r="C1824" s="55"/>
      <c r="D1824" s="55">
        <f t="shared" si="57"/>
        <v>1</v>
      </c>
      <c r="E1824" s="60">
        <v>26</v>
      </c>
      <c r="F1824" s="60">
        <v>28</v>
      </c>
      <c r="G1824" s="61">
        <v>27</v>
      </c>
      <c r="H1824" s="60">
        <v>20</v>
      </c>
      <c r="I1824" s="60">
        <v>22</v>
      </c>
      <c r="J1824" s="61">
        <v>21</v>
      </c>
    </row>
    <row r="1825" spans="1:10" x14ac:dyDescent="0.35">
      <c r="A1825" s="58">
        <v>44952</v>
      </c>
      <c r="B1825" s="55">
        <f t="shared" si="56"/>
        <v>2023</v>
      </c>
      <c r="C1825" s="55"/>
      <c r="D1825" s="55">
        <f t="shared" si="57"/>
        <v>1</v>
      </c>
      <c r="E1825" s="60">
        <v>28</v>
      </c>
      <c r="F1825" s="60">
        <v>30</v>
      </c>
      <c r="G1825" s="61">
        <v>29</v>
      </c>
      <c r="H1825" s="60">
        <v>21</v>
      </c>
      <c r="I1825" s="60">
        <v>23</v>
      </c>
      <c r="J1825" s="61">
        <v>22</v>
      </c>
    </row>
    <row r="1826" spans="1:10" x14ac:dyDescent="0.35">
      <c r="A1826" s="58">
        <v>44959</v>
      </c>
      <c r="B1826" s="55">
        <f t="shared" si="56"/>
        <v>2023</v>
      </c>
      <c r="C1826" s="55"/>
      <c r="D1826" s="55">
        <f t="shared" si="57"/>
        <v>2</v>
      </c>
      <c r="E1826" s="60">
        <v>29</v>
      </c>
      <c r="F1826" s="60">
        <v>31</v>
      </c>
      <c r="G1826" s="61">
        <v>30</v>
      </c>
      <c r="H1826" s="60">
        <v>18</v>
      </c>
      <c r="I1826" s="60">
        <v>20</v>
      </c>
      <c r="J1826" s="61">
        <v>19</v>
      </c>
    </row>
    <row r="1827" spans="1:10" x14ac:dyDescent="0.35">
      <c r="A1827" s="58">
        <v>44966</v>
      </c>
      <c r="B1827" s="55">
        <f t="shared" si="56"/>
        <v>2023</v>
      </c>
      <c r="C1827" s="55"/>
      <c r="D1827" s="55">
        <f t="shared" si="57"/>
        <v>2</v>
      </c>
      <c r="E1827" s="60">
        <v>28</v>
      </c>
      <c r="F1827" s="60">
        <v>30</v>
      </c>
      <c r="G1827" s="61">
        <v>29</v>
      </c>
      <c r="H1827" s="60">
        <v>18</v>
      </c>
      <c r="I1827" s="60">
        <v>20</v>
      </c>
      <c r="J1827" s="61">
        <v>19</v>
      </c>
    </row>
    <row r="1828" spans="1:10" x14ac:dyDescent="0.35">
      <c r="A1828" s="58">
        <v>44973</v>
      </c>
      <c r="B1828" s="55">
        <f t="shared" si="56"/>
        <v>2023</v>
      </c>
      <c r="C1828" s="55"/>
      <c r="D1828" s="55">
        <f t="shared" si="57"/>
        <v>2</v>
      </c>
      <c r="E1828" s="60">
        <v>28</v>
      </c>
      <c r="F1828" s="60">
        <v>30</v>
      </c>
      <c r="G1828" s="61">
        <v>29</v>
      </c>
      <c r="H1828" s="60">
        <v>19</v>
      </c>
      <c r="I1828" s="60">
        <v>21</v>
      </c>
      <c r="J1828" s="61">
        <v>20</v>
      </c>
    </row>
    <row r="1829" spans="1:10" x14ac:dyDescent="0.35">
      <c r="A1829" s="58">
        <v>44980</v>
      </c>
      <c r="B1829" s="55">
        <f t="shared" si="56"/>
        <v>2023</v>
      </c>
      <c r="C1829" s="55"/>
      <c r="D1829" s="55">
        <f t="shared" si="57"/>
        <v>2</v>
      </c>
      <c r="E1829" s="60">
        <v>29</v>
      </c>
      <c r="F1829" s="60">
        <v>31</v>
      </c>
      <c r="G1829" s="61">
        <v>30</v>
      </c>
      <c r="H1829" s="60">
        <v>19</v>
      </c>
      <c r="I1829" s="60">
        <v>21</v>
      </c>
      <c r="J1829" s="61">
        <v>20</v>
      </c>
    </row>
    <row r="1830" spans="1:10" x14ac:dyDescent="0.35">
      <c r="A1830" s="58">
        <v>44987</v>
      </c>
      <c r="B1830" s="55">
        <f t="shared" si="56"/>
        <v>2023</v>
      </c>
      <c r="C1830" s="55"/>
      <c r="D1830" s="55">
        <f t="shared" si="57"/>
        <v>3</v>
      </c>
      <c r="E1830" s="60">
        <v>32</v>
      </c>
      <c r="F1830" s="60">
        <v>34</v>
      </c>
      <c r="G1830" s="61">
        <v>33</v>
      </c>
      <c r="H1830" s="60">
        <v>21</v>
      </c>
      <c r="I1830" s="60">
        <v>23</v>
      </c>
      <c r="J1830" s="61">
        <v>22</v>
      </c>
    </row>
    <row r="1831" spans="1:10" x14ac:dyDescent="0.35">
      <c r="A1831" s="58">
        <v>44994</v>
      </c>
      <c r="B1831" s="55">
        <f t="shared" si="56"/>
        <v>2023</v>
      </c>
      <c r="C1831" s="55"/>
      <c r="D1831" s="55">
        <f t="shared" si="57"/>
        <v>3</v>
      </c>
      <c r="E1831" s="60">
        <v>33</v>
      </c>
      <c r="F1831" s="60">
        <v>35</v>
      </c>
      <c r="G1831" s="61">
        <v>34</v>
      </c>
      <c r="H1831" s="60">
        <v>23</v>
      </c>
      <c r="I1831" s="60">
        <v>25</v>
      </c>
      <c r="J1831" s="61">
        <v>24</v>
      </c>
    </row>
    <row r="1832" spans="1:10" x14ac:dyDescent="0.35">
      <c r="A1832" s="58">
        <v>45001</v>
      </c>
      <c r="B1832" s="55">
        <f t="shared" si="56"/>
        <v>2023</v>
      </c>
      <c r="C1832" s="55"/>
      <c r="D1832" s="55">
        <f t="shared" si="57"/>
        <v>3</v>
      </c>
      <c r="E1832" s="60">
        <v>39</v>
      </c>
      <c r="F1832" s="60">
        <v>41</v>
      </c>
      <c r="G1832" s="61">
        <v>40</v>
      </c>
      <c r="H1832" s="60">
        <v>23</v>
      </c>
      <c r="I1832" s="60">
        <v>25</v>
      </c>
      <c r="J1832" s="61">
        <v>24</v>
      </c>
    </row>
    <row r="1833" spans="1:10" x14ac:dyDescent="0.35">
      <c r="A1833" s="58">
        <v>45008</v>
      </c>
      <c r="B1833" s="55">
        <f t="shared" si="56"/>
        <v>2023</v>
      </c>
      <c r="C1833" s="55"/>
      <c r="D1833" s="55">
        <f t="shared" si="57"/>
        <v>3</v>
      </c>
      <c r="E1833" s="60">
        <v>38</v>
      </c>
      <c r="F1833" s="60">
        <v>40</v>
      </c>
      <c r="G1833" s="61">
        <v>39</v>
      </c>
      <c r="H1833" s="60">
        <v>23</v>
      </c>
      <c r="I1833" s="60">
        <v>25</v>
      </c>
      <c r="J1833" s="61">
        <v>24</v>
      </c>
    </row>
    <row r="1834" spans="1:10" x14ac:dyDescent="0.35">
      <c r="A1834" s="58">
        <v>45015</v>
      </c>
      <c r="B1834" s="55">
        <f t="shared" si="56"/>
        <v>2023</v>
      </c>
      <c r="C1834" s="55"/>
      <c r="D1834" s="55">
        <f t="shared" si="57"/>
        <v>3</v>
      </c>
      <c r="E1834" s="60">
        <v>33</v>
      </c>
      <c r="F1834" s="60">
        <v>35</v>
      </c>
      <c r="G1834" s="61">
        <v>34</v>
      </c>
      <c r="H1834" s="60">
        <v>22</v>
      </c>
      <c r="I1834" s="60">
        <v>24</v>
      </c>
      <c r="J1834" s="61">
        <v>23</v>
      </c>
    </row>
    <row r="1835" spans="1:10" x14ac:dyDescent="0.35">
      <c r="A1835" s="58">
        <v>45022</v>
      </c>
      <c r="B1835" s="55">
        <f t="shared" si="56"/>
        <v>2023</v>
      </c>
      <c r="C1835" s="55"/>
      <c r="D1835" s="55">
        <f t="shared" si="57"/>
        <v>4</v>
      </c>
      <c r="E1835" s="60">
        <v>33</v>
      </c>
      <c r="F1835" s="60">
        <v>35</v>
      </c>
      <c r="G1835" s="61">
        <v>34</v>
      </c>
      <c r="H1835" s="60">
        <v>22</v>
      </c>
      <c r="I1835" s="60">
        <v>24</v>
      </c>
      <c r="J1835" s="61">
        <v>23</v>
      </c>
    </row>
    <row r="1836" spans="1:10" x14ac:dyDescent="0.35">
      <c r="A1836" s="58">
        <v>45029</v>
      </c>
      <c r="B1836" s="55">
        <f t="shared" si="56"/>
        <v>2023</v>
      </c>
      <c r="C1836" s="55"/>
      <c r="D1836" s="55">
        <f t="shared" si="57"/>
        <v>4</v>
      </c>
      <c r="E1836" s="60">
        <v>31</v>
      </c>
      <c r="F1836" s="60">
        <v>33</v>
      </c>
      <c r="G1836" s="61">
        <v>32</v>
      </c>
      <c r="H1836" s="60">
        <v>21</v>
      </c>
      <c r="I1836" s="60">
        <v>23</v>
      </c>
      <c r="J1836" s="61">
        <v>22</v>
      </c>
    </row>
    <row r="1837" spans="1:10" x14ac:dyDescent="0.35">
      <c r="A1837" s="58">
        <v>45036</v>
      </c>
      <c r="B1837" s="55">
        <f t="shared" si="56"/>
        <v>2023</v>
      </c>
      <c r="C1837" s="55"/>
      <c r="D1837" s="55">
        <f t="shared" si="57"/>
        <v>4</v>
      </c>
      <c r="E1837" s="60">
        <v>30</v>
      </c>
      <c r="F1837" s="60">
        <v>32</v>
      </c>
      <c r="G1837" s="61">
        <v>31</v>
      </c>
      <c r="H1837" s="60">
        <v>23</v>
      </c>
      <c r="I1837" s="60">
        <v>25</v>
      </c>
      <c r="J1837" s="61">
        <v>24</v>
      </c>
    </row>
    <row r="1838" spans="1:10" x14ac:dyDescent="0.35">
      <c r="A1838" s="58">
        <v>45043</v>
      </c>
      <c r="B1838" s="55">
        <f t="shared" si="56"/>
        <v>2023</v>
      </c>
      <c r="C1838" s="55"/>
      <c r="D1838" s="55">
        <f t="shared" si="57"/>
        <v>4</v>
      </c>
      <c r="E1838" s="60">
        <v>30</v>
      </c>
      <c r="F1838" s="60">
        <v>32</v>
      </c>
      <c r="G1838" s="61">
        <v>31</v>
      </c>
      <c r="H1838" s="60">
        <v>23</v>
      </c>
      <c r="I1838" s="60">
        <v>25</v>
      </c>
      <c r="J1838" s="61">
        <v>24</v>
      </c>
    </row>
    <row r="1839" spans="1:10" x14ac:dyDescent="0.35">
      <c r="A1839" s="58">
        <v>45050</v>
      </c>
      <c r="B1839" s="55">
        <f t="shared" si="56"/>
        <v>2023</v>
      </c>
      <c r="C1839" s="55"/>
      <c r="D1839" s="55">
        <f t="shared" si="57"/>
        <v>5</v>
      </c>
      <c r="E1839" s="60">
        <v>30</v>
      </c>
      <c r="F1839" s="60">
        <v>32</v>
      </c>
      <c r="G1839" s="61">
        <v>31</v>
      </c>
      <c r="H1839" s="60">
        <v>22</v>
      </c>
      <c r="I1839" s="60">
        <v>24</v>
      </c>
      <c r="J1839" s="61">
        <v>23</v>
      </c>
    </row>
    <row r="1840" spans="1:10" x14ac:dyDescent="0.35">
      <c r="A1840" s="58">
        <v>45057</v>
      </c>
      <c r="B1840" s="55">
        <f t="shared" si="56"/>
        <v>2023</v>
      </c>
      <c r="C1840" s="55"/>
      <c r="D1840" s="55">
        <f t="shared" si="57"/>
        <v>5</v>
      </c>
      <c r="E1840" s="60">
        <v>30</v>
      </c>
      <c r="F1840" s="60">
        <v>32</v>
      </c>
      <c r="G1840" s="61">
        <v>31</v>
      </c>
      <c r="H1840" s="60">
        <v>21</v>
      </c>
      <c r="I1840" s="60">
        <v>23</v>
      </c>
      <c r="J1840" s="61">
        <v>22</v>
      </c>
    </row>
    <row r="1841" spans="1:10" x14ac:dyDescent="0.35">
      <c r="A1841" s="58">
        <v>45064</v>
      </c>
      <c r="B1841" s="55">
        <f t="shared" si="56"/>
        <v>2023</v>
      </c>
      <c r="C1841" s="55"/>
      <c r="D1841" s="55">
        <f t="shared" si="57"/>
        <v>5</v>
      </c>
      <c r="E1841" s="60">
        <v>29</v>
      </c>
      <c r="F1841" s="60">
        <v>31</v>
      </c>
      <c r="G1841" s="61">
        <v>30</v>
      </c>
      <c r="H1841" s="60">
        <v>20</v>
      </c>
      <c r="I1841" s="60">
        <v>22</v>
      </c>
      <c r="J1841" s="61">
        <v>21</v>
      </c>
    </row>
    <row r="1842" spans="1:10" x14ac:dyDescent="0.35">
      <c r="A1842" s="58">
        <v>45071</v>
      </c>
      <c r="B1842" s="55">
        <f t="shared" si="56"/>
        <v>2023</v>
      </c>
      <c r="C1842" s="55"/>
      <c r="D1842" s="55">
        <f t="shared" si="57"/>
        <v>5</v>
      </c>
      <c r="E1842" s="60">
        <v>29</v>
      </c>
      <c r="F1842" s="60">
        <v>31</v>
      </c>
      <c r="G1842" s="61">
        <v>30</v>
      </c>
      <c r="H1842" s="60">
        <v>19</v>
      </c>
      <c r="I1842" s="60">
        <v>21</v>
      </c>
      <c r="J1842" s="61">
        <v>20</v>
      </c>
    </row>
    <row r="1843" spans="1:10" x14ac:dyDescent="0.35">
      <c r="A1843" s="58">
        <v>45078</v>
      </c>
      <c r="B1843" s="55">
        <f t="shared" si="56"/>
        <v>2023</v>
      </c>
      <c r="C1843" s="55"/>
      <c r="D1843" s="55">
        <f t="shared" si="57"/>
        <v>6</v>
      </c>
      <c r="E1843" s="60">
        <v>28</v>
      </c>
      <c r="F1843" s="60">
        <v>30</v>
      </c>
      <c r="G1843" s="61">
        <v>29</v>
      </c>
      <c r="H1843" s="60">
        <v>18</v>
      </c>
      <c r="I1843" s="60">
        <v>20</v>
      </c>
      <c r="J1843" s="61">
        <v>19</v>
      </c>
    </row>
    <row r="1844" spans="1:10" x14ac:dyDescent="0.35">
      <c r="A1844" s="58">
        <v>45085</v>
      </c>
      <c r="B1844" s="55">
        <f t="shared" si="56"/>
        <v>2023</v>
      </c>
      <c r="C1844" s="55"/>
      <c r="D1844" s="55">
        <f t="shared" si="57"/>
        <v>6</v>
      </c>
      <c r="E1844" s="60">
        <v>26</v>
      </c>
      <c r="F1844" s="60">
        <v>28</v>
      </c>
      <c r="G1844" s="61">
        <v>27</v>
      </c>
      <c r="H1844" s="60">
        <v>16</v>
      </c>
      <c r="I1844" s="60">
        <v>18</v>
      </c>
      <c r="J1844" s="61">
        <v>17</v>
      </c>
    </row>
    <row r="1845" spans="1:10" x14ac:dyDescent="0.35">
      <c r="A1845" s="58">
        <v>45092</v>
      </c>
      <c r="B1845" s="55">
        <f t="shared" si="56"/>
        <v>2023</v>
      </c>
      <c r="C1845" s="55"/>
      <c r="D1845" s="55">
        <f t="shared" si="57"/>
        <v>6</v>
      </c>
      <c r="E1845" s="60">
        <v>26</v>
      </c>
      <c r="F1845" s="60">
        <v>28</v>
      </c>
      <c r="G1845" s="61">
        <v>27</v>
      </c>
      <c r="H1845" s="60">
        <v>16</v>
      </c>
      <c r="I1845" s="60">
        <v>18</v>
      </c>
      <c r="J1845" s="61">
        <v>17</v>
      </c>
    </row>
    <row r="1846" spans="1:10" x14ac:dyDescent="0.35">
      <c r="A1846" s="58">
        <v>45099</v>
      </c>
      <c r="B1846" s="55">
        <f t="shared" si="56"/>
        <v>2023</v>
      </c>
      <c r="C1846" s="55"/>
      <c r="D1846" s="55">
        <f t="shared" si="57"/>
        <v>6</v>
      </c>
      <c r="E1846" s="60">
        <v>26</v>
      </c>
      <c r="F1846" s="60">
        <v>28</v>
      </c>
      <c r="G1846" s="61">
        <v>27</v>
      </c>
      <c r="H1846" s="60">
        <v>15</v>
      </c>
      <c r="I1846" s="60">
        <v>17</v>
      </c>
      <c r="J1846" s="61">
        <v>16</v>
      </c>
    </row>
    <row r="1847" spans="1:10" x14ac:dyDescent="0.35">
      <c r="A1847" s="58">
        <v>45106</v>
      </c>
      <c r="B1847" s="55">
        <f t="shared" si="56"/>
        <v>2023</v>
      </c>
      <c r="C1847" s="55"/>
      <c r="D1847" s="55">
        <f t="shared" si="57"/>
        <v>6</v>
      </c>
      <c r="E1847" s="60">
        <v>25</v>
      </c>
      <c r="F1847" s="60">
        <v>27</v>
      </c>
      <c r="G1847" s="61">
        <v>26</v>
      </c>
      <c r="H1847" s="60">
        <v>15</v>
      </c>
      <c r="I1847" s="60">
        <v>17</v>
      </c>
      <c r="J1847" s="61">
        <v>16</v>
      </c>
    </row>
    <row r="1848" spans="1:10" x14ac:dyDescent="0.35">
      <c r="A1848" s="58">
        <v>45113</v>
      </c>
      <c r="B1848" s="55">
        <f t="shared" si="56"/>
        <v>2023</v>
      </c>
      <c r="C1848" s="55"/>
      <c r="D1848" s="55">
        <f t="shared" si="57"/>
        <v>7</v>
      </c>
      <c r="E1848" s="60">
        <v>25</v>
      </c>
      <c r="F1848" s="60">
        <v>27</v>
      </c>
      <c r="G1848" s="61">
        <v>26</v>
      </c>
      <c r="H1848" s="60">
        <v>15</v>
      </c>
      <c r="I1848" s="60">
        <v>17</v>
      </c>
      <c r="J1848" s="61">
        <v>16</v>
      </c>
    </row>
    <row r="1849" spans="1:10" x14ac:dyDescent="0.35">
      <c r="A1849" s="58">
        <v>45120</v>
      </c>
      <c r="B1849" s="55">
        <f t="shared" si="56"/>
        <v>2023</v>
      </c>
      <c r="C1849" s="55"/>
      <c r="D1849" s="55">
        <f t="shared" si="57"/>
        <v>7</v>
      </c>
      <c r="E1849" s="60">
        <v>25</v>
      </c>
      <c r="F1849" s="60">
        <v>27</v>
      </c>
      <c r="G1849" s="61">
        <v>26</v>
      </c>
      <c r="H1849" s="60">
        <v>16</v>
      </c>
      <c r="I1849" s="60">
        <v>18</v>
      </c>
      <c r="J1849" s="61">
        <v>17</v>
      </c>
    </row>
    <row r="1850" spans="1:10" x14ac:dyDescent="0.35">
      <c r="A1850" s="58">
        <v>45127</v>
      </c>
      <c r="B1850" s="55">
        <f t="shared" si="56"/>
        <v>2023</v>
      </c>
      <c r="C1850" s="55"/>
      <c r="D1850" s="55">
        <f t="shared" si="57"/>
        <v>7</v>
      </c>
      <c r="E1850" s="60">
        <v>25</v>
      </c>
      <c r="F1850" s="60">
        <v>27</v>
      </c>
      <c r="G1850" s="61">
        <v>26</v>
      </c>
      <c r="H1850" s="60">
        <v>14</v>
      </c>
      <c r="I1850" s="60">
        <v>16</v>
      </c>
      <c r="J1850" s="61">
        <v>15</v>
      </c>
    </row>
    <row r="1851" spans="1:10" x14ac:dyDescent="0.35">
      <c r="A1851" s="58">
        <v>45134</v>
      </c>
      <c r="B1851" s="55">
        <f t="shared" si="56"/>
        <v>2023</v>
      </c>
      <c r="C1851" s="55"/>
      <c r="D1851" s="55">
        <f t="shared" si="57"/>
        <v>7</v>
      </c>
      <c r="E1851" s="60">
        <v>24</v>
      </c>
      <c r="F1851" s="60">
        <v>26</v>
      </c>
      <c r="G1851" s="61">
        <v>25</v>
      </c>
      <c r="H1851" s="60">
        <v>14</v>
      </c>
      <c r="I1851" s="60">
        <v>16</v>
      </c>
      <c r="J1851" s="61">
        <v>15</v>
      </c>
    </row>
    <row r="1852" spans="1:10" x14ac:dyDescent="0.35">
      <c r="A1852" s="58">
        <v>45141</v>
      </c>
      <c r="B1852" s="55">
        <f t="shared" si="56"/>
        <v>2023</v>
      </c>
      <c r="C1852" s="55"/>
      <c r="D1852" s="55">
        <f t="shared" si="57"/>
        <v>8</v>
      </c>
      <c r="E1852" s="60">
        <v>25</v>
      </c>
      <c r="F1852" s="60">
        <v>27</v>
      </c>
      <c r="G1852" s="61">
        <v>26</v>
      </c>
      <c r="H1852" s="60">
        <v>14</v>
      </c>
      <c r="I1852" s="60">
        <v>16</v>
      </c>
      <c r="J1852" s="61">
        <v>15</v>
      </c>
    </row>
    <row r="1853" spans="1:10" x14ac:dyDescent="0.35">
      <c r="A1853" s="58">
        <v>45148</v>
      </c>
      <c r="B1853" s="55">
        <f t="shared" si="56"/>
        <v>2023</v>
      </c>
      <c r="C1853" s="55"/>
      <c r="D1853" s="55">
        <f t="shared" si="57"/>
        <v>8</v>
      </c>
      <c r="E1853" s="60">
        <v>26</v>
      </c>
      <c r="F1853" s="60">
        <v>28</v>
      </c>
      <c r="G1853" s="61">
        <v>27</v>
      </c>
      <c r="H1853" s="60">
        <v>17</v>
      </c>
      <c r="I1853" s="60">
        <v>19</v>
      </c>
      <c r="J1853" s="61">
        <v>18</v>
      </c>
    </row>
    <row r="1854" spans="1:10" x14ac:dyDescent="0.35">
      <c r="A1854" s="58">
        <v>45155</v>
      </c>
      <c r="B1854" s="55">
        <f t="shared" si="56"/>
        <v>2023</v>
      </c>
      <c r="C1854" s="55"/>
      <c r="D1854" s="55">
        <f t="shared" si="57"/>
        <v>8</v>
      </c>
      <c r="E1854" s="60">
        <v>29</v>
      </c>
      <c r="F1854" s="60">
        <v>31</v>
      </c>
      <c r="G1854" s="61">
        <v>30</v>
      </c>
      <c r="H1854" s="60">
        <v>19</v>
      </c>
      <c r="I1854" s="60">
        <v>21</v>
      </c>
      <c r="J1854" s="61">
        <v>20</v>
      </c>
    </row>
    <row r="1855" spans="1:10" x14ac:dyDescent="0.35">
      <c r="A1855" s="58">
        <v>45162</v>
      </c>
      <c r="B1855" s="55">
        <f t="shared" si="56"/>
        <v>2023</v>
      </c>
      <c r="C1855" s="55"/>
      <c r="D1855" s="55">
        <f t="shared" si="57"/>
        <v>8</v>
      </c>
      <c r="E1855" s="60">
        <v>29</v>
      </c>
      <c r="F1855" s="60">
        <v>31</v>
      </c>
      <c r="G1855" s="61">
        <v>30</v>
      </c>
      <c r="H1855" s="60">
        <v>20</v>
      </c>
      <c r="I1855" s="60">
        <v>22</v>
      </c>
      <c r="J1855" s="61">
        <v>21</v>
      </c>
    </row>
    <row r="1856" spans="1:10" x14ac:dyDescent="0.35">
      <c r="A1856" s="58">
        <v>45169</v>
      </c>
      <c r="B1856" s="55">
        <f t="shared" si="56"/>
        <v>2023</v>
      </c>
      <c r="C1856" s="55"/>
      <c r="D1856" s="55">
        <f t="shared" si="57"/>
        <v>8</v>
      </c>
      <c r="E1856" s="60">
        <v>30</v>
      </c>
      <c r="F1856" s="60">
        <v>32</v>
      </c>
      <c r="G1856" s="61">
        <v>31</v>
      </c>
      <c r="H1856" s="60">
        <v>20</v>
      </c>
      <c r="I1856" s="60">
        <v>22</v>
      </c>
      <c r="J1856" s="61">
        <v>21</v>
      </c>
    </row>
    <row r="1857" spans="1:10" x14ac:dyDescent="0.35">
      <c r="A1857" s="58">
        <v>45176</v>
      </c>
      <c r="B1857" s="55">
        <f t="shared" si="56"/>
        <v>2023</v>
      </c>
      <c r="C1857" s="55"/>
      <c r="D1857" s="55">
        <f t="shared" si="57"/>
        <v>9</v>
      </c>
      <c r="E1857" s="60">
        <v>30</v>
      </c>
      <c r="F1857" s="60">
        <v>32</v>
      </c>
      <c r="G1857" s="61">
        <v>31</v>
      </c>
      <c r="H1857" s="60">
        <v>24</v>
      </c>
      <c r="I1857" s="60">
        <v>26</v>
      </c>
      <c r="J1857" s="61">
        <v>25</v>
      </c>
    </row>
    <row r="1858" spans="1:10" x14ac:dyDescent="0.35">
      <c r="A1858" s="58">
        <v>45183</v>
      </c>
      <c r="B1858" s="55">
        <f t="shared" si="56"/>
        <v>2023</v>
      </c>
      <c r="C1858" s="55"/>
      <c r="D1858" s="55">
        <f t="shared" si="57"/>
        <v>9</v>
      </c>
      <c r="E1858" s="60">
        <v>30</v>
      </c>
      <c r="F1858" s="60">
        <v>32</v>
      </c>
      <c r="G1858" s="61">
        <v>31</v>
      </c>
      <c r="H1858" s="60">
        <v>26</v>
      </c>
      <c r="I1858" s="60">
        <v>28</v>
      </c>
      <c r="J1858" s="61">
        <v>27</v>
      </c>
    </row>
    <row r="1859" spans="1:10" x14ac:dyDescent="0.35">
      <c r="A1859" s="58">
        <v>45190</v>
      </c>
      <c r="B1859" s="55">
        <f t="shared" si="56"/>
        <v>2023</v>
      </c>
      <c r="C1859" s="55"/>
      <c r="D1859" s="55">
        <f t="shared" si="57"/>
        <v>9</v>
      </c>
      <c r="E1859" s="60">
        <v>31</v>
      </c>
      <c r="F1859" s="60">
        <v>33</v>
      </c>
      <c r="G1859" s="61">
        <v>32</v>
      </c>
      <c r="H1859" s="60">
        <v>26</v>
      </c>
      <c r="I1859" s="60">
        <v>28</v>
      </c>
      <c r="J1859" s="61">
        <v>27</v>
      </c>
    </row>
    <row r="1860" spans="1:10" x14ac:dyDescent="0.35">
      <c r="A1860" s="58">
        <v>45197</v>
      </c>
      <c r="B1860" s="55">
        <f t="shared" ref="B1860:B1923" si="58">YEAR(A1860)</f>
        <v>2023</v>
      </c>
      <c r="C1860" s="55"/>
      <c r="D1860" s="55">
        <f t="shared" ref="D1860:D1923" si="59">MONTH(A1860)</f>
        <v>9</v>
      </c>
      <c r="E1860" s="60">
        <v>32</v>
      </c>
      <c r="F1860" s="60">
        <v>34</v>
      </c>
      <c r="G1860" s="61">
        <v>33</v>
      </c>
      <c r="H1860" s="60">
        <v>26</v>
      </c>
      <c r="I1860" s="60">
        <v>28</v>
      </c>
      <c r="J1860" s="61">
        <v>27</v>
      </c>
    </row>
    <row r="1861" spans="1:10" x14ac:dyDescent="0.35">
      <c r="A1861" s="58">
        <v>45204</v>
      </c>
      <c r="B1861" s="55">
        <f t="shared" si="58"/>
        <v>2023</v>
      </c>
      <c r="C1861" s="55"/>
      <c r="D1861" s="55">
        <f t="shared" si="59"/>
        <v>10</v>
      </c>
      <c r="E1861" s="60">
        <v>30</v>
      </c>
      <c r="F1861" s="60">
        <v>32</v>
      </c>
      <c r="G1861" s="61">
        <v>31</v>
      </c>
      <c r="H1861" s="60">
        <v>25</v>
      </c>
      <c r="I1861" s="60">
        <v>27</v>
      </c>
      <c r="J1861" s="61">
        <v>26</v>
      </c>
    </row>
    <row r="1862" spans="1:10" x14ac:dyDescent="0.35">
      <c r="A1862" s="58">
        <v>45211</v>
      </c>
      <c r="B1862" s="55">
        <f t="shared" si="58"/>
        <v>2023</v>
      </c>
      <c r="C1862" s="55"/>
      <c r="D1862" s="55">
        <f t="shared" si="59"/>
        <v>10</v>
      </c>
      <c r="E1862" s="60">
        <v>29</v>
      </c>
      <c r="F1862" s="60">
        <v>31</v>
      </c>
      <c r="G1862" s="61">
        <v>30</v>
      </c>
      <c r="H1862" s="60">
        <v>26</v>
      </c>
      <c r="I1862" s="60">
        <v>28</v>
      </c>
      <c r="J1862" s="61">
        <v>27</v>
      </c>
    </row>
    <row r="1863" spans="1:10" x14ac:dyDescent="0.35">
      <c r="A1863" s="58">
        <v>45218</v>
      </c>
      <c r="B1863" s="55">
        <f t="shared" si="58"/>
        <v>2023</v>
      </c>
      <c r="C1863" s="55"/>
      <c r="D1863" s="55">
        <f t="shared" si="59"/>
        <v>10</v>
      </c>
      <c r="E1863" s="60">
        <v>29</v>
      </c>
      <c r="F1863" s="60">
        <v>31</v>
      </c>
      <c r="G1863" s="61">
        <v>30</v>
      </c>
      <c r="H1863" s="60">
        <v>27</v>
      </c>
      <c r="I1863" s="60">
        <v>29</v>
      </c>
      <c r="J1863" s="61">
        <v>28</v>
      </c>
    </row>
    <row r="1864" spans="1:10" x14ac:dyDescent="0.35">
      <c r="A1864" s="58">
        <v>45225</v>
      </c>
      <c r="B1864" s="55">
        <f t="shared" si="58"/>
        <v>2023</v>
      </c>
      <c r="C1864" s="55"/>
      <c r="D1864" s="55">
        <f t="shared" si="59"/>
        <v>10</v>
      </c>
      <c r="E1864" s="60">
        <v>28</v>
      </c>
      <c r="F1864" s="60">
        <v>30</v>
      </c>
      <c r="G1864" s="61">
        <v>29</v>
      </c>
      <c r="H1864" s="60">
        <v>25</v>
      </c>
      <c r="I1864" s="60">
        <v>27</v>
      </c>
      <c r="J1864" s="61">
        <v>26</v>
      </c>
    </row>
    <row r="1865" spans="1:10" x14ac:dyDescent="0.35">
      <c r="A1865" s="58">
        <v>45232</v>
      </c>
      <c r="B1865" s="55">
        <f t="shared" si="58"/>
        <v>2023</v>
      </c>
      <c r="C1865" s="55"/>
      <c r="D1865" s="55">
        <f t="shared" si="59"/>
        <v>11</v>
      </c>
      <c r="E1865" s="60">
        <v>28</v>
      </c>
      <c r="F1865" s="60">
        <v>30</v>
      </c>
      <c r="G1865" s="61">
        <v>29</v>
      </c>
      <c r="H1865" s="60">
        <v>22</v>
      </c>
      <c r="I1865" s="60">
        <v>24</v>
      </c>
      <c r="J1865" s="61">
        <v>23</v>
      </c>
    </row>
    <row r="1866" spans="1:10" x14ac:dyDescent="0.35">
      <c r="A1866" s="58">
        <v>45239</v>
      </c>
      <c r="B1866" s="55">
        <f t="shared" si="58"/>
        <v>2023</v>
      </c>
      <c r="C1866" s="55"/>
      <c r="D1866" s="55">
        <f t="shared" si="59"/>
        <v>11</v>
      </c>
      <c r="E1866" s="60">
        <v>27</v>
      </c>
      <c r="F1866" s="60">
        <v>29</v>
      </c>
      <c r="G1866" s="61">
        <v>28</v>
      </c>
      <c r="H1866" s="60">
        <v>21</v>
      </c>
      <c r="I1866" s="60">
        <v>23</v>
      </c>
      <c r="J1866" s="61">
        <v>22</v>
      </c>
    </row>
    <row r="1867" spans="1:10" x14ac:dyDescent="0.35">
      <c r="A1867" s="58">
        <v>45246</v>
      </c>
      <c r="B1867" s="55">
        <f t="shared" si="58"/>
        <v>2023</v>
      </c>
      <c r="C1867" s="55"/>
      <c r="D1867" s="55">
        <f t="shared" si="59"/>
        <v>11</v>
      </c>
      <c r="E1867" s="60">
        <v>27</v>
      </c>
      <c r="F1867" s="60">
        <v>29</v>
      </c>
      <c r="G1867" s="61">
        <v>28</v>
      </c>
      <c r="H1867" s="60">
        <v>22</v>
      </c>
      <c r="I1867" s="60">
        <v>24</v>
      </c>
      <c r="J1867" s="61">
        <v>23</v>
      </c>
    </row>
    <row r="1868" spans="1:10" x14ac:dyDescent="0.35">
      <c r="A1868" s="58">
        <v>45253</v>
      </c>
      <c r="B1868" s="55">
        <f t="shared" si="58"/>
        <v>2023</v>
      </c>
      <c r="C1868" s="55"/>
      <c r="D1868" s="55">
        <f t="shared" si="59"/>
        <v>11</v>
      </c>
      <c r="E1868" s="60">
        <v>29</v>
      </c>
      <c r="F1868" s="60">
        <v>31</v>
      </c>
      <c r="G1868" s="61">
        <v>30</v>
      </c>
      <c r="H1868" s="60">
        <v>21</v>
      </c>
      <c r="I1868" s="60">
        <v>23</v>
      </c>
      <c r="J1868" s="61">
        <v>22</v>
      </c>
    </row>
    <row r="1869" spans="1:10" x14ac:dyDescent="0.35">
      <c r="A1869" s="58">
        <v>45260</v>
      </c>
      <c r="B1869" s="55">
        <f t="shared" si="58"/>
        <v>2023</v>
      </c>
      <c r="C1869" s="55"/>
      <c r="D1869" s="55">
        <f t="shared" si="59"/>
        <v>11</v>
      </c>
      <c r="E1869" s="60">
        <v>31</v>
      </c>
      <c r="F1869" s="60">
        <v>33</v>
      </c>
      <c r="G1869" s="61">
        <v>32</v>
      </c>
      <c r="H1869" s="60">
        <v>24</v>
      </c>
      <c r="I1869" s="60">
        <v>26</v>
      </c>
      <c r="J1869" s="61">
        <v>25</v>
      </c>
    </row>
    <row r="1870" spans="1:10" x14ac:dyDescent="0.35">
      <c r="A1870" s="58">
        <v>45267</v>
      </c>
      <c r="B1870" s="55">
        <f t="shared" si="58"/>
        <v>2023</v>
      </c>
      <c r="C1870" s="55"/>
      <c r="D1870" s="55">
        <f t="shared" si="59"/>
        <v>12</v>
      </c>
      <c r="E1870" s="60">
        <v>29</v>
      </c>
      <c r="F1870" s="60">
        <v>31</v>
      </c>
      <c r="G1870" s="61">
        <v>30</v>
      </c>
      <c r="H1870" s="60">
        <v>27</v>
      </c>
      <c r="I1870" s="60">
        <v>29</v>
      </c>
      <c r="J1870" s="61">
        <v>28</v>
      </c>
    </row>
    <row r="1871" spans="1:10" x14ac:dyDescent="0.35">
      <c r="A1871" s="58">
        <v>45274</v>
      </c>
      <c r="B1871" s="55">
        <f t="shared" si="58"/>
        <v>2023</v>
      </c>
      <c r="C1871" s="55"/>
      <c r="D1871" s="55">
        <f t="shared" si="59"/>
        <v>12</v>
      </c>
      <c r="E1871" s="60">
        <v>28</v>
      </c>
      <c r="F1871" s="60">
        <v>30</v>
      </c>
      <c r="G1871" s="61">
        <v>29</v>
      </c>
      <c r="H1871" s="60">
        <v>27</v>
      </c>
      <c r="I1871" s="60">
        <v>29</v>
      </c>
      <c r="J1871" s="61">
        <v>28</v>
      </c>
    </row>
    <row r="1872" spans="1:10" x14ac:dyDescent="0.35">
      <c r="A1872" s="58">
        <v>45281</v>
      </c>
      <c r="B1872" s="55">
        <f t="shared" si="58"/>
        <v>2023</v>
      </c>
      <c r="C1872" s="55"/>
      <c r="D1872" s="55">
        <f t="shared" si="59"/>
        <v>12</v>
      </c>
      <c r="E1872" s="60">
        <v>33</v>
      </c>
      <c r="F1872" s="60">
        <v>35</v>
      </c>
      <c r="G1872" s="61">
        <v>34</v>
      </c>
      <c r="H1872" s="60">
        <v>27</v>
      </c>
      <c r="I1872" s="60">
        <v>29</v>
      </c>
      <c r="J1872" s="61">
        <v>28</v>
      </c>
    </row>
    <row r="1873" spans="1:10" x14ac:dyDescent="0.35">
      <c r="A1873" s="58">
        <v>45288</v>
      </c>
      <c r="B1873" s="55">
        <f t="shared" si="58"/>
        <v>2023</v>
      </c>
      <c r="C1873" s="55"/>
      <c r="D1873" s="55">
        <f t="shared" si="59"/>
        <v>12</v>
      </c>
    </row>
    <row r="1874" spans="1:10" x14ac:dyDescent="0.35">
      <c r="A1874" s="58">
        <v>45295</v>
      </c>
      <c r="B1874" s="55">
        <f t="shared" si="58"/>
        <v>2024</v>
      </c>
      <c r="C1874" s="55"/>
      <c r="D1874" s="55">
        <f t="shared" si="59"/>
        <v>1</v>
      </c>
      <c r="E1874" s="60">
        <v>34</v>
      </c>
      <c r="F1874" s="60">
        <v>36</v>
      </c>
      <c r="G1874" s="61">
        <v>35</v>
      </c>
      <c r="H1874" s="60">
        <v>26</v>
      </c>
      <c r="I1874" s="60">
        <v>28</v>
      </c>
      <c r="J1874" s="61">
        <v>27</v>
      </c>
    </row>
    <row r="1875" spans="1:10" x14ac:dyDescent="0.35">
      <c r="A1875" s="58">
        <v>45302</v>
      </c>
      <c r="B1875" s="55">
        <f t="shared" si="58"/>
        <v>2024</v>
      </c>
      <c r="C1875" s="55"/>
      <c r="D1875" s="55">
        <f t="shared" si="59"/>
        <v>1</v>
      </c>
      <c r="E1875" s="60">
        <v>34</v>
      </c>
      <c r="F1875" s="60">
        <v>36</v>
      </c>
      <c r="G1875" s="61">
        <v>35</v>
      </c>
      <c r="H1875" s="60">
        <v>25</v>
      </c>
      <c r="I1875" s="60">
        <v>27</v>
      </c>
      <c r="J1875" s="61">
        <v>26</v>
      </c>
    </row>
    <row r="1876" spans="1:10" x14ac:dyDescent="0.35">
      <c r="A1876" s="58">
        <v>45309</v>
      </c>
      <c r="B1876" s="55">
        <f t="shared" si="58"/>
        <v>2024</v>
      </c>
      <c r="C1876" s="55"/>
      <c r="D1876" s="55">
        <f t="shared" si="59"/>
        <v>1</v>
      </c>
      <c r="E1876" s="60">
        <v>35</v>
      </c>
      <c r="F1876" s="60">
        <v>37</v>
      </c>
      <c r="G1876" s="61">
        <v>36</v>
      </c>
      <c r="H1876" s="60">
        <v>25</v>
      </c>
      <c r="I1876" s="60">
        <v>27</v>
      </c>
      <c r="J1876" s="61">
        <v>26</v>
      </c>
    </row>
    <row r="1877" spans="1:10" x14ac:dyDescent="0.35">
      <c r="A1877" s="58">
        <v>45316</v>
      </c>
      <c r="B1877" s="55">
        <f t="shared" si="58"/>
        <v>2024</v>
      </c>
      <c r="C1877" s="55"/>
      <c r="D1877" s="55">
        <f t="shared" si="59"/>
        <v>1</v>
      </c>
      <c r="E1877" s="60">
        <v>37</v>
      </c>
      <c r="F1877" s="60">
        <v>39</v>
      </c>
      <c r="G1877" s="61">
        <v>38</v>
      </c>
      <c r="H1877" s="60">
        <v>26</v>
      </c>
      <c r="I1877" s="60">
        <v>28</v>
      </c>
      <c r="J1877" s="61">
        <v>27</v>
      </c>
    </row>
    <row r="1878" spans="1:10" x14ac:dyDescent="0.35">
      <c r="A1878" s="58">
        <v>45323</v>
      </c>
      <c r="B1878" s="55">
        <f t="shared" si="58"/>
        <v>2024</v>
      </c>
      <c r="C1878" s="55"/>
      <c r="D1878" s="55">
        <f t="shared" si="59"/>
        <v>2</v>
      </c>
      <c r="E1878" s="60">
        <v>38</v>
      </c>
      <c r="F1878" s="60">
        <v>40</v>
      </c>
      <c r="G1878" s="61">
        <v>39</v>
      </c>
      <c r="H1878" s="60">
        <v>24</v>
      </c>
      <c r="I1878" s="60">
        <v>26</v>
      </c>
      <c r="J1878" s="61">
        <v>25</v>
      </c>
    </row>
    <row r="1879" spans="1:10" x14ac:dyDescent="0.35">
      <c r="A1879" s="58">
        <v>45330</v>
      </c>
      <c r="B1879" s="55">
        <f t="shared" si="58"/>
        <v>2024</v>
      </c>
      <c r="C1879" s="55"/>
      <c r="D1879" s="55">
        <f t="shared" si="59"/>
        <v>2</v>
      </c>
      <c r="E1879" s="60">
        <v>37</v>
      </c>
      <c r="F1879" s="60">
        <v>39</v>
      </c>
      <c r="G1879" s="61">
        <v>38</v>
      </c>
      <c r="H1879" s="60">
        <v>24</v>
      </c>
      <c r="I1879" s="60">
        <v>26</v>
      </c>
      <c r="J1879" s="61">
        <v>25</v>
      </c>
    </row>
    <row r="1880" spans="1:10" x14ac:dyDescent="0.35">
      <c r="A1880" s="58">
        <v>45337</v>
      </c>
      <c r="B1880" s="55">
        <f t="shared" si="58"/>
        <v>2024</v>
      </c>
      <c r="C1880" s="55"/>
      <c r="D1880" s="55">
        <f t="shared" si="59"/>
        <v>2</v>
      </c>
      <c r="E1880" s="60">
        <v>38</v>
      </c>
      <c r="F1880" s="60">
        <v>40</v>
      </c>
      <c r="G1880" s="61">
        <v>39</v>
      </c>
      <c r="H1880" s="60">
        <v>23</v>
      </c>
      <c r="I1880" s="60">
        <v>25</v>
      </c>
      <c r="J1880" s="61">
        <v>24</v>
      </c>
    </row>
    <row r="1881" spans="1:10" x14ac:dyDescent="0.35">
      <c r="A1881" s="58">
        <v>45344</v>
      </c>
      <c r="B1881" s="55">
        <f t="shared" si="58"/>
        <v>2024</v>
      </c>
      <c r="C1881" s="55"/>
      <c r="D1881" s="55">
        <f t="shared" si="59"/>
        <v>2</v>
      </c>
      <c r="E1881" s="60">
        <v>39</v>
      </c>
      <c r="F1881" s="60">
        <v>41</v>
      </c>
      <c r="G1881" s="61">
        <v>40</v>
      </c>
      <c r="H1881" s="60">
        <v>22</v>
      </c>
      <c r="I1881" s="60">
        <v>24</v>
      </c>
      <c r="J1881" s="61">
        <v>23</v>
      </c>
    </row>
    <row r="1882" spans="1:10" x14ac:dyDescent="0.35">
      <c r="A1882" s="58">
        <v>45351</v>
      </c>
      <c r="B1882" s="55">
        <f t="shared" si="58"/>
        <v>2024</v>
      </c>
      <c r="C1882" s="55"/>
      <c r="D1882" s="55">
        <f t="shared" si="59"/>
        <v>2</v>
      </c>
      <c r="E1882" s="60">
        <v>39</v>
      </c>
      <c r="F1882" s="60">
        <v>41</v>
      </c>
      <c r="G1882" s="61">
        <v>40</v>
      </c>
      <c r="H1882" s="60">
        <v>21</v>
      </c>
      <c r="I1882" s="60">
        <v>23</v>
      </c>
      <c r="J1882" s="61">
        <v>22</v>
      </c>
    </row>
    <row r="1883" spans="1:10" x14ac:dyDescent="0.35">
      <c r="A1883" s="58">
        <v>45358</v>
      </c>
      <c r="B1883" s="55">
        <f t="shared" si="58"/>
        <v>2024</v>
      </c>
      <c r="C1883" s="55"/>
      <c r="D1883" s="55">
        <f t="shared" si="59"/>
        <v>3</v>
      </c>
      <c r="E1883" s="60">
        <v>39</v>
      </c>
      <c r="F1883" s="60">
        <v>41</v>
      </c>
      <c r="G1883" s="61">
        <v>40</v>
      </c>
      <c r="H1883" s="60">
        <v>21</v>
      </c>
      <c r="I1883" s="60">
        <v>23</v>
      </c>
      <c r="J1883" s="61">
        <v>22</v>
      </c>
    </row>
    <row r="1884" spans="1:10" x14ac:dyDescent="0.35">
      <c r="A1884" s="58">
        <v>45365</v>
      </c>
      <c r="B1884" s="55">
        <f t="shared" si="58"/>
        <v>2024</v>
      </c>
      <c r="C1884" s="55"/>
      <c r="D1884" s="55">
        <f t="shared" si="59"/>
        <v>3</v>
      </c>
      <c r="E1884" s="60">
        <v>38</v>
      </c>
      <c r="F1884" s="60">
        <v>40</v>
      </c>
      <c r="G1884" s="61">
        <v>39</v>
      </c>
      <c r="H1884" s="60">
        <v>21</v>
      </c>
      <c r="I1884" s="60">
        <v>23</v>
      </c>
      <c r="J1884" s="61">
        <v>22</v>
      </c>
    </row>
    <row r="1885" spans="1:10" x14ac:dyDescent="0.35">
      <c r="A1885" s="58">
        <v>45372</v>
      </c>
      <c r="B1885" s="55">
        <f t="shared" si="58"/>
        <v>2024</v>
      </c>
      <c r="C1885" s="55"/>
      <c r="D1885" s="55">
        <f t="shared" si="59"/>
        <v>3</v>
      </c>
      <c r="E1885" s="60">
        <v>38</v>
      </c>
      <c r="F1885" s="60">
        <v>40</v>
      </c>
      <c r="G1885" s="61">
        <v>39</v>
      </c>
      <c r="H1885" s="60">
        <v>23</v>
      </c>
      <c r="I1885" s="60">
        <v>25</v>
      </c>
      <c r="J1885" s="61">
        <v>24</v>
      </c>
    </row>
    <row r="1886" spans="1:10" x14ac:dyDescent="0.35">
      <c r="A1886" s="58">
        <v>45379</v>
      </c>
      <c r="B1886" s="55">
        <f t="shared" si="58"/>
        <v>2024</v>
      </c>
      <c r="C1886" s="55"/>
      <c r="D1886" s="55">
        <f t="shared" si="59"/>
        <v>3</v>
      </c>
      <c r="E1886" s="60">
        <v>38</v>
      </c>
      <c r="F1886" s="60">
        <v>40</v>
      </c>
      <c r="G1886" s="61">
        <v>39</v>
      </c>
      <c r="H1886" s="60">
        <v>24</v>
      </c>
      <c r="I1886" s="60">
        <v>26</v>
      </c>
      <c r="J1886" s="61">
        <v>25</v>
      </c>
    </row>
    <row r="1887" spans="1:10" x14ac:dyDescent="0.35">
      <c r="A1887" s="58">
        <v>45386</v>
      </c>
      <c r="B1887" s="55">
        <f t="shared" si="58"/>
        <v>2024</v>
      </c>
      <c r="C1887" s="55"/>
      <c r="D1887" s="55">
        <f t="shared" si="59"/>
        <v>4</v>
      </c>
      <c r="E1887" s="60">
        <v>38</v>
      </c>
      <c r="F1887" s="60">
        <v>40</v>
      </c>
      <c r="G1887" s="61">
        <v>39</v>
      </c>
      <c r="H1887" s="60">
        <v>24</v>
      </c>
      <c r="I1887" s="60">
        <v>26</v>
      </c>
      <c r="J1887" s="61">
        <v>25</v>
      </c>
    </row>
    <row r="1888" spans="1:10" x14ac:dyDescent="0.35">
      <c r="A1888" s="58">
        <v>45393</v>
      </c>
      <c r="B1888" s="55">
        <f t="shared" si="58"/>
        <v>2024</v>
      </c>
      <c r="C1888" s="55"/>
      <c r="D1888" s="55">
        <f t="shared" si="59"/>
        <v>4</v>
      </c>
      <c r="E1888" s="60">
        <v>38</v>
      </c>
      <c r="F1888" s="60">
        <v>40</v>
      </c>
      <c r="G1888" s="61">
        <v>39</v>
      </c>
      <c r="H1888" s="60">
        <v>25</v>
      </c>
      <c r="I1888" s="60">
        <v>27</v>
      </c>
      <c r="J1888" s="61">
        <v>26</v>
      </c>
    </row>
    <row r="1889" spans="1:10" x14ac:dyDescent="0.35">
      <c r="A1889" s="58">
        <v>45400</v>
      </c>
      <c r="B1889" s="55">
        <f t="shared" si="58"/>
        <v>2024</v>
      </c>
      <c r="C1889" s="55"/>
      <c r="D1889" s="55">
        <f t="shared" si="59"/>
        <v>4</v>
      </c>
      <c r="E1889" s="60">
        <v>38</v>
      </c>
      <c r="F1889" s="60">
        <v>40</v>
      </c>
      <c r="G1889" s="61">
        <v>39</v>
      </c>
      <c r="H1889" s="60">
        <v>26</v>
      </c>
      <c r="I1889" s="60">
        <v>28</v>
      </c>
      <c r="J1889" s="61">
        <v>27</v>
      </c>
    </row>
    <row r="1890" spans="1:10" x14ac:dyDescent="0.35">
      <c r="A1890" s="58">
        <v>45407</v>
      </c>
      <c r="B1890" s="55">
        <f t="shared" si="58"/>
        <v>2024</v>
      </c>
      <c r="C1890" s="55"/>
      <c r="D1890" s="55">
        <f t="shared" si="59"/>
        <v>4</v>
      </c>
      <c r="E1890" s="60">
        <v>38</v>
      </c>
      <c r="F1890" s="60">
        <v>40</v>
      </c>
      <c r="G1890" s="61">
        <v>39</v>
      </c>
      <c r="H1890" s="60">
        <v>26</v>
      </c>
      <c r="I1890" s="60">
        <v>28</v>
      </c>
      <c r="J1890" s="61">
        <v>27</v>
      </c>
    </row>
    <row r="1891" spans="1:10" x14ac:dyDescent="0.35">
      <c r="A1891" s="58">
        <v>45414</v>
      </c>
      <c r="B1891" s="55">
        <f t="shared" si="58"/>
        <v>2024</v>
      </c>
      <c r="C1891" s="55"/>
      <c r="D1891" s="55">
        <f t="shared" si="59"/>
        <v>5</v>
      </c>
      <c r="E1891" s="60">
        <v>40</v>
      </c>
      <c r="F1891" s="60">
        <v>42</v>
      </c>
      <c r="G1891" s="61">
        <v>41</v>
      </c>
      <c r="H1891" s="60">
        <v>26</v>
      </c>
      <c r="I1891" s="60">
        <v>28</v>
      </c>
      <c r="J1891" s="61">
        <v>27</v>
      </c>
    </row>
    <row r="1892" spans="1:10" x14ac:dyDescent="0.35">
      <c r="A1892" s="58">
        <v>45421</v>
      </c>
      <c r="B1892" s="55">
        <f t="shared" si="58"/>
        <v>2024</v>
      </c>
      <c r="C1892" s="55"/>
      <c r="D1892" s="55">
        <f t="shared" si="59"/>
        <v>5</v>
      </c>
      <c r="E1892" s="60">
        <v>38</v>
      </c>
      <c r="F1892" s="60">
        <v>40</v>
      </c>
      <c r="G1892" s="61">
        <v>39</v>
      </c>
      <c r="H1892" s="60">
        <v>25</v>
      </c>
      <c r="I1892" s="60">
        <v>27</v>
      </c>
      <c r="J1892" s="61">
        <v>26</v>
      </c>
    </row>
    <row r="1893" spans="1:10" x14ac:dyDescent="0.35">
      <c r="A1893" s="58">
        <v>45428</v>
      </c>
      <c r="B1893" s="55">
        <f t="shared" si="58"/>
        <v>2024</v>
      </c>
      <c r="C1893" s="55"/>
      <c r="D1893" s="55">
        <f t="shared" si="59"/>
        <v>5</v>
      </c>
      <c r="E1893" s="60">
        <v>39</v>
      </c>
      <c r="F1893" s="60">
        <v>41</v>
      </c>
      <c r="G1893" s="61">
        <v>40</v>
      </c>
      <c r="H1893" s="60">
        <v>25</v>
      </c>
      <c r="I1893" s="60">
        <v>27</v>
      </c>
      <c r="J1893" s="61">
        <v>26</v>
      </c>
    </row>
    <row r="1894" spans="1:10" x14ac:dyDescent="0.35">
      <c r="A1894" s="58">
        <v>45435</v>
      </c>
      <c r="B1894" s="55">
        <f t="shared" si="58"/>
        <v>2024</v>
      </c>
      <c r="C1894" s="55"/>
      <c r="D1894" s="55">
        <f t="shared" si="59"/>
        <v>5</v>
      </c>
      <c r="E1894" s="60">
        <v>39</v>
      </c>
      <c r="F1894" s="60">
        <v>41</v>
      </c>
      <c r="G1894" s="61">
        <v>40</v>
      </c>
      <c r="H1894" s="60">
        <v>22</v>
      </c>
      <c r="I1894" s="60">
        <v>24</v>
      </c>
      <c r="J1894" s="61">
        <v>23</v>
      </c>
    </row>
    <row r="1895" spans="1:10" x14ac:dyDescent="0.35">
      <c r="A1895" s="58">
        <v>45442</v>
      </c>
      <c r="B1895" s="55">
        <f t="shared" si="58"/>
        <v>2024</v>
      </c>
      <c r="C1895" s="55"/>
      <c r="D1895" s="55">
        <f t="shared" si="59"/>
        <v>5</v>
      </c>
      <c r="E1895" s="60">
        <v>44</v>
      </c>
      <c r="F1895" s="60">
        <v>46</v>
      </c>
      <c r="G1895" s="61">
        <v>45</v>
      </c>
      <c r="H1895" s="60">
        <v>22</v>
      </c>
      <c r="I1895" s="60">
        <v>24</v>
      </c>
      <c r="J1895" s="61">
        <v>23</v>
      </c>
    </row>
    <row r="1896" spans="1:10" x14ac:dyDescent="0.35">
      <c r="A1896" s="58">
        <v>45449</v>
      </c>
      <c r="B1896" s="55">
        <f t="shared" si="58"/>
        <v>2024</v>
      </c>
      <c r="C1896" s="55"/>
      <c r="D1896" s="55">
        <f t="shared" si="59"/>
        <v>6</v>
      </c>
      <c r="E1896" s="60">
        <v>42</v>
      </c>
      <c r="F1896" s="60">
        <v>44</v>
      </c>
      <c r="G1896" s="61">
        <v>43</v>
      </c>
      <c r="H1896" s="60">
        <v>20</v>
      </c>
      <c r="I1896" s="60">
        <v>22</v>
      </c>
      <c r="J1896" s="61">
        <v>21</v>
      </c>
    </row>
    <row r="1897" spans="1:10" x14ac:dyDescent="0.35">
      <c r="A1897" s="58">
        <v>45456</v>
      </c>
      <c r="B1897" s="55">
        <f t="shared" si="58"/>
        <v>2024</v>
      </c>
      <c r="C1897" s="55"/>
      <c r="D1897" s="55">
        <f t="shared" si="59"/>
        <v>6</v>
      </c>
      <c r="E1897" s="60">
        <v>42</v>
      </c>
      <c r="F1897" s="60">
        <v>44</v>
      </c>
      <c r="G1897" s="61">
        <v>43</v>
      </c>
      <c r="H1897" s="60">
        <v>20</v>
      </c>
      <c r="I1897" s="60">
        <v>22</v>
      </c>
      <c r="J1897" s="61">
        <v>21</v>
      </c>
    </row>
    <row r="1898" spans="1:10" x14ac:dyDescent="0.35">
      <c r="A1898" s="58">
        <v>45463</v>
      </c>
      <c r="B1898" s="55">
        <f t="shared" si="58"/>
        <v>2024</v>
      </c>
      <c r="C1898" s="55"/>
      <c r="D1898" s="55">
        <f t="shared" si="59"/>
        <v>6</v>
      </c>
      <c r="E1898" s="60">
        <v>42</v>
      </c>
      <c r="F1898" s="60">
        <v>44</v>
      </c>
      <c r="G1898" s="61">
        <v>43</v>
      </c>
      <c r="H1898" s="60">
        <v>21</v>
      </c>
      <c r="I1898" s="60">
        <v>23</v>
      </c>
      <c r="J1898" s="61">
        <v>22</v>
      </c>
    </row>
    <row r="1899" spans="1:10" x14ac:dyDescent="0.35">
      <c r="A1899" s="58">
        <v>45470</v>
      </c>
      <c r="B1899" s="55">
        <f t="shared" si="58"/>
        <v>2024</v>
      </c>
      <c r="C1899" s="55"/>
      <c r="D1899" s="55">
        <f t="shared" si="59"/>
        <v>6</v>
      </c>
      <c r="E1899" s="60">
        <v>39</v>
      </c>
      <c r="F1899" s="60">
        <v>41</v>
      </c>
      <c r="G1899" s="61">
        <v>40</v>
      </c>
      <c r="H1899" s="60">
        <v>20</v>
      </c>
      <c r="I1899" s="60">
        <v>22</v>
      </c>
      <c r="J1899" s="61">
        <v>21</v>
      </c>
    </row>
    <row r="1900" spans="1:10" x14ac:dyDescent="0.35">
      <c r="A1900" s="58">
        <v>45477</v>
      </c>
      <c r="B1900" s="55">
        <f t="shared" si="58"/>
        <v>2024</v>
      </c>
      <c r="C1900" s="55"/>
      <c r="D1900" s="55">
        <f t="shared" si="59"/>
        <v>7</v>
      </c>
      <c r="E1900" s="60">
        <v>39</v>
      </c>
      <c r="F1900" s="60">
        <v>41</v>
      </c>
      <c r="G1900" s="61">
        <v>40</v>
      </c>
      <c r="H1900" s="60">
        <v>20</v>
      </c>
      <c r="I1900" s="60">
        <v>22</v>
      </c>
      <c r="J1900" s="61">
        <v>21</v>
      </c>
    </row>
    <row r="1901" spans="1:10" x14ac:dyDescent="0.35">
      <c r="A1901" s="58">
        <v>45484</v>
      </c>
      <c r="B1901" s="55">
        <f t="shared" si="58"/>
        <v>2024</v>
      </c>
      <c r="C1901" s="55"/>
      <c r="D1901" s="55">
        <f t="shared" si="59"/>
        <v>7</v>
      </c>
      <c r="E1901" s="60">
        <v>39</v>
      </c>
      <c r="F1901" s="60">
        <v>41</v>
      </c>
      <c r="G1901" s="61">
        <v>40</v>
      </c>
      <c r="H1901" s="60">
        <v>20</v>
      </c>
      <c r="I1901" s="60">
        <v>22</v>
      </c>
      <c r="J1901" s="61">
        <v>21</v>
      </c>
    </row>
    <row r="1902" spans="1:10" x14ac:dyDescent="0.35">
      <c r="A1902" s="58">
        <v>45491</v>
      </c>
      <c r="B1902" s="55">
        <f t="shared" si="58"/>
        <v>2024</v>
      </c>
      <c r="C1902" s="55"/>
      <c r="D1902" s="55">
        <f t="shared" si="59"/>
        <v>7</v>
      </c>
      <c r="E1902" s="60">
        <v>38</v>
      </c>
      <c r="F1902" s="60">
        <v>40</v>
      </c>
      <c r="G1902" s="61">
        <v>39</v>
      </c>
      <c r="H1902" s="60">
        <v>22</v>
      </c>
      <c r="I1902" s="60">
        <v>24</v>
      </c>
      <c r="J1902" s="61">
        <v>23</v>
      </c>
    </row>
    <row r="1903" spans="1:10" x14ac:dyDescent="0.35">
      <c r="A1903" s="58">
        <v>45498</v>
      </c>
      <c r="B1903" s="55">
        <f t="shared" si="58"/>
        <v>2024</v>
      </c>
      <c r="C1903" s="55"/>
      <c r="D1903" s="55">
        <f t="shared" si="59"/>
        <v>7</v>
      </c>
      <c r="E1903" s="60">
        <v>39</v>
      </c>
      <c r="F1903" s="60">
        <v>41</v>
      </c>
      <c r="G1903" s="61">
        <v>40</v>
      </c>
      <c r="H1903" s="60">
        <v>22</v>
      </c>
      <c r="I1903" s="60">
        <v>24</v>
      </c>
      <c r="J1903" s="61">
        <v>23</v>
      </c>
    </row>
    <row r="1904" spans="1:10" x14ac:dyDescent="0.35">
      <c r="A1904" s="58">
        <v>45505</v>
      </c>
      <c r="B1904" s="55">
        <f t="shared" si="58"/>
        <v>2024</v>
      </c>
      <c r="C1904" s="55"/>
      <c r="D1904" s="55">
        <f t="shared" si="59"/>
        <v>8</v>
      </c>
      <c r="E1904" s="60">
        <v>39</v>
      </c>
      <c r="F1904" s="60">
        <v>41</v>
      </c>
      <c r="G1904" s="61">
        <v>40</v>
      </c>
      <c r="H1904" s="60">
        <v>21</v>
      </c>
      <c r="I1904" s="60">
        <v>23</v>
      </c>
      <c r="J1904" s="61">
        <v>22</v>
      </c>
    </row>
    <row r="1905" spans="1:10" x14ac:dyDescent="0.35">
      <c r="A1905" s="58">
        <v>45512</v>
      </c>
      <c r="B1905" s="55">
        <f t="shared" si="58"/>
        <v>2024</v>
      </c>
      <c r="C1905" s="55"/>
      <c r="D1905" s="55">
        <f t="shared" si="59"/>
        <v>8</v>
      </c>
      <c r="E1905" s="60">
        <v>37</v>
      </c>
      <c r="F1905" s="60">
        <v>39</v>
      </c>
      <c r="G1905" s="61">
        <v>38</v>
      </c>
      <c r="H1905" s="60">
        <v>20</v>
      </c>
      <c r="I1905" s="60">
        <v>22</v>
      </c>
      <c r="J1905" s="61">
        <v>21</v>
      </c>
    </row>
    <row r="1906" spans="1:10" x14ac:dyDescent="0.35">
      <c r="A1906" s="58">
        <v>45519</v>
      </c>
      <c r="B1906" s="55">
        <f t="shared" si="58"/>
        <v>2024</v>
      </c>
      <c r="C1906" s="55"/>
      <c r="D1906" s="55">
        <f t="shared" si="59"/>
        <v>8</v>
      </c>
      <c r="E1906" s="60">
        <v>37</v>
      </c>
      <c r="F1906" s="60">
        <v>39</v>
      </c>
      <c r="G1906" s="61">
        <v>38</v>
      </c>
      <c r="H1906" s="60">
        <v>20</v>
      </c>
      <c r="I1906" s="60">
        <v>22</v>
      </c>
      <c r="J1906" s="61">
        <v>21</v>
      </c>
    </row>
    <row r="1907" spans="1:10" x14ac:dyDescent="0.35">
      <c r="A1907" s="58">
        <v>45526</v>
      </c>
      <c r="B1907" s="55">
        <f t="shared" si="58"/>
        <v>2024</v>
      </c>
      <c r="C1907" s="55"/>
      <c r="D1907" s="55">
        <f t="shared" si="59"/>
        <v>8</v>
      </c>
      <c r="E1907" s="60">
        <v>37</v>
      </c>
      <c r="F1907" s="60">
        <v>39</v>
      </c>
      <c r="G1907" s="61">
        <v>38</v>
      </c>
      <c r="H1907" s="60">
        <v>21</v>
      </c>
      <c r="I1907" s="60">
        <v>23</v>
      </c>
      <c r="J1907" s="61">
        <v>22</v>
      </c>
    </row>
    <row r="1908" spans="1:10" x14ac:dyDescent="0.35">
      <c r="A1908" s="58">
        <v>45533</v>
      </c>
      <c r="B1908" s="55">
        <f t="shared" si="58"/>
        <v>2024</v>
      </c>
      <c r="C1908" s="55"/>
      <c r="D1908" s="55">
        <f t="shared" si="59"/>
        <v>8</v>
      </c>
      <c r="E1908" s="60">
        <v>37</v>
      </c>
      <c r="F1908" s="60">
        <v>39</v>
      </c>
      <c r="G1908" s="61">
        <v>38</v>
      </c>
      <c r="H1908" s="60">
        <v>21</v>
      </c>
      <c r="I1908" s="60">
        <v>23</v>
      </c>
      <c r="J1908" s="61">
        <v>22</v>
      </c>
    </row>
    <row r="1909" spans="1:10" x14ac:dyDescent="0.35">
      <c r="A1909" s="58">
        <v>45540</v>
      </c>
      <c r="B1909" s="55">
        <f t="shared" si="58"/>
        <v>2024</v>
      </c>
      <c r="C1909" s="55"/>
      <c r="D1909" s="55">
        <f t="shared" si="59"/>
        <v>9</v>
      </c>
      <c r="E1909" s="60">
        <v>37</v>
      </c>
      <c r="F1909" s="60">
        <v>39</v>
      </c>
      <c r="G1909" s="61">
        <v>38</v>
      </c>
      <c r="H1909" s="60">
        <v>20</v>
      </c>
      <c r="I1909" s="60">
        <v>22</v>
      </c>
      <c r="J1909" s="61">
        <v>21</v>
      </c>
    </row>
    <row r="1910" spans="1:10" x14ac:dyDescent="0.35">
      <c r="A1910" s="58">
        <v>45547</v>
      </c>
      <c r="B1910" s="55">
        <f t="shared" si="58"/>
        <v>2024</v>
      </c>
      <c r="C1910" s="55"/>
      <c r="D1910" s="55">
        <f t="shared" si="59"/>
        <v>9</v>
      </c>
      <c r="E1910" s="60">
        <v>35</v>
      </c>
      <c r="F1910" s="60">
        <v>37</v>
      </c>
      <c r="G1910" s="61">
        <v>36</v>
      </c>
      <c r="H1910" s="60">
        <v>19</v>
      </c>
      <c r="I1910" s="60">
        <v>21</v>
      </c>
      <c r="J1910" s="61">
        <v>20</v>
      </c>
    </row>
    <row r="1911" spans="1:10" x14ac:dyDescent="0.35">
      <c r="A1911" s="58">
        <v>45554</v>
      </c>
      <c r="B1911" s="55">
        <f t="shared" si="58"/>
        <v>2024</v>
      </c>
      <c r="C1911" s="55"/>
      <c r="D1911" s="55">
        <f t="shared" si="59"/>
        <v>9</v>
      </c>
      <c r="E1911" s="60">
        <v>37</v>
      </c>
      <c r="F1911" s="60">
        <v>39</v>
      </c>
      <c r="G1911" s="61">
        <v>38</v>
      </c>
      <c r="H1911" s="60">
        <v>19</v>
      </c>
      <c r="I1911" s="60">
        <v>21</v>
      </c>
      <c r="J1911" s="61">
        <v>20</v>
      </c>
    </row>
    <row r="1912" spans="1:10" x14ac:dyDescent="0.35">
      <c r="A1912" s="58">
        <v>45561</v>
      </c>
      <c r="B1912" s="55">
        <f t="shared" si="58"/>
        <v>2024</v>
      </c>
      <c r="C1912" s="55"/>
      <c r="D1912" s="55">
        <f t="shared" si="59"/>
        <v>9</v>
      </c>
      <c r="E1912" s="60">
        <v>37</v>
      </c>
      <c r="F1912" s="60">
        <v>39</v>
      </c>
      <c r="G1912" s="61">
        <v>38</v>
      </c>
      <c r="H1912" s="60">
        <v>19</v>
      </c>
      <c r="I1912" s="60">
        <v>21</v>
      </c>
      <c r="J1912" s="61">
        <v>20</v>
      </c>
    </row>
    <row r="1913" spans="1:10" x14ac:dyDescent="0.35">
      <c r="A1913" s="58">
        <v>45568</v>
      </c>
      <c r="B1913" s="55">
        <f t="shared" si="58"/>
        <v>2024</v>
      </c>
      <c r="C1913" s="55"/>
      <c r="D1913" s="55">
        <f t="shared" si="59"/>
        <v>10</v>
      </c>
      <c r="E1913" s="60">
        <v>38</v>
      </c>
      <c r="F1913" s="60">
        <v>40</v>
      </c>
      <c r="G1913" s="61">
        <v>39</v>
      </c>
      <c r="H1913" s="60">
        <v>19</v>
      </c>
      <c r="I1913" s="60">
        <v>21</v>
      </c>
      <c r="J1913" s="61">
        <v>20</v>
      </c>
    </row>
    <row r="1914" spans="1:10" x14ac:dyDescent="0.35">
      <c r="A1914" s="58">
        <v>45575</v>
      </c>
      <c r="B1914" s="55">
        <f t="shared" si="58"/>
        <v>2024</v>
      </c>
      <c r="C1914" s="55"/>
      <c r="D1914" s="55">
        <f t="shared" si="59"/>
        <v>10</v>
      </c>
      <c r="E1914" s="60">
        <v>37</v>
      </c>
      <c r="F1914" s="60">
        <v>39</v>
      </c>
      <c r="G1914" s="61">
        <v>38</v>
      </c>
      <c r="H1914" s="60">
        <v>19</v>
      </c>
      <c r="I1914" s="60">
        <v>21</v>
      </c>
      <c r="J1914" s="61">
        <v>20</v>
      </c>
    </row>
    <row r="1915" spans="1:10" x14ac:dyDescent="0.35">
      <c r="A1915" s="58">
        <v>45582</v>
      </c>
      <c r="B1915" s="55">
        <f t="shared" si="58"/>
        <v>2024</v>
      </c>
      <c r="C1915" s="55"/>
      <c r="D1915" s="55">
        <f t="shared" si="59"/>
        <v>10</v>
      </c>
      <c r="E1915" s="60">
        <v>37</v>
      </c>
      <c r="F1915" s="60">
        <v>39</v>
      </c>
      <c r="G1915" s="61">
        <v>38</v>
      </c>
      <c r="H1915" s="60">
        <v>19</v>
      </c>
      <c r="I1915" s="60">
        <v>21</v>
      </c>
      <c r="J1915" s="61">
        <v>20</v>
      </c>
    </row>
    <row r="1916" spans="1:10" x14ac:dyDescent="0.35">
      <c r="A1916" s="58">
        <v>45589</v>
      </c>
      <c r="B1916" s="55">
        <f t="shared" si="58"/>
        <v>2024</v>
      </c>
      <c r="C1916" s="55"/>
      <c r="D1916" s="55">
        <f t="shared" si="59"/>
        <v>10</v>
      </c>
      <c r="E1916" s="60">
        <v>37</v>
      </c>
      <c r="F1916" s="60">
        <v>39</v>
      </c>
      <c r="G1916" s="61">
        <v>38</v>
      </c>
      <c r="H1916" s="60">
        <v>19</v>
      </c>
      <c r="I1916" s="60">
        <v>21</v>
      </c>
      <c r="J1916" s="61">
        <v>20</v>
      </c>
    </row>
    <row r="1917" spans="1:10" x14ac:dyDescent="0.35">
      <c r="A1917" s="58">
        <v>45596</v>
      </c>
      <c r="B1917" s="55">
        <f t="shared" si="58"/>
        <v>2024</v>
      </c>
      <c r="C1917" s="55"/>
      <c r="D1917" s="55">
        <f t="shared" si="59"/>
        <v>10</v>
      </c>
      <c r="E1917" s="60">
        <v>37</v>
      </c>
      <c r="F1917" s="60">
        <v>39</v>
      </c>
      <c r="G1917" s="61">
        <v>38</v>
      </c>
      <c r="H1917" s="60">
        <v>19</v>
      </c>
      <c r="I1917" s="60">
        <v>21</v>
      </c>
      <c r="J1917" s="61">
        <v>20</v>
      </c>
    </row>
    <row r="1918" spans="1:10" x14ac:dyDescent="0.35">
      <c r="A1918" s="58">
        <v>45603</v>
      </c>
      <c r="B1918" s="55">
        <f t="shared" si="58"/>
        <v>2024</v>
      </c>
      <c r="C1918" s="55"/>
      <c r="D1918" s="55">
        <f t="shared" si="59"/>
        <v>11</v>
      </c>
      <c r="E1918" s="60">
        <v>35</v>
      </c>
      <c r="F1918" s="60">
        <v>37</v>
      </c>
      <c r="G1918" s="61">
        <v>36</v>
      </c>
      <c r="H1918" s="60">
        <v>19</v>
      </c>
      <c r="I1918" s="60">
        <v>21</v>
      </c>
      <c r="J1918" s="61">
        <v>20</v>
      </c>
    </row>
    <row r="1919" spans="1:10" x14ac:dyDescent="0.35">
      <c r="A1919" s="58">
        <v>45610</v>
      </c>
      <c r="B1919" s="55">
        <f t="shared" si="58"/>
        <v>2024</v>
      </c>
      <c r="C1919" s="55"/>
      <c r="D1919" s="55">
        <f t="shared" si="59"/>
        <v>11</v>
      </c>
      <c r="E1919" s="60">
        <v>35</v>
      </c>
      <c r="F1919" s="60">
        <v>37</v>
      </c>
      <c r="G1919" s="61">
        <v>36</v>
      </c>
      <c r="H1919" s="60">
        <v>18</v>
      </c>
      <c r="I1919" s="60">
        <v>20</v>
      </c>
      <c r="J1919" s="61">
        <v>19</v>
      </c>
    </row>
    <row r="1920" spans="1:10" x14ac:dyDescent="0.35">
      <c r="A1920" s="58">
        <v>45617</v>
      </c>
      <c r="B1920" s="55">
        <f t="shared" si="58"/>
        <v>2024</v>
      </c>
      <c r="C1920" s="55"/>
      <c r="D1920" s="55">
        <f t="shared" si="59"/>
        <v>11</v>
      </c>
      <c r="E1920" s="60">
        <v>35</v>
      </c>
      <c r="F1920" s="60">
        <v>37</v>
      </c>
      <c r="G1920" s="61">
        <v>36</v>
      </c>
      <c r="H1920" s="60">
        <v>18</v>
      </c>
      <c r="I1920" s="60">
        <v>20</v>
      </c>
      <c r="J1920" s="61">
        <v>19</v>
      </c>
    </row>
    <row r="1921" spans="1:10" x14ac:dyDescent="0.35">
      <c r="A1921" s="58">
        <v>45624</v>
      </c>
      <c r="B1921" s="55">
        <f t="shared" si="58"/>
        <v>2024</v>
      </c>
      <c r="C1921" s="55"/>
      <c r="D1921" s="55">
        <f t="shared" si="59"/>
        <v>11</v>
      </c>
      <c r="E1921" s="60">
        <v>35</v>
      </c>
      <c r="F1921" s="60">
        <v>37</v>
      </c>
      <c r="G1921" s="61">
        <v>36</v>
      </c>
      <c r="H1921" s="60">
        <v>18</v>
      </c>
      <c r="I1921" s="60">
        <v>20</v>
      </c>
      <c r="J1921" s="61">
        <v>19</v>
      </c>
    </row>
    <row r="1922" spans="1:10" x14ac:dyDescent="0.35">
      <c r="A1922" s="58">
        <v>45631</v>
      </c>
      <c r="B1922" s="55">
        <f t="shared" si="58"/>
        <v>2024</v>
      </c>
      <c r="C1922" s="55"/>
      <c r="D1922" s="55">
        <f t="shared" si="59"/>
        <v>12</v>
      </c>
      <c r="E1922" s="60">
        <v>35</v>
      </c>
      <c r="F1922" s="60">
        <v>37</v>
      </c>
      <c r="G1922" s="61">
        <v>36</v>
      </c>
      <c r="H1922" s="60">
        <v>17</v>
      </c>
      <c r="I1922" s="60">
        <v>19</v>
      </c>
      <c r="J1922" s="61">
        <v>18</v>
      </c>
    </row>
    <row r="1923" spans="1:10" x14ac:dyDescent="0.35">
      <c r="A1923" s="58">
        <v>45638</v>
      </c>
      <c r="B1923" s="55">
        <f t="shared" si="58"/>
        <v>2024</v>
      </c>
      <c r="C1923" s="55"/>
      <c r="D1923" s="55">
        <f t="shared" si="59"/>
        <v>12</v>
      </c>
      <c r="E1923" s="60">
        <v>34</v>
      </c>
      <c r="F1923" s="60">
        <v>36</v>
      </c>
      <c r="G1923" s="61">
        <v>35</v>
      </c>
      <c r="H1923" s="60">
        <v>17</v>
      </c>
      <c r="I1923" s="60">
        <v>19</v>
      </c>
      <c r="J1923" s="61">
        <v>18</v>
      </c>
    </row>
    <row r="1924" spans="1:10" x14ac:dyDescent="0.35">
      <c r="A1924" s="58">
        <v>45645</v>
      </c>
      <c r="B1924" s="55">
        <f t="shared" ref="B1924:B1976" si="60">YEAR(A1924)</f>
        <v>2024</v>
      </c>
      <c r="C1924" s="55"/>
      <c r="D1924" s="55">
        <f t="shared" ref="D1924:D1976" si="61">MONTH(A1924)</f>
        <v>12</v>
      </c>
      <c r="E1924" s="60">
        <v>34</v>
      </c>
      <c r="F1924" s="60">
        <v>36</v>
      </c>
      <c r="G1924" s="61">
        <v>35</v>
      </c>
      <c r="H1924" s="60">
        <v>17</v>
      </c>
      <c r="I1924" s="60">
        <v>19</v>
      </c>
      <c r="J1924" s="61">
        <v>18</v>
      </c>
    </row>
    <row r="1925" spans="1:10" x14ac:dyDescent="0.35">
      <c r="A1925" s="58">
        <v>45652</v>
      </c>
      <c r="B1925" s="55">
        <f t="shared" si="60"/>
        <v>2024</v>
      </c>
      <c r="C1925" s="55"/>
      <c r="D1925" s="55">
        <f t="shared" si="61"/>
        <v>12</v>
      </c>
    </row>
    <row r="1926" spans="1:10" x14ac:dyDescent="0.35">
      <c r="A1926" s="58">
        <v>45659</v>
      </c>
      <c r="B1926" s="55">
        <f t="shared" si="60"/>
        <v>2025</v>
      </c>
      <c r="C1926" s="55"/>
      <c r="D1926" s="55">
        <f t="shared" si="61"/>
        <v>1</v>
      </c>
      <c r="E1926" s="60">
        <v>34</v>
      </c>
      <c r="F1926" s="60">
        <v>36</v>
      </c>
      <c r="G1926" s="61">
        <v>35</v>
      </c>
      <c r="H1926" s="60">
        <v>16</v>
      </c>
      <c r="I1926" s="60">
        <v>18</v>
      </c>
      <c r="J1926" s="61">
        <v>17</v>
      </c>
    </row>
    <row r="1927" spans="1:10" x14ac:dyDescent="0.35">
      <c r="A1927" s="58">
        <v>45666</v>
      </c>
      <c r="B1927" s="55">
        <f t="shared" si="60"/>
        <v>2025</v>
      </c>
      <c r="C1927" s="55"/>
      <c r="D1927" s="55">
        <f t="shared" si="61"/>
        <v>1</v>
      </c>
      <c r="E1927" s="60">
        <v>32</v>
      </c>
      <c r="F1927" s="60">
        <v>34</v>
      </c>
      <c r="G1927" s="61">
        <v>33</v>
      </c>
      <c r="H1927" s="60">
        <v>16</v>
      </c>
      <c r="I1927" s="60">
        <v>18</v>
      </c>
      <c r="J1927" s="61">
        <v>17</v>
      </c>
    </row>
    <row r="1928" spans="1:10" x14ac:dyDescent="0.35">
      <c r="A1928" s="58">
        <v>45673</v>
      </c>
      <c r="B1928" s="55">
        <f t="shared" si="60"/>
        <v>2025</v>
      </c>
      <c r="C1928" s="55"/>
      <c r="D1928" s="55">
        <f t="shared" si="61"/>
        <v>1</v>
      </c>
      <c r="E1928" s="60">
        <v>32</v>
      </c>
      <c r="F1928" s="60">
        <v>34</v>
      </c>
      <c r="G1928" s="61">
        <v>33</v>
      </c>
      <c r="H1928" s="60">
        <v>16</v>
      </c>
      <c r="I1928" s="60">
        <v>18</v>
      </c>
      <c r="J1928" s="61">
        <v>17</v>
      </c>
    </row>
    <row r="1929" spans="1:10" x14ac:dyDescent="0.35">
      <c r="A1929" s="58">
        <v>45680</v>
      </c>
      <c r="B1929" s="55">
        <f t="shared" si="60"/>
        <v>2025</v>
      </c>
      <c r="C1929" s="55"/>
      <c r="D1929" s="55">
        <f t="shared" si="61"/>
        <v>1</v>
      </c>
      <c r="E1929" s="60">
        <v>31</v>
      </c>
      <c r="F1929" s="60">
        <v>33</v>
      </c>
      <c r="G1929" s="61">
        <v>32</v>
      </c>
      <c r="H1929" s="60">
        <v>14</v>
      </c>
      <c r="I1929" s="60">
        <v>16</v>
      </c>
      <c r="J1929" s="61">
        <v>15</v>
      </c>
    </row>
    <row r="1930" spans="1:10" x14ac:dyDescent="0.35">
      <c r="A1930" s="58">
        <v>45687</v>
      </c>
      <c r="B1930" s="55">
        <f t="shared" si="60"/>
        <v>2025</v>
      </c>
      <c r="C1930" s="55"/>
      <c r="D1930" s="55">
        <f t="shared" si="61"/>
        <v>1</v>
      </c>
      <c r="E1930" s="60">
        <v>30</v>
      </c>
      <c r="F1930" s="60">
        <v>32</v>
      </c>
      <c r="G1930" s="61">
        <v>31</v>
      </c>
      <c r="H1930" s="60">
        <v>14</v>
      </c>
      <c r="I1930" s="60">
        <v>16</v>
      </c>
      <c r="J1930" s="61">
        <v>15</v>
      </c>
    </row>
    <row r="1931" spans="1:10" x14ac:dyDescent="0.35">
      <c r="A1931" s="58">
        <v>45694</v>
      </c>
      <c r="B1931" s="55">
        <f t="shared" si="60"/>
        <v>2025</v>
      </c>
      <c r="C1931" s="55"/>
      <c r="D1931" s="55">
        <f t="shared" si="61"/>
        <v>2</v>
      </c>
      <c r="E1931" s="60">
        <v>30</v>
      </c>
      <c r="F1931" s="60">
        <v>32</v>
      </c>
      <c r="G1931" s="61">
        <v>31</v>
      </c>
      <c r="H1931" s="60">
        <v>14</v>
      </c>
      <c r="I1931" s="60">
        <v>16</v>
      </c>
      <c r="J1931" s="61">
        <v>15</v>
      </c>
    </row>
    <row r="1932" spans="1:10" x14ac:dyDescent="0.35">
      <c r="A1932" s="58">
        <v>45701</v>
      </c>
      <c r="B1932" s="55">
        <f t="shared" si="60"/>
        <v>2025</v>
      </c>
      <c r="C1932" s="55"/>
      <c r="D1932" s="55">
        <f t="shared" si="61"/>
        <v>2</v>
      </c>
      <c r="E1932" s="60">
        <v>30</v>
      </c>
      <c r="F1932" s="60">
        <v>32</v>
      </c>
      <c r="G1932" s="61">
        <v>31</v>
      </c>
      <c r="H1932" s="60">
        <v>15</v>
      </c>
      <c r="I1932" s="60">
        <v>17</v>
      </c>
      <c r="J1932" s="61">
        <v>16</v>
      </c>
    </row>
    <row r="1933" spans="1:10" x14ac:dyDescent="0.35">
      <c r="A1933" s="58">
        <v>45708</v>
      </c>
      <c r="B1933" s="55">
        <f t="shared" si="60"/>
        <v>2025</v>
      </c>
      <c r="C1933" s="55"/>
      <c r="D1933" s="55">
        <f t="shared" si="61"/>
        <v>2</v>
      </c>
      <c r="E1933" s="60">
        <v>30</v>
      </c>
      <c r="F1933" s="60">
        <v>32</v>
      </c>
      <c r="G1933" s="61">
        <v>31</v>
      </c>
      <c r="H1933" s="60">
        <v>15</v>
      </c>
      <c r="I1933" s="60">
        <v>17</v>
      </c>
      <c r="J1933" s="61">
        <v>16</v>
      </c>
    </row>
    <row r="1934" spans="1:10" x14ac:dyDescent="0.35">
      <c r="A1934" s="58">
        <v>45715</v>
      </c>
      <c r="B1934" s="55">
        <f t="shared" si="60"/>
        <v>2025</v>
      </c>
      <c r="C1934" s="55"/>
      <c r="D1934" s="55">
        <f t="shared" si="61"/>
        <v>2</v>
      </c>
      <c r="E1934" s="60">
        <v>30</v>
      </c>
      <c r="F1934" s="60">
        <v>32</v>
      </c>
      <c r="G1934" s="61">
        <v>31</v>
      </c>
      <c r="H1934" s="60">
        <v>17</v>
      </c>
      <c r="I1934" s="60">
        <v>19</v>
      </c>
      <c r="J1934" s="61">
        <v>18</v>
      </c>
    </row>
    <row r="1935" spans="1:10" x14ac:dyDescent="0.35">
      <c r="A1935" s="58">
        <v>45722</v>
      </c>
      <c r="B1935" s="55">
        <f t="shared" si="60"/>
        <v>2025</v>
      </c>
      <c r="C1935" s="55"/>
      <c r="D1935" s="55">
        <f t="shared" si="61"/>
        <v>3</v>
      </c>
      <c r="E1935" s="60">
        <v>31</v>
      </c>
      <c r="F1935" s="60">
        <v>33</v>
      </c>
      <c r="G1935" s="61">
        <v>32</v>
      </c>
      <c r="H1935" s="60">
        <v>15</v>
      </c>
      <c r="I1935" s="60">
        <v>17</v>
      </c>
      <c r="J1935" s="61">
        <v>16</v>
      </c>
    </row>
    <row r="1936" spans="1:10" x14ac:dyDescent="0.35">
      <c r="A1936" s="58">
        <v>45729</v>
      </c>
      <c r="B1936" s="55">
        <f t="shared" si="60"/>
        <v>2025</v>
      </c>
      <c r="C1936" s="55"/>
      <c r="D1936" s="55">
        <f t="shared" si="61"/>
        <v>3</v>
      </c>
      <c r="E1936" s="60">
        <v>31</v>
      </c>
      <c r="F1936" s="60">
        <v>33</v>
      </c>
      <c r="G1936" s="61">
        <v>32</v>
      </c>
      <c r="H1936" s="60">
        <v>15</v>
      </c>
      <c r="I1936" s="60">
        <v>17</v>
      </c>
      <c r="J1936" s="61">
        <v>16</v>
      </c>
    </row>
    <row r="1937" spans="1:10" x14ac:dyDescent="0.35">
      <c r="A1937" s="58">
        <v>45736</v>
      </c>
      <c r="B1937" s="55">
        <f t="shared" si="60"/>
        <v>2025</v>
      </c>
      <c r="C1937" s="55"/>
      <c r="D1937" s="55">
        <f t="shared" si="61"/>
        <v>3</v>
      </c>
      <c r="E1937" s="60">
        <v>31</v>
      </c>
      <c r="F1937" s="60">
        <v>33</v>
      </c>
      <c r="G1937" s="61">
        <v>32</v>
      </c>
      <c r="H1937" s="60">
        <v>16</v>
      </c>
      <c r="I1937" s="60">
        <v>18</v>
      </c>
      <c r="J1937" s="61">
        <v>17</v>
      </c>
    </row>
    <row r="1938" spans="1:10" x14ac:dyDescent="0.35">
      <c r="A1938" s="58">
        <v>45743</v>
      </c>
      <c r="B1938" s="55">
        <f t="shared" si="60"/>
        <v>2025</v>
      </c>
      <c r="C1938" s="55"/>
      <c r="D1938" s="55">
        <f t="shared" si="61"/>
        <v>3</v>
      </c>
      <c r="E1938" s="60">
        <v>32</v>
      </c>
      <c r="F1938" s="60">
        <v>34</v>
      </c>
      <c r="G1938" s="61">
        <v>33</v>
      </c>
      <c r="H1938" s="60">
        <v>17</v>
      </c>
      <c r="I1938" s="60">
        <v>19</v>
      </c>
      <c r="J1938" s="61">
        <v>18</v>
      </c>
    </row>
    <row r="1939" spans="1:10" x14ac:dyDescent="0.35">
      <c r="A1939" s="58">
        <v>45750</v>
      </c>
      <c r="B1939" s="55">
        <f t="shared" si="60"/>
        <v>2025</v>
      </c>
      <c r="C1939" s="55"/>
      <c r="D1939" s="55">
        <f t="shared" si="61"/>
        <v>4</v>
      </c>
      <c r="E1939" s="60">
        <v>31</v>
      </c>
      <c r="F1939" s="60">
        <v>33</v>
      </c>
      <c r="G1939" s="61">
        <v>32</v>
      </c>
      <c r="H1939" s="60">
        <v>17</v>
      </c>
      <c r="I1939" s="60">
        <v>19</v>
      </c>
      <c r="J1939" s="61">
        <v>18</v>
      </c>
    </row>
    <row r="1940" spans="1:10" x14ac:dyDescent="0.35">
      <c r="A1940" s="58">
        <v>45757</v>
      </c>
      <c r="B1940" s="55">
        <f t="shared" si="60"/>
        <v>2025</v>
      </c>
      <c r="C1940" s="55"/>
      <c r="D1940" s="55">
        <f t="shared" si="61"/>
        <v>4</v>
      </c>
      <c r="E1940" s="60">
        <v>31</v>
      </c>
      <c r="F1940" s="60">
        <v>33</v>
      </c>
      <c r="G1940" s="61">
        <v>32</v>
      </c>
      <c r="H1940" s="60">
        <v>17</v>
      </c>
      <c r="I1940" s="60">
        <v>19</v>
      </c>
      <c r="J1940" s="61">
        <v>18</v>
      </c>
    </row>
    <row r="1941" spans="1:10" x14ac:dyDescent="0.35">
      <c r="A1941" s="58">
        <v>45764</v>
      </c>
      <c r="B1941" s="55">
        <f t="shared" si="60"/>
        <v>2025</v>
      </c>
      <c r="C1941" s="55"/>
      <c r="D1941" s="55">
        <f t="shared" si="61"/>
        <v>4</v>
      </c>
      <c r="E1941" s="60">
        <v>31</v>
      </c>
      <c r="F1941" s="60">
        <v>33</v>
      </c>
      <c r="G1941" s="61">
        <v>32</v>
      </c>
      <c r="H1941" s="60">
        <v>17</v>
      </c>
      <c r="I1941" s="60">
        <v>19</v>
      </c>
      <c r="J1941" s="61">
        <v>18</v>
      </c>
    </row>
    <row r="1942" spans="1:10" x14ac:dyDescent="0.35">
      <c r="A1942" s="58">
        <v>45771</v>
      </c>
      <c r="B1942" s="55">
        <f t="shared" si="60"/>
        <v>2025</v>
      </c>
      <c r="C1942" s="55"/>
      <c r="D1942" s="55">
        <f t="shared" si="61"/>
        <v>4</v>
      </c>
      <c r="E1942" s="60">
        <v>31</v>
      </c>
      <c r="F1942" s="60">
        <v>33</v>
      </c>
      <c r="G1942" s="61">
        <v>32</v>
      </c>
      <c r="H1942" s="60">
        <v>17</v>
      </c>
      <c r="I1942" s="60">
        <v>19</v>
      </c>
      <c r="J1942" s="61">
        <v>18</v>
      </c>
    </row>
    <row r="1943" spans="1:10" x14ac:dyDescent="0.35">
      <c r="A1943" s="58">
        <v>45778</v>
      </c>
      <c r="B1943" s="55">
        <f t="shared" si="60"/>
        <v>2025</v>
      </c>
      <c r="C1943" s="55"/>
      <c r="D1943" s="55">
        <f t="shared" si="61"/>
        <v>5</v>
      </c>
      <c r="E1943" s="60">
        <v>31</v>
      </c>
      <c r="F1943" s="60">
        <v>33</v>
      </c>
      <c r="G1943" s="61">
        <v>32</v>
      </c>
      <c r="H1943" s="60">
        <v>17</v>
      </c>
      <c r="I1943" s="60">
        <v>19</v>
      </c>
      <c r="J1943" s="61">
        <v>18</v>
      </c>
    </row>
    <row r="1944" spans="1:10" x14ac:dyDescent="0.35">
      <c r="A1944" s="58">
        <v>45785</v>
      </c>
      <c r="B1944" s="55">
        <f t="shared" si="60"/>
        <v>2025</v>
      </c>
      <c r="C1944" s="55"/>
      <c r="D1944" s="55">
        <f t="shared" si="61"/>
        <v>5</v>
      </c>
      <c r="E1944" s="60">
        <v>31</v>
      </c>
      <c r="F1944" s="60">
        <v>33</v>
      </c>
      <c r="G1944" s="61">
        <v>32</v>
      </c>
      <c r="H1944" s="60">
        <v>17</v>
      </c>
      <c r="I1944" s="60">
        <v>19</v>
      </c>
      <c r="J1944" s="61">
        <v>18</v>
      </c>
    </row>
    <row r="1945" spans="1:10" x14ac:dyDescent="0.35">
      <c r="A1945" s="58">
        <v>45792</v>
      </c>
      <c r="B1945" s="55">
        <f t="shared" si="60"/>
        <v>2025</v>
      </c>
      <c r="C1945" s="55"/>
      <c r="D1945" s="55">
        <f t="shared" si="61"/>
        <v>5</v>
      </c>
      <c r="E1945" s="60">
        <v>33</v>
      </c>
      <c r="F1945" s="60">
        <v>35</v>
      </c>
      <c r="G1945" s="61">
        <v>34</v>
      </c>
      <c r="H1945" s="60">
        <v>16</v>
      </c>
      <c r="I1945" s="60">
        <v>18</v>
      </c>
      <c r="J1945" s="61">
        <v>17</v>
      </c>
    </row>
    <row r="1946" spans="1:10" x14ac:dyDescent="0.35">
      <c r="A1946" s="58">
        <v>45799</v>
      </c>
      <c r="B1946" s="55">
        <f t="shared" si="60"/>
        <v>2025</v>
      </c>
      <c r="C1946" s="55"/>
      <c r="D1946" s="55">
        <f t="shared" si="61"/>
        <v>5</v>
      </c>
      <c r="E1946" s="60">
        <v>30</v>
      </c>
      <c r="F1946" s="60">
        <v>32</v>
      </c>
      <c r="G1946" s="61">
        <v>31</v>
      </c>
      <c r="H1946" s="60">
        <v>16</v>
      </c>
      <c r="I1946" s="60">
        <v>18</v>
      </c>
      <c r="J1946" s="61">
        <v>17</v>
      </c>
    </row>
    <row r="1947" spans="1:10" x14ac:dyDescent="0.35">
      <c r="A1947" s="58">
        <v>45806</v>
      </c>
      <c r="B1947" s="55">
        <f t="shared" si="60"/>
        <v>2025</v>
      </c>
      <c r="C1947" s="55"/>
      <c r="D1947" s="55">
        <f t="shared" si="61"/>
        <v>5</v>
      </c>
      <c r="E1947" s="60">
        <v>29</v>
      </c>
      <c r="F1947" s="60">
        <v>31</v>
      </c>
      <c r="G1947" s="61">
        <v>30</v>
      </c>
      <c r="H1947" s="60">
        <v>16</v>
      </c>
      <c r="I1947" s="60">
        <v>18</v>
      </c>
      <c r="J1947" s="61">
        <v>17</v>
      </c>
    </row>
    <row r="1948" spans="1:10" x14ac:dyDescent="0.35">
      <c r="A1948" s="58">
        <v>45813</v>
      </c>
      <c r="B1948" s="55">
        <f t="shared" si="60"/>
        <v>2025</v>
      </c>
      <c r="C1948" s="55"/>
      <c r="D1948" s="55">
        <f t="shared" si="61"/>
        <v>6</v>
      </c>
      <c r="E1948" s="60">
        <v>28</v>
      </c>
      <c r="F1948" s="60">
        <v>30</v>
      </c>
      <c r="G1948" s="61">
        <v>29</v>
      </c>
      <c r="H1948" s="60">
        <v>16</v>
      </c>
      <c r="I1948" s="60">
        <v>18</v>
      </c>
      <c r="J1948" s="61">
        <v>17</v>
      </c>
    </row>
    <row r="1949" spans="1:10" x14ac:dyDescent="0.35">
      <c r="A1949" s="58">
        <v>45820</v>
      </c>
      <c r="B1949" s="55">
        <f t="shared" si="60"/>
        <v>2025</v>
      </c>
      <c r="C1949" s="55"/>
      <c r="D1949" s="55">
        <f t="shared" si="61"/>
        <v>6</v>
      </c>
      <c r="E1949" s="60">
        <v>29</v>
      </c>
      <c r="F1949" s="60">
        <v>31</v>
      </c>
      <c r="G1949" s="61">
        <v>30</v>
      </c>
      <c r="H1949" s="60">
        <v>16</v>
      </c>
      <c r="I1949" s="60">
        <v>18</v>
      </c>
      <c r="J1949" s="61">
        <v>17</v>
      </c>
    </row>
    <row r="1950" spans="1:10" x14ac:dyDescent="0.35">
      <c r="A1950" s="58">
        <v>45827</v>
      </c>
      <c r="B1950" s="55">
        <f t="shared" si="60"/>
        <v>2025</v>
      </c>
      <c r="C1950" s="55"/>
      <c r="D1950" s="55">
        <f t="shared" si="61"/>
        <v>6</v>
      </c>
      <c r="E1950" s="60">
        <v>31</v>
      </c>
      <c r="F1950" s="60">
        <v>33</v>
      </c>
      <c r="G1950" s="61">
        <v>32</v>
      </c>
      <c r="H1950" s="60">
        <v>17</v>
      </c>
      <c r="I1950" s="60">
        <v>19</v>
      </c>
      <c r="J1950" s="61">
        <v>18</v>
      </c>
    </row>
    <row r="1951" spans="1:10" x14ac:dyDescent="0.35">
      <c r="A1951" s="58">
        <v>45834</v>
      </c>
      <c r="B1951" s="55">
        <f t="shared" si="60"/>
        <v>2025</v>
      </c>
      <c r="C1951" s="55"/>
      <c r="D1951" s="55">
        <f t="shared" si="61"/>
        <v>6</v>
      </c>
      <c r="E1951" s="60">
        <v>31</v>
      </c>
      <c r="F1951" s="60">
        <v>33</v>
      </c>
      <c r="G1951" s="61">
        <v>32</v>
      </c>
      <c r="H1951" s="60">
        <v>16</v>
      </c>
      <c r="I1951" s="60">
        <v>18</v>
      </c>
      <c r="J1951" s="61">
        <v>17</v>
      </c>
    </row>
    <row r="1952" spans="1:10" x14ac:dyDescent="0.35">
      <c r="A1952" s="58">
        <v>45841</v>
      </c>
      <c r="B1952" s="55">
        <f t="shared" si="60"/>
        <v>2025</v>
      </c>
      <c r="C1952" s="55"/>
      <c r="D1952" s="55">
        <f t="shared" si="61"/>
        <v>7</v>
      </c>
      <c r="E1952" s="60">
        <v>32</v>
      </c>
      <c r="F1952" s="60">
        <v>34</v>
      </c>
      <c r="G1952" s="61">
        <v>33</v>
      </c>
      <c r="H1952" s="60">
        <v>16</v>
      </c>
      <c r="I1952" s="60">
        <v>18</v>
      </c>
      <c r="J1952" s="61">
        <v>17</v>
      </c>
    </row>
    <row r="1953" spans="1:10" x14ac:dyDescent="0.35">
      <c r="A1953" s="58">
        <v>45848</v>
      </c>
      <c r="B1953" s="55">
        <f t="shared" si="60"/>
        <v>2025</v>
      </c>
      <c r="C1953" s="55"/>
      <c r="D1953" s="55">
        <f t="shared" si="61"/>
        <v>7</v>
      </c>
      <c r="E1953" s="60">
        <v>33</v>
      </c>
      <c r="F1953" s="60">
        <v>35</v>
      </c>
      <c r="G1953" s="61">
        <v>34</v>
      </c>
      <c r="H1953" s="60">
        <v>17</v>
      </c>
      <c r="I1953" s="60">
        <v>19</v>
      </c>
      <c r="J1953" s="61">
        <v>18</v>
      </c>
    </row>
    <row r="1954" spans="1:10" x14ac:dyDescent="0.35">
      <c r="A1954" s="58">
        <v>45855</v>
      </c>
      <c r="B1954" s="55">
        <f t="shared" si="60"/>
        <v>2025</v>
      </c>
      <c r="C1954" s="55"/>
      <c r="D1954" s="55">
        <f t="shared" si="61"/>
        <v>7</v>
      </c>
      <c r="E1954" s="60">
        <v>34</v>
      </c>
      <c r="F1954" s="60">
        <v>36</v>
      </c>
      <c r="G1954" s="61">
        <v>35</v>
      </c>
      <c r="H1954" s="60">
        <v>17</v>
      </c>
      <c r="I1954" s="60">
        <v>19</v>
      </c>
      <c r="J1954" s="61">
        <v>18</v>
      </c>
    </row>
    <row r="1955" spans="1:10" x14ac:dyDescent="0.35">
      <c r="A1955" s="58">
        <v>45862</v>
      </c>
      <c r="B1955" s="55">
        <f t="shared" si="60"/>
        <v>2025</v>
      </c>
      <c r="C1955" s="55"/>
      <c r="D1955" s="55">
        <f t="shared" si="61"/>
        <v>7</v>
      </c>
      <c r="E1955" s="60">
        <v>34</v>
      </c>
      <c r="F1955" s="60">
        <v>36</v>
      </c>
      <c r="G1955" s="61">
        <v>35</v>
      </c>
      <c r="H1955" s="60">
        <v>17</v>
      </c>
      <c r="I1955" s="60">
        <v>19</v>
      </c>
      <c r="J1955" s="61">
        <v>18</v>
      </c>
    </row>
    <row r="1956" spans="1:10" x14ac:dyDescent="0.35">
      <c r="A1956" s="58">
        <v>45869</v>
      </c>
      <c r="B1956" s="55">
        <f t="shared" si="60"/>
        <v>2025</v>
      </c>
      <c r="C1956" s="55"/>
      <c r="D1956" s="55">
        <f t="shared" si="61"/>
        <v>7</v>
      </c>
      <c r="E1956" s="60">
        <v>37</v>
      </c>
      <c r="F1956" s="60">
        <v>39</v>
      </c>
      <c r="G1956" s="61">
        <v>38</v>
      </c>
      <c r="H1956" s="60">
        <v>19</v>
      </c>
      <c r="I1956" s="60">
        <v>21</v>
      </c>
      <c r="J1956" s="61">
        <v>20</v>
      </c>
    </row>
    <row r="1957" spans="1:10" x14ac:dyDescent="0.35">
      <c r="A1957" s="58">
        <v>45876</v>
      </c>
      <c r="B1957" s="55">
        <f t="shared" si="60"/>
        <v>2025</v>
      </c>
      <c r="C1957" s="55"/>
      <c r="D1957" s="55">
        <f t="shared" si="61"/>
        <v>8</v>
      </c>
      <c r="E1957" s="60">
        <v>36</v>
      </c>
      <c r="F1957" s="60">
        <v>38</v>
      </c>
      <c r="G1957" s="61">
        <v>37</v>
      </c>
      <c r="H1957" s="60">
        <v>20</v>
      </c>
      <c r="I1957" s="60">
        <v>22</v>
      </c>
      <c r="J1957" s="61">
        <v>21</v>
      </c>
    </row>
    <row r="1958" spans="1:10" x14ac:dyDescent="0.35">
      <c r="A1958" s="58">
        <v>45883</v>
      </c>
      <c r="B1958" s="55">
        <f t="shared" si="60"/>
        <v>2025</v>
      </c>
      <c r="C1958" s="55"/>
      <c r="D1958" s="55">
        <f t="shared" si="61"/>
        <v>8</v>
      </c>
      <c r="E1958" s="60">
        <v>33</v>
      </c>
      <c r="F1958" s="60">
        <v>35</v>
      </c>
      <c r="G1958" s="61">
        <v>34</v>
      </c>
      <c r="H1958" s="60">
        <v>20</v>
      </c>
      <c r="I1958" s="60">
        <v>22</v>
      </c>
      <c r="J1958" s="61">
        <v>21</v>
      </c>
    </row>
    <row r="1959" spans="1:10" x14ac:dyDescent="0.35">
      <c r="A1959" s="58">
        <v>45890</v>
      </c>
      <c r="B1959" s="55">
        <f t="shared" si="60"/>
        <v>2025</v>
      </c>
      <c r="C1959" s="55"/>
      <c r="D1959" s="55">
        <f t="shared" si="61"/>
        <v>8</v>
      </c>
      <c r="E1959" s="60">
        <v>33</v>
      </c>
      <c r="F1959" s="60">
        <v>35</v>
      </c>
      <c r="G1959" s="61">
        <v>34</v>
      </c>
      <c r="H1959" s="60">
        <v>20</v>
      </c>
      <c r="I1959" s="60">
        <v>22</v>
      </c>
      <c r="J1959" s="61">
        <v>21</v>
      </c>
    </row>
    <row r="1960" spans="1:10" x14ac:dyDescent="0.35">
      <c r="A1960" s="58">
        <v>45897</v>
      </c>
      <c r="B1960" s="55">
        <f t="shared" si="60"/>
        <v>2025</v>
      </c>
      <c r="C1960" s="55"/>
      <c r="D1960" s="55">
        <f t="shared" si="61"/>
        <v>8</v>
      </c>
      <c r="E1960" s="60">
        <v>37</v>
      </c>
      <c r="F1960" s="60">
        <v>39</v>
      </c>
      <c r="G1960" s="61">
        <v>38</v>
      </c>
      <c r="H1960" s="60">
        <v>21</v>
      </c>
      <c r="I1960" s="60">
        <v>23</v>
      </c>
      <c r="J1960" s="61">
        <v>22</v>
      </c>
    </row>
    <row r="1961" spans="1:10" x14ac:dyDescent="0.35">
      <c r="A1961" s="58">
        <v>45904</v>
      </c>
      <c r="B1961" s="55">
        <f t="shared" si="60"/>
        <v>2025</v>
      </c>
      <c r="C1961" s="55"/>
      <c r="D1961" s="55">
        <f t="shared" si="61"/>
        <v>9</v>
      </c>
      <c r="E1961" s="60">
        <v>37</v>
      </c>
      <c r="F1961" s="60">
        <v>39</v>
      </c>
      <c r="G1961" s="61">
        <v>38</v>
      </c>
      <c r="H1961" s="60">
        <v>21</v>
      </c>
      <c r="I1961" s="60">
        <v>23</v>
      </c>
      <c r="J1961" s="61">
        <v>22</v>
      </c>
    </row>
    <row r="1962" spans="1:10" x14ac:dyDescent="0.35">
      <c r="A1962" s="58">
        <v>45911</v>
      </c>
      <c r="B1962" s="55">
        <f t="shared" si="60"/>
        <v>2025</v>
      </c>
      <c r="C1962" s="55"/>
      <c r="D1962" s="55">
        <f t="shared" si="61"/>
        <v>9</v>
      </c>
      <c r="E1962" s="60">
        <v>36</v>
      </c>
      <c r="F1962" s="60">
        <v>38</v>
      </c>
      <c r="G1962" s="61">
        <v>37</v>
      </c>
      <c r="H1962" s="60">
        <v>23</v>
      </c>
      <c r="I1962" s="60">
        <v>25</v>
      </c>
      <c r="J1962" s="61">
        <v>24</v>
      </c>
    </row>
    <row r="1963" spans="1:10" x14ac:dyDescent="0.35">
      <c r="A1963" s="58">
        <v>45918</v>
      </c>
      <c r="B1963" s="55">
        <f t="shared" si="60"/>
        <v>2025</v>
      </c>
      <c r="C1963" s="55"/>
      <c r="D1963" s="55">
        <f t="shared" si="61"/>
        <v>9</v>
      </c>
      <c r="E1963" s="60">
        <v>34</v>
      </c>
      <c r="F1963" s="60">
        <v>36</v>
      </c>
      <c r="G1963" s="61">
        <v>35</v>
      </c>
      <c r="H1963" s="60">
        <v>25</v>
      </c>
      <c r="I1963" s="60">
        <v>27</v>
      </c>
      <c r="J1963" s="61">
        <v>26</v>
      </c>
    </row>
    <row r="1964" spans="1:10" x14ac:dyDescent="0.35">
      <c r="A1964" s="58">
        <v>45925</v>
      </c>
      <c r="B1964" s="55">
        <f t="shared" si="60"/>
        <v>2025</v>
      </c>
      <c r="C1964" s="55"/>
      <c r="D1964" s="55">
        <f t="shared" si="61"/>
        <v>9</v>
      </c>
      <c r="E1964" s="60">
        <v>31</v>
      </c>
      <c r="F1964" s="60">
        <v>33</v>
      </c>
      <c r="G1964" s="61">
        <v>32</v>
      </c>
      <c r="H1964" s="60">
        <v>28</v>
      </c>
      <c r="I1964" s="60">
        <v>30</v>
      </c>
      <c r="J1964" s="61">
        <v>29</v>
      </c>
    </row>
    <row r="1965" spans="1:10" x14ac:dyDescent="0.35">
      <c r="A1965" s="58">
        <v>45932</v>
      </c>
      <c r="B1965" s="55">
        <f t="shared" si="60"/>
        <v>2025</v>
      </c>
      <c r="C1965" s="55"/>
      <c r="D1965" s="55">
        <f t="shared" si="61"/>
        <v>10</v>
      </c>
      <c r="E1965" s="60">
        <v>31</v>
      </c>
      <c r="F1965" s="60">
        <v>33</v>
      </c>
      <c r="G1965" s="61">
        <v>32</v>
      </c>
      <c r="H1965" s="60">
        <v>29</v>
      </c>
      <c r="I1965" s="60">
        <v>31</v>
      </c>
      <c r="J1965" s="61">
        <v>30</v>
      </c>
    </row>
    <row r="1966" spans="1:10" x14ac:dyDescent="0.35">
      <c r="A1966" s="58">
        <v>45939</v>
      </c>
      <c r="B1966" s="55">
        <f t="shared" si="60"/>
        <v>2025</v>
      </c>
      <c r="C1966" s="55"/>
      <c r="D1966" s="55">
        <f t="shared" si="61"/>
        <v>10</v>
      </c>
      <c r="E1966" s="60">
        <v>31</v>
      </c>
      <c r="F1966" s="60">
        <v>33</v>
      </c>
      <c r="G1966" s="61">
        <v>32</v>
      </c>
      <c r="H1966" s="60">
        <v>30</v>
      </c>
      <c r="I1966" s="60">
        <v>32</v>
      </c>
      <c r="J1966" s="61">
        <v>31</v>
      </c>
    </row>
    <row r="1967" spans="1:10" x14ac:dyDescent="0.35">
      <c r="A1967" s="58">
        <v>45946</v>
      </c>
      <c r="B1967" s="55">
        <f t="shared" si="60"/>
        <v>2025</v>
      </c>
      <c r="C1967" s="55"/>
      <c r="D1967" s="55">
        <f t="shared" si="61"/>
        <v>10</v>
      </c>
      <c r="E1967" s="60">
        <v>30</v>
      </c>
      <c r="F1967" s="60">
        <v>32</v>
      </c>
      <c r="G1967" s="61">
        <v>31</v>
      </c>
      <c r="H1967" s="60">
        <v>30</v>
      </c>
      <c r="I1967" s="60">
        <v>32</v>
      </c>
      <c r="J1967" s="61">
        <v>31</v>
      </c>
    </row>
    <row r="1968" spans="1:10" x14ac:dyDescent="0.35">
      <c r="A1968" s="58">
        <v>45953</v>
      </c>
      <c r="B1968" s="55">
        <f t="shared" si="60"/>
        <v>2025</v>
      </c>
      <c r="C1968" s="55"/>
      <c r="D1968" s="55">
        <f t="shared" si="61"/>
        <v>10</v>
      </c>
      <c r="E1968" s="60">
        <v>29</v>
      </c>
      <c r="F1968" s="60">
        <v>31</v>
      </c>
      <c r="G1968" s="61">
        <v>30</v>
      </c>
      <c r="H1968" s="60">
        <v>29</v>
      </c>
      <c r="I1968" s="60">
        <v>31</v>
      </c>
      <c r="J1968" s="61">
        <v>30</v>
      </c>
    </row>
    <row r="1969" spans="1:10" x14ac:dyDescent="0.35">
      <c r="A1969" s="58">
        <v>45960</v>
      </c>
      <c r="B1969" s="55">
        <f t="shared" si="60"/>
        <v>2025</v>
      </c>
      <c r="C1969" s="55"/>
      <c r="D1969" s="55">
        <f t="shared" si="61"/>
        <v>10</v>
      </c>
      <c r="E1969" s="60">
        <v>29</v>
      </c>
      <c r="F1969" s="60">
        <v>31</v>
      </c>
      <c r="G1969" s="61">
        <v>30</v>
      </c>
      <c r="H1969" s="60">
        <v>29</v>
      </c>
      <c r="I1969" s="60">
        <v>31</v>
      </c>
      <c r="J1969" s="61">
        <v>30</v>
      </c>
    </row>
    <row r="1970" spans="1:10" x14ac:dyDescent="0.35">
      <c r="A1970" s="58">
        <v>45967</v>
      </c>
      <c r="B1970" s="55">
        <f t="shared" si="60"/>
        <v>2025</v>
      </c>
      <c r="C1970" s="55"/>
      <c r="D1970" s="55">
        <f t="shared" si="61"/>
        <v>11</v>
      </c>
      <c r="E1970" s="60">
        <v>31</v>
      </c>
      <c r="F1970" s="60">
        <v>33</v>
      </c>
      <c r="G1970" s="61">
        <v>32</v>
      </c>
      <c r="H1970" s="60">
        <v>29</v>
      </c>
      <c r="I1970" s="60">
        <v>31</v>
      </c>
      <c r="J1970" s="61">
        <v>30</v>
      </c>
    </row>
    <row r="1971" spans="1:10" x14ac:dyDescent="0.35">
      <c r="A1971" s="58">
        <v>45974</v>
      </c>
      <c r="B1971" s="55">
        <f t="shared" si="60"/>
        <v>2025</v>
      </c>
      <c r="C1971" s="55"/>
      <c r="D1971" s="55">
        <f t="shared" si="61"/>
        <v>11</v>
      </c>
      <c r="E1971" s="60">
        <v>30</v>
      </c>
      <c r="F1971" s="60">
        <v>32</v>
      </c>
      <c r="G1971" s="61">
        <v>31</v>
      </c>
      <c r="H1971" s="60">
        <v>30</v>
      </c>
      <c r="I1971" s="60">
        <v>32</v>
      </c>
      <c r="J1971" s="61">
        <v>31</v>
      </c>
    </row>
    <row r="1972" spans="1:10" x14ac:dyDescent="0.35">
      <c r="A1972" s="58">
        <v>45981</v>
      </c>
      <c r="B1972" s="55">
        <f t="shared" si="60"/>
        <v>2025</v>
      </c>
      <c r="C1972" s="55"/>
      <c r="D1972" s="55">
        <f t="shared" si="61"/>
        <v>11</v>
      </c>
      <c r="E1972" s="60">
        <v>30</v>
      </c>
      <c r="F1972" s="60">
        <v>32</v>
      </c>
      <c r="G1972" s="61">
        <v>31</v>
      </c>
      <c r="H1972" s="60">
        <v>30</v>
      </c>
      <c r="I1972" s="60">
        <v>32</v>
      </c>
      <c r="J1972" s="61">
        <v>31</v>
      </c>
    </row>
    <row r="1973" spans="1:10" x14ac:dyDescent="0.35">
      <c r="A1973" s="58">
        <v>45988</v>
      </c>
      <c r="B1973" s="55">
        <f t="shared" si="60"/>
        <v>2025</v>
      </c>
      <c r="C1973" s="55"/>
      <c r="D1973" s="55">
        <f t="shared" si="61"/>
        <v>11</v>
      </c>
      <c r="E1973" s="60">
        <v>33</v>
      </c>
      <c r="F1973" s="60">
        <v>35</v>
      </c>
      <c r="G1973" s="61">
        <v>34</v>
      </c>
      <c r="H1973" s="60">
        <v>27</v>
      </c>
      <c r="I1973" s="60">
        <v>29</v>
      </c>
      <c r="J1973" s="61">
        <v>28</v>
      </c>
    </row>
    <row r="1974" spans="1:10" x14ac:dyDescent="0.35">
      <c r="A1974" s="58">
        <v>45995</v>
      </c>
      <c r="B1974" s="55">
        <f t="shared" si="60"/>
        <v>2025</v>
      </c>
      <c r="C1974" s="55"/>
      <c r="D1974" s="55">
        <f t="shared" si="61"/>
        <v>12</v>
      </c>
      <c r="E1974" s="60">
        <v>33</v>
      </c>
      <c r="F1974" s="60">
        <v>35</v>
      </c>
      <c r="G1974" s="61">
        <v>34</v>
      </c>
      <c r="H1974" s="60">
        <v>26</v>
      </c>
      <c r="I1974" s="60">
        <v>28</v>
      </c>
      <c r="J1974" s="61">
        <v>27</v>
      </c>
    </row>
    <row r="1975" spans="1:10" x14ac:dyDescent="0.35">
      <c r="A1975" s="58">
        <v>46002</v>
      </c>
      <c r="B1975" s="55">
        <f t="shared" si="60"/>
        <v>2025</v>
      </c>
      <c r="C1975" s="55"/>
      <c r="D1975" s="55">
        <f t="shared" si="61"/>
        <v>12</v>
      </c>
      <c r="E1975" s="60">
        <v>32</v>
      </c>
      <c r="F1975" s="60">
        <v>34</v>
      </c>
      <c r="G1975" s="61">
        <v>33</v>
      </c>
      <c r="H1975" s="60">
        <v>26</v>
      </c>
      <c r="I1975" s="60">
        <v>28</v>
      </c>
      <c r="J1975" s="61">
        <v>27</v>
      </c>
    </row>
    <row r="1976" spans="1:10" x14ac:dyDescent="0.35">
      <c r="A1976" s="58">
        <v>46009</v>
      </c>
      <c r="B1976" s="55">
        <f t="shared" si="60"/>
        <v>2025</v>
      </c>
      <c r="C1976" s="55"/>
      <c r="D1976" s="55">
        <f t="shared" si="61"/>
        <v>12</v>
      </c>
      <c r="E1976" s="60">
        <v>30</v>
      </c>
      <c r="F1976" s="60">
        <v>32</v>
      </c>
      <c r="G1976" s="61">
        <v>31</v>
      </c>
      <c r="H1976" s="60">
        <v>24</v>
      </c>
      <c r="I1976" s="60">
        <v>26</v>
      </c>
      <c r="J1976" s="61">
        <v>25</v>
      </c>
    </row>
  </sheetData>
  <mergeCells count="2">
    <mergeCell ref="E1:G1"/>
    <mergeCell ref="H1:J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C5737-47C6-438B-9BE9-41F861047BEE}">
  <sheetPr>
    <tabColor theme="6" tint="0.79998168889431442"/>
  </sheetPr>
  <dimension ref="A1:L22"/>
  <sheetViews>
    <sheetView workbookViewId="0">
      <selection activeCell="C1" sqref="C1"/>
    </sheetView>
  </sheetViews>
  <sheetFormatPr baseColWidth="10" defaultRowHeight="14.5" x14ac:dyDescent="0.35"/>
  <sheetData>
    <row r="1" spans="1:12" ht="34.5" x14ac:dyDescent="0.35">
      <c r="A1" s="13"/>
      <c r="B1" s="14" t="s">
        <v>14</v>
      </c>
      <c r="C1" s="63" t="s">
        <v>15</v>
      </c>
      <c r="D1" s="14" t="s">
        <v>16</v>
      </c>
      <c r="E1" s="14" t="s">
        <v>17</v>
      </c>
      <c r="F1" s="14" t="s">
        <v>18</v>
      </c>
      <c r="G1" s="14" t="s">
        <v>19</v>
      </c>
      <c r="H1" s="14" t="s">
        <v>20</v>
      </c>
      <c r="I1" s="14" t="s">
        <v>21</v>
      </c>
      <c r="J1" s="14" t="s">
        <v>22</v>
      </c>
      <c r="K1" s="14" t="s">
        <v>23</v>
      </c>
      <c r="L1" s="14" t="s">
        <v>24</v>
      </c>
    </row>
    <row r="2" spans="1:12" x14ac:dyDescent="0.35">
      <c r="A2" s="15">
        <v>2010</v>
      </c>
      <c r="B2" s="16">
        <v>121.63461538461539</v>
      </c>
      <c r="C2" s="16">
        <v>140.34615384615384</v>
      </c>
      <c r="D2" s="16">
        <v>138.74509803921569</v>
      </c>
      <c r="E2" s="16">
        <v>98.610819092209155</v>
      </c>
      <c r="F2" s="16">
        <v>147.86538461538461</v>
      </c>
      <c r="G2" s="16">
        <v>164.51923076923077</v>
      </c>
      <c r="H2" s="16">
        <v>162.84615384615384</v>
      </c>
      <c r="I2" s="16" t="s">
        <v>25</v>
      </c>
      <c r="J2" s="16">
        <v>87.211538461538467</v>
      </c>
      <c r="K2" s="16">
        <v>117.78846153846153</v>
      </c>
      <c r="L2" s="16">
        <v>111.07692307692308</v>
      </c>
    </row>
    <row r="3" spans="1:12" x14ac:dyDescent="0.35">
      <c r="A3" s="15">
        <v>2011</v>
      </c>
      <c r="B3" s="16">
        <v>208.96153846153845</v>
      </c>
      <c r="C3" s="16">
        <v>200.30769230769232</v>
      </c>
      <c r="D3" s="16">
        <v>204.67307692307693</v>
      </c>
      <c r="E3" s="16">
        <v>163.65770304723449</v>
      </c>
      <c r="F3" s="16">
        <v>226.5</v>
      </c>
      <c r="G3" s="16">
        <v>226.76923076923077</v>
      </c>
      <c r="H3" s="16">
        <v>238.78846153846155</v>
      </c>
      <c r="I3" s="16" t="s">
        <v>25</v>
      </c>
      <c r="J3" s="16">
        <v>219.13461538461539</v>
      </c>
      <c r="K3" s="16">
        <v>208.46153846153845</v>
      </c>
      <c r="L3" s="16">
        <v>214.76923076923077</v>
      </c>
    </row>
    <row r="4" spans="1:12" x14ac:dyDescent="0.35">
      <c r="A4" s="15">
        <v>2012</v>
      </c>
      <c r="B4" s="16">
        <v>181.83018867924528</v>
      </c>
      <c r="C4" s="16">
        <v>176.24528301886792</v>
      </c>
      <c r="D4" s="16">
        <v>178.66037735849056</v>
      </c>
      <c r="E4" s="16">
        <v>184.9735628214554</v>
      </c>
      <c r="F4" s="16">
        <v>198.43396226415095</v>
      </c>
      <c r="G4" s="16">
        <v>199.11320754716982</v>
      </c>
      <c r="H4" s="16">
        <v>210.39622641509433</v>
      </c>
      <c r="I4" s="16" t="s">
        <v>25</v>
      </c>
      <c r="J4" s="16">
        <v>202.26415094339623</v>
      </c>
      <c r="K4" s="16">
        <v>174.22641509433961</v>
      </c>
      <c r="L4" s="16">
        <v>214.83018867924528</v>
      </c>
    </row>
    <row r="5" spans="1:12" x14ac:dyDescent="0.35">
      <c r="A5" s="15">
        <v>2013</v>
      </c>
      <c r="B5" s="16">
        <v>108.55769230769231</v>
      </c>
      <c r="C5" s="16">
        <v>109.42307692307692</v>
      </c>
      <c r="D5" s="16">
        <v>102.48076923076923</v>
      </c>
      <c r="E5" s="16">
        <v>109.79716345144566</v>
      </c>
      <c r="F5" s="16">
        <v>128.36538461538461</v>
      </c>
      <c r="G5" s="16">
        <v>132.38461538461539</v>
      </c>
      <c r="H5" s="16">
        <v>133.84615384615384</v>
      </c>
      <c r="I5" s="16" t="s">
        <v>25</v>
      </c>
      <c r="J5" s="16">
        <v>121.67307692307692</v>
      </c>
      <c r="K5" s="16">
        <v>121.53846153846153</v>
      </c>
      <c r="L5" s="16">
        <v>155.82692307692307</v>
      </c>
    </row>
    <row r="6" spans="1:12" x14ac:dyDescent="0.35">
      <c r="A6" s="15">
        <v>2014</v>
      </c>
      <c r="B6" s="16">
        <v>150.86538461538461</v>
      </c>
      <c r="C6" s="16">
        <v>153.96153846153845</v>
      </c>
      <c r="D6" s="16">
        <v>140.26923076923077</v>
      </c>
      <c r="E6" s="16">
        <v>136.3814698696772</v>
      </c>
      <c r="F6" s="16">
        <v>158.34615384615384</v>
      </c>
      <c r="G6" s="16">
        <v>173.80769230769232</v>
      </c>
      <c r="H6" s="16">
        <v>168</v>
      </c>
      <c r="I6" s="16" t="s">
        <v>25</v>
      </c>
      <c r="J6" s="16">
        <v>122.26923076923077</v>
      </c>
      <c r="K6" s="16">
        <v>127.15384615384616</v>
      </c>
      <c r="L6" s="16">
        <v>156.15384615384616</v>
      </c>
    </row>
    <row r="7" spans="1:12" x14ac:dyDescent="0.35">
      <c r="A7" s="15">
        <v>2015</v>
      </c>
      <c r="B7" s="16">
        <v>138.71153846153845</v>
      </c>
      <c r="C7" s="16">
        <v>145.84615384615384</v>
      </c>
      <c r="D7" s="16">
        <v>135.90384615384616</v>
      </c>
      <c r="E7" s="16">
        <v>140.18548009912627</v>
      </c>
      <c r="F7" s="16">
        <v>149.26923076923077</v>
      </c>
      <c r="G7" s="16">
        <v>162.65384615384616</v>
      </c>
      <c r="H7" s="16">
        <v>156.25</v>
      </c>
      <c r="I7" s="16" t="s">
        <v>25</v>
      </c>
      <c r="J7" s="16">
        <v>129.63461538461539</v>
      </c>
      <c r="K7" s="16">
        <v>131.17307692307693</v>
      </c>
      <c r="L7" s="16">
        <v>160.92307692307693</v>
      </c>
    </row>
    <row r="8" spans="1:12" x14ac:dyDescent="0.35">
      <c r="A8" s="15">
        <v>2016</v>
      </c>
      <c r="B8" s="16">
        <v>80.34615384615384</v>
      </c>
      <c r="C8" s="16">
        <v>85.09615384615384</v>
      </c>
      <c r="D8" s="16">
        <v>69.92307692307692</v>
      </c>
      <c r="E8" s="16">
        <v>79.353727313262823</v>
      </c>
      <c r="F8" s="16">
        <v>88.557692307692307</v>
      </c>
      <c r="G8" s="16">
        <v>99.288461538461533</v>
      </c>
      <c r="H8" s="16">
        <v>88.807692307692307</v>
      </c>
      <c r="I8" s="16" t="s">
        <v>25</v>
      </c>
      <c r="J8" s="16">
        <v>84.34615384615384</v>
      </c>
      <c r="K8" s="16">
        <v>76.442307692307693</v>
      </c>
      <c r="L8" s="16">
        <v>120.53846153846153</v>
      </c>
    </row>
    <row r="9" spans="1:12" x14ac:dyDescent="0.35">
      <c r="A9" s="15">
        <v>2017</v>
      </c>
      <c r="B9" s="16">
        <v>101.37254901960785</v>
      </c>
      <c r="C9" s="16">
        <v>107.43137254901961</v>
      </c>
      <c r="D9" s="16">
        <v>89.549019607843135</v>
      </c>
      <c r="E9" s="16">
        <v>90.056944444444454</v>
      </c>
      <c r="F9" s="16">
        <v>122</v>
      </c>
      <c r="G9" s="16">
        <v>125</v>
      </c>
      <c r="H9" s="16">
        <v>112.52941176470588</v>
      </c>
      <c r="I9" s="16" t="s">
        <v>25</v>
      </c>
      <c r="J9" s="16">
        <v>84.980392156862749</v>
      </c>
      <c r="K9" s="16">
        <v>78.82352941176471</v>
      </c>
      <c r="L9" s="16">
        <v>96.137254901960787</v>
      </c>
    </row>
    <row r="10" spans="1:12" x14ac:dyDescent="0.35">
      <c r="A10" s="15">
        <v>2018</v>
      </c>
      <c r="B10" s="16">
        <v>131.09615384615384</v>
      </c>
      <c r="C10" s="16">
        <v>136.63461538461539</v>
      </c>
      <c r="D10" s="16">
        <v>123.40384615384616</v>
      </c>
      <c r="E10" s="16">
        <v>127.21153846153847</v>
      </c>
      <c r="F10" s="16">
        <v>154.42307692307693</v>
      </c>
      <c r="G10" s="16">
        <v>156.65384615384616</v>
      </c>
      <c r="H10" s="16">
        <v>148.53846153846155</v>
      </c>
      <c r="I10" s="16" t="s">
        <v>25</v>
      </c>
      <c r="J10" s="16">
        <v>137.51923076923077</v>
      </c>
      <c r="K10" s="16">
        <v>122.44230769230769</v>
      </c>
      <c r="L10" s="16">
        <v>120.96153846153847</v>
      </c>
    </row>
    <row r="11" spans="1:12" x14ac:dyDescent="0.35">
      <c r="A11" s="15">
        <v>2019</v>
      </c>
      <c r="B11" s="16">
        <v>80.192307692307693</v>
      </c>
      <c r="C11" s="16">
        <v>80.538461538461533</v>
      </c>
      <c r="D11" s="16">
        <v>72.384615384615387</v>
      </c>
      <c r="E11" s="16">
        <v>76.884615384615387</v>
      </c>
      <c r="F11" s="16">
        <v>98.461538461538467</v>
      </c>
      <c r="G11" s="16">
        <v>100</v>
      </c>
      <c r="H11" s="16">
        <v>93.75</v>
      </c>
      <c r="I11" s="16" t="s">
        <v>25</v>
      </c>
      <c r="J11" s="16">
        <v>91</v>
      </c>
      <c r="K11" s="16">
        <v>81.192307692307693</v>
      </c>
      <c r="L11" s="16">
        <v>131.23076923076923</v>
      </c>
    </row>
    <row r="12" spans="1:12" x14ac:dyDescent="0.35">
      <c r="A12" s="15">
        <v>2020</v>
      </c>
      <c r="B12" s="16">
        <v>58.431372549019606</v>
      </c>
      <c r="C12" s="16">
        <v>60.03921568627451</v>
      </c>
      <c r="D12" s="16">
        <v>52.647058823529413</v>
      </c>
      <c r="E12" s="16">
        <v>47.136363636363633</v>
      </c>
      <c r="F12" s="16">
        <v>78.117647058823536</v>
      </c>
      <c r="G12" s="16">
        <v>79.294117647058826</v>
      </c>
      <c r="H12" s="16">
        <v>76.392156862745097</v>
      </c>
      <c r="I12" s="16" t="s">
        <v>25</v>
      </c>
      <c r="J12" s="16">
        <v>60.901960784313722</v>
      </c>
      <c r="K12" s="16">
        <v>53.392156862745097</v>
      </c>
      <c r="L12" s="16">
        <v>99.607843137254903</v>
      </c>
    </row>
    <row r="13" spans="1:12" x14ac:dyDescent="0.35">
      <c r="A13" s="15">
        <v>2021</v>
      </c>
      <c r="B13" s="16">
        <v>176.54901960784315</v>
      </c>
      <c r="C13" s="16">
        <v>187.78431372549019</v>
      </c>
      <c r="D13" s="16">
        <v>179.1764705882353</v>
      </c>
      <c r="E13" s="16" t="s">
        <v>26</v>
      </c>
      <c r="F13" s="16">
        <v>212.92156862745097</v>
      </c>
      <c r="G13" s="16">
        <v>226.35294117647058</v>
      </c>
      <c r="H13" s="16">
        <v>219.15686274509804</v>
      </c>
      <c r="I13" s="16">
        <v>242.35483870967741</v>
      </c>
      <c r="J13" s="16">
        <v>170.58823529411765</v>
      </c>
      <c r="K13" s="16">
        <v>165.52941176470588</v>
      </c>
      <c r="L13" s="16">
        <v>180.92156862745097</v>
      </c>
    </row>
    <row r="14" spans="1:12" x14ac:dyDescent="0.35">
      <c r="A14" s="15">
        <v>2022</v>
      </c>
      <c r="B14" s="16">
        <v>264.03921568627453</v>
      </c>
      <c r="C14" s="16">
        <v>277.29411764705884</v>
      </c>
      <c r="D14" s="16">
        <v>202.94117647058823</v>
      </c>
      <c r="E14" s="16">
        <v>257.70588235294116</v>
      </c>
      <c r="F14" s="16">
        <v>303.33333333333331</v>
      </c>
      <c r="G14" s="16">
        <v>304.23529411764707</v>
      </c>
      <c r="H14" s="16">
        <v>307.58823529411762</v>
      </c>
      <c r="I14" s="16">
        <v>304.49019607843138</v>
      </c>
      <c r="J14" s="16">
        <v>275.37254901960785</v>
      </c>
      <c r="K14" s="16">
        <v>311.8235294117647</v>
      </c>
      <c r="L14" s="16">
        <v>292.9019607843137</v>
      </c>
    </row>
    <row r="15" spans="1:12" x14ac:dyDescent="0.35">
      <c r="A15" s="15">
        <v>2023</v>
      </c>
      <c r="B15" s="16">
        <v>96.647058823529406</v>
      </c>
      <c r="C15" s="16">
        <v>100</v>
      </c>
      <c r="D15" s="16">
        <v>74.098039215686271</v>
      </c>
      <c r="E15" s="16">
        <v>94.901960784313729</v>
      </c>
      <c r="F15" s="16">
        <v>121.86274509803921</v>
      </c>
      <c r="G15" s="16">
        <v>122.3921568627451</v>
      </c>
      <c r="H15" s="16">
        <v>120.29411764705883</v>
      </c>
      <c r="I15" s="16">
        <v>124.70588235294117</v>
      </c>
      <c r="J15" s="16">
        <v>121</v>
      </c>
      <c r="K15" s="16">
        <v>96.921568627450981</v>
      </c>
      <c r="L15" s="16">
        <v>120.92156862745098</v>
      </c>
    </row>
    <row r="16" spans="1:12" x14ac:dyDescent="0.35">
      <c r="A16" s="15">
        <v>2024</v>
      </c>
      <c r="B16" s="16">
        <v>92.07692307692308</v>
      </c>
      <c r="C16" s="16">
        <v>103.96153846153847</v>
      </c>
      <c r="D16" s="16">
        <v>68.211538461538467</v>
      </c>
      <c r="E16" s="16">
        <v>93.67307692307692</v>
      </c>
      <c r="F16" s="16">
        <v>126.36538461538461</v>
      </c>
      <c r="G16" s="16">
        <v>125.28846153846153</v>
      </c>
      <c r="H16" s="16">
        <v>123.88461538461539</v>
      </c>
      <c r="I16" s="16">
        <v>126.67307692307692</v>
      </c>
      <c r="J16" s="16">
        <v>105.44230769230769</v>
      </c>
      <c r="K16" s="16">
        <v>84.538461538461533</v>
      </c>
      <c r="L16" s="16">
        <v>138.32692307692307</v>
      </c>
    </row>
    <row r="17" spans="1:12" x14ac:dyDescent="0.35">
      <c r="A17" s="15">
        <v>2025</v>
      </c>
      <c r="B17" s="16">
        <v>285.125</v>
      </c>
      <c r="C17" s="16">
        <v>300.91730769230765</v>
      </c>
      <c r="D17" s="16">
        <v>253.03076923076924</v>
      </c>
      <c r="E17" s="16">
        <v>280.69807692307688</v>
      </c>
      <c r="F17" s="16">
        <v>313.03461538461545</v>
      </c>
      <c r="G17" s="16">
        <v>313.29423076923081</v>
      </c>
      <c r="H17" s="16">
        <v>310.14038461538462</v>
      </c>
      <c r="I17" s="16">
        <v>318.24807692307689</v>
      </c>
      <c r="J17" s="16">
        <v>248.57692307692307</v>
      </c>
      <c r="K17" s="16">
        <v>248.90384615384616</v>
      </c>
      <c r="L17" s="16">
        <v>251.69230769230768</v>
      </c>
    </row>
    <row r="18" spans="1:12" x14ac:dyDescent="0.35">
      <c r="A18" s="17">
        <v>2026</v>
      </c>
      <c r="B18" s="18">
        <v>341.54309773670866</v>
      </c>
      <c r="C18" s="18">
        <v>352.29309773670866</v>
      </c>
      <c r="D18" s="18">
        <v>327.85218443149046</v>
      </c>
      <c r="E18" s="18">
        <v>333.70838049326539</v>
      </c>
      <c r="F18" s="18">
        <v>367.31824816298831</v>
      </c>
      <c r="G18" s="18">
        <v>367.31824816298831</v>
      </c>
      <c r="H18" s="18">
        <v>362.91086875947627</v>
      </c>
      <c r="I18" s="18">
        <v>372.32663163841482</v>
      </c>
      <c r="J18" s="18">
        <v>364.31321807773236</v>
      </c>
      <c r="K18" s="18">
        <v>362.29309773670866</v>
      </c>
      <c r="L18" s="18">
        <v>381.56824816298831</v>
      </c>
    </row>
    <row r="19" spans="1:12" x14ac:dyDescent="0.35">
      <c r="A19" s="17">
        <v>2027</v>
      </c>
      <c r="B19" s="18">
        <v>234.46536183460859</v>
      </c>
      <c r="C19" s="18">
        <v>241.46536183460859</v>
      </c>
      <c r="D19" s="18">
        <v>218.77592473626441</v>
      </c>
      <c r="E19" s="18">
        <v>224.54586358619929</v>
      </c>
      <c r="F19" s="18">
        <v>256.26920348475142</v>
      </c>
      <c r="G19" s="18">
        <v>256.26920348475142</v>
      </c>
      <c r="H19" s="18">
        <v>253.31822191993086</v>
      </c>
      <c r="I19" s="18">
        <v>261.20381736813232</v>
      </c>
      <c r="J19" s="18">
        <v>253.30843515472282</v>
      </c>
      <c r="K19" s="18">
        <v>244.46536183460859</v>
      </c>
      <c r="L19" s="18">
        <v>281.26920348475142</v>
      </c>
    </row>
    <row r="20" spans="1:12" x14ac:dyDescent="0.35">
      <c r="A20" s="17">
        <v>2028</v>
      </c>
      <c r="B20" s="18">
        <v>207.17653326847278</v>
      </c>
      <c r="C20" s="18">
        <v>214.17653326847278</v>
      </c>
      <c r="D20" s="18">
        <v>191.57362053154156</v>
      </c>
      <c r="E20" s="18">
        <v>197.44870650964208</v>
      </c>
      <c r="F20" s="18">
        <v>229.25014925692568</v>
      </c>
      <c r="G20" s="18">
        <v>229.25014925692568</v>
      </c>
      <c r="H20" s="18">
        <v>226.74539117126494</v>
      </c>
      <c r="I20" s="18">
        <v>234.27468791974331</v>
      </c>
      <c r="J20" s="18">
        <v>226.2354260592351</v>
      </c>
      <c r="K20" s="18">
        <v>217.17653326847278</v>
      </c>
      <c r="L20" s="18">
        <v>254.25014925692568</v>
      </c>
    </row>
    <row r="21" spans="1:12" x14ac:dyDescent="0.35">
      <c r="A21" s="17">
        <v>2029</v>
      </c>
      <c r="B21" s="18">
        <v>199.51212562559158</v>
      </c>
      <c r="C21" s="18">
        <v>206.51212562559158</v>
      </c>
      <c r="D21" s="18">
        <v>185.27323128281023</v>
      </c>
      <c r="E21" s="18">
        <v>191.18478396697208</v>
      </c>
      <c r="F21" s="18">
        <v>221.67930367008614</v>
      </c>
      <c r="G21" s="18">
        <v>221.67930367008614</v>
      </c>
      <c r="H21" s="18">
        <v>220.66331338663088</v>
      </c>
      <c r="I21" s="18">
        <v>226.73502968491769</v>
      </c>
      <c r="J21" s="18">
        <v>218.64586806118723</v>
      </c>
      <c r="K21" s="18">
        <v>209.51212562559158</v>
      </c>
      <c r="L21" s="18">
        <v>246.67930367008614</v>
      </c>
    </row>
    <row r="22" spans="1:12" x14ac:dyDescent="0.35">
      <c r="A22" s="17">
        <v>2030</v>
      </c>
      <c r="B22" s="18">
        <v>204.09326977903265</v>
      </c>
      <c r="C22" s="18">
        <v>211.09326977903265</v>
      </c>
      <c r="D22" s="18">
        <v>189.87699834382522</v>
      </c>
      <c r="E22" s="18">
        <v>195.78225425434934</v>
      </c>
      <c r="F22" s="18">
        <v>226.24429229012134</v>
      </c>
      <c r="G22" s="18">
        <v>226.24429229012134</v>
      </c>
      <c r="H22" s="18">
        <v>225.2293842030322</v>
      </c>
      <c r="I22" s="18">
        <v>231.29463312715092</v>
      </c>
      <c r="J22" s="18">
        <v>223.21408778790359</v>
      </c>
      <c r="K22" s="18">
        <v>214.09326977903265</v>
      </c>
      <c r="L22" s="18">
        <v>251.24429229012134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CBC8-516F-4E02-BB3F-00807D8D20BD}">
  <sheetPr>
    <tabColor theme="6" tint="0.79998168889431442"/>
  </sheetPr>
  <dimension ref="A1:J22"/>
  <sheetViews>
    <sheetView workbookViewId="0">
      <selection activeCell="C1" sqref="C1"/>
    </sheetView>
  </sheetViews>
  <sheetFormatPr baseColWidth="10" defaultRowHeight="14.5" x14ac:dyDescent="0.35"/>
  <sheetData>
    <row r="1" spans="1:10" ht="58.5" x14ac:dyDescent="0.35">
      <c r="A1" s="19"/>
      <c r="B1" s="20" t="s">
        <v>27</v>
      </c>
      <c r="C1" s="20" t="s">
        <v>28</v>
      </c>
      <c r="D1" s="62" t="s">
        <v>29</v>
      </c>
      <c r="E1" s="20" t="s">
        <v>30</v>
      </c>
      <c r="F1" s="20" t="s">
        <v>31</v>
      </c>
      <c r="G1" s="20" t="s">
        <v>32</v>
      </c>
      <c r="H1" s="20" t="s">
        <v>33</v>
      </c>
      <c r="I1" s="62" t="s">
        <v>34</v>
      </c>
      <c r="J1" s="20" t="s">
        <v>35</v>
      </c>
    </row>
    <row r="2" spans="1:10" x14ac:dyDescent="0.35">
      <c r="A2" s="21">
        <v>2010</v>
      </c>
      <c r="B2" s="22">
        <v>54.25</v>
      </c>
      <c r="C2" s="22">
        <v>98.583333333333329</v>
      </c>
      <c r="D2" s="22">
        <v>52</v>
      </c>
      <c r="E2" s="22">
        <v>106.08333333333333</v>
      </c>
      <c r="F2" s="22" t="s">
        <v>26</v>
      </c>
      <c r="G2" s="22" t="s">
        <v>26</v>
      </c>
      <c r="H2" s="22"/>
      <c r="I2" s="22" t="s">
        <v>26</v>
      </c>
      <c r="J2" s="22">
        <v>56</v>
      </c>
    </row>
    <row r="3" spans="1:10" x14ac:dyDescent="0.35">
      <c r="A3" s="21">
        <v>2011</v>
      </c>
      <c r="B3" s="22">
        <v>91.25</v>
      </c>
      <c r="C3" s="22">
        <v>137.83333333333334</v>
      </c>
      <c r="D3" s="22">
        <v>95.666666666666671</v>
      </c>
      <c r="E3" s="22">
        <v>145.41666666666666</v>
      </c>
      <c r="F3" s="22" t="s">
        <v>26</v>
      </c>
      <c r="G3" s="22" t="s">
        <v>26</v>
      </c>
      <c r="H3" s="22"/>
      <c r="I3" s="22" t="s">
        <v>26</v>
      </c>
      <c r="J3" s="22">
        <v>109.58333333333333</v>
      </c>
    </row>
    <row r="4" spans="1:10" x14ac:dyDescent="0.35">
      <c r="A4" s="21">
        <v>2012</v>
      </c>
      <c r="B4" s="22">
        <v>77.166666666666671</v>
      </c>
      <c r="C4" s="22">
        <v>91.333333333333329</v>
      </c>
      <c r="D4" s="22">
        <v>50.25</v>
      </c>
      <c r="E4" s="22">
        <v>96.083333333333329</v>
      </c>
      <c r="F4" s="22" t="s">
        <v>26</v>
      </c>
      <c r="G4" s="22">
        <v>32.166666666666664</v>
      </c>
      <c r="H4" s="22"/>
      <c r="I4" s="22" t="s">
        <v>26</v>
      </c>
      <c r="J4" s="22">
        <v>155</v>
      </c>
    </row>
    <row r="5" spans="1:10" x14ac:dyDescent="0.35">
      <c r="A5" s="21">
        <v>2013</v>
      </c>
      <c r="B5" s="22">
        <v>69</v>
      </c>
      <c r="C5" s="22">
        <v>49.5</v>
      </c>
      <c r="D5" s="22">
        <v>12.166666666666666</v>
      </c>
      <c r="E5" s="22">
        <v>58.5</v>
      </c>
      <c r="F5" s="22" t="s">
        <v>26</v>
      </c>
      <c r="G5" s="22">
        <v>3.8333333333333335</v>
      </c>
      <c r="H5" s="22"/>
      <c r="I5" s="22" t="s">
        <v>26</v>
      </c>
      <c r="J5" s="22">
        <v>96</v>
      </c>
    </row>
    <row r="6" spans="1:10" x14ac:dyDescent="0.35">
      <c r="A6" s="21">
        <v>2014</v>
      </c>
      <c r="B6" s="22">
        <v>67.416666666666671</v>
      </c>
      <c r="C6" s="22">
        <v>53.916666666666664</v>
      </c>
      <c r="D6" s="22">
        <v>13.916666666666666</v>
      </c>
      <c r="E6" s="22">
        <v>62.083333333333336</v>
      </c>
      <c r="F6" s="22" t="s">
        <v>26</v>
      </c>
      <c r="G6" s="22">
        <v>9.0833333333333339</v>
      </c>
      <c r="H6" s="22"/>
      <c r="I6" s="22" t="s">
        <v>26</v>
      </c>
      <c r="J6" s="22">
        <v>66.333333333333329</v>
      </c>
    </row>
    <row r="7" spans="1:10" x14ac:dyDescent="0.35">
      <c r="A7" s="21">
        <v>2015</v>
      </c>
      <c r="B7" s="22">
        <v>68.083333333333329</v>
      </c>
      <c r="C7" s="22">
        <v>67.75</v>
      </c>
      <c r="D7" s="22">
        <v>23.333333333333332</v>
      </c>
      <c r="E7" s="22">
        <v>74.416666666666671</v>
      </c>
      <c r="F7" s="22">
        <v>41</v>
      </c>
      <c r="G7" s="22">
        <v>16.083333333333332</v>
      </c>
      <c r="H7" s="22"/>
      <c r="I7" s="22" t="s">
        <v>26</v>
      </c>
      <c r="J7" s="22">
        <v>80</v>
      </c>
    </row>
    <row r="8" spans="1:10" x14ac:dyDescent="0.35">
      <c r="A8" s="21">
        <v>2016</v>
      </c>
      <c r="B8" s="22">
        <v>58.25</v>
      </c>
      <c r="C8" s="22">
        <v>39.583333333333336</v>
      </c>
      <c r="D8" s="22">
        <v>7.416666666666667</v>
      </c>
      <c r="E8" s="22">
        <v>46.416666666666664</v>
      </c>
      <c r="F8" s="22">
        <v>21</v>
      </c>
      <c r="G8" s="22">
        <v>-1.0833333333333333</v>
      </c>
      <c r="H8" s="22"/>
      <c r="I8" s="22" t="s">
        <v>26</v>
      </c>
      <c r="J8" s="22">
        <v>55</v>
      </c>
    </row>
    <row r="9" spans="1:10" x14ac:dyDescent="0.35">
      <c r="A9" s="21">
        <v>2017</v>
      </c>
      <c r="B9" s="22">
        <v>58.916666666666664</v>
      </c>
      <c r="C9" s="22">
        <v>46.166666666666664</v>
      </c>
      <c r="D9" s="22">
        <v>18.333333333333332</v>
      </c>
      <c r="E9" s="22">
        <v>60.833333333333336</v>
      </c>
      <c r="F9" s="22">
        <v>43.083333333333336</v>
      </c>
      <c r="G9" s="22">
        <v>9</v>
      </c>
      <c r="H9" s="22"/>
      <c r="I9" s="22" t="s">
        <v>26</v>
      </c>
      <c r="J9" s="22">
        <v>30</v>
      </c>
    </row>
    <row r="10" spans="1:10" x14ac:dyDescent="0.35">
      <c r="A10" s="21">
        <v>2018</v>
      </c>
      <c r="B10" s="22">
        <v>72.249999999999986</v>
      </c>
      <c r="C10" s="22">
        <v>95</v>
      </c>
      <c r="D10" s="22">
        <v>59.166666666666664</v>
      </c>
      <c r="E10" s="22">
        <v>100.91666666666667</v>
      </c>
      <c r="F10" s="22">
        <v>73.5</v>
      </c>
      <c r="G10" s="22">
        <v>30.916666666666668</v>
      </c>
      <c r="H10" s="22"/>
      <c r="I10" s="22" t="s">
        <v>26</v>
      </c>
      <c r="J10" s="22">
        <v>71</v>
      </c>
    </row>
    <row r="11" spans="1:10" x14ac:dyDescent="0.35">
      <c r="A11" s="21">
        <v>2019</v>
      </c>
      <c r="B11" s="22">
        <v>87.416666666666657</v>
      </c>
      <c r="C11" s="22">
        <v>86.75</v>
      </c>
      <c r="D11" s="22">
        <v>53</v>
      </c>
      <c r="E11" s="22">
        <v>89.416666666666671</v>
      </c>
      <c r="F11" s="22">
        <v>59.083333333333336</v>
      </c>
      <c r="G11" s="22">
        <v>21.5</v>
      </c>
      <c r="H11" s="22"/>
      <c r="I11" s="22">
        <v>45.964999999999996</v>
      </c>
      <c r="J11" s="22">
        <v>133</v>
      </c>
    </row>
    <row r="12" spans="1:10" x14ac:dyDescent="0.35">
      <c r="A12" s="21">
        <v>2020</v>
      </c>
      <c r="B12" s="22">
        <v>85.583333333333329</v>
      </c>
      <c r="C12" s="22">
        <v>45</v>
      </c>
      <c r="D12" s="22">
        <v>11.916666666666666</v>
      </c>
      <c r="E12" s="22">
        <v>47.916666666666664</v>
      </c>
      <c r="F12" s="22">
        <v>14.75</v>
      </c>
      <c r="G12" s="22">
        <v>-10.916666666666666</v>
      </c>
      <c r="H12" s="22"/>
      <c r="I12" s="22">
        <v>8.2125000000000004</v>
      </c>
      <c r="J12" s="22">
        <v>72</v>
      </c>
    </row>
    <row r="13" spans="1:10" x14ac:dyDescent="0.35">
      <c r="A13" s="21">
        <v>2021</v>
      </c>
      <c r="B13" s="22">
        <v>100.33333333333334</v>
      </c>
      <c r="C13" s="22">
        <v>173.08333333333334</v>
      </c>
      <c r="D13" s="22">
        <v>138.75</v>
      </c>
      <c r="E13" s="22">
        <v>191.33333333333334</v>
      </c>
      <c r="F13" s="22">
        <v>136.16666666666666</v>
      </c>
      <c r="G13" s="22">
        <v>66.583333333333329</v>
      </c>
      <c r="H13" s="22">
        <v>102.41666666666667</v>
      </c>
      <c r="I13" s="22">
        <v>110.44</v>
      </c>
      <c r="J13" s="22">
        <v>63</v>
      </c>
    </row>
    <row r="14" spans="1:10" x14ac:dyDescent="0.35">
      <c r="A14" s="21">
        <v>2022</v>
      </c>
      <c r="B14" s="22">
        <v>158</v>
      </c>
      <c r="C14" s="22">
        <v>203.58333333333334</v>
      </c>
      <c r="D14" s="22">
        <v>155.41666666666666</v>
      </c>
      <c r="E14" s="22">
        <v>216.91666666666666</v>
      </c>
      <c r="F14" s="22">
        <v>143</v>
      </c>
      <c r="G14" s="22">
        <v>63.833333333333336</v>
      </c>
      <c r="H14" s="22">
        <v>89.583333333333329</v>
      </c>
      <c r="I14" s="22">
        <v>89.166666666666671</v>
      </c>
      <c r="J14" s="22">
        <v>240</v>
      </c>
    </row>
    <row r="15" spans="1:10" x14ac:dyDescent="0.35">
      <c r="A15" s="21">
        <v>2023</v>
      </c>
      <c r="B15" s="22">
        <v>131</v>
      </c>
      <c r="C15" s="22">
        <v>85</v>
      </c>
      <c r="D15" s="22">
        <v>29.833333333333332</v>
      </c>
      <c r="E15" s="22">
        <v>92.25</v>
      </c>
      <c r="F15" s="22">
        <v>63.083333333333336</v>
      </c>
      <c r="G15" s="22">
        <v>5</v>
      </c>
      <c r="H15" s="22">
        <v>11.916666666666666</v>
      </c>
      <c r="I15" s="22">
        <v>14.083333333333332</v>
      </c>
      <c r="J15" s="22">
        <v>148</v>
      </c>
    </row>
    <row r="16" spans="1:10" x14ac:dyDescent="0.35">
      <c r="A16" s="21">
        <v>2024</v>
      </c>
      <c r="B16" s="22">
        <v>138.08333333333334</v>
      </c>
      <c r="C16" s="22">
        <v>119.16666666666667</v>
      </c>
      <c r="D16" s="22">
        <v>75.166666666666671</v>
      </c>
      <c r="E16" s="22">
        <v>139.66666666666666</v>
      </c>
      <c r="F16" s="22">
        <v>84.5</v>
      </c>
      <c r="G16" s="22">
        <v>10.5</v>
      </c>
      <c r="H16" s="22">
        <v>25.916666666666668</v>
      </c>
      <c r="I16" s="22">
        <v>34.5</v>
      </c>
      <c r="J16" s="22">
        <v>130</v>
      </c>
    </row>
    <row r="17" spans="1:10" x14ac:dyDescent="0.35">
      <c r="A17" s="23">
        <v>2025</v>
      </c>
      <c r="B17" s="24">
        <v>169.68081297153134</v>
      </c>
      <c r="C17" s="24">
        <v>141.82070707070707</v>
      </c>
      <c r="D17" s="24">
        <v>101.92307692307692</v>
      </c>
      <c r="E17" s="24">
        <v>157.65686274509804</v>
      </c>
      <c r="F17" s="24">
        <v>120.23333333333333</v>
      </c>
      <c r="G17" s="24">
        <v>37.5</v>
      </c>
      <c r="H17" s="24">
        <v>49</v>
      </c>
      <c r="I17" s="24">
        <v>80.649999999999991</v>
      </c>
      <c r="J17" s="24">
        <v>155</v>
      </c>
    </row>
    <row r="18" spans="1:10" x14ac:dyDescent="0.35">
      <c r="A18" s="25">
        <v>2026</v>
      </c>
      <c r="B18" s="26">
        <v>156.97730233293291</v>
      </c>
      <c r="C18" s="26">
        <v>141.15618559498492</v>
      </c>
      <c r="D18" s="26">
        <v>83.482142857142861</v>
      </c>
      <c r="E18" s="26">
        <v>158.64950980392157</v>
      </c>
      <c r="F18" s="26">
        <v>129.67083333333332</v>
      </c>
      <c r="G18" s="26" t="s">
        <v>26</v>
      </c>
      <c r="H18" s="26">
        <v>89.670833333333334</v>
      </c>
      <c r="I18" s="26">
        <v>84.254166666666677</v>
      </c>
      <c r="J18" s="26">
        <v>175</v>
      </c>
    </row>
    <row r="19" spans="1:10" x14ac:dyDescent="0.35">
      <c r="A19" s="25">
        <v>2027</v>
      </c>
      <c r="B19" s="26">
        <v>152.90591680178852</v>
      </c>
      <c r="C19" s="26">
        <v>154.92921864996737</v>
      </c>
      <c r="D19" s="26">
        <v>80.929218649967368</v>
      </c>
      <c r="E19" s="26">
        <v>158.92921864996737</v>
      </c>
      <c r="F19" s="26">
        <v>133.92921864996737</v>
      </c>
      <c r="G19" s="26" t="s">
        <v>26</v>
      </c>
      <c r="H19" s="26">
        <v>59.929218649967368</v>
      </c>
      <c r="I19" s="26">
        <v>65.929218649967368</v>
      </c>
      <c r="J19" s="26">
        <v>164.92921864996737</v>
      </c>
    </row>
    <row r="20" spans="1:10" x14ac:dyDescent="0.35">
      <c r="A20" s="25">
        <v>2028</v>
      </c>
      <c r="B20" s="26">
        <v>139.89542887392435</v>
      </c>
      <c r="C20" s="26">
        <v>144.64445941176592</v>
      </c>
      <c r="D20" s="26">
        <v>66.644459411765922</v>
      </c>
      <c r="E20" s="26">
        <v>144.64445941176592</v>
      </c>
      <c r="F20" s="26">
        <v>130.64445941176592</v>
      </c>
      <c r="G20" s="26" t="s">
        <v>26</v>
      </c>
      <c r="H20" s="26">
        <v>54.644459411765922</v>
      </c>
      <c r="I20" s="26">
        <v>60.644459411765922</v>
      </c>
      <c r="J20" s="26">
        <v>159.64445941176592</v>
      </c>
    </row>
    <row r="21" spans="1:10" x14ac:dyDescent="0.35">
      <c r="A21" s="25">
        <v>2029</v>
      </c>
      <c r="B21" s="26">
        <v>132.45322290173388</v>
      </c>
      <c r="C21" s="26">
        <v>143.39443409117939</v>
      </c>
      <c r="D21" s="26">
        <v>65.394434091179392</v>
      </c>
      <c r="E21" s="26">
        <v>143.39443409117939</v>
      </c>
      <c r="F21" s="26">
        <v>127.39443409117939</v>
      </c>
      <c r="G21" s="26" t="s">
        <v>26</v>
      </c>
      <c r="H21" s="26">
        <v>48.394434091179392</v>
      </c>
      <c r="I21" s="26">
        <v>54.394434091179392</v>
      </c>
      <c r="J21" s="26">
        <v>153.39443409117939</v>
      </c>
    </row>
    <row r="22" spans="1:10" x14ac:dyDescent="0.35">
      <c r="A22" s="27">
        <v>2030</v>
      </c>
      <c r="B22" s="28">
        <v>128.94739074092959</v>
      </c>
      <c r="C22" s="28">
        <v>139.43811622971077</v>
      </c>
      <c r="D22" s="28">
        <v>61.438116229710772</v>
      </c>
      <c r="E22" s="28">
        <v>139.43811622971077</v>
      </c>
      <c r="F22" s="28">
        <v>121.43811622971077</v>
      </c>
      <c r="G22" s="26" t="s">
        <v>26</v>
      </c>
      <c r="H22" s="28">
        <v>42.438116229710772</v>
      </c>
      <c r="I22" s="28">
        <v>48.438116229710772</v>
      </c>
      <c r="J22" s="28">
        <v>147.43811622971077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B5C4-9146-43D8-A41F-52FE9F99C7C7}">
  <sheetPr>
    <tabColor theme="6" tint="0.79998168889431442"/>
  </sheetPr>
  <dimension ref="A1:BP249"/>
  <sheetViews>
    <sheetView showGridLines="0" defaultGridColor="0" colorId="22" zoomScaleNormal="100" workbookViewId="0">
      <selection activeCell="A11" sqref="A11"/>
    </sheetView>
  </sheetViews>
  <sheetFormatPr baseColWidth="10" defaultColWidth="6.26953125" defaultRowHeight="12" customHeight="1" x14ac:dyDescent="0.35"/>
  <cols>
    <col min="1" max="1" width="8" style="49" customWidth="1"/>
    <col min="2" max="6" width="13.36328125" style="50" customWidth="1"/>
    <col min="7" max="43" width="8" style="51" customWidth="1"/>
    <col min="44" max="68" width="6.26953125" style="51"/>
    <col min="69" max="16384" width="6.26953125" style="37"/>
  </cols>
  <sheetData>
    <row r="1" spans="1:68" s="33" customFormat="1" ht="39.5" thickBot="1" x14ac:dyDescent="0.35">
      <c r="A1" s="29" t="s">
        <v>0</v>
      </c>
      <c r="B1" s="30" t="s">
        <v>36</v>
      </c>
      <c r="C1" s="30" t="s">
        <v>37</v>
      </c>
      <c r="D1" s="30" t="s">
        <v>38</v>
      </c>
      <c r="E1" s="30" t="s">
        <v>39</v>
      </c>
      <c r="F1" s="30" t="s">
        <v>40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</row>
    <row r="2" spans="1:68" ht="15" customHeight="1" x14ac:dyDescent="0.35">
      <c r="A2" s="34">
        <v>2013</v>
      </c>
      <c r="B2" s="35">
        <v>50.4375</v>
      </c>
      <c r="C2" s="35">
        <v>96.352353811347058</v>
      </c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7"/>
      <c r="AS2" s="37"/>
      <c r="AT2" s="37"/>
      <c r="AU2" s="37"/>
      <c r="AV2" s="37"/>
      <c r="AW2" s="37"/>
      <c r="AX2" s="37"/>
      <c r="AY2" s="37"/>
      <c r="AZ2" s="37"/>
      <c r="BA2" s="37"/>
      <c r="BB2" s="37"/>
      <c r="BC2" s="37"/>
      <c r="BD2" s="37"/>
      <c r="BE2" s="37"/>
      <c r="BF2" s="37"/>
      <c r="BG2" s="37"/>
      <c r="BH2" s="37"/>
      <c r="BI2" s="37"/>
      <c r="BJ2" s="37"/>
      <c r="BK2" s="37"/>
      <c r="BL2" s="37"/>
      <c r="BM2" s="37"/>
      <c r="BN2" s="37"/>
      <c r="BO2" s="37"/>
      <c r="BP2" s="37"/>
    </row>
    <row r="3" spans="1:68" ht="15" customHeight="1" x14ac:dyDescent="0.35">
      <c r="A3" s="34">
        <v>2014</v>
      </c>
      <c r="B3" s="35">
        <v>55.146527777777777</v>
      </c>
      <c r="C3" s="35">
        <v>99.625130525583046</v>
      </c>
      <c r="D3" s="35"/>
      <c r="E3" s="35"/>
      <c r="F3" s="35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</row>
    <row r="4" spans="1:68" ht="15" customHeight="1" x14ac:dyDescent="0.35">
      <c r="A4" s="34">
        <v>2015</v>
      </c>
      <c r="B4" s="35">
        <v>66.064351851851853</v>
      </c>
      <c r="C4" s="35">
        <v>121.58604899060217</v>
      </c>
      <c r="D4" s="35"/>
      <c r="E4" s="35"/>
      <c r="F4" s="35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</row>
    <row r="5" spans="1:68" ht="15" customHeight="1" x14ac:dyDescent="0.35">
      <c r="A5" s="34">
        <v>2016</v>
      </c>
      <c r="B5" s="35">
        <v>42.031250000000007</v>
      </c>
      <c r="C5" s="35">
        <v>80.116602854159424</v>
      </c>
      <c r="D5" s="35"/>
      <c r="E5" s="35"/>
      <c r="F5" s="35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37"/>
      <c r="BK5" s="37"/>
      <c r="BL5" s="37"/>
      <c r="BM5" s="37"/>
      <c r="BN5" s="37"/>
      <c r="BO5" s="37"/>
      <c r="BP5" s="37"/>
    </row>
    <row r="6" spans="1:68" ht="15" customHeight="1" x14ac:dyDescent="0.35">
      <c r="A6" s="34">
        <v>2017</v>
      </c>
      <c r="B6" s="35">
        <v>46.009722222222223</v>
      </c>
      <c r="C6" s="35">
        <v>70.931586465947333</v>
      </c>
      <c r="D6" s="35" t="s">
        <v>26</v>
      </c>
      <c r="E6" s="35">
        <v>39.338117827334372</v>
      </c>
      <c r="F6" s="35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</row>
    <row r="7" spans="1:68" ht="15" customHeight="1" x14ac:dyDescent="0.35">
      <c r="A7" s="34">
        <v>2018</v>
      </c>
      <c r="B7" s="35">
        <v>94.242476851851848</v>
      </c>
      <c r="C7" s="35">
        <v>105.27395833333334</v>
      </c>
      <c r="D7" s="35">
        <v>43.003472222222221</v>
      </c>
      <c r="E7" s="35">
        <v>64.147916666666674</v>
      </c>
      <c r="F7" s="35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</row>
    <row r="8" spans="1:68" ht="15" customHeight="1" x14ac:dyDescent="0.35">
      <c r="A8" s="34">
        <v>2019</v>
      </c>
      <c r="B8" s="35">
        <v>82.604166666666671</v>
      </c>
      <c r="C8" s="35">
        <v>96.137500000000003</v>
      </c>
      <c r="D8" s="35">
        <v>28.671990740740739</v>
      </c>
      <c r="E8" s="35">
        <v>53.087499999999999</v>
      </c>
      <c r="F8" s="35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</row>
    <row r="9" spans="1:68" ht="15" customHeight="1" x14ac:dyDescent="0.35">
      <c r="A9" s="34">
        <v>2020</v>
      </c>
      <c r="B9" s="35">
        <v>45.009722222222223</v>
      </c>
      <c r="C9" s="35">
        <v>45.022916666666667</v>
      </c>
      <c r="D9" s="35">
        <v>-11.467824074074075</v>
      </c>
      <c r="E9" s="35">
        <v>15.307407407407407</v>
      </c>
      <c r="F9" s="35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</row>
    <row r="10" spans="1:68" ht="15" customHeight="1" x14ac:dyDescent="0.35">
      <c r="A10" s="34">
        <v>2021</v>
      </c>
      <c r="B10" s="35">
        <v>182.8564814814815</v>
      </c>
      <c r="C10" s="35">
        <v>195.74884259259261</v>
      </c>
      <c r="D10" s="35">
        <v>102.12384259259258</v>
      </c>
      <c r="E10" s="35">
        <v>154.12962962962962</v>
      </c>
      <c r="F10" s="35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</row>
    <row r="11" spans="1:68" ht="15" customHeight="1" x14ac:dyDescent="0.35">
      <c r="A11" s="34">
        <v>2022</v>
      </c>
      <c r="B11" s="35">
        <v>210.13368055555557</v>
      </c>
      <c r="C11" s="35">
        <v>212.88136574074076</v>
      </c>
      <c r="D11" s="35">
        <v>84.077430555555566</v>
      </c>
      <c r="E11" s="35">
        <v>164.9178240740741</v>
      </c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</row>
    <row r="12" spans="1:68" ht="15" customHeight="1" x14ac:dyDescent="0.35">
      <c r="A12" s="34">
        <v>2023</v>
      </c>
      <c r="B12" s="35">
        <v>87.912037037037038</v>
      </c>
      <c r="C12" s="35">
        <v>118.79097222222222</v>
      </c>
      <c r="D12" s="35">
        <v>13.486574074074074</v>
      </c>
      <c r="E12" s="35">
        <v>30.946296296296296</v>
      </c>
      <c r="F12" s="35">
        <v>15</v>
      </c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</row>
    <row r="13" spans="1:68" ht="15" customHeight="1" x14ac:dyDescent="0.35">
      <c r="A13" s="34">
        <v>2024</v>
      </c>
      <c r="B13" s="35">
        <v>140.83333333333331</v>
      </c>
      <c r="C13" s="35">
        <v>155</v>
      </c>
      <c r="D13" s="35">
        <v>47</v>
      </c>
      <c r="E13" s="35">
        <v>115</v>
      </c>
      <c r="F13" s="35">
        <v>57</v>
      </c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</row>
    <row r="14" spans="1:68" ht="15" customHeight="1" x14ac:dyDescent="0.35">
      <c r="A14" s="34">
        <v>2025</v>
      </c>
      <c r="B14" s="35">
        <v>132.70208543709646</v>
      </c>
      <c r="C14" s="35">
        <v>158.38291692622562</v>
      </c>
      <c r="D14" s="35">
        <v>86.059496285075539</v>
      </c>
      <c r="E14" s="35">
        <v>94.13312929752712</v>
      </c>
      <c r="F14" s="35">
        <v>93.63648808098489</v>
      </c>
      <c r="G14" s="38">
        <v>1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</row>
    <row r="15" spans="1:68" ht="15" customHeight="1" x14ac:dyDescent="0.35">
      <c r="A15" s="34">
        <v>2026</v>
      </c>
      <c r="B15" s="35">
        <v>80.612645149094249</v>
      </c>
      <c r="C15" s="35">
        <v>119.84455911431968</v>
      </c>
      <c r="D15" s="35">
        <v>50.14790617974333</v>
      </c>
      <c r="E15" s="35">
        <v>43.444503400845825</v>
      </c>
      <c r="F15" s="35">
        <v>57.449703616950778</v>
      </c>
      <c r="G15" s="38">
        <v>1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</row>
    <row r="16" spans="1:68" ht="15" customHeight="1" x14ac:dyDescent="0.35">
      <c r="A16" s="34">
        <v>2027</v>
      </c>
      <c r="B16" s="35">
        <v>82.834477457409875</v>
      </c>
      <c r="C16" s="35">
        <v>104.74776655702306</v>
      </c>
      <c r="D16" s="35">
        <v>25.99969617399509</v>
      </c>
      <c r="E16" s="35">
        <v>43.869937759489233</v>
      </c>
      <c r="F16" s="35">
        <v>34.249768943595306</v>
      </c>
      <c r="G16" s="39">
        <v>1</v>
      </c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</row>
    <row r="17" spans="1:68" ht="15" customHeight="1" x14ac:dyDescent="0.35">
      <c r="A17" s="34">
        <v>2028</v>
      </c>
      <c r="B17" s="35">
        <v>88.413861258854496</v>
      </c>
      <c r="C17" s="35">
        <v>110.87592534539824</v>
      </c>
      <c r="D17" s="35">
        <v>30.155765282048577</v>
      </c>
      <c r="E17" s="35">
        <v>50.378682225314435</v>
      </c>
      <c r="F17" s="35">
        <v>38.612444807747011</v>
      </c>
      <c r="G17" s="38">
        <v>1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</row>
    <row r="18" spans="1:68" ht="15" customHeight="1" x14ac:dyDescent="0.35">
      <c r="A18" s="34">
        <v>2029</v>
      </c>
      <c r="B18" s="35">
        <v>105.28358510013402</v>
      </c>
      <c r="C18" s="35">
        <v>128.3058285180033</v>
      </c>
      <c r="D18" s="35">
        <v>45.572595875279006</v>
      </c>
      <c r="E18" s="35">
        <v>74.52270105546566</v>
      </c>
      <c r="F18" s="35">
        <v>54.240175746719842</v>
      </c>
      <c r="G18" s="38">
        <v>1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</row>
    <row r="19" spans="1:68" ht="15" customHeight="1" x14ac:dyDescent="0.35">
      <c r="A19" s="34">
        <v>2030</v>
      </c>
      <c r="B19" s="35">
        <v>122.90541436216547</v>
      </c>
      <c r="C19" s="35">
        <v>146.49565735740447</v>
      </c>
      <c r="D19" s="35">
        <v>61.721249129722793</v>
      </c>
      <c r="E19" s="35">
        <v>99.812814084798504</v>
      </c>
      <c r="F19" s="35">
        <v>70.602673569411735</v>
      </c>
      <c r="G19" s="38">
        <v>1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</row>
    <row r="20" spans="1:68" ht="15" customHeight="1" x14ac:dyDescent="0.35">
      <c r="A20" s="34">
        <v>2031</v>
      </c>
      <c r="B20" s="35">
        <v>131.96734210721874</v>
      </c>
      <c r="C20" s="35">
        <v>156.14759164863096</v>
      </c>
      <c r="D20" s="35">
        <v>69.252923116195916</v>
      </c>
      <c r="E20" s="35">
        <v>111.6080321390084</v>
      </c>
      <c r="F20" s="35">
        <v>78.356477466111585</v>
      </c>
      <c r="G20" s="38">
        <v>1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</row>
    <row r="21" spans="1:68" ht="15" customHeight="1" x14ac:dyDescent="0.35">
      <c r="A21" s="34">
        <v>2032</v>
      </c>
      <c r="B21" s="35">
        <v>139.8078586513513</v>
      </c>
      <c r="C21" s="35">
        <v>164.5878764506794</v>
      </c>
      <c r="D21" s="35">
        <v>75.537867714719113</v>
      </c>
      <c r="E21" s="35">
        <v>121.45076990638276</v>
      </c>
      <c r="F21" s="35">
        <v>84.867227134344276</v>
      </c>
      <c r="G21" s="38">
        <v>1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</row>
    <row r="22" spans="1:68" ht="15" customHeight="1" x14ac:dyDescent="0.35">
      <c r="A22" s="34">
        <v>2033</v>
      </c>
      <c r="B22" s="35">
        <v>152.92588965015571</v>
      </c>
      <c r="C22" s="35">
        <v>178.32475640054105</v>
      </c>
      <c r="D22" s="35">
        <v>87.050838668866447</v>
      </c>
      <c r="E22" s="35">
        <v>129.48102494660966</v>
      </c>
      <c r="F22" s="35">
        <v>96.613186794860795</v>
      </c>
      <c r="G22" s="38">
        <v>1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</row>
    <row r="23" spans="1:68" ht="15" customHeight="1" x14ac:dyDescent="0.35">
      <c r="A23" s="34">
        <v>2034</v>
      </c>
      <c r="B23" s="35">
        <v>161.57245179893266</v>
      </c>
      <c r="C23" s="35">
        <v>187.59900348335006</v>
      </c>
      <c r="D23" s="35">
        <v>94.069423576142327</v>
      </c>
      <c r="E23" s="35">
        <v>140.47270349801653</v>
      </c>
      <c r="F23" s="35">
        <v>103.8680870429605</v>
      </c>
      <c r="G23" s="38">
        <v>1</v>
      </c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</row>
    <row r="24" spans="1:68" ht="15" customHeight="1" x14ac:dyDescent="0.35">
      <c r="A24" s="34">
        <v>2035</v>
      </c>
      <c r="B24" s="35">
        <v>168.21343459946198</v>
      </c>
      <c r="C24" s="35">
        <v>194.8954046358615</v>
      </c>
      <c r="D24" s="35">
        <v>99.01049914162769</v>
      </c>
      <c r="E24" s="35">
        <v>138.21083234187</v>
      </c>
      <c r="F24" s="35">
        <v>109.05591922603092</v>
      </c>
      <c r="G24" s="38">
        <v>1</v>
      </c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</row>
    <row r="25" spans="1:68" ht="15" customHeight="1" x14ac:dyDescent="0.35">
      <c r="A25" s="34">
        <v>2036</v>
      </c>
      <c r="B25" s="35">
        <v>174.08282978561311</v>
      </c>
      <c r="C25" s="35">
        <v>201.43435742144561</v>
      </c>
      <c r="D25" s="35">
        <v>103.14331523426918</v>
      </c>
      <c r="E25" s="35">
        <v>144.68316068191825</v>
      </c>
      <c r="F25" s="35">
        <v>113.44081518188466</v>
      </c>
      <c r="G25" s="38">
        <v>1</v>
      </c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</row>
    <row r="26" spans="1:68" ht="15" customHeight="1" x14ac:dyDescent="0.35">
      <c r="A26" s="34">
        <v>2037</v>
      </c>
      <c r="B26" s="35">
        <v>184.01161324557782</v>
      </c>
      <c r="C26" s="35">
        <v>212.06186441335785</v>
      </c>
      <c r="D26" s="35">
        <v>111.25987420637659</v>
      </c>
      <c r="E26" s="35">
        <v>157.39435650608743</v>
      </c>
      <c r="F26" s="35">
        <v>121.82043461735725</v>
      </c>
      <c r="G26" s="38">
        <v>1</v>
      </c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</row>
    <row r="27" spans="1:68" ht="15" customHeight="1" x14ac:dyDescent="0.35">
      <c r="A27" s="34">
        <v>2038</v>
      </c>
      <c r="B27" s="35">
        <v>203.8685005447669</v>
      </c>
      <c r="C27" s="35">
        <v>232.63336083050405</v>
      </c>
      <c r="D27" s="35">
        <v>129.26333581772849</v>
      </c>
      <c r="E27" s="35">
        <v>175.58925126890932</v>
      </c>
      <c r="F27" s="35">
        <v>140.09293741180886</v>
      </c>
      <c r="G27" s="38">
        <v>1</v>
      </c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</row>
    <row r="28" spans="1:68" ht="15" customHeight="1" x14ac:dyDescent="0.35">
      <c r="A28" s="34">
        <v>2039</v>
      </c>
      <c r="B28" s="35">
        <v>222.63964193614044</v>
      </c>
      <c r="C28" s="35">
        <v>251.40450222187758</v>
      </c>
      <c r="D28" s="35">
        <v>148.03447720910202</v>
      </c>
      <c r="E28" s="35">
        <v>204.98639541446153</v>
      </c>
      <c r="F28" s="35">
        <v>158.86407880318239</v>
      </c>
      <c r="G28" s="38">
        <v>1</v>
      </c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</row>
    <row r="29" spans="1:68" ht="15" customHeight="1" x14ac:dyDescent="0.35">
      <c r="A29" s="34">
        <v>2040</v>
      </c>
      <c r="B29" s="35">
        <v>238.75800293079112</v>
      </c>
      <c r="C29" s="35">
        <v>267.52286321652832</v>
      </c>
      <c r="D29" s="35">
        <v>164.15283820375274</v>
      </c>
      <c r="E29" s="35">
        <v>210.22906828503869</v>
      </c>
      <c r="F29" s="35">
        <v>174.98243979783311</v>
      </c>
      <c r="G29" s="38">
        <v>1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</row>
    <row r="30" spans="1:68" ht="15" customHeight="1" x14ac:dyDescent="0.35">
      <c r="A30" s="34">
        <v>2041</v>
      </c>
      <c r="B30" s="35">
        <v>251.66821648842318</v>
      </c>
      <c r="C30" s="35">
        <v>280.43307677416033</v>
      </c>
      <c r="D30" s="35">
        <v>177.0630517613848</v>
      </c>
      <c r="E30" s="35">
        <v>230.44751962961089</v>
      </c>
      <c r="F30" s="35">
        <v>187.89265335546517</v>
      </c>
      <c r="G30" s="38">
        <v>1</v>
      </c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</row>
    <row r="31" spans="1:68" ht="15" customHeight="1" x14ac:dyDescent="0.35">
      <c r="A31" s="34">
        <v>2042</v>
      </c>
      <c r="B31" s="35">
        <v>258.16817531076452</v>
      </c>
      <c r="C31" s="35">
        <v>286.93303559650167</v>
      </c>
      <c r="D31" s="35">
        <v>183.56301058372611</v>
      </c>
      <c r="E31" s="35">
        <v>240.62698727393507</v>
      </c>
      <c r="F31" s="35">
        <v>194.39261217780648</v>
      </c>
      <c r="G31" s="38">
        <v>1</v>
      </c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</row>
    <row r="32" spans="1:68" ht="15" customHeight="1" x14ac:dyDescent="0.35">
      <c r="A32" s="34">
        <v>2043</v>
      </c>
      <c r="B32" s="35">
        <v>272.75451136348499</v>
      </c>
      <c r="C32" s="35">
        <v>301.51937164922219</v>
      </c>
      <c r="D32" s="35">
        <v>198.14934663644661</v>
      </c>
      <c r="E32" s="35">
        <v>253.47038366401006</v>
      </c>
      <c r="F32" s="35">
        <v>208.97894823052698</v>
      </c>
      <c r="G32" s="38">
        <v>1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</row>
    <row r="33" spans="1:68" ht="15" customHeight="1" x14ac:dyDescent="0.35">
      <c r="A33" s="34">
        <v>2044</v>
      </c>
      <c r="B33" s="35">
        <v>290.09168932739249</v>
      </c>
      <c r="C33" s="35">
        <v>318.85654961312957</v>
      </c>
      <c r="D33" s="35">
        <v>215.48652460035404</v>
      </c>
      <c r="E33" s="35">
        <v>280.62182368865871</v>
      </c>
      <c r="F33" s="35">
        <v>226.31612619443442</v>
      </c>
      <c r="G33" s="38">
        <v>1</v>
      </c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</row>
    <row r="34" spans="1:68" ht="15" customHeight="1" x14ac:dyDescent="0.35">
      <c r="A34" s="34">
        <v>2045</v>
      </c>
      <c r="B34" s="35">
        <v>303.6953648990638</v>
      </c>
      <c r="C34" s="35">
        <v>332.46022518480095</v>
      </c>
      <c r="D34" s="35">
        <v>229.09020017202536</v>
      </c>
      <c r="E34" s="35">
        <v>291.92629331848792</v>
      </c>
      <c r="F34" s="35">
        <v>239.91980176610573</v>
      </c>
      <c r="G34" s="38">
        <v>1</v>
      </c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</row>
    <row r="35" spans="1:68" ht="15" customHeight="1" x14ac:dyDescent="0.35">
      <c r="A35" s="34">
        <v>2046</v>
      </c>
      <c r="B35" s="35">
        <v>327.69605599026863</v>
      </c>
      <c r="C35" s="35">
        <v>356.46091627600572</v>
      </c>
      <c r="D35" s="35">
        <v>253.09089126323019</v>
      </c>
      <c r="E35" s="35">
        <v>329.51334041863197</v>
      </c>
      <c r="F35" s="35">
        <v>263.92049285731053</v>
      </c>
      <c r="G35" s="38">
        <v>1</v>
      </c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</row>
    <row r="36" spans="1:68" ht="15" customHeight="1" x14ac:dyDescent="0.35">
      <c r="A36" s="34">
        <v>2047</v>
      </c>
      <c r="B36" s="35">
        <v>353.4072155466406</v>
      </c>
      <c r="C36" s="35">
        <v>382.17207583237774</v>
      </c>
      <c r="D36" s="35">
        <v>278.80205081960219</v>
      </c>
      <c r="E36" s="35">
        <v>369.77912116520451</v>
      </c>
      <c r="F36" s="35">
        <v>289.63165241368256</v>
      </c>
      <c r="G36" s="38">
        <v>1</v>
      </c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</row>
    <row r="37" spans="1:68" ht="15" customHeight="1" x14ac:dyDescent="0.35">
      <c r="A37" s="34">
        <v>2048</v>
      </c>
      <c r="B37" s="35">
        <v>367.10965306433786</v>
      </c>
      <c r="C37" s="35">
        <v>395.87451335007501</v>
      </c>
      <c r="D37" s="35">
        <v>292.50448833729945</v>
      </c>
      <c r="E37" s="35">
        <v>381.23826008779997</v>
      </c>
      <c r="F37" s="35">
        <v>303.33408993137982</v>
      </c>
      <c r="G37" s="38">
        <v>1</v>
      </c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</row>
    <row r="38" spans="1:68" ht="15" customHeight="1" x14ac:dyDescent="0.35">
      <c r="A38" s="34">
        <v>2049</v>
      </c>
      <c r="B38" s="35">
        <v>381.41849532656545</v>
      </c>
      <c r="C38" s="35">
        <v>410.18335561230259</v>
      </c>
      <c r="D38" s="35">
        <v>306.81333059952703</v>
      </c>
      <c r="E38" s="35">
        <v>403.64707848453224</v>
      </c>
      <c r="F38" s="35">
        <v>317.64293219360741</v>
      </c>
      <c r="G38" s="38">
        <v>1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</row>
    <row r="39" spans="1:68" ht="15" customHeight="1" x14ac:dyDescent="0.35">
      <c r="A39" s="34">
        <v>2050</v>
      </c>
      <c r="B39" s="35">
        <v>396.40150790668804</v>
      </c>
      <c r="C39" s="35">
        <v>425.16636819242518</v>
      </c>
      <c r="D39" s="35">
        <v>321.79634317964963</v>
      </c>
      <c r="E39" s="35">
        <v>417.11170279101702</v>
      </c>
      <c r="F39" s="35">
        <v>332.62594477373</v>
      </c>
      <c r="G39" s="38">
        <v>1</v>
      </c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</row>
    <row r="40" spans="1:68" ht="15" customHeight="1" x14ac:dyDescent="0.35">
      <c r="A40" s="40"/>
      <c r="B40" s="41"/>
      <c r="C40" s="41"/>
      <c r="D40" s="42"/>
      <c r="E40" s="42"/>
      <c r="F40" s="42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</row>
    <row r="41" spans="1:68" ht="15" customHeight="1" x14ac:dyDescent="0.35">
      <c r="A41" s="43" t="s">
        <v>41</v>
      </c>
      <c r="B41" s="41"/>
      <c r="C41" s="41"/>
      <c r="D41" s="42"/>
      <c r="E41" s="42"/>
      <c r="F41" s="42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</row>
    <row r="42" spans="1:68" ht="15" customHeight="1" x14ac:dyDescent="0.35">
      <c r="A42" s="40" t="s">
        <v>42</v>
      </c>
      <c r="B42" s="41"/>
      <c r="C42" s="41"/>
      <c r="D42" s="42"/>
      <c r="E42" s="42"/>
      <c r="F42" s="42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</row>
    <row r="43" spans="1:68" ht="15" customHeight="1" x14ac:dyDescent="0.35">
      <c r="A43" s="44" t="s">
        <v>43</v>
      </c>
      <c r="B43" s="41"/>
      <c r="C43" s="41"/>
      <c r="D43" s="42"/>
      <c r="E43" s="42"/>
      <c r="F43" s="42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</row>
    <row r="44" spans="1:68" ht="15" customHeight="1" x14ac:dyDescent="0.35">
      <c r="A44" s="40"/>
      <c r="B44" s="41"/>
      <c r="C44" s="41"/>
      <c r="D44" s="42"/>
      <c r="E44" s="42"/>
      <c r="F44" s="42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</row>
    <row r="45" spans="1:68" ht="25" customHeight="1" x14ac:dyDescent="0.35">
      <c r="A45" s="40"/>
      <c r="B45" s="41"/>
      <c r="C45" s="41"/>
      <c r="D45" s="42"/>
      <c r="E45" s="42"/>
      <c r="F45" s="42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</row>
    <row r="46" spans="1:68" ht="15" customHeight="1" x14ac:dyDescent="0.35">
      <c r="A46" s="40"/>
      <c r="B46" s="41"/>
      <c r="C46" s="41"/>
      <c r="D46" s="42"/>
      <c r="E46" s="42"/>
      <c r="F46" s="42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</row>
    <row r="47" spans="1:68" ht="15" customHeight="1" x14ac:dyDescent="0.35">
      <c r="A47" s="40"/>
      <c r="B47" s="41"/>
      <c r="C47" s="41"/>
      <c r="D47" s="42"/>
      <c r="E47" s="42"/>
      <c r="F47" s="42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</row>
    <row r="48" spans="1:68" ht="15" customHeight="1" x14ac:dyDescent="0.35">
      <c r="A48" s="40"/>
      <c r="B48" s="41"/>
      <c r="C48" s="41"/>
      <c r="D48" s="42"/>
      <c r="E48" s="42"/>
      <c r="F48" s="42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</row>
    <row r="49" spans="1:68" ht="15" customHeight="1" x14ac:dyDescent="0.35">
      <c r="A49" s="40"/>
      <c r="B49" s="41"/>
      <c r="C49" s="41"/>
      <c r="D49" s="42"/>
      <c r="E49" s="42"/>
      <c r="F49" s="42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</row>
    <row r="50" spans="1:68" ht="15" customHeight="1" x14ac:dyDescent="0.35">
      <c r="A50" s="40"/>
      <c r="B50" s="41"/>
      <c r="C50" s="41"/>
      <c r="D50" s="42"/>
      <c r="E50" s="42"/>
      <c r="F50" s="42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</row>
    <row r="51" spans="1:68" ht="15" customHeight="1" x14ac:dyDescent="0.35">
      <c r="A51" s="40"/>
      <c r="B51" s="41"/>
      <c r="C51" s="41"/>
      <c r="D51" s="42"/>
      <c r="E51" s="42"/>
      <c r="F51" s="42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</row>
    <row r="52" spans="1:68" ht="25" customHeight="1" x14ac:dyDescent="0.35">
      <c r="A52" s="40"/>
      <c r="B52" s="41"/>
      <c r="C52" s="41"/>
      <c r="D52" s="42"/>
      <c r="E52" s="42"/>
      <c r="F52" s="42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</row>
    <row r="53" spans="1:68" ht="15" customHeight="1" x14ac:dyDescent="0.35">
      <c r="A53" s="40"/>
      <c r="B53" s="41"/>
      <c r="C53" s="41"/>
      <c r="D53" s="42"/>
      <c r="E53" s="42"/>
      <c r="F53" s="42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</row>
    <row r="54" spans="1:68" ht="15" customHeight="1" x14ac:dyDescent="0.35">
      <c r="A54" s="40"/>
      <c r="B54" s="41"/>
      <c r="C54" s="41"/>
      <c r="D54" s="42"/>
      <c r="E54" s="42"/>
      <c r="F54" s="42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</row>
    <row r="55" spans="1:68" ht="15" customHeight="1" x14ac:dyDescent="0.35">
      <c r="A55" s="40"/>
      <c r="B55" s="41"/>
      <c r="C55" s="41"/>
      <c r="D55" s="42"/>
      <c r="E55" s="42"/>
      <c r="F55" s="42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</row>
    <row r="56" spans="1:68" ht="15" customHeight="1" x14ac:dyDescent="0.35">
      <c r="A56" s="40"/>
      <c r="B56" s="41"/>
      <c r="C56" s="41"/>
      <c r="D56" s="42"/>
      <c r="E56" s="42"/>
      <c r="F56" s="42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</row>
    <row r="57" spans="1:68" ht="15" customHeight="1" x14ac:dyDescent="0.35">
      <c r="A57" s="40"/>
      <c r="B57" s="41"/>
      <c r="C57" s="41"/>
      <c r="D57" s="42"/>
      <c r="E57" s="42"/>
      <c r="F57" s="42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</row>
    <row r="58" spans="1:68" ht="15" customHeight="1" x14ac:dyDescent="0.35">
      <c r="A58" s="40"/>
      <c r="B58" s="41"/>
      <c r="C58" s="41"/>
      <c r="D58" s="42"/>
      <c r="E58" s="42"/>
      <c r="F58" s="42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</row>
    <row r="59" spans="1:68" ht="15" customHeight="1" x14ac:dyDescent="0.35">
      <c r="A59" s="40"/>
      <c r="B59" s="41"/>
      <c r="C59" s="41"/>
      <c r="D59" s="42"/>
      <c r="E59" s="42"/>
      <c r="F59" s="42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</row>
    <row r="60" spans="1:68" ht="15" customHeight="1" x14ac:dyDescent="0.35">
      <c r="A60" s="40"/>
      <c r="B60" s="41"/>
      <c r="C60" s="41"/>
      <c r="D60" s="42"/>
      <c r="E60" s="42"/>
      <c r="F60" s="42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</row>
    <row r="61" spans="1:68" ht="15" customHeight="1" x14ac:dyDescent="0.35">
      <c r="A61" s="40"/>
      <c r="B61" s="41"/>
      <c r="C61" s="41"/>
      <c r="D61" s="42"/>
      <c r="E61" s="42"/>
      <c r="F61" s="42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</row>
    <row r="62" spans="1:68" ht="15" customHeight="1" x14ac:dyDescent="0.35">
      <c r="A62" s="40"/>
      <c r="B62" s="41"/>
      <c r="C62" s="41"/>
      <c r="D62" s="42"/>
      <c r="E62" s="42"/>
      <c r="F62" s="42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</row>
    <row r="63" spans="1:68" ht="15" customHeight="1" x14ac:dyDescent="0.35">
      <c r="A63" s="40"/>
      <c r="B63" s="41"/>
      <c r="C63" s="41"/>
      <c r="D63" s="42"/>
      <c r="E63" s="42"/>
      <c r="F63" s="42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</row>
    <row r="64" spans="1:68" ht="15" customHeight="1" x14ac:dyDescent="0.35">
      <c r="A64" s="40"/>
      <c r="B64" s="41"/>
      <c r="C64" s="41"/>
      <c r="D64" s="42"/>
      <c r="E64" s="42"/>
      <c r="F64" s="42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</row>
    <row r="65" spans="1:68" ht="15" customHeight="1" x14ac:dyDescent="0.35">
      <c r="A65" s="40"/>
      <c r="B65" s="41"/>
      <c r="C65" s="41"/>
      <c r="D65" s="42"/>
      <c r="E65" s="42"/>
      <c r="F65" s="42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</row>
    <row r="66" spans="1:68" ht="15" customHeight="1" x14ac:dyDescent="0.35">
      <c r="A66" s="40"/>
      <c r="B66" s="41"/>
      <c r="C66" s="41"/>
      <c r="D66" s="42"/>
      <c r="E66" s="42"/>
      <c r="F66" s="42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</row>
    <row r="67" spans="1:68" ht="15" customHeight="1" x14ac:dyDescent="0.35">
      <c r="A67" s="40"/>
      <c r="B67" s="41"/>
      <c r="C67" s="41"/>
      <c r="D67" s="42"/>
      <c r="E67" s="42"/>
      <c r="F67" s="42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</row>
    <row r="68" spans="1:68" ht="15" customHeight="1" x14ac:dyDescent="0.35">
      <c r="A68" s="40"/>
      <c r="B68" s="41"/>
      <c r="C68" s="41"/>
      <c r="D68" s="42"/>
      <c r="E68" s="42"/>
      <c r="F68" s="42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</row>
    <row r="69" spans="1:68" ht="15" customHeight="1" x14ac:dyDescent="0.35">
      <c r="A69" s="40"/>
      <c r="B69" s="41"/>
      <c r="C69" s="41"/>
      <c r="D69" s="42"/>
      <c r="E69" s="42"/>
      <c r="F69" s="42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</row>
    <row r="70" spans="1:68" ht="25" customHeight="1" x14ac:dyDescent="0.35">
      <c r="A70" s="40"/>
      <c r="B70" s="41"/>
      <c r="C70" s="41"/>
      <c r="D70" s="42"/>
      <c r="E70" s="42"/>
      <c r="F70" s="42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</row>
    <row r="71" spans="1:68" ht="15" customHeight="1" x14ac:dyDescent="0.35">
      <c r="A71" s="40"/>
      <c r="B71" s="41"/>
      <c r="C71" s="41"/>
      <c r="D71" s="42"/>
      <c r="E71" s="42"/>
      <c r="F71" s="42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</row>
    <row r="72" spans="1:68" ht="15" customHeight="1" x14ac:dyDescent="0.35">
      <c r="A72" s="40"/>
      <c r="B72" s="41"/>
      <c r="C72" s="41"/>
      <c r="D72" s="42"/>
      <c r="E72" s="42"/>
      <c r="F72" s="42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</row>
    <row r="73" spans="1:68" ht="15" customHeight="1" x14ac:dyDescent="0.35">
      <c r="A73" s="40"/>
      <c r="B73" s="41"/>
      <c r="C73" s="41"/>
      <c r="D73" s="42"/>
      <c r="E73" s="42"/>
      <c r="F73" s="42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</row>
    <row r="74" spans="1:68" ht="15" customHeight="1" x14ac:dyDescent="0.35">
      <c r="A74" s="40"/>
      <c r="B74" s="41"/>
      <c r="C74" s="41"/>
      <c r="D74" s="42"/>
      <c r="E74" s="42"/>
      <c r="F74" s="42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</row>
    <row r="75" spans="1:68" ht="15" customHeight="1" x14ac:dyDescent="0.35">
      <c r="A75" s="40"/>
      <c r="B75" s="41"/>
      <c r="C75" s="41"/>
      <c r="D75" s="42"/>
      <c r="E75" s="42"/>
      <c r="F75" s="42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</row>
    <row r="76" spans="1:68" ht="15" customHeight="1" x14ac:dyDescent="0.35">
      <c r="A76" s="40"/>
      <c r="B76" s="41"/>
      <c r="C76" s="41"/>
      <c r="D76" s="42"/>
      <c r="E76" s="42"/>
      <c r="F76" s="42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</row>
    <row r="77" spans="1:68" ht="15" customHeight="1" x14ac:dyDescent="0.35">
      <c r="A77" s="40"/>
      <c r="B77" s="41"/>
      <c r="C77" s="41"/>
      <c r="D77" s="42"/>
      <c r="E77" s="42"/>
      <c r="F77" s="42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</row>
    <row r="78" spans="1:68" ht="15" customHeight="1" x14ac:dyDescent="0.35">
      <c r="A78" s="40"/>
      <c r="B78" s="41"/>
      <c r="C78" s="41"/>
      <c r="D78" s="42"/>
      <c r="E78" s="42"/>
      <c r="F78" s="42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</row>
    <row r="79" spans="1:68" ht="15" customHeight="1" x14ac:dyDescent="0.35">
      <c r="A79" s="40"/>
      <c r="B79" s="41"/>
      <c r="C79" s="41"/>
      <c r="D79" s="42"/>
      <c r="E79" s="42"/>
      <c r="F79" s="42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</row>
    <row r="80" spans="1:68" ht="15" customHeight="1" x14ac:dyDescent="0.35">
      <c r="A80" s="40"/>
      <c r="B80" s="41"/>
      <c r="C80" s="41"/>
      <c r="D80" s="42"/>
      <c r="E80" s="42"/>
      <c r="F80" s="42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</row>
    <row r="81" spans="1:68" ht="15" customHeight="1" x14ac:dyDescent="0.35">
      <c r="A81" s="40"/>
      <c r="B81" s="41"/>
      <c r="C81" s="41"/>
      <c r="D81" s="42"/>
      <c r="E81" s="42"/>
      <c r="F81" s="42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</row>
    <row r="82" spans="1:68" ht="15" customHeight="1" x14ac:dyDescent="0.35">
      <c r="A82" s="40"/>
      <c r="B82" s="41"/>
      <c r="C82" s="41"/>
      <c r="D82" s="42"/>
      <c r="E82" s="42"/>
      <c r="F82" s="42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</row>
    <row r="83" spans="1:68" ht="15" customHeight="1" x14ac:dyDescent="0.35">
      <c r="A83" s="40"/>
      <c r="B83" s="41"/>
      <c r="C83" s="41"/>
      <c r="D83" s="42"/>
      <c r="E83" s="42"/>
      <c r="F83" s="42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</row>
    <row r="84" spans="1:68" ht="15" customHeight="1" x14ac:dyDescent="0.35">
      <c r="A84" s="40"/>
      <c r="B84" s="41"/>
      <c r="C84" s="41"/>
      <c r="D84" s="42"/>
      <c r="E84" s="42"/>
      <c r="F84" s="42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</row>
    <row r="85" spans="1:68" ht="15" customHeight="1" x14ac:dyDescent="0.35">
      <c r="A85" s="40"/>
      <c r="B85" s="41"/>
      <c r="C85" s="41"/>
      <c r="D85" s="42"/>
      <c r="E85" s="42"/>
      <c r="F85" s="42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</row>
    <row r="86" spans="1:68" ht="15" customHeight="1" x14ac:dyDescent="0.35">
      <c r="A86" s="40"/>
      <c r="B86" s="41"/>
      <c r="C86" s="41"/>
      <c r="D86" s="42"/>
      <c r="E86" s="42"/>
      <c r="F86" s="42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</row>
    <row r="87" spans="1:68" ht="15" customHeight="1" x14ac:dyDescent="0.35">
      <c r="A87" s="40"/>
      <c r="B87" s="41"/>
      <c r="C87" s="41"/>
      <c r="D87" s="42"/>
      <c r="E87" s="42"/>
      <c r="F87" s="42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</row>
    <row r="88" spans="1:68" ht="15" customHeight="1" x14ac:dyDescent="0.35">
      <c r="A88" s="40"/>
      <c r="B88" s="41"/>
      <c r="C88" s="41"/>
      <c r="D88" s="42"/>
      <c r="E88" s="42"/>
      <c r="F88" s="42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</row>
    <row r="89" spans="1:68" ht="15" customHeight="1" x14ac:dyDescent="0.35">
      <c r="A89" s="40"/>
      <c r="B89" s="41"/>
      <c r="C89" s="41"/>
      <c r="D89" s="42"/>
      <c r="E89" s="42"/>
      <c r="F89" s="42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</row>
    <row r="90" spans="1:68" ht="25" customHeight="1" x14ac:dyDescent="0.35">
      <c r="A90" s="40"/>
      <c r="B90" s="41"/>
      <c r="C90" s="41"/>
      <c r="D90" s="42"/>
      <c r="E90" s="42"/>
      <c r="F90" s="42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</row>
    <row r="91" spans="1:68" ht="15" customHeight="1" x14ac:dyDescent="0.35">
      <c r="A91" s="40"/>
      <c r="B91" s="41"/>
      <c r="C91" s="41"/>
      <c r="D91" s="42"/>
      <c r="E91" s="42"/>
      <c r="F91" s="42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</row>
    <row r="92" spans="1:68" ht="15" customHeight="1" x14ac:dyDescent="0.35">
      <c r="A92" s="40"/>
      <c r="B92" s="41"/>
      <c r="C92" s="41"/>
      <c r="D92" s="42"/>
      <c r="E92" s="42"/>
      <c r="F92" s="42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</row>
    <row r="93" spans="1:68" ht="15" customHeight="1" x14ac:dyDescent="0.35">
      <c r="A93" s="40"/>
      <c r="B93" s="41"/>
      <c r="C93" s="41"/>
      <c r="D93" s="42"/>
      <c r="E93" s="42"/>
      <c r="F93" s="42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</row>
    <row r="94" spans="1:68" ht="15" customHeight="1" x14ac:dyDescent="0.35">
      <c r="A94" s="40"/>
      <c r="B94" s="41"/>
      <c r="C94" s="41"/>
      <c r="D94" s="42"/>
      <c r="E94" s="42"/>
      <c r="F94" s="42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</row>
    <row r="95" spans="1:68" ht="15" customHeight="1" x14ac:dyDescent="0.35">
      <c r="A95" s="40"/>
      <c r="B95" s="41"/>
      <c r="C95" s="41"/>
      <c r="D95" s="42"/>
      <c r="E95" s="42"/>
      <c r="F95" s="42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</row>
    <row r="96" spans="1:68" ht="15" customHeight="1" x14ac:dyDescent="0.35">
      <c r="A96" s="40"/>
      <c r="B96" s="41"/>
      <c r="C96" s="41"/>
      <c r="D96" s="42"/>
      <c r="E96" s="42"/>
      <c r="F96" s="42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</row>
    <row r="97" spans="1:68" ht="15" customHeight="1" x14ac:dyDescent="0.35">
      <c r="A97" s="40"/>
      <c r="B97" s="41"/>
      <c r="C97" s="41"/>
      <c r="D97" s="42"/>
      <c r="E97" s="42"/>
      <c r="F97" s="42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</row>
    <row r="98" spans="1:68" ht="15" customHeight="1" x14ac:dyDescent="0.35">
      <c r="A98" s="40"/>
      <c r="B98" s="41"/>
      <c r="C98" s="41"/>
      <c r="D98" s="42"/>
      <c r="E98" s="42"/>
      <c r="F98" s="42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</row>
    <row r="99" spans="1:68" ht="15" customHeight="1" x14ac:dyDescent="0.35">
      <c r="A99" s="40"/>
      <c r="B99" s="41"/>
      <c r="C99" s="41"/>
      <c r="D99" s="42"/>
      <c r="E99" s="42"/>
      <c r="F99" s="42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</row>
    <row r="100" spans="1:68" ht="25" customHeight="1" x14ac:dyDescent="0.35">
      <c r="A100" s="40"/>
      <c r="B100" s="41"/>
      <c r="C100" s="41"/>
      <c r="D100" s="42"/>
      <c r="E100" s="42"/>
      <c r="F100" s="42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</row>
    <row r="101" spans="1:68" ht="15" customHeight="1" x14ac:dyDescent="0.35">
      <c r="A101" s="40"/>
      <c r="B101" s="41"/>
      <c r="C101" s="41"/>
      <c r="D101" s="42"/>
      <c r="E101" s="42"/>
      <c r="F101" s="42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</row>
    <row r="102" spans="1:68" ht="15" customHeight="1" x14ac:dyDescent="0.35">
      <c r="A102" s="40"/>
      <c r="B102" s="41"/>
      <c r="C102" s="41"/>
      <c r="D102" s="42"/>
      <c r="E102" s="42"/>
      <c r="F102" s="42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</row>
    <row r="103" spans="1:68" ht="15" customHeight="1" x14ac:dyDescent="0.35">
      <c r="A103" s="40"/>
      <c r="B103" s="41"/>
      <c r="C103" s="41"/>
      <c r="D103" s="42"/>
      <c r="E103" s="42"/>
      <c r="F103" s="42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</row>
    <row r="104" spans="1:68" ht="15" customHeight="1" x14ac:dyDescent="0.35">
      <c r="A104" s="40"/>
      <c r="B104" s="41"/>
      <c r="C104" s="41"/>
      <c r="D104" s="42"/>
      <c r="E104" s="42"/>
      <c r="F104" s="42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</row>
    <row r="105" spans="1:68" ht="15" customHeight="1" x14ac:dyDescent="0.35">
      <c r="A105" s="40"/>
      <c r="B105" s="41"/>
      <c r="C105" s="41"/>
      <c r="D105" s="42"/>
      <c r="E105" s="42"/>
      <c r="F105" s="42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</row>
    <row r="106" spans="1:68" ht="15" customHeight="1" x14ac:dyDescent="0.35">
      <c r="A106" s="40"/>
      <c r="B106" s="41"/>
      <c r="C106" s="41"/>
      <c r="D106" s="42"/>
      <c r="E106" s="42"/>
      <c r="F106" s="42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</row>
    <row r="107" spans="1:68" ht="25" customHeight="1" x14ac:dyDescent="0.35">
      <c r="A107" s="40"/>
      <c r="B107" s="41"/>
      <c r="C107" s="41"/>
      <c r="D107" s="42"/>
      <c r="E107" s="42"/>
      <c r="F107" s="42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</row>
    <row r="108" spans="1:68" ht="15" customHeight="1" x14ac:dyDescent="0.35">
      <c r="A108" s="40"/>
      <c r="B108" s="41"/>
      <c r="C108" s="41"/>
      <c r="D108" s="42"/>
      <c r="E108" s="42"/>
      <c r="F108" s="42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</row>
    <row r="109" spans="1:68" ht="25" customHeight="1" x14ac:dyDescent="0.35">
      <c r="A109" s="40"/>
      <c r="B109" s="41"/>
      <c r="C109" s="41"/>
      <c r="D109" s="42"/>
      <c r="E109" s="42"/>
      <c r="F109" s="42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</row>
    <row r="110" spans="1:68" ht="15" customHeight="1" x14ac:dyDescent="0.35">
      <c r="A110" s="40"/>
      <c r="B110" s="41"/>
      <c r="C110" s="41"/>
      <c r="D110" s="42"/>
      <c r="E110" s="42"/>
      <c r="F110" s="42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</row>
    <row r="111" spans="1:68" ht="15" customHeight="1" x14ac:dyDescent="0.35">
      <c r="A111" s="40"/>
      <c r="B111" s="41"/>
      <c r="C111" s="41"/>
      <c r="D111" s="42"/>
      <c r="E111" s="42"/>
      <c r="F111" s="42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</row>
    <row r="112" spans="1:68" ht="15" customHeight="1" x14ac:dyDescent="0.35">
      <c r="A112" s="40"/>
      <c r="B112" s="41"/>
      <c r="C112" s="41"/>
      <c r="D112" s="42"/>
      <c r="E112" s="42"/>
      <c r="F112" s="42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</row>
    <row r="113" spans="1:68" ht="15" customHeight="1" x14ac:dyDescent="0.35">
      <c r="A113" s="40"/>
      <c r="B113" s="41"/>
      <c r="C113" s="41"/>
      <c r="D113" s="42"/>
      <c r="E113" s="42"/>
      <c r="F113" s="42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</row>
    <row r="114" spans="1:68" ht="15" customHeight="1" x14ac:dyDescent="0.35">
      <c r="A114" s="40"/>
      <c r="B114" s="41"/>
      <c r="C114" s="41"/>
      <c r="D114" s="42"/>
      <c r="E114" s="42"/>
      <c r="F114" s="42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</row>
    <row r="115" spans="1:68" ht="15" customHeight="1" x14ac:dyDescent="0.35">
      <c r="A115" s="40"/>
      <c r="B115" s="41"/>
      <c r="C115" s="41"/>
      <c r="D115" s="42"/>
      <c r="E115" s="42"/>
      <c r="F115" s="42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</row>
    <row r="116" spans="1:68" ht="15" customHeight="1" x14ac:dyDescent="0.35">
      <c r="A116" s="40"/>
      <c r="B116" s="41"/>
      <c r="C116" s="41"/>
      <c r="D116" s="42"/>
      <c r="E116" s="42"/>
      <c r="F116" s="42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</row>
    <row r="117" spans="1:68" ht="15" customHeight="1" x14ac:dyDescent="0.35">
      <c r="A117" s="40"/>
      <c r="B117" s="41"/>
      <c r="C117" s="41"/>
      <c r="D117" s="42"/>
      <c r="E117" s="42"/>
      <c r="F117" s="42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</row>
    <row r="118" spans="1:68" ht="15" customHeight="1" x14ac:dyDescent="0.35">
      <c r="A118" s="40"/>
      <c r="B118" s="41"/>
      <c r="C118" s="41"/>
      <c r="D118" s="42"/>
      <c r="E118" s="42"/>
      <c r="F118" s="42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</row>
    <row r="119" spans="1:68" ht="15" customHeight="1" x14ac:dyDescent="0.35">
      <c r="A119" s="40"/>
      <c r="B119" s="41"/>
      <c r="C119" s="41"/>
      <c r="D119" s="42"/>
      <c r="E119" s="42"/>
      <c r="F119" s="42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</row>
    <row r="120" spans="1:68" ht="15" customHeight="1" x14ac:dyDescent="0.35">
      <c r="A120" s="40"/>
      <c r="B120" s="41"/>
      <c r="C120" s="41"/>
      <c r="D120" s="42"/>
      <c r="E120" s="42"/>
      <c r="F120" s="42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</row>
    <row r="121" spans="1:68" ht="15" customHeight="1" x14ac:dyDescent="0.35">
      <c r="A121" s="40"/>
      <c r="B121" s="41"/>
      <c r="C121" s="41"/>
      <c r="D121" s="42"/>
      <c r="E121" s="42"/>
      <c r="F121" s="42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</row>
    <row r="122" spans="1:68" ht="15" customHeight="1" x14ac:dyDescent="0.35">
      <c r="A122" s="40"/>
      <c r="B122" s="41"/>
      <c r="C122" s="41"/>
      <c r="D122" s="42"/>
      <c r="E122" s="42"/>
      <c r="F122" s="42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</row>
    <row r="123" spans="1:68" ht="15" customHeight="1" x14ac:dyDescent="0.35">
      <c r="A123" s="40"/>
      <c r="B123" s="41"/>
      <c r="C123" s="41"/>
      <c r="D123" s="42"/>
      <c r="E123" s="42"/>
      <c r="F123" s="42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</row>
    <row r="124" spans="1:68" ht="15" customHeight="1" x14ac:dyDescent="0.35">
      <c r="A124" s="40"/>
      <c r="B124" s="41"/>
      <c r="C124" s="41"/>
      <c r="D124" s="42"/>
      <c r="E124" s="42"/>
      <c r="F124" s="42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</row>
    <row r="125" spans="1:68" ht="15" customHeight="1" x14ac:dyDescent="0.35">
      <c r="A125" s="40"/>
      <c r="B125" s="41"/>
      <c r="C125" s="41"/>
      <c r="D125" s="42"/>
      <c r="E125" s="42"/>
      <c r="F125" s="42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</row>
    <row r="126" spans="1:68" ht="15" customHeight="1" x14ac:dyDescent="0.35">
      <c r="A126" s="40"/>
      <c r="B126" s="41"/>
      <c r="C126" s="41"/>
      <c r="D126" s="42"/>
      <c r="E126" s="42"/>
      <c r="F126" s="42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</row>
    <row r="127" spans="1:68" ht="25" customHeight="1" x14ac:dyDescent="0.35">
      <c r="A127" s="40"/>
      <c r="B127" s="41"/>
      <c r="C127" s="41"/>
      <c r="D127" s="42"/>
      <c r="E127" s="42"/>
      <c r="F127" s="42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</row>
    <row r="128" spans="1:68" ht="15" customHeight="1" x14ac:dyDescent="0.35">
      <c r="A128" s="40"/>
      <c r="B128" s="41"/>
      <c r="C128" s="41"/>
      <c r="D128" s="42"/>
      <c r="E128" s="42"/>
      <c r="F128" s="42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</row>
    <row r="129" spans="1:68" ht="15" customHeight="1" x14ac:dyDescent="0.35">
      <c r="A129" s="40"/>
      <c r="B129" s="41"/>
      <c r="C129" s="41"/>
      <c r="D129" s="42"/>
      <c r="E129" s="42"/>
      <c r="F129" s="42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</row>
    <row r="130" spans="1:68" ht="15" customHeight="1" x14ac:dyDescent="0.35">
      <c r="A130" s="40"/>
      <c r="B130" s="41"/>
      <c r="C130" s="41"/>
      <c r="D130" s="42"/>
      <c r="E130" s="42"/>
      <c r="F130" s="42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</row>
    <row r="131" spans="1:68" ht="15" customHeight="1" x14ac:dyDescent="0.35">
      <c r="A131" s="40"/>
      <c r="B131" s="41"/>
      <c r="C131" s="41"/>
      <c r="D131" s="42"/>
      <c r="E131" s="42"/>
      <c r="F131" s="42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</row>
    <row r="132" spans="1:68" ht="15" customHeight="1" x14ac:dyDescent="0.35">
      <c r="A132" s="40"/>
      <c r="B132" s="41"/>
      <c r="C132" s="41"/>
      <c r="D132" s="42"/>
      <c r="E132" s="42"/>
      <c r="F132" s="42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</row>
    <row r="133" spans="1:68" ht="15" customHeight="1" x14ac:dyDescent="0.35">
      <c r="A133" s="40"/>
      <c r="B133" s="41"/>
      <c r="C133" s="41"/>
      <c r="D133" s="42"/>
      <c r="E133" s="42"/>
      <c r="F133" s="42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</row>
    <row r="134" spans="1:68" ht="25" customHeight="1" x14ac:dyDescent="0.35">
      <c r="A134" s="40"/>
      <c r="B134" s="41"/>
      <c r="C134" s="41"/>
      <c r="D134" s="42"/>
      <c r="E134" s="42"/>
      <c r="F134" s="42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</row>
    <row r="135" spans="1:68" ht="15" customHeight="1" x14ac:dyDescent="0.35">
      <c r="A135" s="40"/>
      <c r="B135" s="41"/>
      <c r="C135" s="41"/>
      <c r="D135" s="42"/>
      <c r="E135" s="42"/>
      <c r="F135" s="42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</row>
    <row r="136" spans="1:68" ht="15" customHeight="1" x14ac:dyDescent="0.35">
      <c r="A136" s="40"/>
      <c r="B136" s="41"/>
      <c r="C136" s="41"/>
      <c r="D136" s="42"/>
      <c r="E136" s="42"/>
      <c r="F136" s="42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</row>
    <row r="137" spans="1:68" ht="15" customHeight="1" x14ac:dyDescent="0.35">
      <c r="A137" s="40"/>
      <c r="B137" s="41"/>
      <c r="C137" s="41"/>
      <c r="D137" s="42"/>
      <c r="E137" s="42"/>
      <c r="F137" s="42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</row>
    <row r="138" spans="1:68" ht="15" customHeight="1" x14ac:dyDescent="0.35">
      <c r="A138" s="40"/>
      <c r="B138" s="41"/>
      <c r="C138" s="41"/>
      <c r="D138" s="42"/>
      <c r="E138" s="42"/>
      <c r="F138" s="42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</row>
    <row r="139" spans="1:68" ht="15" customHeight="1" x14ac:dyDescent="0.35">
      <c r="A139" s="40"/>
      <c r="B139" s="41"/>
      <c r="C139" s="41"/>
      <c r="D139" s="42"/>
      <c r="E139" s="42"/>
      <c r="F139" s="42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</row>
    <row r="140" spans="1:68" ht="15" customHeight="1" x14ac:dyDescent="0.35">
      <c r="A140" s="40"/>
      <c r="B140" s="41"/>
      <c r="C140" s="41"/>
      <c r="D140" s="42"/>
      <c r="E140" s="42"/>
      <c r="F140" s="42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</row>
    <row r="141" spans="1:68" ht="15" customHeight="1" x14ac:dyDescent="0.35">
      <c r="A141" s="40"/>
      <c r="B141" s="41"/>
      <c r="C141" s="41"/>
      <c r="D141" s="42"/>
      <c r="E141" s="42"/>
      <c r="F141" s="42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</row>
    <row r="142" spans="1:68" ht="15" customHeight="1" x14ac:dyDescent="0.35">
      <c r="A142" s="40"/>
      <c r="B142" s="41"/>
      <c r="C142" s="41"/>
      <c r="D142" s="42"/>
      <c r="E142" s="42"/>
      <c r="F142" s="42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</row>
    <row r="143" spans="1:68" ht="25" customHeight="1" x14ac:dyDescent="0.35">
      <c r="A143" s="40"/>
      <c r="B143" s="41"/>
      <c r="C143" s="41"/>
      <c r="D143" s="42"/>
      <c r="E143" s="42"/>
      <c r="F143" s="42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</row>
    <row r="144" spans="1:68" ht="15" customHeight="1" x14ac:dyDescent="0.35">
      <c r="A144" s="40"/>
      <c r="B144" s="41"/>
      <c r="C144" s="41"/>
      <c r="D144" s="42"/>
      <c r="E144" s="42"/>
      <c r="F144" s="42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</row>
    <row r="145" spans="1:68" ht="15" customHeight="1" x14ac:dyDescent="0.35">
      <c r="A145" s="40"/>
      <c r="B145" s="41"/>
      <c r="C145" s="41"/>
      <c r="D145" s="42"/>
      <c r="E145" s="42"/>
      <c r="F145" s="42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</row>
    <row r="146" spans="1:68" ht="15" customHeight="1" x14ac:dyDescent="0.35">
      <c r="A146" s="40"/>
      <c r="B146" s="41"/>
      <c r="C146" s="41"/>
      <c r="D146" s="42"/>
      <c r="E146" s="42"/>
      <c r="F146" s="42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</row>
    <row r="147" spans="1:68" ht="15" customHeight="1" x14ac:dyDescent="0.35">
      <c r="A147" s="40"/>
      <c r="B147" s="41"/>
      <c r="C147" s="41"/>
      <c r="D147" s="42"/>
      <c r="E147" s="42"/>
      <c r="F147" s="42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</row>
    <row r="148" spans="1:68" ht="15" customHeight="1" x14ac:dyDescent="0.35">
      <c r="A148" s="40"/>
      <c r="B148" s="41"/>
      <c r="C148" s="41"/>
      <c r="D148" s="42"/>
      <c r="E148" s="42"/>
      <c r="F148" s="42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</row>
    <row r="149" spans="1:68" ht="15" customHeight="1" x14ac:dyDescent="0.35">
      <c r="A149" s="40"/>
      <c r="B149" s="41"/>
      <c r="C149" s="41"/>
      <c r="D149" s="42"/>
      <c r="E149" s="42"/>
      <c r="F149" s="42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</row>
    <row r="150" spans="1:68" ht="15" customHeight="1" x14ac:dyDescent="0.35">
      <c r="A150" s="40"/>
      <c r="B150" s="41"/>
      <c r="C150" s="41"/>
      <c r="D150" s="42"/>
      <c r="E150" s="42"/>
      <c r="F150" s="42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</row>
    <row r="151" spans="1:68" ht="15" customHeight="1" x14ac:dyDescent="0.35">
      <c r="A151" s="40"/>
      <c r="B151" s="41"/>
      <c r="C151" s="41"/>
      <c r="D151" s="42"/>
      <c r="E151" s="42"/>
      <c r="F151" s="42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</row>
    <row r="152" spans="1:68" ht="25" customHeight="1" x14ac:dyDescent="0.35">
      <c r="A152" s="40"/>
      <c r="B152" s="41"/>
      <c r="C152" s="41"/>
      <c r="D152" s="42"/>
      <c r="E152" s="42"/>
      <c r="F152" s="42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</row>
    <row r="153" spans="1:68" ht="15" customHeight="1" x14ac:dyDescent="0.35">
      <c r="A153" s="40"/>
      <c r="B153" s="41"/>
      <c r="C153" s="41"/>
      <c r="D153" s="42"/>
      <c r="E153" s="42"/>
      <c r="F153" s="42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</row>
    <row r="154" spans="1:68" ht="15" customHeight="1" x14ac:dyDescent="0.35">
      <c r="A154" s="40"/>
      <c r="B154" s="41"/>
      <c r="C154" s="41"/>
      <c r="D154" s="42"/>
      <c r="E154" s="42"/>
      <c r="F154" s="42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</row>
    <row r="155" spans="1:68" ht="15" customHeight="1" x14ac:dyDescent="0.35">
      <c r="A155" s="40"/>
      <c r="B155" s="41"/>
      <c r="C155" s="41"/>
      <c r="D155" s="42"/>
      <c r="E155" s="42"/>
      <c r="F155" s="42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</row>
    <row r="156" spans="1:68" ht="15" customHeight="1" x14ac:dyDescent="0.35">
      <c r="A156" s="40"/>
      <c r="B156" s="41"/>
      <c r="C156" s="41"/>
      <c r="D156" s="42"/>
      <c r="E156" s="42"/>
      <c r="F156" s="42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</row>
    <row r="157" spans="1:68" ht="15" customHeight="1" x14ac:dyDescent="0.35">
      <c r="A157" s="40"/>
      <c r="B157" s="41"/>
      <c r="C157" s="41"/>
      <c r="D157" s="42"/>
      <c r="E157" s="42"/>
      <c r="F157" s="42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</row>
    <row r="158" spans="1:68" ht="15" customHeight="1" x14ac:dyDescent="0.35">
      <c r="A158" s="40"/>
      <c r="B158" s="41"/>
      <c r="C158" s="41"/>
      <c r="D158" s="42"/>
      <c r="E158" s="42"/>
      <c r="F158" s="42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</row>
    <row r="159" spans="1:68" ht="15" customHeight="1" x14ac:dyDescent="0.35">
      <c r="A159" s="40"/>
      <c r="B159" s="41"/>
      <c r="C159" s="41"/>
      <c r="D159" s="42"/>
      <c r="E159" s="42"/>
      <c r="F159" s="42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</row>
    <row r="160" spans="1:68" ht="15" customHeight="1" x14ac:dyDescent="0.35">
      <c r="A160" s="40"/>
      <c r="B160" s="41"/>
      <c r="C160" s="41"/>
      <c r="D160" s="42"/>
      <c r="E160" s="42"/>
      <c r="F160" s="42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</row>
    <row r="161" spans="1:68" ht="15" customHeight="1" x14ac:dyDescent="0.35">
      <c r="A161" s="40"/>
      <c r="B161" s="41"/>
      <c r="C161" s="41"/>
      <c r="D161" s="42"/>
      <c r="E161" s="42"/>
      <c r="F161" s="42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</row>
    <row r="162" spans="1:68" ht="15" customHeight="1" x14ac:dyDescent="0.35">
      <c r="A162" s="40"/>
      <c r="B162" s="41"/>
      <c r="C162" s="41"/>
      <c r="D162" s="42"/>
      <c r="E162" s="42"/>
      <c r="F162" s="42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</row>
    <row r="163" spans="1:68" ht="15" customHeight="1" x14ac:dyDescent="0.35">
      <c r="A163" s="40"/>
      <c r="B163" s="41"/>
      <c r="C163" s="41"/>
      <c r="D163" s="42"/>
      <c r="E163" s="42"/>
      <c r="F163" s="42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</row>
    <row r="164" spans="1:68" ht="25" customHeight="1" x14ac:dyDescent="0.35">
      <c r="A164" s="40"/>
      <c r="B164" s="41"/>
      <c r="C164" s="41"/>
      <c r="D164" s="42"/>
      <c r="E164" s="42"/>
      <c r="F164" s="42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</row>
    <row r="165" spans="1:68" ht="15" customHeight="1" x14ac:dyDescent="0.35">
      <c r="A165" s="40"/>
      <c r="B165" s="41"/>
      <c r="C165" s="41"/>
      <c r="D165" s="42"/>
      <c r="E165" s="42"/>
      <c r="F165" s="42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</row>
    <row r="166" spans="1:68" ht="15" customHeight="1" x14ac:dyDescent="0.35">
      <c r="A166" s="40"/>
      <c r="B166" s="41"/>
      <c r="C166" s="41"/>
      <c r="D166" s="42"/>
      <c r="E166" s="42"/>
      <c r="F166" s="42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</row>
    <row r="167" spans="1:68" ht="15" customHeight="1" x14ac:dyDescent="0.35">
      <c r="A167" s="40"/>
      <c r="B167" s="41"/>
      <c r="C167" s="41"/>
      <c r="D167" s="42"/>
      <c r="E167" s="42"/>
      <c r="F167" s="42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</row>
    <row r="168" spans="1:68" ht="15" customHeight="1" x14ac:dyDescent="0.35">
      <c r="A168" s="40"/>
      <c r="B168" s="41"/>
      <c r="C168" s="41"/>
      <c r="D168" s="42"/>
      <c r="E168" s="42"/>
      <c r="F168" s="42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</row>
    <row r="169" spans="1:68" ht="15" customHeight="1" x14ac:dyDescent="0.35">
      <c r="A169" s="40"/>
      <c r="B169" s="41"/>
      <c r="C169" s="41"/>
      <c r="D169" s="42"/>
      <c r="E169" s="42"/>
      <c r="F169" s="42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</row>
    <row r="170" spans="1:68" ht="15" customHeight="1" x14ac:dyDescent="0.35">
      <c r="A170" s="40"/>
      <c r="B170" s="41"/>
      <c r="C170" s="41"/>
      <c r="D170" s="42"/>
      <c r="E170" s="42"/>
      <c r="F170" s="42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</row>
    <row r="171" spans="1:68" ht="15" customHeight="1" x14ac:dyDescent="0.35">
      <c r="A171" s="40"/>
      <c r="B171" s="41"/>
      <c r="C171" s="41"/>
      <c r="D171" s="42"/>
      <c r="E171" s="42"/>
      <c r="F171" s="42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</row>
    <row r="172" spans="1:68" ht="25" customHeight="1" x14ac:dyDescent="0.35">
      <c r="A172" s="40"/>
      <c r="B172" s="41"/>
      <c r="C172" s="41"/>
      <c r="D172" s="42"/>
      <c r="E172" s="42"/>
      <c r="F172" s="42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</row>
    <row r="173" spans="1:68" ht="15" customHeight="1" x14ac:dyDescent="0.35">
      <c r="A173" s="40"/>
      <c r="B173" s="41"/>
      <c r="C173" s="41"/>
      <c r="D173" s="42"/>
      <c r="E173" s="42"/>
      <c r="F173" s="42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</row>
    <row r="174" spans="1:68" ht="15" customHeight="1" x14ac:dyDescent="0.35">
      <c r="A174" s="40"/>
      <c r="B174" s="41"/>
      <c r="C174" s="41"/>
      <c r="D174" s="42"/>
      <c r="E174" s="42"/>
      <c r="F174" s="42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</row>
    <row r="175" spans="1:68" ht="15" customHeight="1" x14ac:dyDescent="0.35">
      <c r="A175" s="40"/>
      <c r="B175" s="41"/>
      <c r="C175" s="41"/>
      <c r="D175" s="42"/>
      <c r="E175" s="42"/>
      <c r="F175" s="42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</row>
    <row r="176" spans="1:68" ht="25" customHeight="1" x14ac:dyDescent="0.35">
      <c r="A176" s="40"/>
      <c r="B176" s="41"/>
      <c r="C176" s="41"/>
      <c r="D176" s="42"/>
      <c r="E176" s="42"/>
      <c r="F176" s="42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</row>
    <row r="177" spans="1:68" ht="15" customHeight="1" x14ac:dyDescent="0.35">
      <c r="A177" s="40"/>
      <c r="B177" s="41"/>
      <c r="C177" s="41"/>
      <c r="D177" s="42"/>
      <c r="E177" s="42"/>
      <c r="F177" s="42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</row>
    <row r="178" spans="1:68" ht="15" customHeight="1" x14ac:dyDescent="0.35">
      <c r="A178" s="40"/>
      <c r="B178" s="41"/>
      <c r="C178" s="41"/>
      <c r="D178" s="42"/>
      <c r="E178" s="42"/>
      <c r="F178" s="42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</row>
    <row r="179" spans="1:68" ht="15" customHeight="1" x14ac:dyDescent="0.35">
      <c r="A179" s="40"/>
      <c r="B179" s="41"/>
      <c r="C179" s="41"/>
      <c r="D179" s="42"/>
      <c r="E179" s="42"/>
      <c r="F179" s="42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</row>
    <row r="180" spans="1:68" ht="15" customHeight="1" x14ac:dyDescent="0.35">
      <c r="A180" s="40"/>
      <c r="B180" s="41"/>
      <c r="C180" s="41"/>
      <c r="D180" s="42"/>
      <c r="E180" s="42"/>
      <c r="F180" s="42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</row>
    <row r="181" spans="1:68" ht="15" customHeight="1" x14ac:dyDescent="0.35">
      <c r="A181" s="40"/>
      <c r="B181" s="41"/>
      <c r="C181" s="41"/>
      <c r="D181" s="42"/>
      <c r="E181" s="42"/>
      <c r="F181" s="42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</row>
    <row r="182" spans="1:68" ht="15" customHeight="1" x14ac:dyDescent="0.35">
      <c r="A182" s="40"/>
      <c r="B182" s="41"/>
      <c r="C182" s="41"/>
      <c r="D182" s="42"/>
      <c r="E182" s="42"/>
      <c r="F182" s="42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</row>
    <row r="183" spans="1:68" ht="15" customHeight="1" x14ac:dyDescent="0.35">
      <c r="A183" s="40"/>
      <c r="B183" s="41"/>
      <c r="C183" s="41"/>
      <c r="D183" s="42"/>
      <c r="E183" s="42"/>
      <c r="F183" s="42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</row>
    <row r="184" spans="1:68" ht="15" customHeight="1" x14ac:dyDescent="0.35">
      <c r="A184" s="40"/>
      <c r="B184" s="41"/>
      <c r="C184" s="41"/>
      <c r="D184" s="42"/>
      <c r="E184" s="42"/>
      <c r="F184" s="42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</row>
    <row r="185" spans="1:68" ht="15" customHeight="1" x14ac:dyDescent="0.35">
      <c r="A185" s="40"/>
      <c r="B185" s="41"/>
      <c r="C185" s="41"/>
      <c r="D185" s="42"/>
      <c r="E185" s="42"/>
      <c r="F185" s="42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</row>
    <row r="186" spans="1:68" ht="25" customHeight="1" x14ac:dyDescent="0.35">
      <c r="A186" s="40"/>
      <c r="B186" s="41"/>
      <c r="C186" s="41"/>
      <c r="D186" s="42"/>
      <c r="E186" s="42"/>
      <c r="F186" s="42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</row>
    <row r="187" spans="1:68" ht="15" customHeight="1" x14ac:dyDescent="0.35">
      <c r="A187" s="40"/>
      <c r="B187" s="41"/>
      <c r="C187" s="41"/>
      <c r="D187" s="42"/>
      <c r="E187" s="42"/>
      <c r="F187" s="42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</row>
    <row r="188" spans="1:68" ht="15" customHeight="1" x14ac:dyDescent="0.35">
      <c r="A188" s="40"/>
      <c r="B188" s="41"/>
      <c r="C188" s="41"/>
      <c r="D188" s="42"/>
      <c r="E188" s="42"/>
      <c r="F188" s="42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</row>
    <row r="189" spans="1:68" ht="15" customHeight="1" x14ac:dyDescent="0.35">
      <c r="A189" s="40"/>
      <c r="B189" s="41"/>
      <c r="C189" s="41"/>
      <c r="D189" s="42"/>
      <c r="E189" s="42"/>
      <c r="F189" s="42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</row>
    <row r="190" spans="1:68" ht="15" customHeight="1" x14ac:dyDescent="0.35">
      <c r="A190" s="40"/>
      <c r="B190" s="41"/>
      <c r="C190" s="41"/>
      <c r="D190" s="42"/>
      <c r="E190" s="42"/>
      <c r="F190" s="42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</row>
    <row r="191" spans="1:68" ht="15" customHeight="1" x14ac:dyDescent="0.35">
      <c r="A191" s="40"/>
      <c r="B191" s="41"/>
      <c r="C191" s="41"/>
      <c r="D191" s="42"/>
      <c r="E191" s="42"/>
      <c r="F191" s="42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</row>
    <row r="192" spans="1:68" ht="15" customHeight="1" x14ac:dyDescent="0.35">
      <c r="A192" s="40"/>
      <c r="B192" s="41"/>
      <c r="C192" s="41"/>
      <c r="D192" s="42"/>
      <c r="E192" s="42"/>
      <c r="F192" s="42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</row>
    <row r="193" spans="1:68" ht="15" customHeight="1" x14ac:dyDescent="0.35">
      <c r="A193" s="40"/>
      <c r="B193" s="41"/>
      <c r="C193" s="41"/>
      <c r="D193" s="42"/>
      <c r="E193" s="42"/>
      <c r="F193" s="42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</row>
    <row r="194" spans="1:68" ht="15" customHeight="1" x14ac:dyDescent="0.35">
      <c r="A194" s="40"/>
      <c r="B194" s="41"/>
      <c r="C194" s="41"/>
      <c r="D194" s="42"/>
      <c r="E194" s="42"/>
      <c r="F194" s="42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</row>
    <row r="195" spans="1:68" ht="15" customHeight="1" x14ac:dyDescent="0.35">
      <c r="A195" s="40"/>
      <c r="B195" s="41"/>
      <c r="C195" s="41"/>
      <c r="D195" s="42"/>
      <c r="E195" s="42"/>
      <c r="F195" s="42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</row>
    <row r="196" spans="1:68" ht="25" customHeight="1" x14ac:dyDescent="0.35">
      <c r="A196" s="40"/>
      <c r="B196" s="41"/>
      <c r="C196" s="41"/>
      <c r="D196" s="42"/>
      <c r="E196" s="42"/>
      <c r="F196" s="42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</row>
    <row r="197" spans="1:68" ht="15" customHeight="1" x14ac:dyDescent="0.35">
      <c r="A197" s="40"/>
      <c r="B197" s="41"/>
      <c r="C197" s="41"/>
      <c r="D197" s="42"/>
      <c r="E197" s="42"/>
      <c r="F197" s="42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</row>
    <row r="198" spans="1:68" ht="15" customHeight="1" x14ac:dyDescent="0.35">
      <c r="A198" s="40"/>
      <c r="B198" s="41"/>
      <c r="C198" s="41"/>
      <c r="D198" s="42"/>
      <c r="E198" s="42"/>
      <c r="F198" s="42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</row>
    <row r="199" spans="1:68" ht="15" customHeight="1" x14ac:dyDescent="0.35">
      <c r="A199" s="40"/>
      <c r="B199" s="41"/>
      <c r="C199" s="41"/>
      <c r="D199" s="42"/>
      <c r="E199" s="42"/>
      <c r="F199" s="42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</row>
    <row r="200" spans="1:68" ht="15" customHeight="1" x14ac:dyDescent="0.35">
      <c r="A200" s="40"/>
      <c r="B200" s="41"/>
      <c r="C200" s="41"/>
      <c r="D200" s="42"/>
      <c r="E200" s="42"/>
      <c r="F200" s="42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</row>
    <row r="201" spans="1:68" ht="15" customHeight="1" x14ac:dyDescent="0.35">
      <c r="A201" s="40"/>
      <c r="B201" s="41"/>
      <c r="C201" s="41"/>
      <c r="D201" s="42"/>
      <c r="E201" s="42"/>
      <c r="F201" s="42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</row>
    <row r="202" spans="1:68" ht="15" customHeight="1" x14ac:dyDescent="0.35">
      <c r="A202" s="40"/>
      <c r="B202" s="41"/>
      <c r="C202" s="41"/>
      <c r="D202" s="42"/>
      <c r="E202" s="42"/>
      <c r="F202" s="42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</row>
    <row r="203" spans="1:68" ht="15" customHeight="1" x14ac:dyDescent="0.35">
      <c r="A203" s="40"/>
      <c r="B203" s="41"/>
      <c r="C203" s="41"/>
      <c r="D203" s="42"/>
      <c r="E203" s="42"/>
      <c r="F203" s="42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</row>
    <row r="204" spans="1:68" ht="15" customHeight="1" x14ac:dyDescent="0.35">
      <c r="A204" s="40"/>
      <c r="B204" s="41"/>
      <c r="C204" s="41"/>
      <c r="D204" s="42"/>
      <c r="E204" s="42"/>
      <c r="F204" s="42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</row>
    <row r="205" spans="1:68" ht="15" customHeight="1" x14ac:dyDescent="0.35">
      <c r="A205" s="40"/>
      <c r="B205" s="41"/>
      <c r="C205" s="41"/>
      <c r="D205" s="42"/>
      <c r="E205" s="42"/>
      <c r="F205" s="42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</row>
    <row r="206" spans="1:68" ht="15" customHeight="1" x14ac:dyDescent="0.35">
      <c r="A206" s="40"/>
      <c r="B206" s="41"/>
      <c r="C206" s="41"/>
      <c r="D206" s="42"/>
      <c r="E206" s="42"/>
      <c r="F206" s="42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</row>
    <row r="207" spans="1:68" ht="15" customHeight="1" x14ac:dyDescent="0.35">
      <c r="A207" s="40"/>
      <c r="B207" s="41"/>
      <c r="C207" s="41"/>
      <c r="D207" s="42"/>
      <c r="E207" s="42"/>
      <c r="F207" s="42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</row>
    <row r="208" spans="1:68" ht="15" customHeight="1" x14ac:dyDescent="0.35">
      <c r="A208" s="40"/>
      <c r="B208" s="41"/>
      <c r="C208" s="41"/>
      <c r="D208" s="42"/>
      <c r="E208" s="42"/>
      <c r="F208" s="42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</row>
    <row r="209" spans="1:68" ht="15" customHeight="1" x14ac:dyDescent="0.35">
      <c r="A209" s="40"/>
      <c r="B209" s="41"/>
      <c r="C209" s="41"/>
      <c r="D209" s="42"/>
      <c r="E209" s="42"/>
      <c r="F209" s="42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</row>
    <row r="210" spans="1:68" ht="15" customHeight="1" x14ac:dyDescent="0.35">
      <c r="A210" s="40"/>
      <c r="B210" s="41"/>
      <c r="C210" s="41"/>
      <c r="D210" s="42"/>
      <c r="E210" s="42"/>
      <c r="F210" s="42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</row>
    <row r="211" spans="1:68" ht="25" customHeight="1" x14ac:dyDescent="0.35">
      <c r="A211" s="40"/>
      <c r="B211" s="41"/>
      <c r="C211" s="41"/>
      <c r="D211" s="42"/>
      <c r="E211" s="42"/>
      <c r="F211" s="42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</row>
    <row r="212" spans="1:68" ht="15" customHeight="1" x14ac:dyDescent="0.35">
      <c r="A212" s="40"/>
      <c r="B212" s="41"/>
      <c r="C212" s="41"/>
      <c r="D212" s="42"/>
      <c r="E212" s="42"/>
      <c r="F212" s="42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</row>
    <row r="213" spans="1:68" ht="15" customHeight="1" x14ac:dyDescent="0.35">
      <c r="A213" s="40"/>
      <c r="B213" s="41"/>
      <c r="C213" s="41"/>
      <c r="D213" s="42"/>
      <c r="E213" s="42"/>
      <c r="F213" s="42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</row>
    <row r="214" spans="1:68" ht="25" customHeight="1" x14ac:dyDescent="0.35">
      <c r="A214" s="45"/>
      <c r="B214" s="46"/>
      <c r="C214" s="46"/>
      <c r="D214" s="47"/>
      <c r="E214" s="47"/>
      <c r="F214" s="47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</row>
    <row r="215" spans="1:68" ht="15" customHeight="1" x14ac:dyDescent="0.35">
      <c r="A215" s="40"/>
      <c r="B215" s="41"/>
      <c r="C215" s="41"/>
      <c r="D215" s="42"/>
      <c r="E215" s="42"/>
      <c r="F215" s="42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</row>
    <row r="216" spans="1:68" ht="15" customHeight="1" x14ac:dyDescent="0.35">
      <c r="A216" s="40"/>
      <c r="B216" s="41"/>
      <c r="C216" s="41"/>
      <c r="D216" s="42"/>
      <c r="E216" s="42"/>
      <c r="F216" s="42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</row>
    <row r="217" spans="1:68" ht="15" customHeight="1" x14ac:dyDescent="0.35">
      <c r="A217" s="40"/>
      <c r="B217" s="41"/>
      <c r="C217" s="41"/>
      <c r="D217" s="42"/>
      <c r="E217" s="42"/>
      <c r="F217" s="42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</row>
    <row r="218" spans="1:68" ht="15" customHeight="1" x14ac:dyDescent="0.35">
      <c r="A218" s="40"/>
      <c r="B218" s="41"/>
      <c r="C218" s="41"/>
      <c r="D218" s="42"/>
      <c r="E218" s="42"/>
      <c r="F218" s="42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</row>
    <row r="219" spans="1:68" ht="15" customHeight="1" x14ac:dyDescent="0.35">
      <c r="A219" s="40"/>
      <c r="B219" s="41"/>
      <c r="C219" s="41"/>
      <c r="D219" s="42"/>
      <c r="E219" s="42"/>
      <c r="F219" s="42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</row>
    <row r="220" spans="1:68" ht="15" customHeight="1" x14ac:dyDescent="0.35">
      <c r="A220" s="40"/>
      <c r="B220" s="41"/>
      <c r="C220" s="41"/>
      <c r="D220" s="42"/>
      <c r="E220" s="42"/>
      <c r="F220" s="42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</row>
    <row r="221" spans="1:68" ht="15" customHeight="1" x14ac:dyDescent="0.35">
      <c r="A221" s="40"/>
      <c r="B221" s="41"/>
      <c r="C221" s="41"/>
      <c r="D221" s="42"/>
      <c r="E221" s="42"/>
      <c r="F221" s="42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</row>
    <row r="222" spans="1:68" ht="15" customHeight="1" x14ac:dyDescent="0.35">
      <c r="A222" s="40"/>
      <c r="B222" s="41"/>
      <c r="C222" s="41"/>
      <c r="D222" s="42"/>
      <c r="E222" s="42"/>
      <c r="F222" s="42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</row>
    <row r="223" spans="1:68" ht="15" customHeight="1" x14ac:dyDescent="0.35">
      <c r="A223" s="40"/>
      <c r="B223" s="41"/>
      <c r="C223" s="41"/>
      <c r="D223" s="42"/>
      <c r="E223" s="42"/>
      <c r="F223" s="42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</row>
    <row r="224" spans="1:68" ht="15" customHeight="1" x14ac:dyDescent="0.35">
      <c r="A224" s="40"/>
      <c r="B224" s="41"/>
      <c r="C224" s="41"/>
      <c r="D224" s="42"/>
      <c r="E224" s="42"/>
      <c r="F224" s="42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</row>
    <row r="225" spans="1:68" ht="15" customHeight="1" x14ac:dyDescent="0.35">
      <c r="A225" s="40"/>
      <c r="B225" s="41"/>
      <c r="C225" s="41"/>
      <c r="D225" s="42"/>
      <c r="E225" s="42"/>
      <c r="F225" s="42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</row>
    <row r="226" spans="1:68" ht="15" customHeight="1" x14ac:dyDescent="0.35">
      <c r="A226" s="40"/>
      <c r="B226" s="41"/>
      <c r="C226" s="41"/>
      <c r="D226" s="42"/>
      <c r="E226" s="42"/>
      <c r="F226" s="42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</row>
    <row r="227" spans="1:68" ht="15" customHeight="1" x14ac:dyDescent="0.35">
      <c r="A227" s="45"/>
      <c r="B227" s="46"/>
      <c r="C227" s="46"/>
      <c r="D227" s="47"/>
      <c r="E227" s="47"/>
      <c r="F227" s="47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</row>
    <row r="228" spans="1:68" ht="15" customHeight="1" x14ac:dyDescent="0.35">
      <c r="A228" s="40"/>
      <c r="B228" s="41"/>
      <c r="C228" s="41"/>
      <c r="D228" s="42"/>
      <c r="E228" s="42"/>
      <c r="F228" s="42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</row>
    <row r="229" spans="1:68" ht="15" customHeight="1" x14ac:dyDescent="0.35">
      <c r="A229" s="40"/>
      <c r="B229" s="41"/>
      <c r="C229" s="41"/>
      <c r="D229" s="42"/>
      <c r="E229" s="42"/>
      <c r="F229" s="42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</row>
    <row r="230" spans="1:68" ht="15" customHeight="1" x14ac:dyDescent="0.35">
      <c r="A230" s="40"/>
      <c r="B230" s="41"/>
      <c r="C230" s="41"/>
      <c r="D230" s="42"/>
      <c r="E230" s="42"/>
      <c r="F230" s="42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</row>
    <row r="231" spans="1:68" ht="15" customHeight="1" x14ac:dyDescent="0.35">
      <c r="A231" s="40"/>
      <c r="B231" s="41"/>
      <c r="C231" s="41"/>
      <c r="D231" s="42"/>
      <c r="E231" s="42"/>
      <c r="F231" s="42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</row>
    <row r="232" spans="1:68" ht="15" customHeight="1" x14ac:dyDescent="0.35">
      <c r="A232" s="40"/>
      <c r="B232" s="41"/>
      <c r="C232" s="41"/>
      <c r="D232" s="42"/>
      <c r="E232" s="42"/>
      <c r="F232" s="42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</row>
    <row r="233" spans="1:68" ht="15" customHeight="1" x14ac:dyDescent="0.35">
      <c r="A233" s="40"/>
      <c r="B233" s="41"/>
      <c r="C233" s="41"/>
      <c r="D233" s="42"/>
      <c r="E233" s="42"/>
      <c r="F233" s="42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</row>
    <row r="234" spans="1:68" ht="15" customHeight="1" x14ac:dyDescent="0.35">
      <c r="A234" s="40"/>
      <c r="B234" s="41"/>
      <c r="C234" s="41"/>
      <c r="D234" s="42"/>
      <c r="E234" s="42"/>
      <c r="F234" s="42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</row>
    <row r="235" spans="1:68" ht="15" customHeight="1" x14ac:dyDescent="0.35">
      <c r="A235" s="40"/>
      <c r="B235" s="41"/>
      <c r="C235" s="41"/>
      <c r="D235" s="42"/>
      <c r="E235" s="42"/>
      <c r="F235" s="42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</row>
    <row r="236" spans="1:68" ht="15" customHeight="1" x14ac:dyDescent="0.35">
      <c r="A236" s="40"/>
      <c r="B236" s="41"/>
      <c r="C236" s="41"/>
      <c r="D236" s="42"/>
      <c r="E236" s="42"/>
      <c r="F236" s="42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</row>
    <row r="237" spans="1:68" ht="15" customHeight="1" x14ac:dyDescent="0.35">
      <c r="A237" s="40"/>
      <c r="B237" s="41"/>
      <c r="C237" s="41"/>
      <c r="D237" s="42"/>
      <c r="E237" s="42"/>
      <c r="F237" s="42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</row>
    <row r="238" spans="1:68" ht="15" customHeight="1" x14ac:dyDescent="0.35">
      <c r="A238" s="40"/>
      <c r="B238" s="41"/>
      <c r="C238" s="41"/>
      <c r="D238" s="42"/>
      <c r="E238" s="42"/>
      <c r="F238" s="42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</row>
    <row r="239" spans="1:68" ht="15" customHeight="1" x14ac:dyDescent="0.35">
      <c r="A239" s="40"/>
      <c r="B239" s="41"/>
      <c r="C239" s="41"/>
      <c r="D239" s="42"/>
      <c r="E239" s="42"/>
      <c r="F239" s="42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</row>
    <row r="240" spans="1:68" ht="15" customHeight="1" x14ac:dyDescent="0.35">
      <c r="A240" s="40"/>
      <c r="B240" s="41"/>
      <c r="C240" s="41"/>
      <c r="D240" s="42"/>
      <c r="E240" s="42"/>
      <c r="F240" s="42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</row>
    <row r="241" spans="1:68" ht="15" customHeight="1" x14ac:dyDescent="0.35">
      <c r="A241" s="40"/>
      <c r="B241" s="41"/>
      <c r="C241" s="41"/>
      <c r="D241" s="42"/>
      <c r="E241" s="42"/>
      <c r="F241" s="42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</row>
    <row r="242" spans="1:68" ht="15" customHeight="1" x14ac:dyDescent="0.35">
      <c r="A242" s="40"/>
      <c r="B242" s="41"/>
      <c r="C242" s="41"/>
      <c r="D242" s="42"/>
      <c r="E242" s="42"/>
      <c r="F242" s="42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</row>
    <row r="243" spans="1:68" ht="15" customHeight="1" x14ac:dyDescent="0.35">
      <c r="A243" s="40"/>
      <c r="B243" s="41"/>
      <c r="C243" s="41"/>
      <c r="D243" s="42"/>
      <c r="E243" s="42"/>
      <c r="F243" s="42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</row>
    <row r="244" spans="1:68" ht="15" customHeight="1" x14ac:dyDescent="0.35">
      <c r="A244" s="40"/>
      <c r="B244" s="41"/>
      <c r="C244" s="41"/>
      <c r="D244" s="42"/>
      <c r="E244" s="42"/>
      <c r="F244" s="42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</row>
    <row r="245" spans="1:68" ht="15" customHeight="1" x14ac:dyDescent="0.35">
      <c r="A245" s="40"/>
      <c r="B245" s="41"/>
      <c r="C245" s="41"/>
      <c r="D245" s="42"/>
      <c r="E245" s="42"/>
      <c r="F245" s="42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</row>
    <row r="246" spans="1:68" ht="15" customHeight="1" x14ac:dyDescent="0.35">
      <c r="A246" s="40"/>
      <c r="B246" s="41"/>
      <c r="C246" s="41"/>
      <c r="D246" s="42"/>
      <c r="E246" s="42"/>
      <c r="F246" s="42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</row>
    <row r="247" spans="1:68" ht="15" customHeight="1" x14ac:dyDescent="0.35">
      <c r="A247" s="40"/>
      <c r="B247" s="41"/>
      <c r="C247" s="41"/>
      <c r="D247" s="42"/>
      <c r="E247" s="42"/>
      <c r="F247" s="42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</row>
    <row r="248" spans="1:68" ht="15" customHeight="1" x14ac:dyDescent="0.35">
      <c r="A248" s="40"/>
      <c r="B248" s="41"/>
      <c r="C248" s="41"/>
      <c r="D248" s="42"/>
      <c r="E248" s="42"/>
      <c r="F248" s="42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</row>
    <row r="249" spans="1:68" ht="15" customHeight="1" x14ac:dyDescent="0.35">
      <c r="A249" s="45"/>
      <c r="B249" s="46"/>
      <c r="C249" s="46"/>
      <c r="D249" s="47"/>
      <c r="E249" s="47"/>
      <c r="F249" s="47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Simulateur sur Avg</vt:lpstr>
      <vt:lpstr>Simulateur furu</vt:lpstr>
      <vt:lpstr>Feuil3</vt:lpstr>
      <vt:lpstr>Graph</vt:lpstr>
      <vt:lpstr>Feuil1</vt:lpstr>
      <vt:lpstr>CRU historical</vt:lpstr>
      <vt:lpstr>Sulphuric Acid freights</vt:lpstr>
      <vt:lpstr>Sulphur freight</vt:lpstr>
      <vt:lpstr>S - CRU Outlook</vt:lpstr>
      <vt:lpstr>ACS - CRU Outlook</vt:lpstr>
      <vt:lpstr>ACS - S&amp;P Price annual nominal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Guessous Maryam</dc:creator>
  <cp:lastModifiedBy>Guessous Maryam</cp:lastModifiedBy>
  <dcterms:created xsi:type="dcterms:W3CDTF">2026-01-26T13:47:22Z</dcterms:created>
  <dcterms:modified xsi:type="dcterms:W3CDTF">2026-01-27T15:28:56Z</dcterms:modified>
</cp:coreProperties>
</file>